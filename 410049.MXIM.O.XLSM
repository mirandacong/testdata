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9230" windowHeight="11430" tabRatio="810" firstSheet="1" activeTab="1"/>
  </bookViews>
  <sheets>
    <sheet name="__FDSCACHE__" sheetId="7" state="veryHidden" r:id="rId1"/>
    <sheet name="ImportantDisclosures" sheetId="74" r:id="rId2"/>
    <sheet name="IS" sheetId="1" r:id="rId3"/>
    <sheet name="BS" sheetId="2" r:id="rId4"/>
    <sheet name="MW-Cache" sheetId="9" state="veryHidden" r:id="rId5"/>
    <sheet name="CFS" sheetId="3" r:id="rId6"/>
    <sheet name="BU-Segment" sheetId="48" r:id="rId7"/>
    <sheet name="IndexInformation" sheetId="75" r:id="rId8"/>
    <sheet name="ModPubIndex" sheetId="76" r:id="rId9"/>
  </sheets>
  <externalReferences>
    <externalReference r:id="rId10"/>
    <externalReference r:id="rId11"/>
  </externalReferences>
  <definedNames>
    <definedName name="__FDS_HYPERLINK_TOGGLE_STATE__" hidden="1">"ON"</definedName>
    <definedName name="__FDS_UNIQUE_RANGE_ID_GENERATOR_COUNTER" hidden="1">1</definedName>
    <definedName name="_1__FDSAUDITLINK__" localSheetId="6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0__FDSAUDITLINK__" localSheetId="6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0__FDSAUDITLINK__" localSheetId="6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localSheetId="6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localSheetId="6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localSheetId="6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localSheetId="6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localSheetId="6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localSheetId="6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localSheetId="6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localSheetId="6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localSheetId="6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localSheetId="6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localSheetId="6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localSheetId="6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localSheetId="6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localSheetId="6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localSheetId="6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localSheetId="6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localSheetId="6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localSheetId="6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localSheetId="6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localSheetId="6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localSheetId="6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localSheetId="6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localSheetId="6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localSheetId="6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localSheetId="6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localSheetId="6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localSheetId="6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localSheetId="6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localSheetId="6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localSheetId="6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localSheetId="6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localSheetId="6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localSheetId="6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localSheetId="6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localSheetId="6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localSheetId="6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localSheetId="6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localSheetId="6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localSheetId="6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localSheetId="6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localSheetId="6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localSheetId="6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localSheetId="6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localSheetId="6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localSheetId="6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localSheetId="6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localSheetId="6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localSheetId="6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localSheetId="6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localSheetId="6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localSheetId="6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localSheetId="6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localSheetId="6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localSheetId="6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localSheetId="6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localSheetId="6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localSheetId="6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localSheetId="6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localSheetId="6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localSheetId="6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localSheetId="6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localSheetId="6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localSheetId="6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localSheetId="6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localSheetId="6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localSheetId="6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localSheetId="6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localSheetId="6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localSheetId="6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localSheetId="6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localSheetId="6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localSheetId="6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localSheetId="6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localSheetId="6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localSheetId="6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localSheetId="6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localSheetId="6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localSheetId="6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localSheetId="6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localSheetId="6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localSheetId="6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localSheetId="6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localSheetId="6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localSheetId="6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localSheetId="6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localSheetId="6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localSheetId="6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localSheetId="6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localSheetId="6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localSheetId="6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localSheetId="6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localSheetId="6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localSheetId="6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localSheetId="6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localSheetId="6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localSheetId="6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localSheetId="6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localSheetId="6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localSheetId="6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localSheetId="6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localSheetId="6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localSheetId="6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localSheetId="6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localSheetId="6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localSheetId="6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localSheetId="6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localSheetId="6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localSheetId="6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localSheetId="6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localSheetId="6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0__FDSAUDITLINK__" localSheetId="6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localSheetId="6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localSheetId="6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localSheetId="6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localSheetId="6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localSheetId="6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localSheetId="6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localSheetId="6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localSheetId="6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localSheetId="6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localSheetId="6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localSheetId="6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localSheetId="6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localSheetId="6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localSheetId="6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localSheetId="6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localSheetId="6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localSheetId="6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localSheetId="6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localSheetId="6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localSheetId="6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localSheetId="6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localSheetId="6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localSheetId="6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localSheetId="6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localSheetId="6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localSheetId="6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localSheetId="6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localSheetId="6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localSheetId="6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localSheetId="6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localSheetId="6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localSheetId="6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localSheetId="6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localSheetId="6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localSheetId="6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localSheetId="6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localSheetId="6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localSheetId="6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localSheetId="6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localSheetId="6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localSheetId="6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localSheetId="6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localSheetId="6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localSheetId="6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localSheetId="6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localSheetId="6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localSheetId="6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localSheetId="6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localSheetId="6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localSheetId="6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localSheetId="6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localSheetId="6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localSheetId="6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localSheetId="6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localSheetId="6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localSheetId="6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localSheetId="6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localSheetId="6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localSheetId="6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localSheetId="6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localSheetId="6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localSheetId="6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localSheetId="6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localSheetId="6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localSheetId="6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localSheetId="6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localSheetId="6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localSheetId="6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localSheetId="6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localSheetId="6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localSheetId="6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localSheetId="6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localSheetId="6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localSheetId="6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localSheetId="6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localSheetId="6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localSheetId="6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localSheetId="6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localSheetId="6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localSheetId="6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localSheetId="6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localSheetId="6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localSheetId="6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localSheetId="6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localSheetId="6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localSheetId="6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localSheetId="6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localSheetId="6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localSheetId="6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localSheetId="6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localSheetId="6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localSheetId="6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localSheetId="6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localSheetId="6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localSheetId="6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localSheetId="6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localSheetId="6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localSheetId="6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localSheetId="6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localSheetId="6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localSheetId="6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localSheetId="6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localSheetId="6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localSheetId="6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localSheetId="6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localSheetId="6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localSheetId="6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localSheetId="6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localSheetId="6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localSheetId="6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localSheetId="6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localSheetId="6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localSheetId="6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localSheetId="6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localSheetId="6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localSheetId="6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localSheetId="6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localSheetId="6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localSheetId="6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localSheetId="6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localSheetId="6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localSheetId="6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localSheetId="6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localSheetId="6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localSheetId="6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localSheetId="6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localSheetId="6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localSheetId="6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localSheetId="6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localSheetId="6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localSheetId="6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localSheetId="6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localSheetId="6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localSheetId="6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localSheetId="6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localSheetId="6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localSheetId="6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localSheetId="6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localSheetId="6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localSheetId="6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localSheetId="6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localSheetId="6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localSheetId="6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localSheetId="6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localSheetId="6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localSheetId="6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localSheetId="6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localSheetId="6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localSheetId="6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localSheetId="6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localSheetId="6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localSheetId="6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localSheetId="6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localSheetId="6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localSheetId="6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localSheetId="6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localSheetId="6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localSheetId="6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localSheetId="6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localSheetId="6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localSheetId="6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localSheetId="6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localSheetId="6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localSheetId="6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localSheetId="6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localSheetId="6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localSheetId="6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localSheetId="6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localSheetId="6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localSheetId="6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localSheetId="6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localSheetId="6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localSheetId="6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localSheetId="6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localSheetId="6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localSheetId="6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localSheetId="6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localSheetId="6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localSheetId="6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localSheetId="6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localSheetId="6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localSheetId="6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localSheetId="6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localSheetId="6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localSheetId="6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localSheetId="6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localSheetId="6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localSheetId="6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localSheetId="6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localSheetId="6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localSheetId="6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localSheetId="6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localSheetId="6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localSheetId="6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localSheetId="6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localSheetId="6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localSheetId="6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localSheetId="6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localSheetId="6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localSheetId="6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localSheetId="6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localSheetId="6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localSheetId="6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localSheetId="6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localSheetId="6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localSheetId="6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localSheetId="6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localSheetId="6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localSheetId="6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localSheetId="6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localSheetId="6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localSheetId="6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localSheetId="6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localSheetId="6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localSheetId="6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localSheetId="6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localSheetId="6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localSheetId="6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localSheetId="6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localSheetId="6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localSheetId="6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localSheetId="6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localSheetId="6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localSheetId="6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localSheetId="6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localSheetId="6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localSheetId="6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localSheetId="6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localSheetId="6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localSheetId="6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localSheetId="6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localSheetId="6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localSheetId="6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localSheetId="6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localSheetId="6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localSheetId="6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localSheetId="6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localSheetId="6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localSheetId="6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localSheetId="6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localSheetId="6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localSheetId="6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localSheetId="6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localSheetId="6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localSheetId="6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localSheetId="6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localSheetId="6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localSheetId="6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localSheetId="6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localSheetId="6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localSheetId="6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localSheetId="6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localSheetId="6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localSheetId="6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localSheetId="6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localSheetId="6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localSheetId="6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localSheetId="6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localSheetId="6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localSheetId="6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localSheetId="6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localSheetId="6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localSheetId="6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localSheetId="6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localSheetId="6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localSheetId="6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localSheetId="6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localSheetId="6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localSheetId="6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localSheetId="6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localSheetId="6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localSheetId="6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localSheetId="6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localSheetId="6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localSheetId="6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localSheetId="6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localSheetId="6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localSheetId="6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localSheetId="6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localSheetId="6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localSheetId="6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localSheetId="6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localSheetId="6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localSheetId="6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localSheetId="6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localSheetId="6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localSheetId="6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localSheetId="6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localSheetId="6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localSheetId="6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localSheetId="6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localSheetId="6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localSheetId="6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localSheetId="6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localSheetId="6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localSheetId="6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localSheetId="6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localSheetId="6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localSheetId="6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localSheetId="6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localSheetId="6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localSheetId="6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localSheetId="6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localSheetId="6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localSheetId="6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localSheetId="6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localSheetId="6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localSheetId="6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localSheetId="6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localSheetId="6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localSheetId="6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localSheetId="6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localSheetId="6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localSheetId="6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localSheetId="6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localSheetId="6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localSheetId="6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localSheetId="6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localSheetId="6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localSheetId="6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localSheetId="6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localSheetId="6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localSheetId="6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localSheetId="6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localSheetId="6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localSheetId="6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localSheetId="6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localSheetId="6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localSheetId="6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localSheetId="6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localSheetId="6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localSheetId="6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localSheetId="6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localSheetId="6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localSheetId="6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localSheetId="6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localSheetId="6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localSheetId="6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localSheetId="6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localSheetId="6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localSheetId="6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localSheetId="6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localSheetId="6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localSheetId="6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localSheetId="6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localSheetId="6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localSheetId="6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localSheetId="6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localSheetId="6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localSheetId="6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localSheetId="6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localSheetId="6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localSheetId="6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localSheetId="6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localSheetId="6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localSheetId="6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localSheetId="6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localSheetId="6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localSheetId="6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localSheetId="6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localSheetId="6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localSheetId="6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localSheetId="6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localSheetId="6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localSheetId="6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localSheetId="6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localSheetId="6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localSheetId="6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localSheetId="6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localSheetId="6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localSheetId="6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localSheetId="6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localSheetId="6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localSheetId="6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localSheetId="6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localSheetId="6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localSheetId="6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localSheetId="6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localSheetId="6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localSheetId="6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localSheetId="6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localSheetId="6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localSheetId="6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localSheetId="6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localSheetId="6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localSheetId="6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localSheetId="6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localSheetId="6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localSheetId="6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localSheetId="6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localSheetId="6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localSheetId="6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localSheetId="6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localSheetId="6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localSheetId="6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localSheetId="6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localSheetId="6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localSheetId="6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localSheetId="6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localSheetId="6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localSheetId="6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localSheetId="6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localSheetId="6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localSheetId="6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localSheetId="6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localSheetId="6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localSheetId="6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localSheetId="6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localSheetId="6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localSheetId="6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localSheetId="6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localSheetId="6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localSheetId="6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localSheetId="6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localSheetId="6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localSheetId="6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localSheetId="6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localSheetId="6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localSheetId="6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localSheetId="6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localSheetId="6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localSheetId="6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localSheetId="6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localSheetId="6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localSheetId="6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localSheetId="6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localSheetId="6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localSheetId="6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localSheetId="6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localSheetId="6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localSheetId="6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localSheetId="6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localSheetId="6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localSheetId="6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localSheetId="6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localSheetId="6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localSheetId="6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localSheetId="6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localSheetId="6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localSheetId="6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localSheetId="6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localSheetId="6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localSheetId="6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localSheetId="6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localSheetId="6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localSheetId="6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localSheetId="6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localSheetId="6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localSheetId="6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localSheetId="6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localSheetId="6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localSheetId="6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localSheetId="6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localSheetId="6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localSheetId="6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localSheetId="6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localSheetId="6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localSheetId="6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localSheetId="6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localSheetId="6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localSheetId="6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localSheetId="6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localSheetId="6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localSheetId="6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localSheetId="6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localSheetId="6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localSheetId="6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localSheetId="6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localSheetId="6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localSheetId="6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localSheetId="6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localSheetId="6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localSheetId="6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localSheetId="6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localSheetId="6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localSheetId="6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localSheetId="6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localSheetId="6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localSheetId="6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localSheetId="6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localSheetId="6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localSheetId="6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localSheetId="6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localSheetId="6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localSheetId="6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localSheetId="6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localSheetId="6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localSheetId="6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localSheetId="6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localSheetId="6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localSheetId="6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localSheetId="6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localSheetId="6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localSheetId="6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localSheetId="6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localSheetId="6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localSheetId="6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localSheetId="6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localSheetId="6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localSheetId="6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localSheetId="6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localSheetId="6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localSheetId="6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localSheetId="6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localSheetId="6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localSheetId="6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localSheetId="6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localSheetId="6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localSheetId="6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localSheetId="6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localSheetId="6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localSheetId="6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localSheetId="6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localSheetId="6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localSheetId="6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localSheetId="6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localSheetId="6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localSheetId="6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localSheetId="6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localSheetId="6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localSheetId="6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localSheetId="6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localSheetId="6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localSheetId="6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localSheetId="6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localSheetId="6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localSheetId="6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localSheetId="6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localSheetId="6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localSheetId="6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localSheetId="6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localSheetId="6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localSheetId="6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localSheetId="6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localSheetId="6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localSheetId="6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localSheetId="6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localSheetId="6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localSheetId="6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localSheetId="6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localSheetId="6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localSheetId="6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localSheetId="6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localSheetId="6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localSheetId="6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localSheetId="6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localSheetId="6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localSheetId="6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localSheetId="6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localSheetId="6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localSheetId="6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localSheetId="6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localSheetId="6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localSheetId="6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localSheetId="6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localSheetId="6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localSheetId="6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localSheetId="6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localSheetId="6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localSheetId="6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localSheetId="6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localSheetId="6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localSheetId="6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localSheetId="6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localSheetId="6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localSheetId="6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localSheetId="6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localSheetId="6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localSheetId="6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0__FDSAUDITLINK__" localSheetId="6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localSheetId="6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localSheetId="6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localSheetId="6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localSheetId="6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localSheetId="6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localSheetId="6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localSheetId="6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localSheetId="6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localSheetId="6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localSheetId="6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localSheetId="6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localSheetId="6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localSheetId="6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localSheetId="6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localSheetId="6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localSheetId="6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localSheetId="6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localSheetId="6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localSheetId="6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localSheetId="6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localSheetId="6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localSheetId="6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localSheetId="6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localSheetId="6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localSheetId="6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localSheetId="6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localSheetId="6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localSheetId="6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localSheetId="6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localSheetId="6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localSheetId="6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localSheetId="6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localSheetId="6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localSheetId="6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localSheetId="6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localSheetId="6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localSheetId="6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localSheetId="6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localSheetId="6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localSheetId="6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localSheetId="6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localSheetId="6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localSheetId="6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localSheetId="6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localSheetId="6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localSheetId="6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localSheetId="6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localSheetId="6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localSheetId="6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localSheetId="6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localSheetId="6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localSheetId="6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localSheetId="6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localSheetId="6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localSheetId="6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localSheetId="6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localSheetId="6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localSheetId="6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localSheetId="6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localSheetId="6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localSheetId="6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localSheetId="6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localSheetId="6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localSheetId="6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localSheetId="6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localSheetId="6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localSheetId="6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localSheetId="6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localSheetId="6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localSheetId="6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localSheetId="6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localSheetId="6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localSheetId="6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localSheetId="6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localSheetId="6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localSheetId="6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localSheetId="6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localSheetId="6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localSheetId="6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localSheetId="6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localSheetId="6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localSheetId="6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localSheetId="6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localSheetId="6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localSheetId="6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localSheetId="6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localSheetId="6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localSheetId="6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localSheetId="6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localSheetId="6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localSheetId="6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localSheetId="6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localSheetId="6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localSheetId="6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localSheetId="6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localSheetId="6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localSheetId="6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localSheetId="6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localSheetId="6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localSheetId="6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localSheetId="6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localSheetId="6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localSheetId="6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localSheetId="6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localSheetId="6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localSheetId="6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localSheetId="6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localSheetId="6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localSheetId="6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localSheetId="6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localSheetId="6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localSheetId="6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localSheetId="6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localSheetId="6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localSheetId="6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localSheetId="6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localSheetId="6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localSheetId="6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localSheetId="6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localSheetId="6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localSheetId="6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localSheetId="6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localSheetId="6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localSheetId="6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localSheetId="6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localSheetId="6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localSheetId="6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localSheetId="6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localSheetId="6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localSheetId="6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localSheetId="6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localSheetId="6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localSheetId="6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localSheetId="6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localSheetId="6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localSheetId="6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localSheetId="6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localSheetId="6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localSheetId="6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localSheetId="6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localSheetId="6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localSheetId="6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localSheetId="6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localSheetId="6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localSheetId="6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localSheetId="6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localSheetId="6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localSheetId="6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localSheetId="6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localSheetId="6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localSheetId="6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localSheetId="6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localSheetId="6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localSheetId="6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localSheetId="6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localSheetId="6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localSheetId="6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localSheetId="6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localSheetId="6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localSheetId="6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localSheetId="6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localSheetId="6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localSheetId="6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localSheetId="6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localSheetId="6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localSheetId="6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localSheetId="6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localSheetId="6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localSheetId="6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localSheetId="6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localSheetId="6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localSheetId="6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localSheetId="6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localSheetId="6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localSheetId="6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localSheetId="6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localSheetId="6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localSheetId="6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localSheetId="6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localSheetId="6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localSheetId="6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localSheetId="6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localSheetId="6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localSheetId="6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localSheetId="6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localSheetId="6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localSheetId="6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localSheetId="6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localSheetId="6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localSheetId="6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localSheetId="6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localSheetId="6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localSheetId="6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localSheetId="6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localSheetId="6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localSheetId="6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localSheetId="6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localSheetId="6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localSheetId="6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localSheetId="6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localSheetId="6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localSheetId="6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localSheetId="6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localSheetId="6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localSheetId="6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localSheetId="6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localSheetId="6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localSheetId="6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localSheetId="6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localSheetId="6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localSheetId="6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localSheetId="6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localSheetId="6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localSheetId="6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localSheetId="6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localSheetId="6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localSheetId="6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localSheetId="6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localSheetId="6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localSheetId="6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localSheetId="6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localSheetId="6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localSheetId="6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localSheetId="6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localSheetId="6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localSheetId="6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localSheetId="6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localSheetId="6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localSheetId="6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localSheetId="6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localSheetId="6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localSheetId="6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localSheetId="6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localSheetId="6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localSheetId="6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localSheetId="6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localSheetId="6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localSheetId="6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localSheetId="6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localSheetId="6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localSheetId="6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localSheetId="6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localSheetId="6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localSheetId="6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localSheetId="6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localSheetId="6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localSheetId="6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localSheetId="6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localSheetId="6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localSheetId="6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localSheetId="6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localSheetId="6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localSheetId="6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localSheetId="6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localSheetId="6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localSheetId="6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localSheetId="6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localSheetId="6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localSheetId="6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localSheetId="6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localSheetId="6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localSheetId="6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localSheetId="6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localSheetId="6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localSheetId="6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localSheetId="6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localSheetId="6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localSheetId="6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localSheetId="6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localSheetId="6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localSheetId="6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localSheetId="6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localSheetId="6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localSheetId="6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localSheetId="6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localSheetId="6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localSheetId="6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localSheetId="6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localSheetId="6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localSheetId="6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localSheetId="6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localSheetId="6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localSheetId="6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localSheetId="6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localSheetId="6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localSheetId="6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localSheetId="6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localSheetId="6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0__FDSAUDITLINK__" localSheetId="6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localSheetId="6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localSheetId="6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localSheetId="6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localSheetId="6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localSheetId="6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localSheetId="6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localSheetId="6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localSheetId="6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localSheetId="6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localSheetId="6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localSheetId="6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localSheetId="6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localSheetId="6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localSheetId="6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localSheetId="6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localSheetId="6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localSheetId="6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localSheetId="6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localSheetId="6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localSheetId="6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localSheetId="6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localSheetId="6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localSheetId="6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localSheetId="6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localSheetId="6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localSheetId="6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localSheetId="6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localSheetId="6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localSheetId="6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localSheetId="6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localSheetId="6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localSheetId="6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localSheetId="6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localSheetId="6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localSheetId="6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localSheetId="6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localSheetId="6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localSheetId="6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localSheetId="6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localSheetId="6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localSheetId="6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localSheetId="6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localSheetId="6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localSheetId="6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localSheetId="6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localSheetId="6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localSheetId="6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localSheetId="6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localSheetId="6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localSheetId="6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localSheetId="6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localSheetId="6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localSheetId="6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localSheetId="6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localSheetId="6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localSheetId="6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localSheetId="6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localSheetId="6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localSheetId="6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localSheetId="6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localSheetId="6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localSheetId="6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localSheetId="6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localSheetId="6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localSheetId="6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localSheetId="6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localSheetId="6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localSheetId="6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localSheetId="6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localSheetId="6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localSheetId="6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localSheetId="6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localSheetId="6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localSheetId="6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localSheetId="6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localSheetId="6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localSheetId="6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localSheetId="6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localSheetId="6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localSheetId="6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localSheetId="6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localSheetId="6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localSheetId="6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localSheetId="6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localSheetId="6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localSheetId="6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localSheetId="6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localSheetId="6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localSheetId="6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localSheetId="6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localSheetId="6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localSheetId="6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localSheetId="6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localSheetId="6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localSheetId="6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localSheetId="6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localSheetId="6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localSheetId="6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localSheetId="6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localSheetId="6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localSheetId="6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localSheetId="6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localSheetId="6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localSheetId="6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localSheetId="6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localSheetId="6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localSheetId="6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localSheetId="6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localSheetId="6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localSheetId="6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localSheetId="6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localSheetId="6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localSheetId="6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localSheetId="6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localSheetId="6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localSheetId="6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localSheetId="6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localSheetId="6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localSheetId="6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localSheetId="6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localSheetId="6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localSheetId="6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localSheetId="6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localSheetId="6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localSheetId="6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localSheetId="6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localSheetId="6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localSheetId="6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localSheetId="6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localSheetId="6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localSheetId="6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localSheetId="6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localSheetId="6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localSheetId="6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localSheetId="6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localSheetId="6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localSheetId="6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localSheetId="6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localSheetId="6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localSheetId="6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localSheetId="6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localSheetId="6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localSheetId="6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localSheetId="6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localSheetId="6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localSheetId="6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localSheetId="6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localSheetId="6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localSheetId="6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localSheetId="6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localSheetId="6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localSheetId="6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localSheetId="6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localSheetId="6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localSheetId="6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localSheetId="6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localSheetId="6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localSheetId="6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localSheetId="6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localSheetId="6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localSheetId="6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localSheetId="6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localSheetId="6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localSheetId="6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localSheetId="6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localSheetId="6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localSheetId="6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localSheetId="6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localSheetId="6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localSheetId="6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localSheetId="6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localSheetId="6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localSheetId="6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localSheetId="6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localSheetId="6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localSheetId="6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localSheetId="6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localSheetId="6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localSheetId="6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localSheetId="6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localSheetId="6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localSheetId="6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localSheetId="6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localSheetId="6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localSheetId="6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localSheetId="6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localSheetId="6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localSheetId="6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localSheetId="6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localSheetId="6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localSheetId="6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localSheetId="6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localSheetId="6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localSheetId="6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localSheetId="6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localSheetId="6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localSheetId="6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localSheetId="6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localSheetId="6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localSheetId="6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localSheetId="6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localSheetId="6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localSheetId="6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localSheetId="6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localSheetId="6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localSheetId="6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localSheetId="6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localSheetId="6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localSheetId="6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localSheetId="6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localSheetId="6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localSheetId="6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localSheetId="6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localSheetId="6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localSheetId="6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localSheetId="6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localSheetId="6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localSheetId="6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localSheetId="6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localSheetId="6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localSheetId="6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localSheetId="6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localSheetId="6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localSheetId="6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localSheetId="6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localSheetId="6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localSheetId="6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localSheetId="6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localSheetId="6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localSheetId="6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localSheetId="6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localSheetId="6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localSheetId="6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localSheetId="6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localSheetId="6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localSheetId="6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localSheetId="6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localSheetId="6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localSheetId="6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localSheetId="6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localSheetId="6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localSheetId="6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localSheetId="6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localSheetId="6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localSheetId="6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localSheetId="6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localSheetId="6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localSheetId="6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localSheetId="6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localSheetId="6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localSheetId="6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localSheetId="6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localSheetId="6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localSheetId="6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localSheetId="6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localSheetId="6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localSheetId="6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localSheetId="6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localSheetId="6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localSheetId="6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localSheetId="6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localSheetId="6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localSheetId="6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localSheetId="6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localSheetId="6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localSheetId="6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localSheetId="6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localSheetId="6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localSheetId="6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localSheetId="6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localSheetId="6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localSheetId="6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localSheetId="6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localSheetId="6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localSheetId="6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localSheetId="6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localSheetId="6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localSheetId="6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localSheetId="6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localSheetId="6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localSheetId="6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localSheetId="6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localSheetId="6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localSheetId="6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localSheetId="6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localSheetId="6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localSheetId="6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localSheetId="6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localSheetId="6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localSheetId="6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localSheetId="6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localSheetId="6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localSheetId="6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localSheetId="6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localSheetId="6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localSheetId="6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localSheetId="6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localSheetId="6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localSheetId="6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localSheetId="6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localSheetId="6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localSheetId="6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localSheetId="6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localSheetId="6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localSheetId="6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localSheetId="6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localSheetId="6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localSheetId="6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localSheetId="6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localSheetId="6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localSheetId="6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localSheetId="6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localSheetId="6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localSheetId="6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localSheetId="6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localSheetId="6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localSheetId="6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localSheetId="6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localSheetId="6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localSheetId="6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localSheetId="6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localSheetId="6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localSheetId="6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localSheetId="6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localSheetId="6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localSheetId="6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localSheetId="6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localSheetId="6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localSheetId="6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localSheetId="6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localSheetId="6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localSheetId="6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localSheetId="6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localSheetId="6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localSheetId="6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localSheetId="6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localSheetId="6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localSheetId="6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localSheetId="6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localSheetId="6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localSheetId="6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localSheetId="6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localSheetId="6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localSheetId="6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localSheetId="6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localSheetId="6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localSheetId="6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localSheetId="6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localSheetId="6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localSheetId="6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localSheetId="6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localSheetId="6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localSheetId="6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localSheetId="6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localSheetId="6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localSheetId="6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localSheetId="6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localSheetId="6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localSheetId="6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localSheetId="6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localSheetId="6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localSheetId="6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localSheetId="6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localSheetId="6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localSheetId="6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localSheetId="6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localSheetId="6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localSheetId="6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localSheetId="6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localSheetId="6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localSheetId="6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localSheetId="6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localSheetId="6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localSheetId="6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localSheetId="6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localSheetId="6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localSheetId="6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localSheetId="6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localSheetId="6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localSheetId="6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localSheetId="6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localSheetId="6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localSheetId="6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localSheetId="6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localSheetId="6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localSheetId="6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localSheetId="6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localSheetId="6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localSheetId="6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localSheetId="6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localSheetId="6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localSheetId="6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localSheetId="6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localSheetId="6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localSheetId="6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localSheetId="6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localSheetId="6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localSheetId="6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localSheetId="6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localSheetId="6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localSheetId="6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localSheetId="6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localSheetId="6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localSheetId="6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localSheetId="6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localSheetId="6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localSheetId="6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localSheetId="6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localSheetId="6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localSheetId="6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localSheetId="6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localSheetId="6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localSheetId="6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localSheetId="6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localSheetId="6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localSheetId="6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localSheetId="6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localSheetId="6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localSheetId="6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localSheetId="6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localSheetId="6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localSheetId="6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localSheetId="6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localSheetId="6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localSheetId="6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localSheetId="6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localSheetId="6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localSheetId="6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localSheetId="6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localSheetId="6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localSheetId="6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localSheetId="6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localSheetId="6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localSheetId="6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localSheetId="6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localSheetId="6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localSheetId="6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localSheetId="6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localSheetId="6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localSheetId="6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localSheetId="6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localSheetId="6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localSheetId="6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localSheetId="6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localSheetId="6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localSheetId="6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localSheetId="6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localSheetId="6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localSheetId="6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localSheetId="6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localSheetId="6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localSheetId="6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localSheetId="6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localSheetId="6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localSheetId="6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localSheetId="6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localSheetId="6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localSheetId="6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localSheetId="6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localSheetId="6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localSheetId="6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localSheetId="6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localSheetId="6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localSheetId="6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localSheetId="6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localSheetId="6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localSheetId="6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localSheetId="6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localSheetId="6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localSheetId="6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localSheetId="6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localSheetId="6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localSheetId="6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localSheetId="6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localSheetId="6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localSheetId="6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localSheetId="6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localSheetId="6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localSheetId="6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localSheetId="6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localSheetId="6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localSheetId="6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localSheetId="6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localSheetId="6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localSheetId="6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localSheetId="6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localSheetId="6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localSheetId="6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localSheetId="6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localSheetId="6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localSheetId="6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localSheetId="6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localSheetId="6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localSheetId="6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localSheetId="6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localSheetId="6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localSheetId="6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localSheetId="6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localSheetId="6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localSheetId="6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localSheetId="6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localSheetId="6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localSheetId="6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localSheetId="6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localSheetId="6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localSheetId="6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localSheetId="6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localSheetId="6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localSheetId="6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localSheetId="6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localSheetId="6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localSheetId="6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localSheetId="6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localSheetId="6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localSheetId="6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localSheetId="6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localSheetId="6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localSheetId="6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localSheetId="6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localSheetId="6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localSheetId="6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localSheetId="6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localSheetId="6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localSheetId="6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localSheetId="6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localSheetId="6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localSheetId="6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localSheetId="6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localSheetId="6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localSheetId="6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localSheetId="6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localSheetId="6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localSheetId="6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localSheetId="6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localSheetId="6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localSheetId="6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localSheetId="6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localSheetId="6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localSheetId="6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localSheetId="6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localSheetId="6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localSheetId="6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localSheetId="6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localSheetId="6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localSheetId="6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localSheetId="6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localSheetId="6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localSheetId="6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localSheetId="6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localSheetId="6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localSheetId="6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localSheetId="6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localSheetId="6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localSheetId="6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localSheetId="6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localSheetId="6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localSheetId="6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localSheetId="6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localSheetId="6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localSheetId="6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localSheetId="6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localSheetId="6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localSheetId="6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localSheetId="6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0__FDSAUDITLINK__" localSheetId="6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localSheetId="6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localSheetId="6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localSheetId="6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localSheetId="6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localSheetId="6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localSheetId="6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localSheetId="6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localSheetId="6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localSheetId="6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localSheetId="6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localSheetId="6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localSheetId="6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localSheetId="6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localSheetId="6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localSheetId="6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localSheetId="6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localSheetId="6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localSheetId="6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localSheetId="6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localSheetId="6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localSheetId="6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localSheetId="6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localSheetId="6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localSheetId="6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localSheetId="6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localSheetId="6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localSheetId="6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localSheetId="6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localSheetId="6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localSheetId="6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localSheetId="6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localSheetId="6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localSheetId="6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localSheetId="6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localSheetId="6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localSheetId="6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localSheetId="6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localSheetId="6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localSheetId="6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localSheetId="6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localSheetId="6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localSheetId="6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localSheetId="6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localSheetId="6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localSheetId="6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localSheetId="6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localSheetId="6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localSheetId="6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localSheetId="6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localSheetId="6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localSheetId="6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localSheetId="6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localSheetId="6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localSheetId="6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localSheetId="6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localSheetId="6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localSheetId="6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localSheetId="6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localSheetId="6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localSheetId="6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localSheetId="6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localSheetId="6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localSheetId="6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localSheetId="6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localSheetId="6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localSheetId="6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localSheetId="6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localSheetId="6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localSheetId="6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localSheetId="6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localSheetId="6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localSheetId="6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localSheetId="6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localSheetId="6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localSheetId="6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localSheetId="6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localSheetId="6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localSheetId="6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localSheetId="6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localSheetId="6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localSheetId="6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localSheetId="6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localSheetId="6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localSheetId="6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localSheetId="6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localSheetId="6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localSheetId="6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localSheetId="6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localSheetId="6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localSheetId="6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localSheetId="6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localSheetId="6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localSheetId="6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localSheetId="6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localSheetId="6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localSheetId="6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localSheetId="6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localSheetId="6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localSheetId="6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localSheetId="6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localSheetId="6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localSheetId="6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localSheetId="6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localSheetId="6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localSheetId="6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localSheetId="6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localSheetId="6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localSheetId="6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localSheetId="6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localSheetId="6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localSheetId="6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localSheetId="6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localSheetId="6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localSheetId="6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localSheetId="6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localSheetId="6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localSheetId="6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localSheetId="6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localSheetId="6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localSheetId="6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localSheetId="6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localSheetId="6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localSheetId="6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localSheetId="6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localSheetId="6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localSheetId="6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localSheetId="6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localSheetId="6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localSheetId="6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localSheetId="6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localSheetId="6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localSheetId="6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localSheetId="6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localSheetId="6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localSheetId="6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localSheetId="6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localSheetId="6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localSheetId="6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localSheetId="6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localSheetId="6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localSheetId="6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localSheetId="6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localSheetId="6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localSheetId="6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localSheetId="6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localSheetId="6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localSheetId="6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localSheetId="6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localSheetId="6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localSheetId="6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localSheetId="6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localSheetId="6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localSheetId="6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localSheetId="6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localSheetId="6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localSheetId="6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localSheetId="6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localSheetId="6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localSheetId="6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localSheetId="6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localSheetId="6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localSheetId="6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localSheetId="6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localSheetId="6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localSheetId="6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localSheetId="6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localSheetId="6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localSheetId="6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localSheetId="6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localSheetId="6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localSheetId="6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localSheetId="6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localSheetId="6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localSheetId="6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localSheetId="6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localSheetId="6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localSheetId="6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localSheetId="6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localSheetId="6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localSheetId="6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localSheetId="6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localSheetId="6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localSheetId="6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localSheetId="6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localSheetId="6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localSheetId="6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localSheetId="6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localSheetId="6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localSheetId="6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localSheetId="6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localSheetId="6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localSheetId="6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localSheetId="6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localSheetId="6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localSheetId="6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localSheetId="6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localSheetId="6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localSheetId="6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localSheetId="6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localSheetId="6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localSheetId="6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localSheetId="6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localSheetId="6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localSheetId="6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localSheetId="6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localSheetId="6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localSheetId="6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localSheetId="6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localSheetId="6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localSheetId="6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localSheetId="6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localSheetId="6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localSheetId="6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localSheetId="6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localSheetId="6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localSheetId="6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localSheetId="6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localSheetId="6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localSheetId="6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localSheetId="6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localSheetId="6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localSheetId="6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localSheetId="6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localSheetId="6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localSheetId="6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localSheetId="6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localSheetId="6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localSheetId="6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localSheetId="6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localSheetId="6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localSheetId="6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localSheetId="6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localSheetId="6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localSheetId="6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localSheetId="6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localSheetId="6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localSheetId="6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localSheetId="6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localSheetId="6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localSheetId="6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localSheetId="6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localSheetId="6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localSheetId="6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localSheetId="6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localSheetId="6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localSheetId="6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localSheetId="6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localSheetId="6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localSheetId="6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localSheetId="6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localSheetId="6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localSheetId="6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localSheetId="6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localSheetId="6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localSheetId="6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localSheetId="6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localSheetId="6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localSheetId="6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localSheetId="6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localSheetId="6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localSheetId="6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localSheetId="6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localSheetId="6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localSheetId="6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localSheetId="6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localSheetId="6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localSheetId="6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localSheetId="6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localSheetId="6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localSheetId="6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localSheetId="6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localSheetId="6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localSheetId="6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localSheetId="6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localSheetId="6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localSheetId="6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localSheetId="6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localSheetId="6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localSheetId="6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localSheetId="6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localSheetId="6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localSheetId="6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localSheetId="6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localSheetId="6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localSheetId="6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localSheetId="6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localSheetId="6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localSheetId="6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localSheetId="6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localSheetId="6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localSheetId="6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localSheetId="6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localSheetId="6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localSheetId="6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localSheetId="6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localSheetId="6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localSheetId="6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localSheetId="6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localSheetId="6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localSheetId="6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localSheetId="6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localSheetId="6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localSheetId="6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localSheetId="6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localSheetId="6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localSheetId="6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localSheetId="6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localSheetId="6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localSheetId="6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localSheetId="6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localSheetId="6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localSheetId="6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localSheetId="6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localSheetId="6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localSheetId="6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localSheetId="6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localSheetId="6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localSheetId="6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localSheetId="6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localSheetId="6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localSheetId="6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localSheetId="6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localSheetId="6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localSheetId="6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localSheetId="6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localSheetId="6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localSheetId="6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localSheetId="6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localSheetId="6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localSheetId="6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localSheetId="6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localSheetId="6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localSheetId="6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localSheetId="6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localSheetId="6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localSheetId="6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localSheetId="6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localSheetId="6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localSheetId="6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localSheetId="6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localSheetId="6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localSheetId="6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localSheetId="6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localSheetId="6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localSheetId="6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localSheetId="6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localSheetId="6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localSheetId="6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localSheetId="6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localSheetId="6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localSheetId="6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localSheetId="6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localSheetId="6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localSheetId="6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localSheetId="6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localSheetId="6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localSheetId="6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localSheetId="6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localSheetId="6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localSheetId="6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localSheetId="6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localSheetId="6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localSheetId="6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localSheetId="6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localSheetId="6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localSheetId="6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localSheetId="6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localSheetId="6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localSheetId="6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localSheetId="6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localSheetId="6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localSheetId="6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localSheetId="6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localSheetId="6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localSheetId="6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localSheetId="6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localSheetId="6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localSheetId="6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localSheetId="6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localSheetId="6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localSheetId="6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localSheetId="6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localSheetId="6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localSheetId="6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localSheetId="6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localSheetId="6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localSheetId="6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localSheetId="6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localSheetId="6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localSheetId="6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localSheetId="6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localSheetId="6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localSheetId="6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localSheetId="6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localSheetId="6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localSheetId="6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localSheetId="6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localSheetId="6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localSheetId="6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localSheetId="6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localSheetId="6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localSheetId="6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localSheetId="6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localSheetId="6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localSheetId="6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localSheetId="6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localSheetId="6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localSheetId="6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localSheetId="6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localSheetId="6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localSheetId="6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localSheetId="6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localSheetId="6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localSheetId="6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localSheetId="6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localSheetId="6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localSheetId="6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localSheetId="6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localSheetId="6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localSheetId="6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localSheetId="6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localSheetId="6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localSheetId="6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localSheetId="6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localSheetId="6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localSheetId="6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localSheetId="6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localSheetId="6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localSheetId="6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localSheetId="6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localSheetId="6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localSheetId="6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0__FDSAUDITLINK__" localSheetId="6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localSheetId="6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localSheetId="6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localSheetId="6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localSheetId="6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localSheetId="6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localSheetId="6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localSheetId="6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localSheetId="6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localSheetId="6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localSheetId="6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localSheetId="6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localSheetId="6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localSheetId="6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localSheetId="6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localSheetId="6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localSheetId="6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localSheetId="6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localSheetId="6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localSheetId="6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localSheetId="6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localSheetId="6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localSheetId="6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localSheetId="6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localSheetId="6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localSheetId="6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localSheetId="6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localSheetId="6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localSheetId="6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localSheetId="6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localSheetId="6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localSheetId="6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localSheetId="6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localSheetId="6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localSheetId="6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localSheetId="6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localSheetId="6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localSheetId="6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localSheetId="6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localSheetId="6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localSheetId="6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localSheetId="6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localSheetId="6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localSheetId="6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localSheetId="6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localSheetId="6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localSheetId="6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localSheetId="6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localSheetId="6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localSheetId="6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localSheetId="6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localSheetId="6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localSheetId="6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localSheetId="6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localSheetId="6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localSheetId="6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localSheetId="6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localSheetId="6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localSheetId="6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localSheetId="6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localSheetId="6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localSheetId="6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localSheetId="6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localSheetId="6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localSheetId="6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localSheetId="6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localSheetId="6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localSheetId="6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localSheetId="6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localSheetId="6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localSheetId="6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localSheetId="6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localSheetId="6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localSheetId="6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localSheetId="6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localSheetId="6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localSheetId="6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localSheetId="6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localSheetId="6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localSheetId="6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localSheetId="6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localSheetId="6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localSheetId="6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localSheetId="6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localSheetId="6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localSheetId="6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localSheetId="6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localSheetId="6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localSheetId="6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localSheetId="6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localSheetId="6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localSheetId="6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localSheetId="6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localSheetId="6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localSheetId="6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localSheetId="6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localSheetId="6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localSheetId="6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localSheetId="6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localSheetId="6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localSheetId="6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localSheetId="6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localSheetId="6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localSheetId="6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localSheetId="6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localSheetId="6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localSheetId="6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localSheetId="6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localSheetId="6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localSheetId="6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localSheetId="6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0__FDSAUDITLINK__" localSheetId="6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localSheetId="6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localSheetId="6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localSheetId="6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localSheetId="6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localSheetId="6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localSheetId="6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localSheetId="6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localSheetId="6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localSheetId="6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localSheetId="6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localSheetId="6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localSheetId="6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localSheetId="6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localSheetId="6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localSheetId="6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localSheetId="6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localSheetId="6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localSheetId="6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localSheetId="6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localSheetId="6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localSheetId="6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localSheetId="6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localSheetId="6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localSheetId="6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localSheetId="6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localSheetId="6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localSheetId="6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localSheetId="6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localSheetId="6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localSheetId="6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localSheetId="6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localSheetId="6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localSheetId="6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localSheetId="6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localSheetId="6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localSheetId="6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localSheetId="6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localSheetId="6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localSheetId="6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localSheetId="6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localSheetId="6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localSheetId="6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localSheetId="6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localSheetId="6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localSheetId="6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localSheetId="6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localSheetId="6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localSheetId="6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localSheetId="6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localSheetId="6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localSheetId="6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localSheetId="6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localSheetId="6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localSheetId="6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localSheetId="6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localSheetId="6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localSheetId="6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localSheetId="6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localSheetId="6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localSheetId="6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localSheetId="6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localSheetId="6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localSheetId="6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localSheetId="6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localSheetId="6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localSheetId="6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localSheetId="6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localSheetId="6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localSheetId="6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localSheetId="6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localSheetId="6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localSheetId="6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localSheetId="6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localSheetId="6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localSheetId="6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localSheetId="6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localSheetId="6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localSheetId="6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localSheetId="6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localSheetId="6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localSheetId="6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localSheetId="6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localSheetId="6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localSheetId="6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localSheetId="6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localSheetId="6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localSheetId="6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localSheetId="6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localSheetId="6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localSheetId="6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localSheetId="6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localSheetId="6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localSheetId="6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localSheetId="6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localSheetId="6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localSheetId="6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localSheetId="6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localSheetId="6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localSheetId="6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localSheetId="6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localSheetId="6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localSheetId="6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localSheetId="6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localSheetId="6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localSheetId="6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localSheetId="6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localSheetId="6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localSheetId="6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localSheetId="6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localSheetId="6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0__FDSAUDITLINK__" localSheetId="6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localSheetId="6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localSheetId="6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localSheetId="6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localSheetId="6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localSheetId="6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localSheetId="6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localSheetId="6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localSheetId="6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localSheetId="6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localSheetId="6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localSheetId="6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localSheetId="6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localSheetId="6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localSheetId="6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localSheetId="6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localSheetId="6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localSheetId="6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localSheetId="6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localSheetId="6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localSheetId="6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localSheetId="6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localSheetId="6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localSheetId="6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localSheetId="6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localSheetId="6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localSheetId="6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localSheetId="6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localSheetId="6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localSheetId="6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localSheetId="6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localSheetId="6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localSheetId="6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localSheetId="6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localSheetId="6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localSheetId="6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localSheetId="6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localSheetId="6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localSheetId="6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localSheetId="6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localSheetId="6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localSheetId="6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localSheetId="6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localSheetId="6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localSheetId="6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localSheetId="6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localSheetId="6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localSheetId="6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localSheetId="6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localSheetId="6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localSheetId="6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localSheetId="6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localSheetId="6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localSheetId="6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localSheetId="6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localSheetId="6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localSheetId="6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localSheetId="6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localSheetId="6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localSheetId="6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localSheetId="6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localSheetId="6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localSheetId="6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localSheetId="6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localSheetId="6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localSheetId="6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localSheetId="6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localSheetId="6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localSheetId="6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localSheetId="6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localSheetId="6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localSheetId="6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localSheetId="6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localSheetId="6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localSheetId="6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localSheetId="6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localSheetId="6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localSheetId="6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localSheetId="6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localSheetId="6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localSheetId="6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localSheetId="6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localSheetId="6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localSheetId="6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localSheetId="6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localSheetId="6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localSheetId="6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localSheetId="6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localSheetId="6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localSheetId="6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localSheetId="6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localSheetId="6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localSheetId="6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localSheetId="6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localSheetId="6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localSheetId="6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localSheetId="6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localSheetId="6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localSheetId="6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localSheetId="6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localSheetId="6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localSheetId="6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localSheetId="6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localSheetId="6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localSheetId="6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localSheetId="6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localSheetId="6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localSheetId="6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localSheetId="6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localSheetId="6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localSheetId="6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0__FDSAUDITLINK__" localSheetId="6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localSheetId="6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localSheetId="6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localSheetId="6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localSheetId="6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localSheetId="6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localSheetId="6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localSheetId="6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localSheetId="6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localSheetId="6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localSheetId="6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localSheetId="6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localSheetId="6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localSheetId="6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localSheetId="6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localSheetId="6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localSheetId="6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localSheetId="6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localSheetId="6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localSheetId="6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localSheetId="6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localSheetId="6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localSheetId="6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localSheetId="6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localSheetId="6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localSheetId="6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localSheetId="6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localSheetId="6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localSheetId="6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localSheetId="6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localSheetId="6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localSheetId="6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localSheetId="6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localSheetId="6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localSheetId="6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localSheetId="6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localSheetId="6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localSheetId="6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localSheetId="6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localSheetId="6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localSheetId="6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localSheetId="6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localSheetId="6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localSheetId="6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localSheetId="6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localSheetId="6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localSheetId="6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localSheetId="6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localSheetId="6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localSheetId="6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localSheetId="6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localSheetId="6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localSheetId="6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localSheetId="6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localSheetId="6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localSheetId="6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localSheetId="6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localSheetId="6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localSheetId="6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localSheetId="6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localSheetId="6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localSheetId="6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localSheetId="6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localSheetId="6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localSheetId="6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localSheetId="6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localSheetId="6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localSheetId="6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localSheetId="6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localSheetId="6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localSheetId="6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localSheetId="6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localSheetId="6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localSheetId="6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localSheetId="6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localSheetId="6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localSheetId="6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localSheetId="6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localSheetId="6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localSheetId="6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localSheetId="6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localSheetId="6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localSheetId="6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localSheetId="6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localSheetId="6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localSheetId="6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localSheetId="6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localSheetId="6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localSheetId="6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localSheetId="6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localSheetId="6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localSheetId="6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localSheetId="6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localSheetId="6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localSheetId="6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localSheetId="6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localSheetId="6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localSheetId="6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localSheetId="6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localSheetId="6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localSheetId="6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localSheetId="6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localSheetId="6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localSheetId="6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localSheetId="6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localSheetId="6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localSheetId="6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localSheetId="6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localSheetId="6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localSheetId="6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localSheetId="6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0__FDSAUDITLINK__" localSheetId="6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localSheetId="6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localSheetId="6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localSheetId="6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localSheetId="6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localSheetId="6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localSheetId="6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localSheetId="6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localSheetId="6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localSheetId="6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localSheetId="6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localSheetId="6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localSheetId="6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localSheetId="6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localSheetId="6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localSheetId="6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localSheetId="6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localSheetId="6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localSheetId="6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localSheetId="6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localSheetId="6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localSheetId="6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localSheetId="6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localSheetId="6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localSheetId="6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localSheetId="6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localSheetId="6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localSheetId="6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localSheetId="6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localSheetId="6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localSheetId="6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localSheetId="6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localSheetId="6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localSheetId="6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localSheetId="6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localSheetId="6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localSheetId="6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localSheetId="6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localSheetId="6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localSheetId="6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localSheetId="6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localSheetId="6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localSheetId="6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localSheetId="6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localSheetId="6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localSheetId="6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localSheetId="6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localSheetId="6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localSheetId="6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localSheetId="6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localSheetId="6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localSheetId="6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localSheetId="6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localSheetId="6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localSheetId="6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localSheetId="6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localSheetId="6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localSheetId="6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localSheetId="6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localSheetId="6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localSheetId="6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localSheetId="6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localSheetId="6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localSheetId="6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localSheetId="6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localSheetId="6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localSheetId="6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localSheetId="6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localSheetId="6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localSheetId="6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localSheetId="6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localSheetId="6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localSheetId="6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localSheetId="6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localSheetId="6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localSheetId="6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localSheetId="6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localSheetId="6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localSheetId="6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localSheetId="6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localSheetId="6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localSheetId="6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localSheetId="6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localSheetId="6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localSheetId="6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localSheetId="6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localSheetId="6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localSheetId="6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localSheetId="6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localSheetId="6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localSheetId="6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localSheetId="6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localSheetId="6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localSheetId="6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localSheetId="6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localSheetId="6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localSheetId="6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localSheetId="6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localSheetId="6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localSheetId="6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localSheetId="6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localSheetId="6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localSheetId="6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localSheetId="6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localSheetId="6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localSheetId="6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localSheetId="6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localSheetId="6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localSheetId="6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localSheetId="6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286F36F53C7C409EA9772B14169B7864.edm" hidden="1">IS!$1:$1048576</definedName>
    <definedName name="_bdm.72992B73BB9C496690C7A8995EECEAEA.edm" localSheetId="2" hidden="1">IS!$B$7:$CM$140</definedName>
    <definedName name="_bdm.8949CA62BFE94AD2B1AF20C73D2FB203.edm" localSheetId="2" hidden="1">IS!$A$7:$CM$140</definedName>
    <definedName name="_bdm.A0A92BDCCA17485D9FFD842F6AD6598F.edm" hidden="1">BS!$1:$1048576</definedName>
    <definedName name="_bdm.AC7CCE2D50AD4CCCA71D1A3BAF07D94D.edm" localSheetId="3" hidden="1">BS!$B$7:$CM$47</definedName>
    <definedName name="_bdm.B6C14E1DF2B6432EB01E007A19C4AE5B.edm" hidden="1">CFS!$1:$1048576</definedName>
    <definedName name="_bdm.C2DEECB236ED4B70BE058ED50C8D1C30.edm" localSheetId="5" hidden="1">CFS!$B$7:$CM$59</definedName>
    <definedName name="_bdm.E1FA59610312481F98399947F0B24C64.edm" localSheetId="2" hidden="1">IS!$B$7:$AI$140</definedName>
    <definedName name="_xlnm._FilterDatabase" localSheetId="6" hidden="1">'BU-Segment'!$D$271:$AQ$276</definedName>
    <definedName name="_Order1" hidden="1">255</definedName>
    <definedName name="_Order2" hidden="1">255</definedName>
    <definedName name="_Regression_Int" hidden="1">1</definedName>
    <definedName name="AccessDatabase" hidden="1">"G:\Frank Lee\TFT-LCD\TFT report_OCT02\TFT_report_data.mdb"</definedName>
    <definedName name="AdditionalInstructions">IndexInformation!$B$42</definedName>
    <definedName name="Address" localSheetId="1">ImportantDisclosures!$A$2:$A$2</definedName>
    <definedName name="ANA" localSheetId="8">ModPubIndex!$A$7</definedName>
    <definedName name="anscount" hidden="1">1</definedName>
    <definedName name="AS2DocOpenMode" hidden="1">"AS2DocumentEdit"</definedName>
    <definedName name="AS2SyncStepLS" hidden="1">0</definedName>
    <definedName name="AS2VersionLS" hidden="1">300</definedName>
    <definedName name="Authors" localSheetId="1">ImportantDisclosures!$A$7</definedName>
    <definedName name="Authors" localSheetId="7">IndexInformation!$B$18</definedName>
    <definedName name="BG_Ins" hidden="1">4</definedName>
    <definedName name="BRO" localSheetId="8">ModPubIndex!$A$1</definedName>
    <definedName name="BS" localSheetId="6">BS!$B$49:$CT$49</definedName>
    <definedName name="BS">BS!$B$49:$CN$49</definedName>
    <definedName name="BSMethod">2</definedName>
    <definedName name="Button_1">"TFT_report_data_share_prices_List"</definedName>
    <definedName name="cc_ReportCurrency">"NTD"</definedName>
    <definedName name="cc_ReportCurrencyUnit">"NT$"</definedName>
    <definedName name="cc_ReportCurrencyUnitFactor">1</definedName>
    <definedName name="Conv_mark">0</definedName>
    <definedName name="converting">{"Client Name or Project Name"}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aseries4">OFFSET([2]c1!$G$12,0,0,COUNTA([2]c1!$G$12:$G$31),1)</definedName>
    <definedName name="Date" localSheetId="1">ImportantDisclosures!$A$8</definedName>
    <definedName name="DB">"WIREHKPROD"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1">ImportantDisclosures!#REF!</definedName>
    <definedName name="DistTablePreamble" localSheetId="1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DummyEstYears">3</definedName>
    <definedName name="EMAIL_ALERT" localSheetId="8">ModPubIndex!$A$10</definedName>
    <definedName name="EmailAlert" localSheetId="7">IndexInformation!$B$28</definedName>
    <definedName name="esnrc128c1_values" hidden="1">{"TW","COMPANIES",TRUE}</definedName>
    <definedName name="EurosFRF">1</definedName>
    <definedName name="EurosITL">1</definedName>
    <definedName name="FINCriteriaType">1</definedName>
    <definedName name="FineUS">{"Client Name or Project Name"}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forest">{"Client Name or Project Name"}</definedName>
    <definedName name="forest2">{"Client Name or Project Name"}</definedName>
    <definedName name="FR_COM_ABBR">"1122.HK"</definedName>
    <definedName name="FR_COU_ABBR">"chn"</definedName>
    <definedName name="FR_END_DATE">"'31 Dec 2001"</definedName>
    <definedName name="FR_START_DATE">"'1 Jan 2001"</definedName>
    <definedName name="FR_SYBASE_SERVER">"PTKFBVDF01"</definedName>
    <definedName name="FR_TEMPLATE_KEY">"110952|1"</definedName>
    <definedName name="g">{"Client Name or Project Name"}</definedName>
    <definedName name="gg">{"Client Name or Project Name"}</definedName>
    <definedName name="ggg">{"Client Name or Project Name"}</definedName>
    <definedName name="gggg">{"Client Name or Project Name"}</definedName>
    <definedName name="ggggg">{"Client Name or Project Name"}</definedName>
    <definedName name="ggggggg">{"Client Name or Project Name"}</definedName>
    <definedName name="HL" localSheetId="8">ModPubIndex!$A$8</definedName>
    <definedName name="HTML_CodePage" hidden="1">1252</definedName>
    <definedName name="HTML_Description" hidden="1">""</definedName>
    <definedName name="HTML_Email" hidden="1">""</definedName>
    <definedName name="HTML_Header" hidden="1">"Income-Adj"</definedName>
    <definedName name="HTML_LastUpdate" hidden="1">"9/1/99"</definedName>
    <definedName name="HTML_LineAfter" hidden="1">FALSE</definedName>
    <definedName name="HTML_LineBefore" hidden="1">FALSE</definedName>
    <definedName name="HTML_Name" hidden="1">"Neo"</definedName>
    <definedName name="HTML_OBDlg2" hidden="1">TRUE</definedName>
    <definedName name="HTML_OBDlg4" hidden="1">TRUE</definedName>
    <definedName name="HTML_OS" hidden="1">0</definedName>
    <definedName name="HTML_PathFile" hidden="1">"E:\statements-2.0\from_excel.htm"</definedName>
    <definedName name="HTML_Title" hidden="1">"Histo_Statements"</definedName>
    <definedName name="hygiene">{"Client Name or Project Name"}</definedName>
    <definedName name="ICP">0</definedName>
    <definedName name="ictsymbol">"NT$"</definedName>
    <definedName name="icusymbol">"NT$"</definedName>
    <definedName name="IND" localSheetId="8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SMethod">1</definedName>
    <definedName name="iue">1</definedName>
    <definedName name="iuesymbol">"NT$"</definedName>
    <definedName name="iun">1000000</definedName>
    <definedName name="iunsymbol">"NT$m"</definedName>
    <definedName name="ius">1000000</definedName>
    <definedName name="KeepVersions" localSheetId="7">IndexInformation!$B$8</definedName>
    <definedName name="LabelList">OFFSET(LabelData,1,0,ROWS(LabelData)-1,1)</definedName>
    <definedName name="LanguageCode">IndexInformation!$B$38</definedName>
    <definedName name="LastCell" localSheetId="1">ImportantDisclosures!$A$22</definedName>
    <definedName name="Linking_1">IS!$A$7:$BX$140</definedName>
    <definedName name="Linking_11">IS!$B$7:$BY$140</definedName>
    <definedName name="Linking_12">BS!$B$7:$BC$47</definedName>
    <definedName name="Linking_13">CFS!$B$7:$BY$59</definedName>
    <definedName name="Linking_2">BS!$B$7:$AY$47</definedName>
    <definedName name="Linking_21">IS!$B$7:$BZ$140</definedName>
    <definedName name="Linking_22">BS!$B$7:$BZ$47</definedName>
    <definedName name="Linking_23">CFS!$B$7:$BZ$59</definedName>
    <definedName name="Linking_25">BS!$B$7:$BG$47</definedName>
    <definedName name="Linking_3">IS!$B$6:$BX$140</definedName>
    <definedName name="Linking_5">IS!$B$6:$BY$140</definedName>
    <definedName name="Linking_6">BS!$B$6:$AY$47</definedName>
    <definedName name="Linking_7">CFS!$B$6:$BY$59</definedName>
    <definedName name="Linking_Range_1">IS!$B$7:$CM$140</definedName>
    <definedName name="Linking_Range_2">BS!$B$7:$CM$47</definedName>
    <definedName name="Linking_Range_27">IS!$B$7:$BV$140</definedName>
    <definedName name="Linking_Range_3">CFS!$B$7:$CM$59</definedName>
    <definedName name="Linking_Range_30">IS!$B$7:$BW$140</definedName>
    <definedName name="Linking_Range_31">BS!$B$6:$BW$47</definedName>
    <definedName name="Linking_Range_32">CFS!$B$6:$BW$59</definedName>
    <definedName name="Linking_Range_35">IS!$B$6:$BW$140</definedName>
    <definedName name="Linking_Range_36">BS!$B$6:$AQ$47</definedName>
    <definedName name="Linking_Range_38">BS!$B$7:$AU$47</definedName>
    <definedName name="Linking_Range_39">CFS!$B$7:$BW$59</definedName>
    <definedName name="Linking_Range_4">IS!$B$7:$BU$140</definedName>
    <definedName name="Linking_Range_41">IS!$B$7:$BX$140</definedName>
    <definedName name="Linking_Range_42">CFS!$B$8:$AU$59</definedName>
    <definedName name="Linking_Range_45">BS!$B$7:$AU$74</definedName>
    <definedName name="Linking_Range_46">CFS!$B$7:$AU$59</definedName>
    <definedName name="Linking_Range_49">CFS!$B$7:$BX$59</definedName>
    <definedName name="Linking_Range_5">BS!$B$7:$BU$47</definedName>
    <definedName name="Linking_Range_6">CFS!$B$7:$BU$59</definedName>
    <definedName name="Linking_Range_7">BS!$B$7:$BV$47</definedName>
    <definedName name="Linking_Range_8">CFS!$B$7:$BV$59</definedName>
    <definedName name="MacroVersion" localSheetId="7">IndexInformation!$B$1</definedName>
    <definedName name="ModelPrice" localSheetId="1">ImportantDisclosures!$A$14</definedName>
    <definedName name="Multiplier" localSheetId="7">IndexInformation!$B$35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PANA" localSheetId="8">ModPubIndex!$A$11</definedName>
    <definedName name="PathName" localSheetId="7">IndexInformation!$B$25</definedName>
    <definedName name="_xlnm.Print_Area" localSheetId="3">BS!$A$6:$BU$90</definedName>
    <definedName name="_xlnm.Print_Area" localSheetId="6">'BU-Segment'!$A$6:$BZ$276</definedName>
    <definedName name="_xlnm.Print_Area" localSheetId="5">CFS!$A$6:$BU$73</definedName>
    <definedName name="_xlnm.Print_Area" localSheetId="2">IS!$A$6:$BU$148</definedName>
    <definedName name="_xlnm.Print_Area">"Formula removed, name can be deleted."</definedName>
    <definedName name="_xlnm.Print_Titles">"Formula removed, name can be deleted."</definedName>
    <definedName name="PRODUCT" localSheetId="8">ModPubIndex!$A$6</definedName>
    <definedName name="ProjectName">{"Client Name or Project Name"}</definedName>
    <definedName name="PSYM" localSheetId="8">ModPubIndex!$A$4</definedName>
    <definedName name="PublishDate" localSheetId="7">IndexInformation!$B$2</definedName>
    <definedName name="Rangename">"Summary DCF"</definedName>
    <definedName name="Rating" localSheetId="7">IndexInformation!$B$9</definedName>
    <definedName name="RatingsDefined" localSheetId="1">ImportantDisclosures!$A$21</definedName>
    <definedName name="RatingsDefs" localSheetId="1">ImportantDisclosures!#REF!</definedName>
    <definedName name="Rec.Asset_Debt">0</definedName>
    <definedName name="RegACDisclosure" localSheetId="1">ImportantDisclosures!#REF!</definedName>
    <definedName name="REP_CHT_DivisionalBreakdown">"Chart 416"</definedName>
    <definedName name="REP_CHT_GeographicalBreakdown">"Chart 417"</definedName>
    <definedName name="REP_CHT_Spare1">"Chart 422"</definedName>
    <definedName name="REP_CHT_Spare2">"Chart 423"</definedName>
    <definedName name="ResearchTopic" localSheetId="7">IndexInformation!$B$4</definedName>
    <definedName name="RIC" localSheetId="7">IndexInformation!$B$21</definedName>
    <definedName name="SavedThisSession">FALSE</definedName>
    <definedName name="SECSettlement" localSheetId="1">ImportantDisclosures!#REF!</definedName>
    <definedName name="SEDOL" localSheetId="7">IndexInformation!$B$22</definedName>
    <definedName name="sencount" hidden="1">1</definedName>
    <definedName name="SourceDefined" localSheetId="1">ImportantDisclosures!$A$19</definedName>
    <definedName name="Stock_dividend">0</definedName>
    <definedName name="StockRating" localSheetId="1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1">ImportantDisclosures!$A$15</definedName>
    <definedName name="TaxTV">10%</definedName>
    <definedName name="TaxXL">5%</definedName>
    <definedName name="Template.WIRE">"DBACCESS"</definedName>
    <definedName name="TemplateRegion">IndexInformation!$B$36</definedName>
    <definedName name="TestAdd">"Test RefersTo1"</definedName>
    <definedName name="TextRefCopyRangeCount" hidden="1">2</definedName>
    <definedName name="Ticker" localSheetId="1">ImportantDisclosures!$A$10</definedName>
    <definedName name="TickerRegion">IndexInformation!$B$41</definedName>
    <definedName name="Tickers" localSheetId="7">IndexInformation!$B$19</definedName>
    <definedName name="Trace">FALSE</definedName>
    <definedName name="UnitStringsList">OFFSET(UnitStrings,0,0,ROWS(UnitStrings),1)</definedName>
    <definedName name="UpdateReason" localSheetId="7">IndexInformation!$B$17</definedName>
    <definedName name="UpgradeVersion">"v2.35"</definedName>
    <definedName name="USRegDisclosures" localSheetId="1">ImportantDisclosures!#REF!</definedName>
    <definedName name="Version">0</definedName>
    <definedName name="Version.WIRE">1</definedName>
    <definedName name="XRefCopyRangeCount" hidden="1">1</definedName>
    <definedName name="Years">"A1:v1"</definedName>
  </definedNames>
  <calcPr calcId="145621" iterate="1"/>
</workbook>
</file>

<file path=xl/calcChain.xml><?xml version="1.0" encoding="utf-8"?>
<calcChain xmlns="http://schemas.openxmlformats.org/spreadsheetml/2006/main">
  <c r="BB167" i="1" l="1"/>
  <c r="BB166" i="1"/>
  <c r="BB110" i="48"/>
  <c r="BB120" i="48" s="1"/>
  <c r="BB29" i="48" s="1"/>
  <c r="BB92" i="48"/>
  <c r="BB74" i="48"/>
  <c r="BB56" i="48"/>
  <c r="BB37" i="48"/>
  <c r="BB20" i="48"/>
  <c r="BB123" i="48"/>
  <c r="BB84" i="48" s="1"/>
  <c r="BB122" i="48"/>
  <c r="BB66" i="48" s="1"/>
  <c r="BB121" i="48"/>
  <c r="BB48" i="48" s="1"/>
  <c r="BB119" i="48"/>
  <c r="BB12" i="48" s="1"/>
  <c r="BB133" i="48"/>
  <c r="BB83" i="3"/>
  <c r="BB84" i="3" s="1"/>
  <c r="BB80" i="3"/>
  <c r="BB51" i="3"/>
  <c r="BB38" i="3"/>
  <c r="BA75" i="3"/>
  <c r="BA73" i="3"/>
  <c r="BA71" i="3"/>
  <c r="BA69" i="3"/>
  <c r="BA68" i="3"/>
  <c r="BA66" i="3"/>
  <c r="BA57" i="3"/>
  <c r="BA54" i="3"/>
  <c r="BA51" i="3"/>
  <c r="BA50" i="3"/>
  <c r="BA49" i="3"/>
  <c r="BA48" i="3"/>
  <c r="BA47" i="3"/>
  <c r="BA46" i="3"/>
  <c r="BA45" i="3"/>
  <c r="BA44" i="3"/>
  <c r="BA52" i="3" s="1"/>
  <c r="BA40" i="3"/>
  <c r="BA39" i="3"/>
  <c r="BA38" i="3"/>
  <c r="BA37" i="3"/>
  <c r="BA36" i="3"/>
  <c r="BA35" i="3"/>
  <c r="BA41" i="3" s="1"/>
  <c r="BA34" i="3"/>
  <c r="BA30" i="3"/>
  <c r="BA29" i="3"/>
  <c r="BA28" i="3"/>
  <c r="BA27" i="3"/>
  <c r="BA26" i="3"/>
  <c r="BA25" i="3"/>
  <c r="BA24" i="3"/>
  <c r="BA23" i="3"/>
  <c r="BA21" i="3"/>
  <c r="BA20" i="3"/>
  <c r="BA19" i="3"/>
  <c r="BA18" i="3"/>
  <c r="BA17" i="3"/>
  <c r="BA16" i="3"/>
  <c r="BA15" i="3"/>
  <c r="BA14" i="3"/>
  <c r="BA13" i="3"/>
  <c r="BA146" i="3"/>
  <c r="BA137" i="3"/>
  <c r="BA136" i="3"/>
  <c r="BA151" i="3"/>
  <c r="BA140" i="3"/>
  <c r="BB70" i="2"/>
  <c r="BB68" i="2"/>
  <c r="BB60" i="2"/>
  <c r="BB55" i="2" s="1"/>
  <c r="BB54" i="2" s="1"/>
  <c r="BB59" i="2"/>
  <c r="BB57" i="2" s="1"/>
  <c r="BB56" i="2"/>
  <c r="BB37" i="2"/>
  <c r="BB47" i="2" s="1"/>
  <c r="BB17" i="2"/>
  <c r="BB27" i="2" s="1"/>
  <c r="BB92" i="1"/>
  <c r="BB151" i="1"/>
  <c r="BB149" i="1"/>
  <c r="BB148" i="1"/>
  <c r="BB145" i="1"/>
  <c r="BB132" i="1"/>
  <c r="BB123" i="1"/>
  <c r="BB122" i="1"/>
  <c r="BB110" i="1"/>
  <c r="BB173" i="1" s="1"/>
  <c r="BB108" i="1"/>
  <c r="BB88" i="1"/>
  <c r="BB85" i="1" s="1"/>
  <c r="BB91" i="1" s="1"/>
  <c r="BB86" i="1"/>
  <c r="BB62" i="1"/>
  <c r="BB73" i="1" s="1"/>
  <c r="BB58" i="1"/>
  <c r="BB56" i="1"/>
  <c r="BB51" i="1"/>
  <c r="BB46" i="1"/>
  <c r="BB44" i="1"/>
  <c r="BB39" i="1"/>
  <c r="BB31" i="1"/>
  <c r="BB32" i="1" s="1"/>
  <c r="BB98" i="48" s="1"/>
  <c r="BB22" i="1"/>
  <c r="BB19" i="1"/>
  <c r="BB18" i="1"/>
  <c r="BB52" i="1" s="1"/>
  <c r="BB13" i="1"/>
  <c r="BB12" i="1"/>
  <c r="BB159" i="1" l="1"/>
  <c r="BB111" i="48"/>
  <c r="BB160" i="1"/>
  <c r="BB17" i="48"/>
  <c r="BB100" i="48"/>
  <c r="BB53" i="48"/>
  <c r="BB95" i="48"/>
  <c r="BB71" i="48"/>
  <c r="BB89" i="48"/>
  <c r="BB34" i="48"/>
  <c r="BB124" i="48"/>
  <c r="BA76" i="3"/>
  <c r="BB53" i="2"/>
  <c r="BB67" i="1"/>
  <c r="BB78" i="1"/>
  <c r="BB94" i="1"/>
  <c r="BB93" i="1"/>
  <c r="BB40" i="1"/>
  <c r="BB68" i="1"/>
  <c r="BB79" i="1" l="1"/>
  <c r="BB112" i="48"/>
  <c r="BB96" i="1"/>
  <c r="BB113" i="1" s="1"/>
  <c r="BB74" i="1"/>
  <c r="BB97" i="1" l="1"/>
  <c r="BB104" i="1"/>
  <c r="BB114" i="1"/>
  <c r="BS10" i="1" l="1"/>
  <c r="BT13" i="1" s="1"/>
  <c r="BT10" i="1"/>
  <c r="BU10" i="1"/>
  <c r="BV10" i="1"/>
  <c r="BW10" i="1"/>
  <c r="BW13" i="1" s="1"/>
  <c r="BX10" i="1"/>
  <c r="CL10" i="1"/>
  <c r="CM10" i="1"/>
  <c r="CM13" i="1" s="1"/>
  <c r="CN10" i="1"/>
  <c r="CO13" i="1" s="1"/>
  <c r="CO10" i="1"/>
  <c r="CP10" i="1"/>
  <c r="CQ10" i="1"/>
  <c r="BM11" i="1"/>
  <c r="BN11" i="1"/>
  <c r="BO11" i="1"/>
  <c r="BP11" i="1"/>
  <c r="BQ11" i="1"/>
  <c r="BR11" i="1"/>
  <c r="CF11" i="1"/>
  <c r="CG11" i="1"/>
  <c r="CH11" i="1"/>
  <c r="CI11" i="1"/>
  <c r="CJ11" i="1"/>
  <c r="BV13" i="1"/>
  <c r="CQ13" i="1"/>
  <c r="BX13" i="1" l="1"/>
  <c r="BU13" i="1"/>
  <c r="CP13" i="1"/>
  <c r="CN13" i="1"/>
  <c r="BM14" i="1"/>
  <c r="BN14" i="1"/>
  <c r="BO14" i="1"/>
  <c r="BP14" i="1"/>
  <c r="BQ14" i="1"/>
  <c r="BR14" i="1"/>
  <c r="CF14" i="1" l="1"/>
  <c r="CG14" i="1"/>
  <c r="CG16" i="1" s="1"/>
  <c r="CH14" i="1"/>
  <c r="CI14" i="1"/>
  <c r="CI16" i="1" s="1"/>
  <c r="CJ14" i="1"/>
  <c r="CJ16" i="1" s="1"/>
  <c r="CK14" i="1"/>
  <c r="CK16" i="1" s="1"/>
  <c r="CL14" i="1"/>
  <c r="CM14" i="1"/>
  <c r="CM16" i="1" s="1"/>
  <c r="BN16" i="1"/>
  <c r="BO16" i="1"/>
  <c r="BP16" i="1"/>
  <c r="BQ16" i="1"/>
  <c r="BR16" i="1"/>
  <c r="BZ16" i="1"/>
  <c r="BS21" i="1"/>
  <c r="BS31" i="1" s="1"/>
  <c r="BS32" i="1" s="1"/>
  <c r="BT21" i="1"/>
  <c r="BT22" i="1" s="1"/>
  <c r="BU21" i="1"/>
  <c r="BU22" i="1" s="1"/>
  <c r="BV21" i="1"/>
  <c r="BV22" i="1" s="1"/>
  <c r="BW21" i="1"/>
  <c r="BW22" i="1" s="1"/>
  <c r="BX21" i="1"/>
  <c r="BX22" i="1" s="1"/>
  <c r="CL21" i="1"/>
  <c r="CL22" i="1" s="1"/>
  <c r="CM21" i="1"/>
  <c r="CM22" i="1" s="1"/>
  <c r="CN21" i="1"/>
  <c r="CN22" i="1" s="1"/>
  <c r="CO21" i="1"/>
  <c r="CO22" i="1" s="1"/>
  <c r="CP21" i="1"/>
  <c r="CP22" i="1" s="1"/>
  <c r="CQ21" i="1"/>
  <c r="CQ22" i="1" s="1"/>
  <c r="BS22" i="1"/>
  <c r="BC23" i="1"/>
  <c r="BD23" i="1"/>
  <c r="BE23" i="1" s="1"/>
  <c r="BF23" i="1" s="1"/>
  <c r="BS23" i="1"/>
  <c r="BT23" i="1"/>
  <c r="BU23" i="1"/>
  <c r="BV23" i="1"/>
  <c r="BW23" i="1"/>
  <c r="BX23" i="1"/>
  <c r="BY23" i="1"/>
  <c r="CL23" i="1"/>
  <c r="CM23" i="1"/>
  <c r="CN23" i="1"/>
  <c r="CO23" i="1"/>
  <c r="CP23" i="1"/>
  <c r="CQ23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BM25" i="1"/>
  <c r="BN25" i="1"/>
  <c r="BO25" i="1"/>
  <c r="BP25" i="1"/>
  <c r="BQ25" i="1"/>
  <c r="BR25" i="1"/>
  <c r="CF25" i="1"/>
  <c r="CG25" i="1"/>
  <c r="CH25" i="1"/>
  <c r="CI25" i="1"/>
  <c r="CJ25" i="1"/>
  <c r="BT31" i="1"/>
  <c r="BT32" i="1" s="1"/>
  <c r="BV31" i="1"/>
  <c r="BV32" i="1" s="1"/>
  <c r="BX31" i="1"/>
  <c r="BX32" i="1" s="1"/>
  <c r="CO31" i="1"/>
  <c r="CO32" i="1" s="1"/>
  <c r="CQ31" i="1"/>
  <c r="CQ32" i="1" s="1"/>
  <c r="BP38" i="1"/>
  <c r="BS38" i="1"/>
  <c r="BS39" i="1" s="1"/>
  <c r="BT38" i="1"/>
  <c r="BU38" i="1"/>
  <c r="BU39" i="1" s="1"/>
  <c r="BV38" i="1"/>
  <c r="BV39" i="1" s="1"/>
  <c r="BW38" i="1"/>
  <c r="BW39" i="1" s="1"/>
  <c r="BX38" i="1"/>
  <c r="CI38" i="1"/>
  <c r="CL38" i="1"/>
  <c r="CM38" i="1"/>
  <c r="CM39" i="1" s="1"/>
  <c r="CN38" i="1"/>
  <c r="CO38" i="1"/>
  <c r="CO39" i="1" s="1"/>
  <c r="CP38" i="1"/>
  <c r="CQ38" i="1"/>
  <c r="CQ39" i="1" s="1"/>
  <c r="BT39" i="1"/>
  <c r="BX39" i="1"/>
  <c r="CL39" i="1"/>
  <c r="BC41" i="1"/>
  <c r="BD41" i="1"/>
  <c r="BE41" i="1" s="1"/>
  <c r="BF41" i="1" s="1"/>
  <c r="BG41" i="1" s="1"/>
  <c r="BH41" i="1" s="1"/>
  <c r="BS41" i="1"/>
  <c r="BT41" i="1"/>
  <c r="BU41" i="1"/>
  <c r="BV41" i="1"/>
  <c r="BW41" i="1"/>
  <c r="BX41" i="1"/>
  <c r="BY41" i="1"/>
  <c r="CL41" i="1"/>
  <c r="CM41" i="1"/>
  <c r="CN41" i="1"/>
  <c r="CO41" i="1"/>
  <c r="CP41" i="1"/>
  <c r="CQ41" i="1"/>
  <c r="BC42" i="1"/>
  <c r="BM42" i="1"/>
  <c r="BN42" i="1"/>
  <c r="BO42" i="1"/>
  <c r="BP42" i="1"/>
  <c r="BQ42" i="1"/>
  <c r="BR42" i="1"/>
  <c r="BT42" i="1"/>
  <c r="BU42" i="1"/>
  <c r="BV42" i="1"/>
  <c r="BW42" i="1"/>
  <c r="BX42" i="1"/>
  <c r="CF42" i="1"/>
  <c r="CG42" i="1"/>
  <c r="CH42" i="1"/>
  <c r="CI42" i="1"/>
  <c r="CJ42" i="1"/>
  <c r="CL42" i="1"/>
  <c r="CM42" i="1"/>
  <c r="CN42" i="1"/>
  <c r="CO42" i="1"/>
  <c r="CO46" i="1" s="1"/>
  <c r="CP42" i="1"/>
  <c r="CQ42" i="1"/>
  <c r="BC43" i="1"/>
  <c r="BD43" i="1" s="1"/>
  <c r="BM43" i="1"/>
  <c r="BN43" i="1"/>
  <c r="BO43" i="1"/>
  <c r="BP43" i="1"/>
  <c r="BQ43" i="1"/>
  <c r="BR43" i="1"/>
  <c r="BT43" i="1"/>
  <c r="BU43" i="1"/>
  <c r="BV43" i="1"/>
  <c r="BV44" i="1" s="1"/>
  <c r="BW43" i="1"/>
  <c r="BX43" i="1"/>
  <c r="CF43" i="1"/>
  <c r="CG43" i="1"/>
  <c r="CH43" i="1"/>
  <c r="CI43" i="1"/>
  <c r="CI46" i="1" s="1"/>
  <c r="CJ43" i="1"/>
  <c r="CL43" i="1"/>
  <c r="CM43" i="1"/>
  <c r="CN43" i="1"/>
  <c r="CO43" i="1"/>
  <c r="CP43" i="1"/>
  <c r="CP44" i="1" s="1"/>
  <c r="CQ43" i="1"/>
  <c r="BV46" i="1"/>
  <c r="BP50" i="1"/>
  <c r="BQ50" i="1"/>
  <c r="BS50" i="1"/>
  <c r="BS51" i="1" s="1"/>
  <c r="BT50" i="1"/>
  <c r="BU50" i="1"/>
  <c r="BU51" i="1" s="1"/>
  <c r="BV50" i="1"/>
  <c r="BW50" i="1"/>
  <c r="BW51" i="1" s="1"/>
  <c r="BX50" i="1"/>
  <c r="CI50" i="1"/>
  <c r="CJ50" i="1"/>
  <c r="CL50" i="1"/>
  <c r="CM50" i="1"/>
  <c r="CM51" i="1" s="1"/>
  <c r="CN50" i="1"/>
  <c r="CO50" i="1"/>
  <c r="CO51" i="1" s="1"/>
  <c r="CP50" i="1"/>
  <c r="CP51" i="1" s="1"/>
  <c r="CQ50" i="1"/>
  <c r="CQ51" i="1" s="1"/>
  <c r="BT51" i="1"/>
  <c r="BV51" i="1"/>
  <c r="BX51" i="1"/>
  <c r="CL51" i="1"/>
  <c r="CN51" i="1"/>
  <c r="BC53" i="1"/>
  <c r="BD53" i="1" s="1"/>
  <c r="BE53" i="1" s="1"/>
  <c r="BF53" i="1" s="1"/>
  <c r="BS53" i="1"/>
  <c r="BT53" i="1"/>
  <c r="BU53" i="1"/>
  <c r="BV53" i="1"/>
  <c r="BW53" i="1"/>
  <c r="BX53" i="1"/>
  <c r="CL53" i="1"/>
  <c r="CM53" i="1"/>
  <c r="CN53" i="1"/>
  <c r="CO53" i="1"/>
  <c r="CP53" i="1"/>
  <c r="CQ53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C55" i="1"/>
  <c r="BD55" i="1" s="1"/>
  <c r="BM55" i="1"/>
  <c r="BN55" i="1"/>
  <c r="BO55" i="1"/>
  <c r="BP55" i="1"/>
  <c r="BQ55" i="1"/>
  <c r="BR55" i="1"/>
  <c r="CF55" i="1"/>
  <c r="CG55" i="1"/>
  <c r="CH55" i="1"/>
  <c r="CI55" i="1"/>
  <c r="CJ55" i="1"/>
  <c r="CI58" i="1"/>
  <c r="BC63" i="1"/>
  <c r="BC62" i="1" s="1"/>
  <c r="BD63" i="1"/>
  <c r="BM63" i="1"/>
  <c r="BP63" i="1"/>
  <c r="BQ63" i="1"/>
  <c r="BS63" i="1"/>
  <c r="BT63" i="1"/>
  <c r="BU63" i="1"/>
  <c r="BV63" i="1"/>
  <c r="BW63" i="1"/>
  <c r="BX63" i="1"/>
  <c r="BY63" i="1"/>
  <c r="CF63" i="1"/>
  <c r="CI63" i="1"/>
  <c r="CJ63" i="1"/>
  <c r="CL63" i="1"/>
  <c r="CM63" i="1"/>
  <c r="CN63" i="1"/>
  <c r="CO63" i="1"/>
  <c r="CP63" i="1"/>
  <c r="CQ63" i="1"/>
  <c r="BM64" i="1"/>
  <c r="BS64" i="1"/>
  <c r="BT64" i="1"/>
  <c r="BU64" i="1"/>
  <c r="BV64" i="1"/>
  <c r="BW64" i="1"/>
  <c r="BX64" i="1"/>
  <c r="BY64" i="1"/>
  <c r="BZ64" i="1"/>
  <c r="CA64" i="1"/>
  <c r="CF64" i="1"/>
  <c r="CL64" i="1"/>
  <c r="CM64" i="1"/>
  <c r="CN64" i="1"/>
  <c r="CO64" i="1"/>
  <c r="CP64" i="1"/>
  <c r="CQ64" i="1"/>
  <c r="CR64" i="1"/>
  <c r="CS64" i="1"/>
  <c r="BM65" i="1"/>
  <c r="BS65" i="1"/>
  <c r="BT65" i="1"/>
  <c r="BU65" i="1"/>
  <c r="BV65" i="1"/>
  <c r="BW65" i="1"/>
  <c r="BX65" i="1"/>
  <c r="BY65" i="1"/>
  <c r="BZ65" i="1"/>
  <c r="CA65" i="1"/>
  <c r="CF65" i="1"/>
  <c r="CL65" i="1"/>
  <c r="CM65" i="1"/>
  <c r="CN65" i="1"/>
  <c r="CO65" i="1"/>
  <c r="CP65" i="1"/>
  <c r="CQ65" i="1"/>
  <c r="CR65" i="1"/>
  <c r="CS65" i="1"/>
  <c r="BM66" i="1"/>
  <c r="BN66" i="1"/>
  <c r="BO66" i="1"/>
  <c r="BP66" i="1"/>
  <c r="BQ66" i="1"/>
  <c r="BR66" i="1"/>
  <c r="BS66" i="1"/>
  <c r="BT66" i="1"/>
  <c r="BU66" i="1"/>
  <c r="BU122" i="1" s="1"/>
  <c r="BU123" i="1" s="1"/>
  <c r="BV66" i="1"/>
  <c r="BW66" i="1"/>
  <c r="BX66" i="1"/>
  <c r="BY66" i="1"/>
  <c r="BZ66" i="1"/>
  <c r="CA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BC67" i="1"/>
  <c r="BC68" i="1"/>
  <c r="BM69" i="1"/>
  <c r="BN69" i="1"/>
  <c r="BO69" i="1"/>
  <c r="BP69" i="1"/>
  <c r="BQ69" i="1"/>
  <c r="BR69" i="1"/>
  <c r="BS69" i="1"/>
  <c r="CF69" i="1"/>
  <c r="CG69" i="1"/>
  <c r="CH69" i="1"/>
  <c r="CH125" i="1" s="1"/>
  <c r="CH127" i="1" s="1"/>
  <c r="CH116" i="1" s="1"/>
  <c r="CI69" i="1"/>
  <c r="CJ69" i="1"/>
  <c r="CK69" i="1"/>
  <c r="BM86" i="1"/>
  <c r="BN86" i="1"/>
  <c r="BO86" i="1"/>
  <c r="BO87" i="1" s="1"/>
  <c r="BP86" i="1"/>
  <c r="BP87" i="1" s="1"/>
  <c r="BQ86" i="1"/>
  <c r="BQ87" i="1" s="1"/>
  <c r="BR86" i="1"/>
  <c r="CF86" i="1"/>
  <c r="CG86" i="1"/>
  <c r="CH86" i="1"/>
  <c r="CI86" i="1"/>
  <c r="CJ86" i="1"/>
  <c r="CK86" i="1"/>
  <c r="CK87" i="1" s="1"/>
  <c r="BN87" i="1"/>
  <c r="BR87" i="1"/>
  <c r="CG87" i="1"/>
  <c r="CI87" i="1"/>
  <c r="BC88" i="1"/>
  <c r="BM88" i="1"/>
  <c r="BN88" i="1"/>
  <c r="BN89" i="1" s="1"/>
  <c r="BO88" i="1"/>
  <c r="BP88" i="1"/>
  <c r="BP89" i="1" s="1"/>
  <c r="BQ88" i="1"/>
  <c r="BR88" i="1"/>
  <c r="BR89" i="1" s="1"/>
  <c r="CF88" i="1"/>
  <c r="CG88" i="1"/>
  <c r="CH88" i="1"/>
  <c r="CH89" i="1" s="1"/>
  <c r="CI88" i="1"/>
  <c r="CJ88" i="1"/>
  <c r="CJ89" i="1" s="1"/>
  <c r="CK88" i="1"/>
  <c r="CK89" i="1" s="1"/>
  <c r="CG89" i="1"/>
  <c r="BS90" i="1"/>
  <c r="BT90" i="1"/>
  <c r="BU90" i="1"/>
  <c r="BV90" i="1"/>
  <c r="BW90" i="1"/>
  <c r="BX90" i="1"/>
  <c r="CL90" i="1"/>
  <c r="CM90" i="1"/>
  <c r="CN90" i="1"/>
  <c r="CO90" i="1"/>
  <c r="CP90" i="1"/>
  <c r="CQ90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BS103" i="1"/>
  <c r="BT103" i="1"/>
  <c r="BU103" i="1"/>
  <c r="BV103" i="1"/>
  <c r="BW103" i="1"/>
  <c r="BX103" i="1"/>
  <c r="CL103" i="1"/>
  <c r="CM103" i="1"/>
  <c r="CN103" i="1"/>
  <c r="CO103" i="1"/>
  <c r="CP103" i="1"/>
  <c r="CQ103" i="1"/>
  <c r="BM105" i="1"/>
  <c r="BN105" i="1"/>
  <c r="BO105" i="1"/>
  <c r="BP105" i="1"/>
  <c r="BQ105" i="1"/>
  <c r="BR105" i="1"/>
  <c r="BS105" i="1"/>
  <c r="BT105" i="1"/>
  <c r="BU105" i="1"/>
  <c r="CF105" i="1"/>
  <c r="CG105" i="1"/>
  <c r="CH105" i="1"/>
  <c r="CI105" i="1"/>
  <c r="CJ105" i="1"/>
  <c r="CK105" i="1"/>
  <c r="CL105" i="1"/>
  <c r="CM105" i="1"/>
  <c r="BM106" i="1"/>
  <c r="BN106" i="1"/>
  <c r="BO106" i="1"/>
  <c r="BP106" i="1"/>
  <c r="BQ106" i="1"/>
  <c r="BR106" i="1"/>
  <c r="BS106" i="1"/>
  <c r="BS108" i="1" s="1"/>
  <c r="BT106" i="1"/>
  <c r="BU106" i="1"/>
  <c r="BV106" i="1"/>
  <c r="BW106" i="1"/>
  <c r="BX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BC107" i="1"/>
  <c r="BM107" i="1"/>
  <c r="BN107" i="1"/>
  <c r="BO107" i="1"/>
  <c r="BO125" i="1" s="1"/>
  <c r="BP107" i="1"/>
  <c r="BQ107" i="1"/>
  <c r="BR107" i="1"/>
  <c r="BS107" i="1"/>
  <c r="BT107" i="1"/>
  <c r="BU107" i="1"/>
  <c r="BV107" i="1"/>
  <c r="BW107" i="1"/>
  <c r="BX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BW110" i="1"/>
  <c r="BR125" i="1"/>
  <c r="BR127" i="1" s="1"/>
  <c r="BR116" i="1" s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F126" i="1"/>
  <c r="CG126" i="1"/>
  <c r="CH126" i="1"/>
  <c r="CI126" i="1"/>
  <c r="CJ126" i="1"/>
  <c r="CK126" i="1"/>
  <c r="CL126" i="1"/>
  <c r="CM126" i="1"/>
  <c r="CN126" i="1"/>
  <c r="CO126" i="1"/>
  <c r="CP126" i="1"/>
  <c r="CQ126" i="1"/>
  <c r="CR126" i="1"/>
  <c r="CS126" i="1"/>
  <c r="BC132" i="1"/>
  <c r="BD132" i="1"/>
  <c r="BE132" i="1"/>
  <c r="BF132" i="1"/>
  <c r="BG132" i="1"/>
  <c r="BH132" i="1"/>
  <c r="BI132" i="1"/>
  <c r="CA132" i="1" s="1"/>
  <c r="BJ132" i="1"/>
  <c r="BK132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F133" i="1"/>
  <c r="CG133" i="1"/>
  <c r="CH133" i="1"/>
  <c r="CI133" i="1"/>
  <c r="CJ133" i="1"/>
  <c r="CK133" i="1"/>
  <c r="CL133" i="1"/>
  <c r="CM133" i="1"/>
  <c r="CN133" i="1"/>
  <c r="CO133" i="1"/>
  <c r="CP133" i="1"/>
  <c r="CQ133" i="1"/>
  <c r="CR133" i="1"/>
  <c r="CS133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F134" i="1"/>
  <c r="CG134" i="1"/>
  <c r="CH134" i="1"/>
  <c r="CI134" i="1"/>
  <c r="CJ134" i="1"/>
  <c r="CK134" i="1"/>
  <c r="CL134" i="1"/>
  <c r="CM134" i="1"/>
  <c r="CN134" i="1"/>
  <c r="CO134" i="1"/>
  <c r="CP134" i="1"/>
  <c r="CQ134" i="1"/>
  <c r="CR134" i="1"/>
  <c r="CS134" i="1"/>
  <c r="CJ125" i="1" l="1"/>
  <c r="CJ127" i="1" s="1"/>
  <c r="CJ116" i="1" s="1"/>
  <c r="CF125" i="1"/>
  <c r="CF127" i="1" s="1"/>
  <c r="CF116" i="1" s="1"/>
  <c r="CM122" i="1"/>
  <c r="CM123" i="1" s="1"/>
  <c r="BS122" i="1"/>
  <c r="BS123" i="1" s="1"/>
  <c r="BQ125" i="1"/>
  <c r="BQ127" i="1" s="1"/>
  <c r="BQ116" i="1" s="1"/>
  <c r="BM125" i="1"/>
  <c r="CM46" i="1"/>
  <c r="CM31" i="1"/>
  <c r="CM32" i="1" s="1"/>
  <c r="CH16" i="1"/>
  <c r="CP110" i="1"/>
  <c r="CL108" i="1"/>
  <c r="BS110" i="1"/>
  <c r="CQ46" i="1"/>
  <c r="CP46" i="1"/>
  <c r="CL16" i="1"/>
  <c r="CN110" i="1"/>
  <c r="BU108" i="1"/>
  <c r="BU110" i="1"/>
  <c r="CN39" i="1"/>
  <c r="CN46" i="1"/>
  <c r="CL44" i="1"/>
  <c r="CL46" i="1"/>
  <c r="BQ58" i="1"/>
  <c r="CP39" i="1"/>
  <c r="CP31" i="1"/>
  <c r="CP32" i="1" s="1"/>
  <c r="CN31" i="1"/>
  <c r="CN32" i="1" s="1"/>
  <c r="CL31" i="1"/>
  <c r="CL32" i="1" s="1"/>
  <c r="BW31" i="1"/>
  <c r="BW32" i="1" s="1"/>
  <c r="BU31" i="1"/>
  <c r="BU32" i="1" s="1"/>
  <c r="CI125" i="1"/>
  <c r="CG125" i="1"/>
  <c r="BP125" i="1"/>
  <c r="BP127" i="1" s="1"/>
  <c r="BP116" i="1" s="1"/>
  <c r="BN125" i="1"/>
  <c r="BN127" i="1" s="1"/>
  <c r="BN116" i="1" s="1"/>
  <c r="CL122" i="1"/>
  <c r="CL123" i="1" s="1"/>
  <c r="BT122" i="1"/>
  <c r="BT123" i="1" s="1"/>
  <c r="CS132" i="1"/>
  <c r="CR132" i="1"/>
  <c r="CI127" i="1"/>
  <c r="CI116" i="1" s="1"/>
  <c r="CG127" i="1"/>
  <c r="CG116" i="1" s="1"/>
  <c r="BO127" i="1"/>
  <c r="BO116" i="1" s="1"/>
  <c r="BM127" i="1"/>
  <c r="BM116" i="1" s="1"/>
  <c r="BT108" i="1"/>
  <c r="CQ44" i="1"/>
  <c r="CO44" i="1"/>
  <c r="CM44" i="1"/>
  <c r="CN44" i="1"/>
  <c r="BZ132" i="1"/>
  <c r="CL110" i="1"/>
  <c r="BX110" i="1"/>
  <c r="BV110" i="1"/>
  <c r="BT110" i="1"/>
  <c r="CM108" i="1"/>
  <c r="CI89" i="1"/>
  <c r="BQ89" i="1"/>
  <c r="BO89" i="1"/>
  <c r="BX44" i="1"/>
  <c r="BX46" i="1"/>
  <c r="BT44" i="1"/>
  <c r="BT46" i="1"/>
  <c r="BY53" i="1"/>
  <c r="BY43" i="1"/>
  <c r="BP46" i="1"/>
  <c r="BD42" i="1"/>
  <c r="BY42" i="1"/>
  <c r="BW44" i="1"/>
  <c r="BU44" i="1"/>
  <c r="CQ110" i="1"/>
  <c r="CO110" i="1"/>
  <c r="CM110" i="1"/>
  <c r="BD107" i="1"/>
  <c r="BY107" i="1"/>
  <c r="CJ87" i="1"/>
  <c r="CH87" i="1"/>
  <c r="BE55" i="1"/>
  <c r="BF55" i="1" s="1"/>
  <c r="BE63" i="1"/>
  <c r="CR63" i="1"/>
  <c r="BD62" i="1"/>
  <c r="BG53" i="1"/>
  <c r="BH53" i="1" s="1"/>
  <c r="CJ58" i="1"/>
  <c r="BP58" i="1"/>
  <c r="CR53" i="1"/>
  <c r="BW46" i="1"/>
  <c r="BU46" i="1"/>
  <c r="BE43" i="1"/>
  <c r="BF43" i="1" s="1"/>
  <c r="BE42" i="1"/>
  <c r="CR42" i="1" s="1"/>
  <c r="BI41" i="1"/>
  <c r="BD36" i="1"/>
  <c r="BE36" i="1" s="1"/>
  <c r="BF36" i="1" s="1"/>
  <c r="BG36" i="1" s="1"/>
  <c r="BH36" i="1" s="1"/>
  <c r="BI36" i="1" s="1"/>
  <c r="CR41" i="1"/>
  <c r="BZ41" i="1"/>
  <c r="BG23" i="1"/>
  <c r="BZ23" i="1" s="1"/>
  <c r="CR23" i="1"/>
  <c r="BZ53" i="1" l="1"/>
  <c r="CR43" i="1"/>
  <c r="CR55" i="1"/>
  <c r="BH23" i="1"/>
  <c r="BJ41" i="1"/>
  <c r="CS41" i="1"/>
  <c r="BG43" i="1"/>
  <c r="BI53" i="1"/>
  <c r="BD67" i="1"/>
  <c r="BD68" i="1" s="1"/>
  <c r="BE107" i="1"/>
  <c r="BF107" i="1" s="1"/>
  <c r="BF42" i="1"/>
  <c r="BE62" i="1"/>
  <c r="BF63" i="1"/>
  <c r="BG55" i="1"/>
  <c r="BH55" i="1" s="1"/>
  <c r="BD104" i="1"/>
  <c r="BE104" i="1" s="1"/>
  <c r="BF104" i="1" s="1"/>
  <c r="BG104" i="1" s="1"/>
  <c r="BH104" i="1" s="1"/>
  <c r="BI104" i="1" s="1"/>
  <c r="BJ104" i="1" s="1"/>
  <c r="BK104" i="1" s="1"/>
  <c r="CR107" i="1" l="1"/>
  <c r="BI55" i="1"/>
  <c r="BJ55" i="1" s="1"/>
  <c r="BK55" i="1" s="1"/>
  <c r="BE67" i="1"/>
  <c r="BZ55" i="1"/>
  <c r="BI23" i="1"/>
  <c r="CS23" i="1" s="1"/>
  <c r="CS55" i="1"/>
  <c r="BG63" i="1"/>
  <c r="BF62" i="1"/>
  <c r="BG42" i="1"/>
  <c r="BG107" i="1"/>
  <c r="CR62" i="1"/>
  <c r="CR67" i="1"/>
  <c r="BJ53" i="1"/>
  <c r="CS53" i="1"/>
  <c r="BH43" i="1"/>
  <c r="BZ43" i="1"/>
  <c r="BK41" i="1"/>
  <c r="CA41" i="1" s="1"/>
  <c r="BZ42" i="1"/>
  <c r="CA55" i="1" l="1"/>
  <c r="BF67" i="1"/>
  <c r="BG62" i="1"/>
  <c r="BH63" i="1"/>
  <c r="BZ63" i="1"/>
  <c r="BI43" i="1"/>
  <c r="BJ43" i="1" s="1"/>
  <c r="BK43" i="1" s="1"/>
  <c r="CS43" i="1"/>
  <c r="BK53" i="1"/>
  <c r="CA53" i="1" s="1"/>
  <c r="CR68" i="1"/>
  <c r="BH107" i="1"/>
  <c r="BZ107" i="1"/>
  <c r="BH42" i="1"/>
  <c r="BJ23" i="1"/>
  <c r="BZ62" i="1"/>
  <c r="BE68" i="1"/>
  <c r="BI63" i="1" l="1"/>
  <c r="BH62" i="1"/>
  <c r="BK23" i="1"/>
  <c r="CA23" i="1" s="1"/>
  <c r="BI42" i="1"/>
  <c r="BI107" i="1"/>
  <c r="BJ107" i="1" s="1"/>
  <c r="BK107" i="1" s="1"/>
  <c r="CA43" i="1"/>
  <c r="BG67" i="1"/>
  <c r="BF68" i="1"/>
  <c r="BJ42" i="1" l="1"/>
  <c r="BI62" i="1"/>
  <c r="BJ63" i="1"/>
  <c r="CS63" i="1"/>
  <c r="BG68" i="1"/>
  <c r="CS107" i="1"/>
  <c r="CA107" i="1"/>
  <c r="CS42" i="1"/>
  <c r="BZ67" i="1"/>
  <c r="BH67" i="1"/>
  <c r="BH68" i="1" s="1"/>
  <c r="BJ36" i="1" l="1"/>
  <c r="BI67" i="1"/>
  <c r="CS62" i="1"/>
  <c r="BZ68" i="1"/>
  <c r="BK63" i="1"/>
  <c r="BK62" i="1" s="1"/>
  <c r="BJ62" i="1"/>
  <c r="CA63" i="1"/>
  <c r="BK42" i="1"/>
  <c r="BJ67" i="1" l="1"/>
  <c r="BJ68" i="1" s="1"/>
  <c r="CA62" i="1"/>
  <c r="CS67" i="1"/>
  <c r="CS68" i="1" s="1"/>
  <c r="BK36" i="1"/>
  <c r="CA42" i="1"/>
  <c r="BK67" i="1"/>
  <c r="BI68" i="1"/>
  <c r="BK68" i="1" l="1"/>
  <c r="CA67" i="1"/>
  <c r="CA68" i="1" s="1"/>
  <c r="BA148" i="1"/>
  <c r="BA110" i="48"/>
  <c r="BA121" i="48" s="1"/>
  <c r="BA48" i="48" s="1"/>
  <c r="BA133" i="48"/>
  <c r="BA83" i="3"/>
  <c r="BA80" i="3"/>
  <c r="BA76" i="2"/>
  <c r="BA77" i="2" s="1"/>
  <c r="BA68" i="2"/>
  <c r="BA74" i="2" s="1"/>
  <c r="BA60" i="2"/>
  <c r="BA55" i="2" s="1"/>
  <c r="BA54" i="2" s="1"/>
  <c r="BA59" i="2"/>
  <c r="BA53" i="2" s="1"/>
  <c r="BA37" i="2"/>
  <c r="BA47" i="2" s="1"/>
  <c r="BA49" i="2" s="1"/>
  <c r="BA17" i="2"/>
  <c r="BA27" i="2" s="1"/>
  <c r="BA106" i="1"/>
  <c r="BA110" i="1" s="1"/>
  <c r="BA173" i="1" s="1"/>
  <c r="BA167" i="1"/>
  <c r="BA166" i="1"/>
  <c r="BA151" i="1"/>
  <c r="AZ151" i="1"/>
  <c r="BA65" i="1"/>
  <c r="BA132" i="1"/>
  <c r="BA88" i="1"/>
  <c r="BY88" i="1" s="1"/>
  <c r="BY89" i="1" s="1"/>
  <c r="BA86" i="1"/>
  <c r="BA62" i="1"/>
  <c r="BA160" i="1" s="1"/>
  <c r="BA58" i="1"/>
  <c r="BA56" i="1"/>
  <c r="BA51" i="1"/>
  <c r="BA46" i="1"/>
  <c r="BA44" i="1"/>
  <c r="BA39" i="1"/>
  <c r="BA31" i="1"/>
  <c r="BA111" i="48" s="1"/>
  <c r="BA22" i="1"/>
  <c r="BA19" i="1"/>
  <c r="BA18" i="1"/>
  <c r="BA52" i="1" s="1"/>
  <c r="BA13" i="1"/>
  <c r="BA12" i="1"/>
  <c r="AZ75" i="3"/>
  <c r="AZ73" i="3"/>
  <c r="AZ76" i="3" s="1"/>
  <c r="BC92" i="48"/>
  <c r="BA312" i="48"/>
  <c r="BA92" i="48" s="1"/>
  <c r="BC74" i="48"/>
  <c r="BA311" i="48"/>
  <c r="BA74" i="48" s="1"/>
  <c r="BC56" i="48"/>
  <c r="BA310" i="48"/>
  <c r="BA56" i="48" s="1"/>
  <c r="BA309" i="48"/>
  <c r="BA37" i="48" s="1"/>
  <c r="AY312" i="48"/>
  <c r="AY311" i="48"/>
  <c r="AY74" i="48" s="1"/>
  <c r="AY310" i="48"/>
  <c r="AY56" i="48" s="1"/>
  <c r="AY309" i="48"/>
  <c r="AY308" i="48"/>
  <c r="AY20" i="48" s="1"/>
  <c r="BK92" i="48"/>
  <c r="BJ92" i="48"/>
  <c r="BI92" i="48"/>
  <c r="BH92" i="48"/>
  <c r="BG92" i="48"/>
  <c r="BF92" i="48"/>
  <c r="BE92" i="48"/>
  <c r="BD92" i="48"/>
  <c r="AZ92" i="48"/>
  <c r="AY92" i="48"/>
  <c r="BK74" i="48"/>
  <c r="BJ74" i="48"/>
  <c r="BI74" i="48"/>
  <c r="BH74" i="48"/>
  <c r="BG74" i="48"/>
  <c r="BF74" i="48"/>
  <c r="BE74" i="48"/>
  <c r="BD74" i="48"/>
  <c r="AZ74" i="48"/>
  <c r="BK56" i="48"/>
  <c r="BJ56" i="48"/>
  <c r="BI56" i="48"/>
  <c r="BH56" i="48"/>
  <c r="BG56" i="48"/>
  <c r="BF56" i="48"/>
  <c r="BE56" i="48"/>
  <c r="BD56" i="48"/>
  <c r="AZ56" i="48"/>
  <c r="BK37" i="48"/>
  <c r="BJ37" i="48"/>
  <c r="BI37" i="48"/>
  <c r="BH37" i="48"/>
  <c r="BG37" i="48"/>
  <c r="BF37" i="48"/>
  <c r="BE37" i="48"/>
  <c r="BD37" i="48"/>
  <c r="BC37" i="48"/>
  <c r="AZ37" i="48"/>
  <c r="BK20" i="48"/>
  <c r="BJ20" i="48"/>
  <c r="BI20" i="48"/>
  <c r="BH20" i="48"/>
  <c r="BG20" i="48"/>
  <c r="BF20" i="48"/>
  <c r="BE20" i="48"/>
  <c r="BD20" i="48"/>
  <c r="AZ20" i="48"/>
  <c r="BK313" i="48"/>
  <c r="BJ313" i="48"/>
  <c r="BI313" i="48"/>
  <c r="BH313" i="48"/>
  <c r="BG313" i="48"/>
  <c r="BF313" i="48"/>
  <c r="BE313" i="48"/>
  <c r="BD313" i="48"/>
  <c r="BB313" i="48"/>
  <c r="AZ313" i="48"/>
  <c r="AB312" i="48"/>
  <c r="AI296" i="48"/>
  <c r="AI312" i="48" s="1"/>
  <c r="AH296" i="48"/>
  <c r="AH312" i="48"/>
  <c r="AB296" i="48"/>
  <c r="AI292" i="48"/>
  <c r="AI308" i="48" s="1"/>
  <c r="AH292" i="48"/>
  <c r="AH308" i="48"/>
  <c r="AZ110" i="48"/>
  <c r="AZ133" i="48"/>
  <c r="AY148" i="1"/>
  <c r="AZ92" i="1"/>
  <c r="AZ61" i="3"/>
  <c r="AZ57" i="3"/>
  <c r="AZ54" i="3"/>
  <c r="BY54" i="3" s="1"/>
  <c r="AZ50" i="3"/>
  <c r="AZ49" i="3"/>
  <c r="AZ48" i="3"/>
  <c r="AZ47" i="3"/>
  <c r="BY47" i="3" s="1"/>
  <c r="BY146" i="3" s="1"/>
  <c r="AZ46" i="3"/>
  <c r="AZ45" i="3"/>
  <c r="BY45" i="3" s="1"/>
  <c r="BY144" i="3" s="1"/>
  <c r="AZ44" i="3"/>
  <c r="AZ40" i="3"/>
  <c r="AZ39" i="3"/>
  <c r="AZ38" i="3"/>
  <c r="BY38" i="3" s="1"/>
  <c r="BY137" i="3" s="1"/>
  <c r="AZ37" i="3"/>
  <c r="AZ36" i="3"/>
  <c r="BY36" i="3" s="1"/>
  <c r="BY135" i="3" s="1"/>
  <c r="AZ35" i="3"/>
  <c r="AZ34" i="3"/>
  <c r="AZ66" i="3" s="1"/>
  <c r="AZ68" i="3" s="1"/>
  <c r="BB68" i="3" s="1"/>
  <c r="AZ30" i="3"/>
  <c r="AZ29" i="3"/>
  <c r="CQ29" i="3" s="1"/>
  <c r="CQ128" i="3" s="1"/>
  <c r="AZ28" i="3"/>
  <c r="AZ27" i="3"/>
  <c r="AZ26" i="3"/>
  <c r="AZ25" i="3"/>
  <c r="AZ24" i="3"/>
  <c r="AZ23" i="3"/>
  <c r="AZ21" i="3"/>
  <c r="AZ20" i="3"/>
  <c r="BY20" i="3" s="1"/>
  <c r="BY119" i="3" s="1"/>
  <c r="AZ19" i="3"/>
  <c r="AZ18" i="3"/>
  <c r="BY18" i="3" s="1"/>
  <c r="BY117" i="3" s="1"/>
  <c r="AZ17" i="3"/>
  <c r="AZ16" i="3"/>
  <c r="BY16" i="3" s="1"/>
  <c r="BY115" i="3" s="1"/>
  <c r="AZ15" i="3"/>
  <c r="AZ14" i="3"/>
  <c r="AZ13" i="3"/>
  <c r="AZ150" i="3"/>
  <c r="AZ51" i="3" s="1"/>
  <c r="AZ151" i="3"/>
  <c r="AZ160" i="3"/>
  <c r="AZ140" i="3"/>
  <c r="AZ60" i="2"/>
  <c r="AZ56" i="2" s="1"/>
  <c r="AZ59" i="2"/>
  <c r="AZ57" i="2" s="1"/>
  <c r="AZ53" i="2"/>
  <c r="AZ26" i="2"/>
  <c r="AZ42" i="2"/>
  <c r="AZ37" i="2"/>
  <c r="AZ47" i="2" s="1"/>
  <c r="AZ17" i="2"/>
  <c r="AZ106" i="1"/>
  <c r="AZ110" i="1" s="1"/>
  <c r="AZ173" i="1" s="1"/>
  <c r="AZ148" i="1"/>
  <c r="AZ145" i="1"/>
  <c r="AZ65" i="1"/>
  <c r="AZ132" i="1"/>
  <c r="BY132" i="1" s="1"/>
  <c r="AZ86" i="1"/>
  <c r="AZ85" i="1" s="1"/>
  <c r="AZ62" i="1"/>
  <c r="AZ55" i="1"/>
  <c r="AZ51" i="1"/>
  <c r="AZ46" i="1"/>
  <c r="AZ44" i="1"/>
  <c r="AZ39" i="1"/>
  <c r="AZ31" i="1"/>
  <c r="AZ111" i="48" s="1"/>
  <c r="AZ22" i="1"/>
  <c r="AZ19" i="1"/>
  <c r="AZ18" i="1"/>
  <c r="AZ52" i="1" s="1"/>
  <c r="AZ13" i="1"/>
  <c r="AZ12" i="1"/>
  <c r="CS9" i="48"/>
  <c r="CS57" i="3"/>
  <c r="CS54" i="3"/>
  <c r="CS153" i="3" s="1"/>
  <c r="CS50" i="3"/>
  <c r="CS149" i="3" s="1"/>
  <c r="CS47" i="3"/>
  <c r="CS146" i="3" s="1"/>
  <c r="CS46" i="3"/>
  <c r="CS45" i="3"/>
  <c r="CS144" i="3" s="1"/>
  <c r="CS44" i="3"/>
  <c r="CS39" i="3"/>
  <c r="CS38" i="3"/>
  <c r="CS37" i="3"/>
  <c r="CS136" i="3" s="1"/>
  <c r="CS36" i="3"/>
  <c r="CS35" i="3"/>
  <c r="CS134" i="3" s="1"/>
  <c r="CS20" i="3"/>
  <c r="CS119" i="3" s="1"/>
  <c r="CS19" i="3"/>
  <c r="CS118" i="3" s="1"/>
  <c r="CS18" i="3"/>
  <c r="CS17" i="3"/>
  <c r="CS116" i="3" s="1"/>
  <c r="CS16" i="3"/>
  <c r="CS15" i="3"/>
  <c r="CS114" i="3" s="1"/>
  <c r="CA67" i="3"/>
  <c r="CA54" i="3"/>
  <c r="CA50" i="3"/>
  <c r="CA47" i="3"/>
  <c r="CA146" i="3" s="1"/>
  <c r="CA46" i="3"/>
  <c r="CA45" i="3"/>
  <c r="CA144" i="3" s="1"/>
  <c r="CA44" i="3"/>
  <c r="CA39" i="3"/>
  <c r="CA138" i="3" s="1"/>
  <c r="CA38" i="3"/>
  <c r="CA137" i="3" s="1"/>
  <c r="CA37" i="3"/>
  <c r="CA136" i="3" s="1"/>
  <c r="CA36" i="3"/>
  <c r="CA35" i="3"/>
  <c r="CA134" i="3" s="1"/>
  <c r="CA20" i="3"/>
  <c r="CA119" i="3" s="1"/>
  <c r="CA19" i="3"/>
  <c r="CA118" i="3" s="1"/>
  <c r="CA18" i="3"/>
  <c r="CA117" i="3" s="1"/>
  <c r="CA17" i="3"/>
  <c r="CA116" i="3" s="1"/>
  <c r="CA16" i="3"/>
  <c r="CA115" i="3" s="1"/>
  <c r="CA15" i="3"/>
  <c r="CA114" i="3" s="1"/>
  <c r="CA153" i="3"/>
  <c r="CA149" i="3"/>
  <c r="CA145" i="3"/>
  <c r="CA143" i="3"/>
  <c r="CA135" i="3"/>
  <c r="BZ67" i="3"/>
  <c r="BX67" i="3"/>
  <c r="BY67" i="3"/>
  <c r="BW67" i="3"/>
  <c r="BZ54" i="3"/>
  <c r="BZ153" i="3" s="1"/>
  <c r="BZ50" i="3"/>
  <c r="BZ149" i="3" s="1"/>
  <c r="BZ47" i="3"/>
  <c r="BZ46" i="3"/>
  <c r="BZ145" i="3" s="1"/>
  <c r="BZ45" i="3"/>
  <c r="BZ144" i="3" s="1"/>
  <c r="BZ44" i="3"/>
  <c r="BZ143" i="3" s="1"/>
  <c r="BZ39" i="3"/>
  <c r="BZ138" i="3" s="1"/>
  <c r="BZ38" i="3"/>
  <c r="BZ137" i="3" s="1"/>
  <c r="BZ37" i="3"/>
  <c r="BZ136" i="3" s="1"/>
  <c r="BZ36" i="3"/>
  <c r="BZ135" i="3" s="1"/>
  <c r="BZ35" i="3"/>
  <c r="BZ69" i="3" s="1"/>
  <c r="BZ20" i="3"/>
  <c r="BZ119" i="3" s="1"/>
  <c r="BZ19" i="3"/>
  <c r="BZ118" i="3" s="1"/>
  <c r="BZ18" i="3"/>
  <c r="BZ117" i="3" s="1"/>
  <c r="BZ17" i="3"/>
  <c r="BZ116" i="3" s="1"/>
  <c r="BZ16" i="3"/>
  <c r="BZ115" i="3" s="1"/>
  <c r="BZ15" i="3"/>
  <c r="BZ114" i="3" s="1"/>
  <c r="BZ146" i="3"/>
  <c r="BZ134" i="3"/>
  <c r="CS168" i="3"/>
  <c r="CS145" i="3"/>
  <c r="CS143" i="3"/>
  <c r="CS137" i="3"/>
  <c r="CS135" i="3"/>
  <c r="CS138" i="3"/>
  <c r="CS117" i="3"/>
  <c r="CS115" i="3"/>
  <c r="CS44" i="2"/>
  <c r="CS125" i="2"/>
  <c r="CS8" i="2"/>
  <c r="CS8" i="3" s="1"/>
  <c r="CS7" i="2"/>
  <c r="CS7" i="3" s="1"/>
  <c r="CS65" i="3" s="1"/>
  <c r="CS79" i="3" s="1"/>
  <c r="CS87" i="3" s="1"/>
  <c r="CS108" i="3" s="1"/>
  <c r="CA44" i="2"/>
  <c r="BZ44" i="2"/>
  <c r="CS166" i="1"/>
  <c r="CS163" i="1"/>
  <c r="CA163" i="1"/>
  <c r="AD198" i="1"/>
  <c r="CA182" i="1"/>
  <c r="CA168" i="3" s="1"/>
  <c r="BZ182" i="1"/>
  <c r="BZ168" i="3" s="1"/>
  <c r="BY182" i="1"/>
  <c r="BY125" i="2" s="1"/>
  <c r="BX182" i="1"/>
  <c r="CQ182" i="1" s="1"/>
  <c r="BW182" i="1"/>
  <c r="CP182" i="1" s="1"/>
  <c r="BV182" i="1"/>
  <c r="CO182" i="1" s="1"/>
  <c r="BU182" i="1"/>
  <c r="CN182" i="1" s="1"/>
  <c r="CN168" i="3" s="1"/>
  <c r="BT182" i="1"/>
  <c r="CM182" i="1" s="1"/>
  <c r="BS182" i="1"/>
  <c r="CL182" i="1" s="1"/>
  <c r="BR182" i="1"/>
  <c r="CK182" i="1" s="1"/>
  <c r="BQ182" i="1"/>
  <c r="CJ182" i="1" s="1"/>
  <c r="CJ125" i="2" s="1"/>
  <c r="BP182" i="1"/>
  <c r="CI182" i="1" s="1"/>
  <c r="BO182" i="1"/>
  <c r="CH182" i="1" s="1"/>
  <c r="BN182" i="1"/>
  <c r="CG182" i="1" s="1"/>
  <c r="BM182" i="1"/>
  <c r="CF182" i="1" s="1"/>
  <c r="CF125" i="2" s="1"/>
  <c r="BK182" i="1"/>
  <c r="BJ182" i="1"/>
  <c r="BI182" i="1"/>
  <c r="BH182" i="1"/>
  <c r="BH316" i="48" s="1"/>
  <c r="BG182" i="1"/>
  <c r="BF182" i="1"/>
  <c r="BE182" i="1"/>
  <c r="BD182" i="1"/>
  <c r="BD168" i="3" s="1"/>
  <c r="BC182" i="1"/>
  <c r="BB182" i="1"/>
  <c r="BA182" i="1"/>
  <c r="AZ182" i="1"/>
  <c r="AZ316" i="48" s="1"/>
  <c r="AY182" i="1"/>
  <c r="AX182" i="1"/>
  <c r="AW182" i="1"/>
  <c r="AV182" i="1"/>
  <c r="AV168" i="3" s="1"/>
  <c r="AU182" i="1"/>
  <c r="AT182" i="1"/>
  <c r="AS182" i="1"/>
  <c r="AR182" i="1"/>
  <c r="AR125" i="2" s="1"/>
  <c r="AQ182" i="1"/>
  <c r="AP182" i="1"/>
  <c r="AO182" i="1"/>
  <c r="AN182" i="1"/>
  <c r="AN168" i="3" s="1"/>
  <c r="AM182" i="1"/>
  <c r="AL182" i="1"/>
  <c r="AK182" i="1"/>
  <c r="AJ182" i="1"/>
  <c r="AJ316" i="48" s="1"/>
  <c r="AI182" i="1"/>
  <c r="AH182" i="1"/>
  <c r="AG182" i="1"/>
  <c r="AF182" i="1"/>
  <c r="AF168" i="3" s="1"/>
  <c r="AE182" i="1"/>
  <c r="AD182" i="1"/>
  <c r="AC182" i="1"/>
  <c r="AB182" i="1"/>
  <c r="AB125" i="2" s="1"/>
  <c r="AA182" i="1"/>
  <c r="Z182" i="1"/>
  <c r="Y182" i="1"/>
  <c r="X182" i="1"/>
  <c r="X168" i="3" s="1"/>
  <c r="W182" i="1"/>
  <c r="V182" i="1"/>
  <c r="U182" i="1"/>
  <c r="T182" i="1"/>
  <c r="T316" i="48" s="1"/>
  <c r="S182" i="1"/>
  <c r="R182" i="1"/>
  <c r="Q182" i="1"/>
  <c r="P182" i="1"/>
  <c r="P168" i="3" s="1"/>
  <c r="O182" i="1"/>
  <c r="N182" i="1"/>
  <c r="M182" i="1"/>
  <c r="L182" i="1"/>
  <c r="L125" i="2" s="1"/>
  <c r="K182" i="1"/>
  <c r="J182" i="1"/>
  <c r="I182" i="1"/>
  <c r="H182" i="1"/>
  <c r="H168" i="3" s="1"/>
  <c r="G182" i="1"/>
  <c r="F182" i="1"/>
  <c r="E182" i="1"/>
  <c r="D182" i="1"/>
  <c r="D168" i="3" s="1"/>
  <c r="CF175" i="1"/>
  <c r="CG175" i="1" s="1"/>
  <c r="CH175" i="1" s="1"/>
  <c r="CI175" i="1" s="1"/>
  <c r="CJ175" i="1" s="1"/>
  <c r="CK175" i="1" s="1"/>
  <c r="CL175" i="1" s="1"/>
  <c r="CM175" i="1" s="1"/>
  <c r="CN175" i="1" s="1"/>
  <c r="CO175" i="1" s="1"/>
  <c r="CP175" i="1" s="1"/>
  <c r="CQ175" i="1" s="1"/>
  <c r="CR175" i="1" s="1"/>
  <c r="CS175" i="1" s="1"/>
  <c r="BM175" i="1"/>
  <c r="BN175" i="1" s="1"/>
  <c r="BO175" i="1" s="1"/>
  <c r="BP175" i="1" s="1"/>
  <c r="BQ175" i="1" s="1"/>
  <c r="BR175" i="1" s="1"/>
  <c r="BS175" i="1" s="1"/>
  <c r="BT175" i="1" s="1"/>
  <c r="BU175" i="1" s="1"/>
  <c r="BV175" i="1" s="1"/>
  <c r="BW175" i="1" s="1"/>
  <c r="BX175" i="1" s="1"/>
  <c r="BY175" i="1" s="1"/>
  <c r="BZ175" i="1" s="1"/>
  <c r="CA175" i="1" s="1"/>
  <c r="BM171" i="1"/>
  <c r="CF171" i="1" s="1"/>
  <c r="CG171" i="1" s="1"/>
  <c r="CH171" i="1" s="1"/>
  <c r="CI171" i="1" s="1"/>
  <c r="CJ171" i="1" s="1"/>
  <c r="CK171" i="1" s="1"/>
  <c r="CL171" i="1" s="1"/>
  <c r="CM171" i="1" s="1"/>
  <c r="CN171" i="1" s="1"/>
  <c r="CO171" i="1" s="1"/>
  <c r="CP171" i="1" s="1"/>
  <c r="CQ171" i="1" s="1"/>
  <c r="CR171" i="1" s="1"/>
  <c r="CS171" i="1" s="1"/>
  <c r="AG175" i="1"/>
  <c r="AH175" i="1" s="1"/>
  <c r="AI175" i="1" s="1"/>
  <c r="AJ175" i="1" s="1"/>
  <c r="AK175" i="1" s="1"/>
  <c r="AL175" i="1" s="1"/>
  <c r="AM175" i="1" s="1"/>
  <c r="AN175" i="1" s="1"/>
  <c r="AO175" i="1" s="1"/>
  <c r="AP175" i="1" s="1"/>
  <c r="AQ175" i="1" s="1"/>
  <c r="AR175" i="1" s="1"/>
  <c r="AS175" i="1" s="1"/>
  <c r="AT175" i="1" s="1"/>
  <c r="AU175" i="1" s="1"/>
  <c r="AV175" i="1" s="1"/>
  <c r="AW175" i="1" s="1"/>
  <c r="AX175" i="1" s="1"/>
  <c r="AY175" i="1" s="1"/>
  <c r="AZ175" i="1" s="1"/>
  <c r="BA175" i="1" s="1"/>
  <c r="AG171" i="1"/>
  <c r="AH171" i="1" s="1"/>
  <c r="AI171" i="1" s="1"/>
  <c r="AJ171" i="1" s="1"/>
  <c r="AK171" i="1" s="1"/>
  <c r="AL171" i="1" s="1"/>
  <c r="AM171" i="1" s="1"/>
  <c r="AN171" i="1" s="1"/>
  <c r="AO171" i="1" s="1"/>
  <c r="AP171" i="1" s="1"/>
  <c r="AQ171" i="1" s="1"/>
  <c r="AR171" i="1" s="1"/>
  <c r="AS171" i="1" s="1"/>
  <c r="AT171" i="1" s="1"/>
  <c r="AU171" i="1" s="1"/>
  <c r="AV171" i="1" s="1"/>
  <c r="AW171" i="1" s="1"/>
  <c r="AX171" i="1" s="1"/>
  <c r="AY171" i="1" s="1"/>
  <c r="AZ171" i="1" s="1"/>
  <c r="BA171" i="1" s="1"/>
  <c r="AY167" i="1"/>
  <c r="AW167" i="1"/>
  <c r="AN167" i="1"/>
  <c r="AJ167" i="1"/>
  <c r="AI167" i="1"/>
  <c r="AH167" i="1"/>
  <c r="AG167" i="1"/>
  <c r="AF167" i="1"/>
  <c r="AE167" i="1"/>
  <c r="AD167" i="1"/>
  <c r="AB167" i="1"/>
  <c r="Z167" i="1"/>
  <c r="V167" i="1"/>
  <c r="U167" i="1"/>
  <c r="R167" i="1"/>
  <c r="P167" i="1"/>
  <c r="N167" i="1"/>
  <c r="M167" i="1"/>
  <c r="L167" i="1"/>
  <c r="J167" i="1"/>
  <c r="I167" i="1"/>
  <c r="H167" i="1"/>
  <c r="G167" i="1"/>
  <c r="F167" i="1"/>
  <c r="E167" i="1"/>
  <c r="D167" i="1"/>
  <c r="CR163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BZ163" i="1"/>
  <c r="BY163" i="1"/>
  <c r="BX163" i="1"/>
  <c r="BW163" i="1"/>
  <c r="BV163" i="1"/>
  <c r="BU163" i="1"/>
  <c r="BT163" i="1"/>
  <c r="BS163" i="1"/>
  <c r="BR163" i="1"/>
  <c r="BQ163" i="1"/>
  <c r="BP163" i="1"/>
  <c r="BO163" i="1"/>
  <c r="BN163" i="1"/>
  <c r="BM163" i="1"/>
  <c r="BK163" i="1"/>
  <c r="BJ163" i="1"/>
  <c r="BI163" i="1"/>
  <c r="BH163" i="1"/>
  <c r="BG163" i="1"/>
  <c r="BF163" i="1"/>
  <c r="BE163" i="1"/>
  <c r="BD163" i="1"/>
  <c r="BC163" i="1"/>
  <c r="BB163" i="1"/>
  <c r="BA163" i="1"/>
  <c r="AZ163" i="1"/>
  <c r="AY163" i="1"/>
  <c r="AX163" i="1"/>
  <c r="AW163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I154" i="1"/>
  <c r="CH154" i="1"/>
  <c r="CG154" i="1"/>
  <c r="CF154" i="1"/>
  <c r="CP153" i="1"/>
  <c r="CO153" i="1"/>
  <c r="CN153" i="1"/>
  <c r="CM153" i="1"/>
  <c r="CL153" i="1"/>
  <c r="BO154" i="1"/>
  <c r="BN154" i="1"/>
  <c r="BM154" i="1"/>
  <c r="BX153" i="1"/>
  <c r="BW153" i="1"/>
  <c r="BV153" i="1"/>
  <c r="BU153" i="1"/>
  <c r="BT153" i="1"/>
  <c r="BS153" i="1"/>
  <c r="AA153" i="1"/>
  <c r="CK153" i="1" s="1"/>
  <c r="W153" i="1"/>
  <c r="BQ153" i="1" s="1"/>
  <c r="S153" i="1"/>
  <c r="BP153" i="1" s="1"/>
  <c r="O153" i="1"/>
  <c r="CH153" i="1" s="1"/>
  <c r="K153" i="1"/>
  <c r="CG153" i="1" s="1"/>
  <c r="G153" i="1"/>
  <c r="CF153" i="1" s="1"/>
  <c r="AY151" i="1"/>
  <c r="BX151" i="1" s="1"/>
  <c r="AX151" i="1"/>
  <c r="AW151" i="1"/>
  <c r="CP151" i="1" s="1"/>
  <c r="AV151" i="1"/>
  <c r="AU151" i="1"/>
  <c r="AT151" i="1"/>
  <c r="AS151" i="1"/>
  <c r="CO151" i="1" s="1"/>
  <c r="AR151" i="1"/>
  <c r="AQ151" i="1"/>
  <c r="AP151" i="1"/>
  <c r="AO151" i="1"/>
  <c r="CN151" i="1" s="1"/>
  <c r="AN151" i="1"/>
  <c r="BV151" i="1" s="1"/>
  <c r="AM151" i="1"/>
  <c r="BU151" i="1" s="1"/>
  <c r="AL151" i="1"/>
  <c r="AK151" i="1"/>
  <c r="CM151" i="1" s="1"/>
  <c r="AJ151" i="1"/>
  <c r="AI151" i="1"/>
  <c r="BT151" i="1" s="1"/>
  <c r="AH151" i="1"/>
  <c r="AG151" i="1"/>
  <c r="CL151" i="1" s="1"/>
  <c r="AF151" i="1"/>
  <c r="AE151" i="1"/>
  <c r="CJ151" i="1" s="1"/>
  <c r="AD151" i="1"/>
  <c r="CI151" i="1" s="1"/>
  <c r="AC151" i="1"/>
  <c r="BN151" i="1" s="1"/>
  <c r="AB151" i="1"/>
  <c r="AA151" i="1"/>
  <c r="CF151" i="1" s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BR149" i="1"/>
  <c r="BQ149" i="1"/>
  <c r="BP149" i="1"/>
  <c r="BO149" i="1"/>
  <c r="BN149" i="1"/>
  <c r="BM149" i="1"/>
  <c r="AX148" i="1"/>
  <c r="AW148" i="1"/>
  <c r="AU148" i="1"/>
  <c r="AT148" i="1"/>
  <c r="AS148" i="1"/>
  <c r="AQ148" i="1"/>
  <c r="AP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P147" i="1"/>
  <c r="CO147" i="1"/>
  <c r="CN147" i="1"/>
  <c r="CM147" i="1"/>
  <c r="CL147" i="1"/>
  <c r="CK147" i="1"/>
  <c r="CJ147" i="1"/>
  <c r="CI147" i="1"/>
  <c r="CH147" i="1"/>
  <c r="CG147" i="1"/>
  <c r="CF147" i="1"/>
  <c r="BX147" i="1"/>
  <c r="BW147" i="1"/>
  <c r="BV147" i="1"/>
  <c r="BU147" i="1"/>
  <c r="BT147" i="1"/>
  <c r="BS147" i="1"/>
  <c r="AY145" i="1"/>
  <c r="AX145" i="1"/>
  <c r="AW145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P144" i="1"/>
  <c r="CO144" i="1"/>
  <c r="CN144" i="1"/>
  <c r="CM144" i="1"/>
  <c r="CL144" i="1"/>
  <c r="CK144" i="1"/>
  <c r="CJ144" i="1"/>
  <c r="CI144" i="1"/>
  <c r="CH144" i="1"/>
  <c r="CG144" i="1"/>
  <c r="CF144" i="1"/>
  <c r="BX144" i="1"/>
  <c r="BW144" i="1"/>
  <c r="BV144" i="1"/>
  <c r="BU144" i="1"/>
  <c r="BT144" i="1"/>
  <c r="BS144" i="1"/>
  <c r="CS69" i="3"/>
  <c r="BP151" i="1"/>
  <c r="BC153" i="1"/>
  <c r="BN153" i="1"/>
  <c r="BS151" i="1"/>
  <c r="BM153" i="1"/>
  <c r="BN171" i="1"/>
  <c r="BO171" i="1" s="1"/>
  <c r="BP171" i="1" s="1"/>
  <c r="BQ171" i="1" s="1"/>
  <c r="BR171" i="1" s="1"/>
  <c r="BS171" i="1" s="1"/>
  <c r="BT171" i="1" s="1"/>
  <c r="BU171" i="1" s="1"/>
  <c r="BV171" i="1" s="1"/>
  <c r="BW171" i="1" s="1"/>
  <c r="BX171" i="1" s="1"/>
  <c r="BY171" i="1" s="1"/>
  <c r="BZ171" i="1" s="1"/>
  <c r="CA171" i="1" s="1"/>
  <c r="CQ153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AH127" i="1"/>
  <c r="AH116" i="1" s="1"/>
  <c r="AC127" i="1"/>
  <c r="AC116" i="1" s="1"/>
  <c r="AB127" i="1"/>
  <c r="AB116" i="1" s="1"/>
  <c r="AA127" i="1"/>
  <c r="AA116" i="1" s="1"/>
  <c r="Z127" i="1"/>
  <c r="Z116" i="1" s="1"/>
  <c r="Y127" i="1"/>
  <c r="Y116" i="1" s="1"/>
  <c r="X127" i="1"/>
  <c r="X116" i="1" s="1"/>
  <c r="W127" i="1"/>
  <c r="W116" i="1" s="1"/>
  <c r="V127" i="1"/>
  <c r="V116" i="1" s="1"/>
  <c r="T127" i="1"/>
  <c r="T116" i="1" s="1"/>
  <c r="S127" i="1"/>
  <c r="S116" i="1" s="1"/>
  <c r="R127" i="1"/>
  <c r="R116" i="1" s="1"/>
  <c r="Q127" i="1"/>
  <c r="Q116" i="1" s="1"/>
  <c r="P127" i="1"/>
  <c r="P116" i="1" s="1"/>
  <c r="O127" i="1"/>
  <c r="O116" i="1" s="1"/>
  <c r="N127" i="1"/>
  <c r="N116" i="1" s="1"/>
  <c r="M127" i="1"/>
  <c r="M116" i="1" s="1"/>
  <c r="L127" i="1"/>
  <c r="L116" i="1" s="1"/>
  <c r="K127" i="1"/>
  <c r="K116" i="1" s="1"/>
  <c r="J127" i="1"/>
  <c r="J116" i="1" s="1"/>
  <c r="I127" i="1"/>
  <c r="I116" i="1" s="1"/>
  <c r="H127" i="1"/>
  <c r="H116" i="1" s="1"/>
  <c r="F127" i="1"/>
  <c r="F116" i="1" s="1"/>
  <c r="E127" i="1"/>
  <c r="E116" i="1" s="1"/>
  <c r="D127" i="1"/>
  <c r="D116" i="1" s="1"/>
  <c r="U126" i="1"/>
  <c r="U127" i="1" s="1"/>
  <c r="U116" i="1" s="1"/>
  <c r="AD125" i="1"/>
  <c r="G125" i="1"/>
  <c r="G127" i="1" s="1"/>
  <c r="G116" i="1" s="1"/>
  <c r="AY122" i="1"/>
  <c r="AY123" i="1" s="1"/>
  <c r="AX122" i="1"/>
  <c r="AX123" i="1" s="1"/>
  <c r="AU122" i="1"/>
  <c r="AU123" i="1" s="1"/>
  <c r="AT122" i="1"/>
  <c r="AQ122" i="1"/>
  <c r="AQ123" i="1" s="1"/>
  <c r="AP122" i="1"/>
  <c r="AP123" i="1" s="1"/>
  <c r="AM122" i="1"/>
  <c r="AM123" i="1" s="1"/>
  <c r="AL122" i="1"/>
  <c r="AK122" i="1"/>
  <c r="AJ122" i="1"/>
  <c r="AJ123" i="1" s="1"/>
  <c r="AI122" i="1"/>
  <c r="AI123" i="1" s="1"/>
  <c r="AH122" i="1"/>
  <c r="AG122" i="1"/>
  <c r="AG123" i="1" s="1"/>
  <c r="AF122" i="1"/>
  <c r="AF123" i="1" s="1"/>
  <c r="AE122" i="1"/>
  <c r="AE123" i="1" s="1"/>
  <c r="AD122" i="1"/>
  <c r="AC122" i="1"/>
  <c r="AC123" i="1" s="1"/>
  <c r="AB122" i="1"/>
  <c r="AB123" i="1" s="1"/>
  <c r="Z122" i="1"/>
  <c r="Z123" i="1" s="1"/>
  <c r="Y122" i="1"/>
  <c r="X122" i="1"/>
  <c r="X123" i="1" s="1"/>
  <c r="V122" i="1"/>
  <c r="U122" i="1"/>
  <c r="U123" i="1" s="1"/>
  <c r="T122" i="1"/>
  <c r="R122" i="1"/>
  <c r="R123" i="1" s="1"/>
  <c r="Q122" i="1"/>
  <c r="P122" i="1"/>
  <c r="P123" i="1" s="1"/>
  <c r="N122" i="1"/>
  <c r="N123" i="1" s="1"/>
  <c r="M122" i="1"/>
  <c r="M123" i="1" s="1"/>
  <c r="L122" i="1"/>
  <c r="J122" i="1"/>
  <c r="I122" i="1"/>
  <c r="H122" i="1"/>
  <c r="H123" i="1" s="1"/>
  <c r="F122" i="1"/>
  <c r="F123" i="1" s="1"/>
  <c r="E122" i="1"/>
  <c r="E123" i="1" s="1"/>
  <c r="D122" i="1"/>
  <c r="AY110" i="1"/>
  <c r="AY173" i="1" s="1"/>
  <c r="AX110" i="1"/>
  <c r="AX173" i="1" s="1"/>
  <c r="AW110" i="1"/>
  <c r="AW173" i="1" s="1"/>
  <c r="AV110" i="1"/>
  <c r="AV173" i="1" s="1"/>
  <c r="AU110" i="1"/>
  <c r="AU173" i="1" s="1"/>
  <c r="AT110" i="1"/>
  <c r="AT173" i="1" s="1"/>
  <c r="AQ110" i="1"/>
  <c r="AQ173" i="1" s="1"/>
  <c r="AP110" i="1"/>
  <c r="AK110" i="1"/>
  <c r="AK173" i="1" s="1"/>
  <c r="AJ110" i="1"/>
  <c r="AJ173" i="1" s="1"/>
  <c r="AI110" i="1"/>
  <c r="AI173" i="1" s="1"/>
  <c r="AF110" i="1"/>
  <c r="AC110" i="1"/>
  <c r="AB110" i="1"/>
  <c r="Y110" i="1"/>
  <c r="X110" i="1"/>
  <c r="V110" i="1"/>
  <c r="U110" i="1"/>
  <c r="T110" i="1"/>
  <c r="R110" i="1"/>
  <c r="Q110" i="1"/>
  <c r="P110" i="1"/>
  <c r="N110" i="1"/>
  <c r="M110" i="1"/>
  <c r="L110" i="1"/>
  <c r="J110" i="1"/>
  <c r="I110" i="1"/>
  <c r="H110" i="1"/>
  <c r="F110" i="1"/>
  <c r="E110" i="1"/>
  <c r="D110" i="1"/>
  <c r="AY108" i="1"/>
  <c r="AX108" i="1"/>
  <c r="AU108" i="1"/>
  <c r="AT108" i="1"/>
  <c r="AQ108" i="1"/>
  <c r="AP108" i="1"/>
  <c r="AK108" i="1"/>
  <c r="AJ108" i="1"/>
  <c r="AI108" i="1"/>
  <c r="AF108" i="1"/>
  <c r="AC108" i="1"/>
  <c r="AB108" i="1"/>
  <c r="Y108" i="1"/>
  <c r="X108" i="1"/>
  <c r="V108" i="1"/>
  <c r="U108" i="1"/>
  <c r="T108" i="1"/>
  <c r="R108" i="1"/>
  <c r="Q108" i="1"/>
  <c r="P108" i="1"/>
  <c r="N108" i="1"/>
  <c r="M108" i="1"/>
  <c r="L108" i="1"/>
  <c r="J108" i="1"/>
  <c r="I108" i="1"/>
  <c r="H108" i="1"/>
  <c r="F108" i="1"/>
  <c r="E108" i="1"/>
  <c r="D108" i="1"/>
  <c r="AO106" i="1"/>
  <c r="AO110" i="1"/>
  <c r="AN106" i="1"/>
  <c r="AN110" i="1"/>
  <c r="AM106" i="1"/>
  <c r="AM110" i="1"/>
  <c r="AL106" i="1"/>
  <c r="AH106" i="1"/>
  <c r="AG106" i="1"/>
  <c r="AG110" i="1" s="1"/>
  <c r="AE106" i="1"/>
  <c r="AE110" i="1" s="1"/>
  <c r="AD106" i="1"/>
  <c r="AA106" i="1"/>
  <c r="Z106" i="1"/>
  <c r="Z110" i="1" s="1"/>
  <c r="AS106" i="1"/>
  <c r="AR106" i="1"/>
  <c r="AR110" i="1" s="1"/>
  <c r="AA103" i="1"/>
  <c r="W103" i="1"/>
  <c r="S103" i="1"/>
  <c r="O103" i="1"/>
  <c r="K103" i="1"/>
  <c r="G103" i="1"/>
  <c r="AS92" i="1"/>
  <c r="AA90" i="1"/>
  <c r="AA89" i="1"/>
  <c r="W90" i="1"/>
  <c r="W89" i="1"/>
  <c r="S90" i="1"/>
  <c r="S89" i="1"/>
  <c r="O90" i="1"/>
  <c r="O89" i="1"/>
  <c r="K90" i="1"/>
  <c r="K89" i="1"/>
  <c r="G90" i="1"/>
  <c r="G89" i="1"/>
  <c r="AD89" i="1"/>
  <c r="AC89" i="1"/>
  <c r="AB89" i="1"/>
  <c r="Z89" i="1"/>
  <c r="Y89" i="1"/>
  <c r="X89" i="1"/>
  <c r="V89" i="1"/>
  <c r="U89" i="1"/>
  <c r="T89" i="1"/>
  <c r="R89" i="1"/>
  <c r="Q89" i="1"/>
  <c r="P89" i="1"/>
  <c r="N89" i="1"/>
  <c r="M89" i="1"/>
  <c r="L89" i="1"/>
  <c r="J89" i="1"/>
  <c r="I89" i="1"/>
  <c r="H89" i="1"/>
  <c r="F89" i="1"/>
  <c r="E89" i="1"/>
  <c r="AY88" i="1"/>
  <c r="AX88" i="1"/>
  <c r="AW88" i="1"/>
  <c r="AU88" i="1"/>
  <c r="AT88" i="1"/>
  <c r="AS88" i="1"/>
  <c r="AQ88" i="1"/>
  <c r="AP88" i="1"/>
  <c r="AO88" i="1"/>
  <c r="AM88" i="1"/>
  <c r="AL88" i="1"/>
  <c r="AK88" i="1"/>
  <c r="AI88" i="1"/>
  <c r="AH88" i="1"/>
  <c r="AG88" i="1"/>
  <c r="AE88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AY86" i="1"/>
  <c r="AX86" i="1"/>
  <c r="AW86" i="1"/>
  <c r="AV86" i="1"/>
  <c r="AU86" i="1"/>
  <c r="AU85" i="1" s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5" i="1"/>
  <c r="AD91" i="1" s="1"/>
  <c r="AC85" i="1"/>
  <c r="AC91" i="1" s="1"/>
  <c r="AB85" i="1"/>
  <c r="Z85" i="1"/>
  <c r="Z91" i="1" s="1"/>
  <c r="Y85" i="1"/>
  <c r="Y91" i="1" s="1"/>
  <c r="X85" i="1"/>
  <c r="X91" i="1" s="1"/>
  <c r="V85" i="1"/>
  <c r="U85" i="1"/>
  <c r="U91" i="1" s="1"/>
  <c r="T85" i="1"/>
  <c r="T91" i="1" s="1"/>
  <c r="R85" i="1"/>
  <c r="R91" i="1" s="1"/>
  <c r="Q85" i="1"/>
  <c r="Q91" i="1" s="1"/>
  <c r="P85" i="1"/>
  <c r="P91" i="1" s="1"/>
  <c r="N85" i="1"/>
  <c r="N91" i="1" s="1"/>
  <c r="M85" i="1"/>
  <c r="M91" i="1" s="1"/>
  <c r="L85" i="1"/>
  <c r="L91" i="1" s="1"/>
  <c r="J85" i="1"/>
  <c r="J91" i="1" s="1"/>
  <c r="J94" i="1" s="1"/>
  <c r="I85" i="1"/>
  <c r="I91" i="1" s="1"/>
  <c r="H85" i="1"/>
  <c r="H91" i="1" s="1"/>
  <c r="F85" i="1"/>
  <c r="F91" i="1" s="1"/>
  <c r="E85" i="1"/>
  <c r="D85" i="1"/>
  <c r="D91" i="1" s="1"/>
  <c r="AN69" i="1"/>
  <c r="AJ69" i="1"/>
  <c r="AF69" i="1"/>
  <c r="AR69" i="1"/>
  <c r="AW65" i="1"/>
  <c r="AW62" i="1" s="1"/>
  <c r="AV65" i="1"/>
  <c r="AU65" i="1"/>
  <c r="AT65" i="1"/>
  <c r="AS65" i="1"/>
  <c r="AS62" i="1" s="1"/>
  <c r="AR65" i="1"/>
  <c r="AR62" i="1" s="1"/>
  <c r="AQ65" i="1"/>
  <c r="AP65" i="1"/>
  <c r="AP62" i="1" s="1"/>
  <c r="AO65" i="1"/>
  <c r="AO62" i="1" s="1"/>
  <c r="AO67" i="1" s="1"/>
  <c r="AO68" i="1" s="1"/>
  <c r="AN65" i="1"/>
  <c r="AN62" i="1" s="1"/>
  <c r="AM65" i="1"/>
  <c r="AL65" i="1"/>
  <c r="AK65" i="1"/>
  <c r="AJ65" i="1"/>
  <c r="AG65" i="1"/>
  <c r="AF65" i="1"/>
  <c r="AF62" i="1"/>
  <c r="AE65" i="1"/>
  <c r="AD65" i="1"/>
  <c r="AA65" i="1"/>
  <c r="AA64" i="1"/>
  <c r="AA63" i="1"/>
  <c r="W64" i="1"/>
  <c r="T65" i="1"/>
  <c r="W65" i="1" s="1"/>
  <c r="Q65" i="1"/>
  <c r="O65" i="1"/>
  <c r="O64" i="1"/>
  <c r="O63" i="1"/>
  <c r="K65" i="1"/>
  <c r="K64" i="1"/>
  <c r="K63" i="1"/>
  <c r="S64" i="1"/>
  <c r="T63" i="1"/>
  <c r="AY62" i="1"/>
  <c r="AX62" i="1"/>
  <c r="AU62" i="1"/>
  <c r="AM62" i="1"/>
  <c r="AI62" i="1"/>
  <c r="AH62" i="1"/>
  <c r="AG62" i="1"/>
  <c r="AE62" i="1"/>
  <c r="AC62" i="1"/>
  <c r="AB62" i="1"/>
  <c r="Z62" i="1"/>
  <c r="Y62" i="1"/>
  <c r="X62" i="1"/>
  <c r="V62" i="1"/>
  <c r="V73" i="1" s="1"/>
  <c r="U62" i="1"/>
  <c r="R62" i="1"/>
  <c r="P62" i="1"/>
  <c r="N62" i="1"/>
  <c r="M62" i="1"/>
  <c r="L62" i="1"/>
  <c r="J62" i="1"/>
  <c r="I62" i="1"/>
  <c r="I160" i="1" s="1"/>
  <c r="H62" i="1"/>
  <c r="G62" i="1"/>
  <c r="F62" i="1"/>
  <c r="E62" i="1"/>
  <c r="E67" i="1" s="1"/>
  <c r="D62" i="1"/>
  <c r="AY58" i="1"/>
  <c r="AX58" i="1"/>
  <c r="BB60" i="1" s="1"/>
  <c r="AW58" i="1"/>
  <c r="AU58" i="1"/>
  <c r="AT58" i="1"/>
  <c r="AS58" i="1"/>
  <c r="AP58" i="1"/>
  <c r="AO58" i="1"/>
  <c r="AL58" i="1"/>
  <c r="AK58" i="1"/>
  <c r="AH58" i="1"/>
  <c r="AG58" i="1"/>
  <c r="AD58" i="1"/>
  <c r="AC58" i="1"/>
  <c r="Z58" i="1"/>
  <c r="Y58" i="1"/>
  <c r="X58" i="1"/>
  <c r="W58" i="1"/>
  <c r="V58" i="1"/>
  <c r="U58" i="1"/>
  <c r="T58" i="1"/>
  <c r="S58" i="1"/>
  <c r="R58" i="1"/>
  <c r="Q58" i="1"/>
  <c r="P58" i="1"/>
  <c r="N58" i="1"/>
  <c r="M58" i="1"/>
  <c r="L58" i="1"/>
  <c r="J58" i="1"/>
  <c r="I58" i="1"/>
  <c r="H58" i="1"/>
  <c r="AY56" i="1"/>
  <c r="AX56" i="1"/>
  <c r="AW56" i="1"/>
  <c r="AU56" i="1"/>
  <c r="AV56" i="1" s="1"/>
  <c r="AT56" i="1"/>
  <c r="AS56" i="1"/>
  <c r="AP56" i="1"/>
  <c r="AO56" i="1"/>
  <c r="AL56" i="1"/>
  <c r="AK56" i="1"/>
  <c r="AH56" i="1"/>
  <c r="AG56" i="1"/>
  <c r="AD56" i="1"/>
  <c r="AC56" i="1"/>
  <c r="Z56" i="1"/>
  <c r="Y56" i="1"/>
  <c r="X56" i="1"/>
  <c r="V56" i="1"/>
  <c r="U56" i="1"/>
  <c r="T56" i="1"/>
  <c r="R56" i="1"/>
  <c r="Q56" i="1"/>
  <c r="P56" i="1"/>
  <c r="N56" i="1"/>
  <c r="M56" i="1"/>
  <c r="L56" i="1"/>
  <c r="J56" i="1"/>
  <c r="I56" i="1"/>
  <c r="H56" i="1"/>
  <c r="F58" i="1"/>
  <c r="E58" i="1"/>
  <c r="D58" i="1"/>
  <c r="F56" i="1"/>
  <c r="E56" i="1"/>
  <c r="D56" i="1"/>
  <c r="AV55" i="1"/>
  <c r="AQ55" i="1"/>
  <c r="AM55" i="1"/>
  <c r="AI55" i="1"/>
  <c r="AE55" i="1"/>
  <c r="AE58" i="1" s="1"/>
  <c r="AB55" i="1"/>
  <c r="AA53" i="1"/>
  <c r="AA50" i="1"/>
  <c r="W53" i="1"/>
  <c r="S53" i="1"/>
  <c r="O53" i="1"/>
  <c r="O50" i="1"/>
  <c r="K53" i="1"/>
  <c r="K50" i="1"/>
  <c r="G53" i="1"/>
  <c r="G50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Z51" i="1"/>
  <c r="Y51" i="1"/>
  <c r="X51" i="1"/>
  <c r="V51" i="1"/>
  <c r="U51" i="1"/>
  <c r="T51" i="1"/>
  <c r="R51" i="1"/>
  <c r="Q51" i="1"/>
  <c r="P51" i="1"/>
  <c r="N51" i="1"/>
  <c r="M51" i="1"/>
  <c r="L51" i="1"/>
  <c r="J51" i="1"/>
  <c r="I51" i="1"/>
  <c r="H51" i="1"/>
  <c r="F51" i="1"/>
  <c r="E51" i="1"/>
  <c r="D51" i="1"/>
  <c r="AY46" i="1"/>
  <c r="AX46" i="1"/>
  <c r="BB48" i="1" s="1"/>
  <c r="AW46" i="1"/>
  <c r="BA48" i="1" s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Z46" i="1"/>
  <c r="Y46" i="1"/>
  <c r="X46" i="1"/>
  <c r="V46" i="1"/>
  <c r="U46" i="1"/>
  <c r="T46" i="1"/>
  <c r="S46" i="1"/>
  <c r="R46" i="1"/>
  <c r="Q46" i="1"/>
  <c r="P46" i="1"/>
  <c r="N46" i="1"/>
  <c r="M46" i="1"/>
  <c r="L46" i="1"/>
  <c r="J46" i="1"/>
  <c r="I46" i="1"/>
  <c r="H46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Z44" i="1"/>
  <c r="Y44" i="1"/>
  <c r="X44" i="1"/>
  <c r="V44" i="1"/>
  <c r="U44" i="1"/>
  <c r="T44" i="1"/>
  <c r="R44" i="1"/>
  <c r="Q44" i="1"/>
  <c r="P44" i="1"/>
  <c r="N44" i="1"/>
  <c r="M44" i="1"/>
  <c r="L44" i="1"/>
  <c r="J44" i="1"/>
  <c r="I44" i="1"/>
  <c r="H44" i="1"/>
  <c r="F46" i="1"/>
  <c r="E46" i="1"/>
  <c r="D46" i="1"/>
  <c r="F44" i="1"/>
  <c r="E44" i="1"/>
  <c r="D44" i="1"/>
  <c r="AB43" i="1"/>
  <c r="AB42" i="1"/>
  <c r="AA41" i="1"/>
  <c r="AA38" i="1"/>
  <c r="W41" i="1"/>
  <c r="W38" i="1"/>
  <c r="S41" i="1"/>
  <c r="O41" i="1"/>
  <c r="O38" i="1"/>
  <c r="K41" i="1"/>
  <c r="K38" i="1"/>
  <c r="G41" i="1"/>
  <c r="G38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Z39" i="1"/>
  <c r="Y39" i="1"/>
  <c r="X39" i="1"/>
  <c r="V39" i="1"/>
  <c r="U39" i="1"/>
  <c r="T39" i="1"/>
  <c r="R39" i="1"/>
  <c r="Q39" i="1"/>
  <c r="P39" i="1"/>
  <c r="N39" i="1"/>
  <c r="M39" i="1"/>
  <c r="L39" i="1"/>
  <c r="J39" i="1"/>
  <c r="I39" i="1"/>
  <c r="H39" i="1"/>
  <c r="F39" i="1"/>
  <c r="E39" i="1"/>
  <c r="D39" i="1"/>
  <c r="AY31" i="1"/>
  <c r="AX31" i="1"/>
  <c r="AW31" i="1"/>
  <c r="AW32" i="1" s="1"/>
  <c r="AV31" i="1"/>
  <c r="AU31" i="1"/>
  <c r="AU32" i="1" s="1"/>
  <c r="AT31" i="1"/>
  <c r="AS31" i="1"/>
  <c r="AS32" i="1" s="1"/>
  <c r="AR31" i="1"/>
  <c r="AR32" i="1" s="1"/>
  <c r="AQ31" i="1"/>
  <c r="AQ32" i="1" s="1"/>
  <c r="AP31" i="1"/>
  <c r="AP32" i="1" s="1"/>
  <c r="AO31" i="1"/>
  <c r="AO32" i="1" s="1"/>
  <c r="AN31" i="1"/>
  <c r="AM31" i="1"/>
  <c r="AM32" i="1" s="1"/>
  <c r="AL31" i="1"/>
  <c r="AK31" i="1"/>
  <c r="AJ31" i="1"/>
  <c r="AI31" i="1"/>
  <c r="AI32" i="1" s="1"/>
  <c r="AH31" i="1"/>
  <c r="AH32" i="1" s="1"/>
  <c r="AG31" i="1"/>
  <c r="AG32" i="1" s="1"/>
  <c r="AF31" i="1"/>
  <c r="AE31" i="1"/>
  <c r="AD31" i="1"/>
  <c r="AD32" i="1" s="1"/>
  <c r="AC31" i="1"/>
  <c r="AC32" i="1"/>
  <c r="AB31" i="1"/>
  <c r="Z31" i="1"/>
  <c r="Z32" i="1" s="1"/>
  <c r="Y31" i="1"/>
  <c r="Y32" i="1" s="1"/>
  <c r="X31" i="1"/>
  <c r="X32" i="1" s="1"/>
  <c r="V31" i="1"/>
  <c r="U31" i="1"/>
  <c r="U32" i="1" s="1"/>
  <c r="T31" i="1"/>
  <c r="R31" i="1"/>
  <c r="Q31" i="1"/>
  <c r="P31" i="1"/>
  <c r="P32" i="1" s="1"/>
  <c r="N31" i="1"/>
  <c r="N32" i="1" s="1"/>
  <c r="M31" i="1"/>
  <c r="M32" i="1" s="1"/>
  <c r="L31" i="1"/>
  <c r="J31" i="1"/>
  <c r="J32" i="1" s="1"/>
  <c r="I31" i="1"/>
  <c r="I32" i="1" s="1"/>
  <c r="H31" i="1"/>
  <c r="H32" i="1" s="1"/>
  <c r="F31" i="1"/>
  <c r="E31" i="1"/>
  <c r="E32" i="1" s="1"/>
  <c r="D31" i="1"/>
  <c r="D32" i="1" s="1"/>
  <c r="AD28" i="1"/>
  <c r="Z28" i="1"/>
  <c r="V28" i="1"/>
  <c r="U28" i="1"/>
  <c r="T28" i="1"/>
  <c r="R28" i="1"/>
  <c r="P28" i="1"/>
  <c r="N28" i="1"/>
  <c r="M28" i="1"/>
  <c r="L28" i="1"/>
  <c r="J28" i="1"/>
  <c r="I28" i="1"/>
  <c r="H28" i="1"/>
  <c r="F28" i="1"/>
  <c r="E28" i="1"/>
  <c r="D28" i="1"/>
  <c r="AD26" i="1"/>
  <c r="Z26" i="1"/>
  <c r="V26" i="1"/>
  <c r="U26" i="1"/>
  <c r="T26" i="1"/>
  <c r="R26" i="1"/>
  <c r="P26" i="1"/>
  <c r="N26" i="1"/>
  <c r="M26" i="1"/>
  <c r="L26" i="1"/>
  <c r="J26" i="1"/>
  <c r="I26" i="1"/>
  <c r="H26" i="1"/>
  <c r="F26" i="1"/>
  <c r="E26" i="1"/>
  <c r="D26" i="1"/>
  <c r="AE25" i="1"/>
  <c r="AB25" i="1"/>
  <c r="AX24" i="1"/>
  <c r="AV24" i="1"/>
  <c r="AV167" i="1" s="1"/>
  <c r="AU24" i="1"/>
  <c r="AU167" i="1" s="1"/>
  <c r="AT24" i="1"/>
  <c r="AS24" i="1"/>
  <c r="AS167" i="1" s="1"/>
  <c r="AR24" i="1"/>
  <c r="AR167" i="1" s="1"/>
  <c r="AQ24" i="1"/>
  <c r="AQ167" i="1"/>
  <c r="AP24" i="1"/>
  <c r="AO24" i="1"/>
  <c r="AO167" i="1" s="1"/>
  <c r="AM24" i="1"/>
  <c r="AM167" i="1" s="1"/>
  <c r="AL24" i="1"/>
  <c r="AK24" i="1"/>
  <c r="AC24" i="1"/>
  <c r="Y24" i="1"/>
  <c r="X24" i="1"/>
  <c r="W24" i="1"/>
  <c r="S24" i="1"/>
  <c r="S23" i="1"/>
  <c r="S21" i="1"/>
  <c r="Q24" i="1"/>
  <c r="AA23" i="1"/>
  <c r="AA21" i="1"/>
  <c r="W23" i="1"/>
  <c r="W21" i="1"/>
  <c r="O23" i="1"/>
  <c r="O21" i="1"/>
  <c r="K23" i="1"/>
  <c r="K21" i="1"/>
  <c r="G23" i="1"/>
  <c r="G21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Z22" i="1"/>
  <c r="Y22" i="1"/>
  <c r="X22" i="1"/>
  <c r="V22" i="1"/>
  <c r="U22" i="1"/>
  <c r="T22" i="1"/>
  <c r="R22" i="1"/>
  <c r="Q22" i="1"/>
  <c r="P22" i="1"/>
  <c r="N22" i="1"/>
  <c r="M22" i="1"/>
  <c r="L22" i="1"/>
  <c r="J22" i="1"/>
  <c r="I22" i="1"/>
  <c r="H22" i="1"/>
  <c r="F22" i="1"/>
  <c r="E22" i="1"/>
  <c r="D22" i="1"/>
  <c r="CL167" i="1"/>
  <c r="CM60" i="2"/>
  <c r="BM167" i="1"/>
  <c r="F18" i="1"/>
  <c r="F52" i="1" s="1"/>
  <c r="E18" i="1"/>
  <c r="F17" i="1"/>
  <c r="E17" i="1"/>
  <c r="D17" i="1"/>
  <c r="AX19" i="1"/>
  <c r="AW19" i="1"/>
  <c r="AV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D19" i="1"/>
  <c r="AC19" i="1"/>
  <c r="AB19" i="1"/>
  <c r="Z19" i="1"/>
  <c r="Y19" i="1"/>
  <c r="X19" i="1"/>
  <c r="V19" i="1"/>
  <c r="U19" i="1"/>
  <c r="T19" i="1"/>
  <c r="R19" i="1"/>
  <c r="Q19" i="1"/>
  <c r="P19" i="1"/>
  <c r="N19" i="1"/>
  <c r="M19" i="1"/>
  <c r="L19" i="1"/>
  <c r="J19" i="1"/>
  <c r="I19" i="1"/>
  <c r="H19" i="1"/>
  <c r="AY18" i="1"/>
  <c r="AX18" i="1"/>
  <c r="AX52" i="1" s="1"/>
  <c r="AW18" i="1"/>
  <c r="AV18" i="1"/>
  <c r="AV52" i="1" s="1"/>
  <c r="AU18" i="1"/>
  <c r="AU52" i="1" s="1"/>
  <c r="AT18" i="1"/>
  <c r="AT40" i="1" s="1"/>
  <c r="AS18" i="1"/>
  <c r="AR18" i="1"/>
  <c r="AQ18" i="1"/>
  <c r="AP18" i="1"/>
  <c r="AP52" i="1" s="1"/>
  <c r="AO18" i="1"/>
  <c r="AN18" i="1"/>
  <c r="AN52" i="1" s="1"/>
  <c r="AM18" i="1"/>
  <c r="AM52" i="1" s="1"/>
  <c r="AL18" i="1"/>
  <c r="AK18" i="1"/>
  <c r="AK52" i="1" s="1"/>
  <c r="AJ18" i="1"/>
  <c r="AJ40" i="1" s="1"/>
  <c r="AI18" i="1"/>
  <c r="AH18" i="1"/>
  <c r="AG18" i="1"/>
  <c r="AG40" i="1" s="1"/>
  <c r="AF18" i="1"/>
  <c r="AF40" i="1" s="1"/>
  <c r="AE18" i="1"/>
  <c r="AE52" i="1" s="1"/>
  <c r="AD18" i="1"/>
  <c r="AD52" i="1" s="1"/>
  <c r="AC18" i="1"/>
  <c r="Z18" i="1"/>
  <c r="Y18" i="1"/>
  <c r="Y52" i="1" s="1"/>
  <c r="V18" i="1"/>
  <c r="V52" i="1" s="1"/>
  <c r="U18" i="1"/>
  <c r="R18" i="1"/>
  <c r="Q18" i="1"/>
  <c r="Q52" i="1" s="1"/>
  <c r="N18" i="1"/>
  <c r="M18" i="1"/>
  <c r="M52" i="1" s="1"/>
  <c r="J18" i="1"/>
  <c r="J40" i="1" s="1"/>
  <c r="I18" i="1"/>
  <c r="AD17" i="1"/>
  <c r="AC17" i="1"/>
  <c r="Z17" i="1"/>
  <c r="Y17" i="1"/>
  <c r="X17" i="1"/>
  <c r="V17" i="1"/>
  <c r="U17" i="1"/>
  <c r="T17" i="1"/>
  <c r="T47" i="1" s="1"/>
  <c r="R17" i="1"/>
  <c r="Q17" i="1"/>
  <c r="P17" i="1"/>
  <c r="N17" i="1"/>
  <c r="M17" i="1"/>
  <c r="L17" i="1"/>
  <c r="J17" i="1"/>
  <c r="I17" i="1"/>
  <c r="H17" i="1"/>
  <c r="AQ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AF55" i="1"/>
  <c r="BT55" i="1" s="1"/>
  <c r="AE56" i="1"/>
  <c r="AF56" i="1" s="1"/>
  <c r="AH60" i="1"/>
  <c r="O62" i="1"/>
  <c r="AD110" i="1"/>
  <c r="AL110" i="1"/>
  <c r="Q59" i="1"/>
  <c r="U60" i="1"/>
  <c r="Y60" i="1"/>
  <c r="T167" i="1"/>
  <c r="S65" i="1"/>
  <c r="Q62" i="1"/>
  <c r="AD62" i="1"/>
  <c r="CL62" i="1" s="1"/>
  <c r="AJ62" i="1"/>
  <c r="AJ159" i="1" s="1"/>
  <c r="AL62" i="1"/>
  <c r="CN62" i="1" s="1"/>
  <c r="AT62" i="1"/>
  <c r="P60" i="1"/>
  <c r="V60" i="1"/>
  <c r="AD60" i="1"/>
  <c r="AL60" i="1"/>
  <c r="J52" i="1"/>
  <c r="Z52" i="1"/>
  <c r="Z40" i="1"/>
  <c r="R32" i="1"/>
  <c r="AQ48" i="1"/>
  <c r="W167" i="1"/>
  <c r="Y26" i="1"/>
  <c r="AK167" i="1"/>
  <c r="AP167" i="1"/>
  <c r="CO167" i="1"/>
  <c r="T32" i="1"/>
  <c r="V32" i="1"/>
  <c r="AJ32" i="1"/>
  <c r="AX32" i="1"/>
  <c r="AX27" i="48" s="1"/>
  <c r="G73" i="1"/>
  <c r="O46" i="1"/>
  <c r="Y47" i="1"/>
  <c r="AG48" i="1"/>
  <c r="AW48" i="1"/>
  <c r="K58" i="1"/>
  <c r="J57" i="1"/>
  <c r="AA58" i="1"/>
  <c r="Q60" i="1"/>
  <c r="AY60" i="1"/>
  <c r="E160" i="1"/>
  <c r="E159" i="1"/>
  <c r="E73" i="1"/>
  <c r="G67" i="1"/>
  <c r="G115" i="1" s="1"/>
  <c r="G129" i="1" s="1"/>
  <c r="I159" i="1"/>
  <c r="I67" i="1"/>
  <c r="I73" i="1"/>
  <c r="I78" i="1" s="1"/>
  <c r="L160" i="1"/>
  <c r="L159" i="1"/>
  <c r="L73" i="1"/>
  <c r="L67" i="1"/>
  <c r="N159" i="1"/>
  <c r="N73" i="1"/>
  <c r="N78" i="1" s="1"/>
  <c r="V160" i="1"/>
  <c r="V159" i="1"/>
  <c r="V67" i="1"/>
  <c r="X160" i="1"/>
  <c r="X159" i="1"/>
  <c r="X73" i="1"/>
  <c r="X67" i="1"/>
  <c r="Z160" i="1"/>
  <c r="Z159" i="1"/>
  <c r="Z67" i="1"/>
  <c r="AC160" i="1"/>
  <c r="AC159" i="1"/>
  <c r="AC67" i="1"/>
  <c r="AC115" i="1" s="1"/>
  <c r="AC129" i="1" s="1"/>
  <c r="AC73" i="1"/>
  <c r="AC78" i="1" s="1"/>
  <c r="AE160" i="1"/>
  <c r="AE159" i="1"/>
  <c r="AE67" i="1"/>
  <c r="AE68" i="1" s="1"/>
  <c r="AE73" i="1"/>
  <c r="AG160" i="1"/>
  <c r="AG159" i="1"/>
  <c r="AG67" i="1"/>
  <c r="AG73" i="1"/>
  <c r="AG78" i="1" s="1"/>
  <c r="AI160" i="1"/>
  <c r="AI159" i="1"/>
  <c r="AI67" i="1"/>
  <c r="AI68" i="1" s="1"/>
  <c r="AI73" i="1"/>
  <c r="AM160" i="1"/>
  <c r="AM159" i="1"/>
  <c r="AM67" i="1"/>
  <c r="AM68" i="1" s="1"/>
  <c r="AM73" i="1"/>
  <c r="AM78" i="1" s="1"/>
  <c r="AO160" i="1"/>
  <c r="AO159" i="1"/>
  <c r="AO73" i="1"/>
  <c r="AS159" i="1"/>
  <c r="AS67" i="1"/>
  <c r="AS68" i="1" s="1"/>
  <c r="AU160" i="1"/>
  <c r="AU159" i="1"/>
  <c r="AU67" i="1"/>
  <c r="AU68" i="1" s="1"/>
  <c r="AU73" i="1"/>
  <c r="AU78" i="1" s="1"/>
  <c r="AW159" i="1"/>
  <c r="AW67" i="1"/>
  <c r="AW68" i="1" s="1"/>
  <c r="AY160" i="1"/>
  <c r="AY159" i="1"/>
  <c r="AY67" i="1"/>
  <c r="AY68" i="1" s="1"/>
  <c r="AY73" i="1"/>
  <c r="AY78" i="1" s="1"/>
  <c r="AY112" i="48" s="1"/>
  <c r="AA56" i="1"/>
  <c r="AC167" i="1"/>
  <c r="AU40" i="1"/>
  <c r="AD45" i="1"/>
  <c r="J47" i="1"/>
  <c r="Z47" i="1"/>
  <c r="T48" i="1"/>
  <c r="X48" i="1"/>
  <c r="L59" i="1"/>
  <c r="Z59" i="1"/>
  <c r="D160" i="1"/>
  <c r="D159" i="1"/>
  <c r="D73" i="1"/>
  <c r="D78" i="1" s="1"/>
  <c r="D67" i="1"/>
  <c r="F67" i="1"/>
  <c r="H160" i="1"/>
  <c r="H159" i="1"/>
  <c r="H73" i="1"/>
  <c r="H67" i="1"/>
  <c r="J160" i="1"/>
  <c r="J159" i="1"/>
  <c r="J73" i="1"/>
  <c r="J67" i="1"/>
  <c r="M160" i="1"/>
  <c r="M159" i="1"/>
  <c r="M67" i="1"/>
  <c r="M73" i="1"/>
  <c r="P160" i="1"/>
  <c r="P159" i="1"/>
  <c r="P73" i="1"/>
  <c r="P67" i="1"/>
  <c r="R160" i="1"/>
  <c r="R159" i="1"/>
  <c r="R73" i="1"/>
  <c r="R67" i="1"/>
  <c r="U160" i="1"/>
  <c r="U159" i="1"/>
  <c r="U67" i="1"/>
  <c r="U73" i="1"/>
  <c r="U78" i="1" s="1"/>
  <c r="Y160" i="1"/>
  <c r="Y159" i="1"/>
  <c r="Y67" i="1"/>
  <c r="Y73" i="1"/>
  <c r="Y78" i="1" s="1"/>
  <c r="Y112" i="48" s="1"/>
  <c r="AB160" i="1"/>
  <c r="AB159" i="1"/>
  <c r="AB73" i="1"/>
  <c r="AB67" i="1"/>
  <c r="AD73" i="1"/>
  <c r="AF160" i="1"/>
  <c r="AF159" i="1"/>
  <c r="AF67" i="1"/>
  <c r="AH160" i="1"/>
  <c r="AH159" i="1"/>
  <c r="AH73" i="1"/>
  <c r="AH67" i="1"/>
  <c r="AJ160" i="1"/>
  <c r="AL73" i="1"/>
  <c r="AN159" i="1"/>
  <c r="AN73" i="1"/>
  <c r="AP160" i="1"/>
  <c r="AP159" i="1"/>
  <c r="AP73" i="1"/>
  <c r="AP67" i="1"/>
  <c r="AR160" i="1"/>
  <c r="AT160" i="1"/>
  <c r="AX160" i="1"/>
  <c r="AX159" i="1"/>
  <c r="AX73" i="1"/>
  <c r="AX78" i="1" s="1"/>
  <c r="AX112" i="48" s="1"/>
  <c r="AX67" i="1"/>
  <c r="AZ167" i="1"/>
  <c r="BT167" i="1"/>
  <c r="T62" i="1"/>
  <c r="AA62" i="1"/>
  <c r="I93" i="1"/>
  <c r="I94" i="1"/>
  <c r="U93" i="1"/>
  <c r="U94" i="1"/>
  <c r="Y93" i="1"/>
  <c r="Y94" i="1"/>
  <c r="AE85" i="1"/>
  <c r="AE91" i="1" s="1"/>
  <c r="AK85" i="1"/>
  <c r="AK91" i="1" s="1"/>
  <c r="AS85" i="1"/>
  <c r="AS91" i="1"/>
  <c r="AR173" i="1"/>
  <c r="AN173" i="1"/>
  <c r="CN167" i="1"/>
  <c r="J93" i="1"/>
  <c r="L94" i="1"/>
  <c r="L93" i="1"/>
  <c r="R94" i="1"/>
  <c r="Z94" i="1"/>
  <c r="Z93" i="1"/>
  <c r="AM173" i="1"/>
  <c r="AO173" i="1"/>
  <c r="BX173" i="1"/>
  <c r="G108" i="1"/>
  <c r="K108" i="1"/>
  <c r="W108" i="1"/>
  <c r="AE108" i="1"/>
  <c r="AG108" i="1"/>
  <c r="AM108" i="1"/>
  <c r="K110" i="1"/>
  <c r="O110" i="1"/>
  <c r="W110" i="1"/>
  <c r="AS110" i="1"/>
  <c r="Z108" i="1"/>
  <c r="AD108" i="1"/>
  <c r="AL108" i="1"/>
  <c r="AD127" i="1"/>
  <c r="AD129" i="1" s="1"/>
  <c r="BC148" i="1"/>
  <c r="BD148" i="1" s="1"/>
  <c r="BA149" i="1"/>
  <c r="BA145" i="1"/>
  <c r="Q159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D13" i="1"/>
  <c r="AC13" i="1"/>
  <c r="AB13" i="1"/>
  <c r="Z13" i="1"/>
  <c r="Y13" i="1"/>
  <c r="X13" i="1"/>
  <c r="V13" i="1"/>
  <c r="U13" i="1"/>
  <c r="T13" i="1"/>
  <c r="R13" i="1"/>
  <c r="Q13" i="1"/>
  <c r="P13" i="1"/>
  <c r="N13" i="1"/>
  <c r="M13" i="1"/>
  <c r="L13" i="1"/>
  <c r="J13" i="1"/>
  <c r="I13" i="1"/>
  <c r="H13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Z12" i="1"/>
  <c r="Y12" i="1"/>
  <c r="V12" i="1"/>
  <c r="U12" i="1"/>
  <c r="R12" i="1"/>
  <c r="Q12" i="1"/>
  <c r="N12" i="1"/>
  <c r="M12" i="1"/>
  <c r="J12" i="1"/>
  <c r="I12" i="1"/>
  <c r="F12" i="1"/>
  <c r="E12" i="1"/>
  <c r="AY13" i="1"/>
  <c r="AX13" i="1"/>
  <c r="AW13" i="1"/>
  <c r="AV13" i="1"/>
  <c r="AU13" i="1"/>
  <c r="AT13" i="1"/>
  <c r="AS13" i="1"/>
  <c r="AR13" i="1"/>
  <c r="AY12" i="1"/>
  <c r="AX12" i="1"/>
  <c r="AW12" i="1"/>
  <c r="AV12" i="1"/>
  <c r="AU12" i="1"/>
  <c r="AT12" i="1"/>
  <c r="AS12" i="1"/>
  <c r="AR12" i="1"/>
  <c r="AE11" i="1"/>
  <c r="AB11" i="1"/>
  <c r="CL110" i="48"/>
  <c r="BW110" i="48"/>
  <c r="BU59" i="2"/>
  <c r="AA10" i="1"/>
  <c r="W10" i="1"/>
  <c r="S10" i="1"/>
  <c r="O10" i="1"/>
  <c r="K10" i="1"/>
  <c r="G10" i="1"/>
  <c r="CA8" i="1"/>
  <c r="BX8" i="1"/>
  <c r="BV8" i="1"/>
  <c r="BU8" i="1"/>
  <c r="BT8" i="1"/>
  <c r="BS8" i="1"/>
  <c r="BR8" i="1"/>
  <c r="BQ8" i="1"/>
  <c r="BP8" i="1"/>
  <c r="BO8" i="1"/>
  <c r="BN8" i="1"/>
  <c r="BM8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BL5" i="1"/>
  <c r="BK168" i="3"/>
  <c r="BJ168" i="3"/>
  <c r="BI168" i="3"/>
  <c r="BH153" i="3"/>
  <c r="BI153" i="3" s="1"/>
  <c r="BJ153" i="3" s="1"/>
  <c r="BK153" i="3" s="1"/>
  <c r="BH149" i="3"/>
  <c r="BI149" i="3" s="1"/>
  <c r="BJ149" i="3" s="1"/>
  <c r="BK149" i="3" s="1"/>
  <c r="BH146" i="3"/>
  <c r="BI146" i="3" s="1"/>
  <c r="BJ146" i="3" s="1"/>
  <c r="BK146" i="3" s="1"/>
  <c r="BH145" i="3"/>
  <c r="BI145" i="3" s="1"/>
  <c r="BJ145" i="3" s="1"/>
  <c r="BK145" i="3" s="1"/>
  <c r="BH144" i="3"/>
  <c r="BI144" i="3" s="1"/>
  <c r="BJ144" i="3" s="1"/>
  <c r="BK144" i="3" s="1"/>
  <c r="BH143" i="3"/>
  <c r="BI143" i="3" s="1"/>
  <c r="BH138" i="3"/>
  <c r="BI138" i="3" s="1"/>
  <c r="BJ138" i="3" s="1"/>
  <c r="BK138" i="3" s="1"/>
  <c r="BH137" i="3"/>
  <c r="BI137" i="3" s="1"/>
  <c r="BJ137" i="3" s="1"/>
  <c r="BK137" i="3" s="1"/>
  <c r="BH136" i="3"/>
  <c r="BI136" i="3" s="1"/>
  <c r="BJ136" i="3" s="1"/>
  <c r="BK136" i="3" s="1"/>
  <c r="BH135" i="3"/>
  <c r="BI135" i="3" s="1"/>
  <c r="BJ135" i="3" s="1"/>
  <c r="BK135" i="3" s="1"/>
  <c r="BH134" i="3"/>
  <c r="BI134" i="3" s="1"/>
  <c r="BJ134" i="3" s="1"/>
  <c r="BK134" i="3" s="1"/>
  <c r="BH119" i="3"/>
  <c r="BI119" i="3" s="1"/>
  <c r="BJ119" i="3" s="1"/>
  <c r="BK119" i="3" s="1"/>
  <c r="BH118" i="3"/>
  <c r="BI118" i="3" s="1"/>
  <c r="BJ118" i="3" s="1"/>
  <c r="BK118" i="3" s="1"/>
  <c r="BH117" i="3"/>
  <c r="BI117" i="3" s="1"/>
  <c r="BJ117" i="3" s="1"/>
  <c r="BK117" i="3" s="1"/>
  <c r="BH116" i="3"/>
  <c r="BI116" i="3" s="1"/>
  <c r="BJ116" i="3" s="1"/>
  <c r="BK116" i="3" s="1"/>
  <c r="BH115" i="3"/>
  <c r="BI115" i="3" s="1"/>
  <c r="BJ115" i="3" s="1"/>
  <c r="BK115" i="3" s="1"/>
  <c r="BH114" i="3"/>
  <c r="BI114" i="3" s="1"/>
  <c r="BJ114" i="3" s="1"/>
  <c r="BK114" i="3" s="1"/>
  <c r="BK69" i="3"/>
  <c r="BJ69" i="3"/>
  <c r="BI69" i="3"/>
  <c r="BH69" i="3"/>
  <c r="BI68" i="3"/>
  <c r="BJ68" i="3" s="1"/>
  <c r="BK68" i="3" s="1"/>
  <c r="BK14" i="3"/>
  <c r="BK91" i="3" s="1"/>
  <c r="BJ14" i="3"/>
  <c r="BI14" i="3"/>
  <c r="BI91" i="3" s="1"/>
  <c r="BH14" i="3"/>
  <c r="BK125" i="2"/>
  <c r="BJ125" i="2"/>
  <c r="BI125" i="2"/>
  <c r="BK9" i="2"/>
  <c r="BK52" i="2" s="1"/>
  <c r="BK63" i="2" s="1"/>
  <c r="BJ9" i="2"/>
  <c r="BJ52" i="2" s="1"/>
  <c r="BJ63" i="2" s="1"/>
  <c r="BJ93" i="2" s="1"/>
  <c r="BI9" i="2"/>
  <c r="BI52" i="2" s="1"/>
  <c r="BI63" i="2" s="1"/>
  <c r="BI93" i="2" s="1"/>
  <c r="BH9" i="2"/>
  <c r="BK8" i="2"/>
  <c r="BK8" i="3" s="1"/>
  <c r="BJ8" i="2"/>
  <c r="BJ8" i="3" s="1"/>
  <c r="BI8" i="2"/>
  <c r="BI8" i="3" s="1"/>
  <c r="BH8" i="2"/>
  <c r="BH8" i="3" s="1"/>
  <c r="BK7" i="2"/>
  <c r="BK7" i="3" s="1"/>
  <c r="BJ7" i="2"/>
  <c r="BJ7" i="3" s="1"/>
  <c r="BI7" i="2"/>
  <c r="BI7" i="3" s="1"/>
  <c r="BH7" i="2"/>
  <c r="BH7" i="3" s="1"/>
  <c r="BK316" i="48"/>
  <c r="BJ316" i="48"/>
  <c r="BI316" i="48"/>
  <c r="BK9" i="48"/>
  <c r="BJ9" i="48"/>
  <c r="BI9" i="48"/>
  <c r="BI307" i="48"/>
  <c r="BH9" i="48"/>
  <c r="BH307" i="48" s="1"/>
  <c r="BK8" i="48"/>
  <c r="BJ8" i="48"/>
  <c r="BI8" i="48"/>
  <c r="BH8" i="48"/>
  <c r="BK7" i="48"/>
  <c r="BJ7" i="48"/>
  <c r="BI7" i="48"/>
  <c r="BH7" i="48"/>
  <c r="BZ316" i="48"/>
  <c r="BV316" i="48"/>
  <c r="BR316" i="48"/>
  <c r="BN316" i="48"/>
  <c r="AI304" i="48"/>
  <c r="AH304" i="48"/>
  <c r="AB304" i="48"/>
  <c r="AI300" i="48"/>
  <c r="AH300" i="48"/>
  <c r="AD288" i="48"/>
  <c r="AC288" i="48"/>
  <c r="AB288" i="48"/>
  <c r="AA288" i="48"/>
  <c r="Z288" i="48"/>
  <c r="Y288" i="48"/>
  <c r="X288" i="48"/>
  <c r="W288" i="48"/>
  <c r="V288" i="48"/>
  <c r="U288" i="48"/>
  <c r="T288" i="48"/>
  <c r="S288" i="48"/>
  <c r="R288" i="48"/>
  <c r="Q288" i="48"/>
  <c r="P288" i="48"/>
  <c r="O288" i="48"/>
  <c r="N288" i="48"/>
  <c r="M288" i="48"/>
  <c r="L288" i="48"/>
  <c r="K288" i="48"/>
  <c r="J288" i="48"/>
  <c r="I288" i="48"/>
  <c r="H288" i="48"/>
  <c r="G288" i="48"/>
  <c r="F288" i="48"/>
  <c r="E288" i="48"/>
  <c r="D288" i="48"/>
  <c r="AD285" i="48"/>
  <c r="AC285" i="48"/>
  <c r="AB285" i="48"/>
  <c r="AA285" i="48"/>
  <c r="Z285" i="48"/>
  <c r="Y285" i="48"/>
  <c r="X285" i="48"/>
  <c r="W285" i="48"/>
  <c r="V285" i="48"/>
  <c r="U285" i="48"/>
  <c r="T285" i="48"/>
  <c r="S285" i="48"/>
  <c r="R285" i="48"/>
  <c r="Q285" i="48"/>
  <c r="P285" i="48"/>
  <c r="O285" i="48"/>
  <c r="N285" i="48"/>
  <c r="M285" i="48"/>
  <c r="L285" i="48"/>
  <c r="K285" i="48"/>
  <c r="J285" i="48"/>
  <c r="I285" i="48"/>
  <c r="H285" i="48"/>
  <c r="G285" i="48"/>
  <c r="F285" i="48"/>
  <c r="E285" i="48"/>
  <c r="D285" i="48"/>
  <c r="BR284" i="48"/>
  <c r="BR285" i="48" s="1"/>
  <c r="BQ284" i="48"/>
  <c r="BQ285" i="48" s="1"/>
  <c r="BP284" i="48"/>
  <c r="BO284" i="48"/>
  <c r="BO285" i="48" s="1"/>
  <c r="BN284" i="48"/>
  <c r="BN285" i="48" s="1"/>
  <c r="BM284" i="48"/>
  <c r="BM285" i="48" s="1"/>
  <c r="AD281" i="48"/>
  <c r="AC281" i="48"/>
  <c r="AB281" i="48"/>
  <c r="AA281" i="48"/>
  <c r="Z281" i="48"/>
  <c r="Z297" i="48" s="1"/>
  <c r="Z313" i="48" s="1"/>
  <c r="Y281" i="48"/>
  <c r="X281" i="48"/>
  <c r="X297" i="48" s="1"/>
  <c r="X313" i="48" s="1"/>
  <c r="W281" i="48"/>
  <c r="W297" i="48"/>
  <c r="W313" i="48" s="1"/>
  <c r="V281" i="48"/>
  <c r="U281" i="48"/>
  <c r="U297" i="48" s="1"/>
  <c r="U313" i="48" s="1"/>
  <c r="T281" i="48"/>
  <c r="T289" i="48" s="1"/>
  <c r="T305" i="48" s="1"/>
  <c r="S281" i="48"/>
  <c r="R281" i="48"/>
  <c r="R297" i="48" s="1"/>
  <c r="R313" i="48" s="1"/>
  <c r="Q281" i="48"/>
  <c r="P281" i="48"/>
  <c r="O281" i="48"/>
  <c r="O297" i="48" s="1"/>
  <c r="O313" i="48" s="1"/>
  <c r="N281" i="48"/>
  <c r="M281" i="48"/>
  <c r="L281" i="48"/>
  <c r="K281" i="48"/>
  <c r="J281" i="48"/>
  <c r="J297" i="48" s="1"/>
  <c r="J313" i="48" s="1"/>
  <c r="I281" i="48"/>
  <c r="H281" i="48"/>
  <c r="G281" i="48"/>
  <c r="F281" i="48"/>
  <c r="E281" i="48"/>
  <c r="E297" i="48" s="1"/>
  <c r="E313" i="48" s="1"/>
  <c r="D281" i="48"/>
  <c r="BR280" i="48"/>
  <c r="BQ280" i="48"/>
  <c r="BP280" i="48"/>
  <c r="BP281" i="48" s="1"/>
  <c r="BP289" i="48" s="1"/>
  <c r="BO280" i="48"/>
  <c r="BO281" i="48" s="1"/>
  <c r="BN280" i="48"/>
  <c r="BM280" i="48"/>
  <c r="BN277" i="48"/>
  <c r="AG276" i="48"/>
  <c r="AF276" i="48"/>
  <c r="AE276" i="48"/>
  <c r="AD276" i="48"/>
  <c r="AC276" i="48"/>
  <c r="AB276" i="48"/>
  <c r="AA276" i="48"/>
  <c r="Y276" i="48"/>
  <c r="X276" i="48"/>
  <c r="W276" i="48"/>
  <c r="U276" i="48"/>
  <c r="T276" i="48"/>
  <c r="S276" i="48"/>
  <c r="Q276" i="48"/>
  <c r="P276" i="48"/>
  <c r="O276" i="48"/>
  <c r="M276" i="48"/>
  <c r="L276" i="48"/>
  <c r="K276" i="48"/>
  <c r="I276" i="48"/>
  <c r="H276" i="48"/>
  <c r="G276" i="48"/>
  <c r="F276" i="48"/>
  <c r="E276" i="48"/>
  <c r="D276" i="48"/>
  <c r="BR275" i="48"/>
  <c r="BQ275" i="48"/>
  <c r="BP275" i="48"/>
  <c r="BO275" i="48"/>
  <c r="BN275" i="48"/>
  <c r="BR274" i="48"/>
  <c r="BQ274" i="48"/>
  <c r="BP274" i="48"/>
  <c r="BO274" i="48"/>
  <c r="BN274" i="48"/>
  <c r="AA274" i="48"/>
  <c r="W274" i="48"/>
  <c r="S274" i="48"/>
  <c r="O274" i="48"/>
  <c r="K274" i="48"/>
  <c r="Z273" i="48"/>
  <c r="Y273" i="48"/>
  <c r="X273" i="48"/>
  <c r="BR270" i="48"/>
  <c r="BQ270" i="48"/>
  <c r="BP270" i="48"/>
  <c r="BO270" i="48"/>
  <c r="BN270" i="48"/>
  <c r="X270" i="48"/>
  <c r="V270" i="48"/>
  <c r="U270" i="48"/>
  <c r="T270" i="48"/>
  <c r="S270" i="48"/>
  <c r="R270" i="48"/>
  <c r="Q270" i="48"/>
  <c r="P270" i="48"/>
  <c r="N270" i="48"/>
  <c r="M270" i="48"/>
  <c r="L270" i="48"/>
  <c r="K270" i="48"/>
  <c r="J270" i="48"/>
  <c r="I270" i="48"/>
  <c r="H270" i="48"/>
  <c r="AG268" i="48"/>
  <c r="AF268" i="48"/>
  <c r="AF270" i="48" s="1"/>
  <c r="AE268" i="48"/>
  <c r="AE270" i="48" s="1"/>
  <c r="AD268" i="48"/>
  <c r="AD270" i="48" s="1"/>
  <c r="AC268" i="48"/>
  <c r="AC270" i="48"/>
  <c r="AA268" i="48"/>
  <c r="AA270" i="48" s="1"/>
  <c r="Z268" i="48"/>
  <c r="Z270" i="48" s="1"/>
  <c r="Y268" i="48"/>
  <c r="Y270" i="48" s="1"/>
  <c r="W268" i="48"/>
  <c r="W270" i="48" s="1"/>
  <c r="O268" i="48"/>
  <c r="O270" i="48" s="1"/>
  <c r="AB267" i="48"/>
  <c r="AB268" i="48"/>
  <c r="AB270" i="48" s="1"/>
  <c r="B267" i="48"/>
  <c r="B266" i="48"/>
  <c r="BP259" i="48"/>
  <c r="BN259" i="48"/>
  <c r="Y259" i="48"/>
  <c r="W259" i="48"/>
  <c r="BQ259" i="48" s="1"/>
  <c r="BP257" i="48"/>
  <c r="BP261" i="48" s="1"/>
  <c r="BN257" i="48"/>
  <c r="AI262" i="48"/>
  <c r="AH262" i="48"/>
  <c r="AG262" i="48"/>
  <c r="AF262" i="48"/>
  <c r="AE262" i="48"/>
  <c r="AD259" i="48"/>
  <c r="AE259" i="48" s="1"/>
  <c r="AC259" i="48"/>
  <c r="Z259" i="48"/>
  <c r="AD257" i="48"/>
  <c r="AC257" i="48"/>
  <c r="AB257" i="48"/>
  <c r="Z257" i="48"/>
  <c r="Y257" i="48"/>
  <c r="Y261" i="48" s="1"/>
  <c r="Y263" i="48" s="1"/>
  <c r="B251" i="48"/>
  <c r="B250" i="48"/>
  <c r="B249" i="48"/>
  <c r="B248" i="48"/>
  <c r="B247" i="48"/>
  <c r="B246" i="48"/>
  <c r="B245" i="48"/>
  <c r="AL251" i="48"/>
  <c r="AK251" i="48"/>
  <c r="AJ251" i="48"/>
  <c r="AH251" i="48"/>
  <c r="AG251" i="48"/>
  <c r="AF251" i="48"/>
  <c r="AD251" i="48"/>
  <c r="AC251" i="48"/>
  <c r="AB251" i="48"/>
  <c r="Z251" i="48"/>
  <c r="Y251" i="48"/>
  <c r="X251" i="48"/>
  <c r="W251" i="48"/>
  <c r="V251" i="48"/>
  <c r="U251" i="48"/>
  <c r="T251" i="48"/>
  <c r="S251" i="48"/>
  <c r="R251" i="48"/>
  <c r="Q251" i="48"/>
  <c r="P251" i="48"/>
  <c r="O251" i="48"/>
  <c r="N251" i="48"/>
  <c r="M251" i="48"/>
  <c r="L251" i="48"/>
  <c r="J251" i="48"/>
  <c r="I251" i="48"/>
  <c r="H251" i="48"/>
  <c r="AL250" i="48"/>
  <c r="AK250" i="48"/>
  <c r="AJ250" i="48"/>
  <c r="AH250" i="48"/>
  <c r="AG250" i="48"/>
  <c r="AF250" i="48"/>
  <c r="AD250" i="48"/>
  <c r="AC250" i="48"/>
  <c r="AB250" i="48"/>
  <c r="Z250" i="48"/>
  <c r="Y250" i="48"/>
  <c r="X250" i="48"/>
  <c r="W250" i="48"/>
  <c r="V250" i="48"/>
  <c r="U250" i="48"/>
  <c r="T250" i="48"/>
  <c r="S250" i="48"/>
  <c r="R250" i="48"/>
  <c r="Q250" i="48"/>
  <c r="P250" i="48"/>
  <c r="O250" i="48"/>
  <c r="N250" i="48"/>
  <c r="M250" i="48"/>
  <c r="L250" i="48"/>
  <c r="J250" i="48"/>
  <c r="I250" i="48"/>
  <c r="H250" i="48"/>
  <c r="AL249" i="48"/>
  <c r="AK249" i="48"/>
  <c r="AJ249" i="48"/>
  <c r="AG249" i="48"/>
  <c r="AF249" i="48"/>
  <c r="AD249" i="48"/>
  <c r="AC249" i="48"/>
  <c r="AB249" i="48"/>
  <c r="Z249" i="48"/>
  <c r="Y249" i="48"/>
  <c r="X249" i="48"/>
  <c r="V249" i="48"/>
  <c r="U249" i="48"/>
  <c r="T249" i="48"/>
  <c r="R249" i="48"/>
  <c r="Q249" i="48"/>
  <c r="P249" i="48"/>
  <c r="N249" i="48"/>
  <c r="M249" i="48"/>
  <c r="L249" i="48"/>
  <c r="J249" i="48"/>
  <c r="I249" i="48"/>
  <c r="H249" i="48"/>
  <c r="AL248" i="48"/>
  <c r="AK248" i="48"/>
  <c r="AJ248" i="48"/>
  <c r="AH248" i="48"/>
  <c r="AG248" i="48"/>
  <c r="AF248" i="48"/>
  <c r="AD248" i="48"/>
  <c r="AC248" i="48"/>
  <c r="AB248" i="48"/>
  <c r="AA248" i="48"/>
  <c r="Z248" i="48"/>
  <c r="Y248" i="48"/>
  <c r="X248" i="48"/>
  <c r="W248" i="48"/>
  <c r="V248" i="48"/>
  <c r="U248" i="48"/>
  <c r="T248" i="48"/>
  <c r="S248" i="48"/>
  <c r="R248" i="48"/>
  <c r="Q248" i="48"/>
  <c r="P248" i="48"/>
  <c r="N248" i="48"/>
  <c r="M248" i="48"/>
  <c r="L248" i="48"/>
  <c r="J248" i="48"/>
  <c r="I248" i="48"/>
  <c r="H248" i="48"/>
  <c r="AL247" i="48"/>
  <c r="AK247" i="48"/>
  <c r="AJ247" i="48"/>
  <c r="AH247" i="48"/>
  <c r="AG247" i="48"/>
  <c r="AF247" i="48"/>
  <c r="AD247" i="48"/>
  <c r="AC247" i="48"/>
  <c r="AB247" i="48"/>
  <c r="Z247" i="48"/>
  <c r="Y247" i="48"/>
  <c r="X247" i="48"/>
  <c r="W247" i="48"/>
  <c r="V247" i="48"/>
  <c r="U247" i="48"/>
  <c r="T247" i="48"/>
  <c r="R247" i="48"/>
  <c r="Q247" i="48"/>
  <c r="P247" i="48"/>
  <c r="N247" i="48"/>
  <c r="M247" i="48"/>
  <c r="L247" i="48"/>
  <c r="J247" i="48"/>
  <c r="I247" i="48"/>
  <c r="H247" i="48"/>
  <c r="AL246" i="48"/>
  <c r="AK246" i="48"/>
  <c r="AJ246" i="48"/>
  <c r="AH246" i="48"/>
  <c r="AG246" i="48"/>
  <c r="AF246" i="48"/>
  <c r="AD246" i="48"/>
  <c r="AC246" i="48"/>
  <c r="AB246" i="48"/>
  <c r="Z246" i="48"/>
  <c r="Y246" i="48"/>
  <c r="X246" i="48"/>
  <c r="V246" i="48"/>
  <c r="U246" i="48"/>
  <c r="T246" i="48"/>
  <c r="R246" i="48"/>
  <c r="Q246" i="48"/>
  <c r="P246" i="48"/>
  <c r="N246" i="48"/>
  <c r="M246" i="48"/>
  <c r="L246" i="48"/>
  <c r="J246" i="48"/>
  <c r="I246" i="48"/>
  <c r="H246" i="48"/>
  <c r="AL245" i="48"/>
  <c r="AK245" i="48"/>
  <c r="AJ245" i="48"/>
  <c r="AH245" i="48"/>
  <c r="AG245" i="48"/>
  <c r="AF245" i="48"/>
  <c r="AD245" i="48"/>
  <c r="AC245" i="48"/>
  <c r="AB245" i="48"/>
  <c r="Z245" i="48"/>
  <c r="Y245" i="48"/>
  <c r="X245" i="48"/>
  <c r="W245" i="48"/>
  <c r="V245" i="48"/>
  <c r="U245" i="48"/>
  <c r="T245" i="48"/>
  <c r="S245" i="48"/>
  <c r="R245" i="48"/>
  <c r="Q245" i="48"/>
  <c r="P245" i="48"/>
  <c r="N245" i="48"/>
  <c r="M245" i="48"/>
  <c r="L245" i="48"/>
  <c r="J245" i="48"/>
  <c r="I245" i="48"/>
  <c r="H245" i="48"/>
  <c r="AL240" i="48"/>
  <c r="AL242" i="48" s="1"/>
  <c r="AK240" i="48"/>
  <c r="AK242" i="48" s="1"/>
  <c r="AJ240" i="48"/>
  <c r="AJ242" i="48" s="1"/>
  <c r="AG240" i="48"/>
  <c r="AG242" i="48" s="1"/>
  <c r="AF240" i="48"/>
  <c r="AF242" i="48" s="1"/>
  <c r="AD240" i="48"/>
  <c r="AD242" i="48" s="1"/>
  <c r="AC240" i="48"/>
  <c r="AC242" i="48" s="1"/>
  <c r="AB240" i="48"/>
  <c r="AA240" i="48"/>
  <c r="Z240" i="48"/>
  <c r="Z242" i="48" s="1"/>
  <c r="Y240" i="48"/>
  <c r="Y242" i="48" s="1"/>
  <c r="X240" i="48"/>
  <c r="X242" i="48" s="1"/>
  <c r="W240" i="48"/>
  <c r="V240" i="48"/>
  <c r="V242" i="48" s="1"/>
  <c r="U240" i="48"/>
  <c r="U242" i="48" s="1"/>
  <c r="T240" i="48"/>
  <c r="T242" i="48" s="1"/>
  <c r="S240" i="48"/>
  <c r="R240" i="48"/>
  <c r="R242" i="48" s="1"/>
  <c r="Q240" i="48"/>
  <c r="Q242" i="48" s="1"/>
  <c r="P240" i="48"/>
  <c r="P242" i="48" s="1"/>
  <c r="O240" i="48"/>
  <c r="N240" i="48"/>
  <c r="N242" i="48" s="1"/>
  <c r="M240" i="48"/>
  <c r="M242" i="48" s="1"/>
  <c r="L240" i="48"/>
  <c r="L242" i="48" s="1"/>
  <c r="K240" i="48"/>
  <c r="K242" i="48" s="1"/>
  <c r="J240" i="48"/>
  <c r="J242" i="48" s="1"/>
  <c r="I240" i="48"/>
  <c r="I242" i="48" s="1"/>
  <c r="H240" i="48"/>
  <c r="H242" i="48" s="1"/>
  <c r="AM239" i="48"/>
  <c r="AM251" i="48" s="1"/>
  <c r="AM238" i="48"/>
  <c r="AM250" i="48"/>
  <c r="AM237" i="48"/>
  <c r="AM249" i="48" s="1"/>
  <c r="AM236" i="48"/>
  <c r="AM248" i="48" s="1"/>
  <c r="AM235" i="48"/>
  <c r="AM247" i="48" s="1"/>
  <c r="AM234" i="48"/>
  <c r="AM246" i="48" s="1"/>
  <c r="AM233" i="48"/>
  <c r="AM245" i="48" s="1"/>
  <c r="AI239" i="48"/>
  <c r="AI251" i="48" s="1"/>
  <c r="AI238" i="48"/>
  <c r="AI250" i="48" s="1"/>
  <c r="AI236" i="48"/>
  <c r="AI248" i="48" s="1"/>
  <c r="AI235" i="48"/>
  <c r="AI247" i="48" s="1"/>
  <c r="AI234" i="48"/>
  <c r="AI233" i="48"/>
  <c r="AI245" i="48" s="1"/>
  <c r="AE239" i="48"/>
  <c r="AE251" i="48" s="1"/>
  <c r="AE238" i="48"/>
  <c r="AE250" i="48" s="1"/>
  <c r="AE237" i="48"/>
  <c r="BS237" i="48" s="1"/>
  <c r="BS249" i="48" s="1"/>
  <c r="AE236" i="48"/>
  <c r="AE235" i="48"/>
  <c r="BS235" i="48"/>
  <c r="AE234" i="48"/>
  <c r="AE233" i="48"/>
  <c r="AH237" i="48"/>
  <c r="AH249" i="48"/>
  <c r="BR239" i="48"/>
  <c r="BQ239" i="48"/>
  <c r="BP239" i="48"/>
  <c r="BO239" i="48"/>
  <c r="BN239" i="48"/>
  <c r="BR238" i="48"/>
  <c r="BQ238" i="48"/>
  <c r="BP238" i="48"/>
  <c r="BO238" i="48"/>
  <c r="BN238" i="48"/>
  <c r="BR237" i="48"/>
  <c r="BQ237" i="48"/>
  <c r="BP237" i="48"/>
  <c r="BO237" i="48"/>
  <c r="BN237" i="48"/>
  <c r="BR236" i="48"/>
  <c r="BQ236" i="48"/>
  <c r="BP236" i="48"/>
  <c r="BO236" i="48"/>
  <c r="BN236" i="48"/>
  <c r="BR235" i="48"/>
  <c r="BQ235" i="48"/>
  <c r="BP235" i="48"/>
  <c r="BO235" i="48"/>
  <c r="BN235" i="48"/>
  <c r="BR234" i="48"/>
  <c r="BQ234" i="48"/>
  <c r="BP234" i="48"/>
  <c r="BO234" i="48"/>
  <c r="BN234" i="48"/>
  <c r="BR233" i="48"/>
  <c r="BQ233" i="48"/>
  <c r="BP233" i="48"/>
  <c r="BO233" i="48"/>
  <c r="BN233" i="48"/>
  <c r="BQ230" i="48"/>
  <c r="BP230" i="48"/>
  <c r="BO230" i="48"/>
  <c r="AM228" i="48"/>
  <c r="AL228" i="48"/>
  <c r="AK228" i="48"/>
  <c r="AJ228" i="48"/>
  <c r="AI228" i="48"/>
  <c r="AH228" i="48"/>
  <c r="AG228" i="48"/>
  <c r="AF228" i="48"/>
  <c r="AF230" i="48" s="1"/>
  <c r="AE228" i="48"/>
  <c r="AE230" i="48" s="1"/>
  <c r="AD228" i="48"/>
  <c r="AD230" i="48" s="1"/>
  <c r="AC228" i="48"/>
  <c r="AC230" i="48" s="1"/>
  <c r="AB228" i="48"/>
  <c r="AB230" i="48" s="1"/>
  <c r="AA228" i="48"/>
  <c r="AA230" i="48" s="1"/>
  <c r="Z228" i="48"/>
  <c r="Z230" i="48" s="1"/>
  <c r="Y228" i="48"/>
  <c r="Y230" i="48" s="1"/>
  <c r="X228" i="48"/>
  <c r="X230" i="48" s="1"/>
  <c r="W228" i="48"/>
  <c r="W230" i="48" s="1"/>
  <c r="V228" i="48"/>
  <c r="V230" i="48" s="1"/>
  <c r="U228" i="48"/>
  <c r="U230" i="48" s="1"/>
  <c r="T228" i="48"/>
  <c r="T230" i="48" s="1"/>
  <c r="S228" i="48"/>
  <c r="S230" i="48" s="1"/>
  <c r="R228" i="48"/>
  <c r="R230" i="48" s="1"/>
  <c r="Q228" i="48"/>
  <c r="Q230" i="48" s="1"/>
  <c r="P228" i="48"/>
  <c r="P230" i="48" s="1"/>
  <c r="O228" i="48"/>
  <c r="O230" i="48" s="1"/>
  <c r="N228" i="48"/>
  <c r="N230" i="48" s="1"/>
  <c r="M228" i="48"/>
  <c r="M230" i="48" s="1"/>
  <c r="B227" i="48"/>
  <c r="B226" i="48"/>
  <c r="B225" i="48"/>
  <c r="B224" i="48"/>
  <c r="AG203" i="48"/>
  <c r="AF203" i="48"/>
  <c r="AG199" i="48"/>
  <c r="BT196" i="48"/>
  <c r="BS192" i="48"/>
  <c r="BT192" i="48"/>
  <c r="BU191" i="48"/>
  <c r="AI193" i="48"/>
  <c r="AM188" i="48"/>
  <c r="AL188" i="48"/>
  <c r="AK188" i="48"/>
  <c r="BS191" i="48"/>
  <c r="AH193" i="48"/>
  <c r="AG193" i="48"/>
  <c r="AG188" i="48"/>
  <c r="AF188" i="48"/>
  <c r="AE188" i="48"/>
  <c r="BS190" i="48"/>
  <c r="AD188" i="48"/>
  <c r="AC188" i="48"/>
  <c r="AB188" i="48"/>
  <c r="BS186" i="48"/>
  <c r="BS182" i="48"/>
  <c r="AJ182" i="48"/>
  <c r="AJ203" i="48" s="1"/>
  <c r="AK181" i="48"/>
  <c r="AJ177" i="48"/>
  <c r="AK177" i="48" s="1"/>
  <c r="BO167" i="48"/>
  <c r="BN167" i="48"/>
  <c r="AF167" i="48"/>
  <c r="AE167" i="48"/>
  <c r="AD167" i="48"/>
  <c r="AC167" i="48"/>
  <c r="AB167" i="48"/>
  <c r="AA167" i="48"/>
  <c r="Z167" i="48"/>
  <c r="Y167" i="48"/>
  <c r="X167" i="48"/>
  <c r="W167" i="48"/>
  <c r="V167" i="48"/>
  <c r="U167" i="48"/>
  <c r="T167" i="48"/>
  <c r="S167" i="48"/>
  <c r="R167" i="48"/>
  <c r="Q167" i="48"/>
  <c r="P167" i="48"/>
  <c r="O167" i="48"/>
  <c r="N167" i="48"/>
  <c r="M167" i="48"/>
  <c r="L167" i="48"/>
  <c r="K167" i="48"/>
  <c r="J167" i="48"/>
  <c r="I167" i="48"/>
  <c r="H167" i="48"/>
  <c r="BS165" i="48"/>
  <c r="BS167" i="48" s="1"/>
  <c r="BQ165" i="48"/>
  <c r="BQ167" i="48" s="1"/>
  <c r="BP165" i="48"/>
  <c r="BP167" i="48" s="1"/>
  <c r="B164" i="48"/>
  <c r="B163" i="48"/>
  <c r="B162" i="48"/>
  <c r="BR163" i="48"/>
  <c r="AG156" i="48"/>
  <c r="AF156" i="48"/>
  <c r="AE156" i="48"/>
  <c r="AD156" i="48"/>
  <c r="AC156" i="48"/>
  <c r="AB156" i="48"/>
  <c r="B148" i="48"/>
  <c r="AF145" i="48"/>
  <c r="AE145" i="48"/>
  <c r="AD145" i="48"/>
  <c r="AC145" i="48"/>
  <c r="AB145" i="48"/>
  <c r="AA145" i="48"/>
  <c r="Z145" i="48"/>
  <c r="Y145" i="48"/>
  <c r="X145" i="48"/>
  <c r="W145" i="48"/>
  <c r="V145" i="48"/>
  <c r="U145" i="48"/>
  <c r="T145" i="48"/>
  <c r="S145" i="48"/>
  <c r="R145" i="48"/>
  <c r="Q145" i="48"/>
  <c r="P145" i="48"/>
  <c r="O145" i="48"/>
  <c r="N145" i="48"/>
  <c r="M145" i="48"/>
  <c r="L145" i="48"/>
  <c r="K145" i="48"/>
  <c r="J145" i="48"/>
  <c r="I145" i="48"/>
  <c r="H145" i="48"/>
  <c r="G145" i="48"/>
  <c r="F145" i="48"/>
  <c r="E145" i="48"/>
  <c r="D145" i="48"/>
  <c r="BR144" i="48"/>
  <c r="BR145" i="48" s="1"/>
  <c r="BQ144" i="48"/>
  <c r="BQ145" i="48" s="1"/>
  <c r="BP144" i="48"/>
  <c r="BP145" i="48" s="1"/>
  <c r="BO144" i="48"/>
  <c r="BN144" i="48"/>
  <c r="AY133" i="48"/>
  <c r="AX133" i="48"/>
  <c r="AW133" i="48"/>
  <c r="AV133" i="48"/>
  <c r="AU133" i="48"/>
  <c r="AT133" i="48"/>
  <c r="AS133" i="48"/>
  <c r="AR133" i="48"/>
  <c r="AQ133" i="48"/>
  <c r="AP133" i="48"/>
  <c r="AO133" i="48"/>
  <c r="AN133" i="48"/>
  <c r="AM133" i="48"/>
  <c r="AL133" i="48"/>
  <c r="AK133" i="48"/>
  <c r="AJ133" i="48"/>
  <c r="AI133" i="48"/>
  <c r="AH133" i="48"/>
  <c r="AG133" i="48"/>
  <c r="AF133" i="48"/>
  <c r="AE133" i="48"/>
  <c r="AD133" i="48"/>
  <c r="AC133" i="48"/>
  <c r="AB133" i="48"/>
  <c r="AA133" i="48"/>
  <c r="Z133" i="48"/>
  <c r="Y133" i="48"/>
  <c r="X133" i="48"/>
  <c r="B123" i="48"/>
  <c r="B84" i="48" s="1"/>
  <c r="B122" i="48"/>
  <c r="B66" i="48" s="1"/>
  <c r="B121" i="48"/>
  <c r="B48" i="48" s="1"/>
  <c r="B120" i="48"/>
  <c r="B29" i="48" s="1"/>
  <c r="B119" i="48"/>
  <c r="BQ123" i="48"/>
  <c r="BP123" i="48"/>
  <c r="BO123" i="48"/>
  <c r="BQ122" i="48"/>
  <c r="BP122" i="48"/>
  <c r="BO122" i="48"/>
  <c r="BQ121" i="48"/>
  <c r="BP121" i="48"/>
  <c r="BO121" i="48"/>
  <c r="BQ120" i="48"/>
  <c r="BP120" i="48"/>
  <c r="BO120" i="48"/>
  <c r="BQ119" i="48"/>
  <c r="BP119" i="48"/>
  <c r="BO119" i="48"/>
  <c r="CN110" i="48"/>
  <c r="CM110" i="48"/>
  <c r="BU110" i="48"/>
  <c r="BT110" i="48"/>
  <c r="AX111" i="48"/>
  <c r="AW111" i="48"/>
  <c r="AF111" i="48"/>
  <c r="AD111" i="48"/>
  <c r="AY110" i="48"/>
  <c r="AX110" i="48"/>
  <c r="AW110" i="48"/>
  <c r="AW120" i="48" s="1"/>
  <c r="AW29" i="48" s="1"/>
  <c r="AV110" i="48"/>
  <c r="AU110" i="48"/>
  <c r="AT110" i="48"/>
  <c r="AT119" i="48" s="1"/>
  <c r="AT12" i="48" s="1"/>
  <c r="AS110" i="48"/>
  <c r="AR110" i="48"/>
  <c r="AR120" i="48" s="1"/>
  <c r="AR29" i="48" s="1"/>
  <c r="AQ110" i="48"/>
  <c r="AP110" i="48"/>
  <c r="AO110" i="48"/>
  <c r="AN110" i="48"/>
  <c r="AM110" i="48"/>
  <c r="AL110" i="48"/>
  <c r="AK110" i="48"/>
  <c r="AJ110" i="48"/>
  <c r="AI110" i="48"/>
  <c r="AH110" i="48"/>
  <c r="AG110" i="48"/>
  <c r="AG119" i="48" s="1"/>
  <c r="AG12" i="48" s="1"/>
  <c r="AF110" i="48"/>
  <c r="AE110" i="48"/>
  <c r="AD110" i="48"/>
  <c r="AC110" i="48"/>
  <c r="AB110" i="48"/>
  <c r="Z110" i="48"/>
  <c r="Z137" i="48" s="1"/>
  <c r="Y110" i="48"/>
  <c r="X110" i="48"/>
  <c r="W110" i="48"/>
  <c r="V110" i="48"/>
  <c r="U110" i="48"/>
  <c r="T110" i="48"/>
  <c r="T148" i="48" s="1"/>
  <c r="T149" i="48" s="1"/>
  <c r="T151" i="48" s="1"/>
  <c r="S110" i="48"/>
  <c r="R110" i="48"/>
  <c r="R137" i="48" s="1"/>
  <c r="Q110" i="48"/>
  <c r="Q114" i="48" s="1"/>
  <c r="P110" i="48"/>
  <c r="N110" i="48"/>
  <c r="M110" i="48"/>
  <c r="M137" i="48" s="1"/>
  <c r="L110" i="48"/>
  <c r="L148" i="48" s="1"/>
  <c r="L149" i="48" s="1"/>
  <c r="L151" i="48" s="1"/>
  <c r="J110" i="48"/>
  <c r="J148" i="48" s="1"/>
  <c r="J149" i="48" s="1"/>
  <c r="J151" i="48" s="1"/>
  <c r="I110" i="48"/>
  <c r="I148" i="48" s="1"/>
  <c r="I149" i="48" s="1"/>
  <c r="I151" i="48" s="1"/>
  <c r="H110" i="48"/>
  <c r="H148" i="48" s="1"/>
  <c r="H149" i="48" s="1"/>
  <c r="H151" i="48" s="1"/>
  <c r="G110" i="48"/>
  <c r="G148" i="48" s="1"/>
  <c r="G149" i="48" s="1"/>
  <c r="G151" i="48" s="1"/>
  <c r="F110" i="48"/>
  <c r="F148" i="48" s="1"/>
  <c r="F149" i="48" s="1"/>
  <c r="F151" i="48" s="1"/>
  <c r="E110" i="48"/>
  <c r="E148" i="48" s="1"/>
  <c r="E149" i="48" s="1"/>
  <c r="E151" i="48" s="1"/>
  <c r="D110" i="48"/>
  <c r="D148" i="48" s="1"/>
  <c r="D149" i="48" s="1"/>
  <c r="D151" i="48" s="1"/>
  <c r="W108" i="48"/>
  <c r="V108" i="48"/>
  <c r="U108" i="48"/>
  <c r="T108" i="48"/>
  <c r="S108" i="48"/>
  <c r="R108" i="48"/>
  <c r="Q108" i="48"/>
  <c r="AJ102" i="48"/>
  <c r="AN102" i="48" s="1"/>
  <c r="AR102" i="48" s="1"/>
  <c r="AV102" i="48" s="1"/>
  <c r="AZ102" i="48" s="1"/>
  <c r="BD102" i="48" s="1"/>
  <c r="BH102" i="48" s="1"/>
  <c r="AX98" i="48"/>
  <c r="AX82" i="48"/>
  <c r="AX64" i="48"/>
  <c r="AX45" i="48"/>
  <c r="CR9" i="48"/>
  <c r="CQ9" i="48"/>
  <c r="CP9" i="48"/>
  <c r="CO9" i="48"/>
  <c r="CN9" i="48"/>
  <c r="CM9" i="48"/>
  <c r="CL9" i="48"/>
  <c r="CK9" i="48"/>
  <c r="CJ9" i="48"/>
  <c r="CI9" i="48"/>
  <c r="CH9" i="48"/>
  <c r="CG9" i="48"/>
  <c r="CA9" i="48"/>
  <c r="BZ9" i="48"/>
  <c r="BY9" i="48"/>
  <c r="BX9" i="48"/>
  <c r="BW9" i="48"/>
  <c r="BV9" i="48"/>
  <c r="BU9" i="48"/>
  <c r="BT9" i="48"/>
  <c r="BT287" i="48" s="1"/>
  <c r="BS9" i="48"/>
  <c r="BR9" i="48"/>
  <c r="BQ9" i="48"/>
  <c r="BP9" i="48"/>
  <c r="BO9" i="48"/>
  <c r="BN9" i="48"/>
  <c r="BM9" i="48"/>
  <c r="BG9" i="48"/>
  <c r="BF9" i="48"/>
  <c r="BF291" i="48" s="1"/>
  <c r="BE9" i="48"/>
  <c r="BD9" i="48"/>
  <c r="BC9" i="48"/>
  <c r="BC307" i="48" s="1"/>
  <c r="BB9" i="48"/>
  <c r="BB291" i="48" s="1"/>
  <c r="BA9" i="48"/>
  <c r="AZ9" i="48"/>
  <c r="AY9" i="48"/>
  <c r="AY291" i="48" s="1"/>
  <c r="AX9" i="48"/>
  <c r="AX307" i="48" s="1"/>
  <c r="AW9" i="48"/>
  <c r="AV9" i="48"/>
  <c r="AU9" i="48"/>
  <c r="AU291" i="48" s="1"/>
  <c r="AT9" i="48"/>
  <c r="AT307" i="48" s="1"/>
  <c r="AS9" i="48"/>
  <c r="AR9" i="48"/>
  <c r="AQ9" i="48"/>
  <c r="AQ291" i="48" s="1"/>
  <c r="AP9" i="48"/>
  <c r="AO9" i="48"/>
  <c r="AN9" i="48"/>
  <c r="AN307" i="48" s="1"/>
  <c r="AM9" i="48"/>
  <c r="AM307" i="48" s="1"/>
  <c r="AL9" i="48"/>
  <c r="AL307" i="48" s="1"/>
  <c r="AK9" i="48"/>
  <c r="AK291" i="48" s="1"/>
  <c r="AJ9" i="48"/>
  <c r="AJ307" i="48" s="1"/>
  <c r="AI9" i="48"/>
  <c r="AH9" i="48"/>
  <c r="AH307" i="48" s="1"/>
  <c r="AG9" i="48"/>
  <c r="AF9" i="48"/>
  <c r="AE9" i="48"/>
  <c r="AD9" i="48"/>
  <c r="AD307" i="48" s="1"/>
  <c r="AC9" i="48"/>
  <c r="AB9" i="48"/>
  <c r="AA9" i="48"/>
  <c r="Z9" i="48"/>
  <c r="Z307" i="48" s="1"/>
  <c r="Y9" i="48"/>
  <c r="Y232" i="48" s="1"/>
  <c r="X9" i="48"/>
  <c r="W9" i="48"/>
  <c r="V9" i="48"/>
  <c r="V291" i="48" s="1"/>
  <c r="U9" i="48"/>
  <c r="U291" i="48" s="1"/>
  <c r="T9" i="48"/>
  <c r="S9" i="48"/>
  <c r="S291" i="48" s="1"/>
  <c r="R9" i="48"/>
  <c r="Q9" i="48"/>
  <c r="P9" i="48"/>
  <c r="O9" i="48"/>
  <c r="O307" i="48" s="1"/>
  <c r="N9" i="48"/>
  <c r="N147" i="48" s="1"/>
  <c r="M9" i="48"/>
  <c r="L9" i="48"/>
  <c r="K9" i="48"/>
  <c r="K307" i="48" s="1"/>
  <c r="J9" i="48"/>
  <c r="I9" i="48"/>
  <c r="H9" i="48"/>
  <c r="H307" i="48" s="1"/>
  <c r="G9" i="48"/>
  <c r="F9" i="48"/>
  <c r="E9" i="48"/>
  <c r="D9" i="48"/>
  <c r="D307" i="48" s="1"/>
  <c r="BG8" i="48"/>
  <c r="BF8" i="48"/>
  <c r="BE8" i="48"/>
  <c r="BD8" i="48"/>
  <c r="BC8" i="48"/>
  <c r="BB8" i="48"/>
  <c r="BA8" i="48"/>
  <c r="AZ8" i="48"/>
  <c r="AY8" i="48"/>
  <c r="AX8" i="48"/>
  <c r="AW8" i="48"/>
  <c r="AV8" i="48"/>
  <c r="AU8" i="48"/>
  <c r="AT8" i="48"/>
  <c r="AS8" i="48"/>
  <c r="AR8" i="48"/>
  <c r="AQ8" i="48"/>
  <c r="AP8" i="48"/>
  <c r="AO8" i="48"/>
  <c r="AN8" i="48"/>
  <c r="AM8" i="48"/>
  <c r="AL8" i="48"/>
  <c r="AK8" i="48"/>
  <c r="AJ8" i="48"/>
  <c r="AI8" i="48"/>
  <c r="AH8" i="48"/>
  <c r="AG8" i="48"/>
  <c r="AF8" i="48"/>
  <c r="AE8" i="48"/>
  <c r="AD8" i="48"/>
  <c r="AC8" i="48"/>
  <c r="AB8" i="48"/>
  <c r="AA8" i="48"/>
  <c r="Z8" i="48"/>
  <c r="Y8" i="48"/>
  <c r="X8" i="48"/>
  <c r="W8" i="48"/>
  <c r="V8" i="48"/>
  <c r="U8" i="48"/>
  <c r="T8" i="48"/>
  <c r="S8" i="48"/>
  <c r="R8" i="48"/>
  <c r="Q8" i="48"/>
  <c r="P8" i="48"/>
  <c r="O8" i="48"/>
  <c r="N8" i="48"/>
  <c r="M8" i="48"/>
  <c r="L8" i="48"/>
  <c r="K8" i="48"/>
  <c r="J8" i="48"/>
  <c r="I8" i="48"/>
  <c r="H8" i="48"/>
  <c r="G8" i="48"/>
  <c r="F8" i="48"/>
  <c r="E8" i="48"/>
  <c r="D8" i="48"/>
  <c r="BG7" i="48"/>
  <c r="BF7" i="48"/>
  <c r="BE7" i="48"/>
  <c r="BD7" i="48"/>
  <c r="BC7" i="48"/>
  <c r="BB7" i="48"/>
  <c r="BA7" i="48"/>
  <c r="AZ7" i="48"/>
  <c r="AY7" i="48"/>
  <c r="AX7" i="48"/>
  <c r="AW7" i="48"/>
  <c r="AV7" i="48"/>
  <c r="AU7" i="48"/>
  <c r="AT7" i="48"/>
  <c r="AS7" i="48"/>
  <c r="AR7" i="48"/>
  <c r="AQ7" i="48"/>
  <c r="AP7" i="48"/>
  <c r="AO7" i="48"/>
  <c r="AN7" i="48"/>
  <c r="AM7" i="48"/>
  <c r="AL7" i="48"/>
  <c r="AK7" i="48"/>
  <c r="AJ7" i="48"/>
  <c r="AI7" i="48"/>
  <c r="AH7" i="48"/>
  <c r="AG7" i="48"/>
  <c r="AF7" i="48"/>
  <c r="AE7" i="48"/>
  <c r="AD7" i="48"/>
  <c r="AC7" i="48"/>
  <c r="AB7" i="48"/>
  <c r="AA7" i="48"/>
  <c r="Z7" i="48"/>
  <c r="Y7" i="48"/>
  <c r="X7" i="48"/>
  <c r="W7" i="48"/>
  <c r="V7" i="48"/>
  <c r="U7" i="48"/>
  <c r="T7" i="48"/>
  <c r="S7" i="48"/>
  <c r="R7" i="48"/>
  <c r="Q7" i="48"/>
  <c r="P7" i="48"/>
  <c r="O7" i="48"/>
  <c r="N7" i="48"/>
  <c r="M7" i="48"/>
  <c r="L7" i="48"/>
  <c r="K7" i="48"/>
  <c r="J7" i="48"/>
  <c r="I7" i="48"/>
  <c r="H7" i="48"/>
  <c r="G7" i="48"/>
  <c r="F7" i="48"/>
  <c r="E7" i="48"/>
  <c r="D7" i="48"/>
  <c r="B6" i="48"/>
  <c r="CR168" i="3"/>
  <c r="BT168" i="3"/>
  <c r="BP168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BV156" i="3"/>
  <c r="BV57" i="3" s="1"/>
  <c r="G155" i="3"/>
  <c r="F155" i="3"/>
  <c r="E155" i="3"/>
  <c r="BD153" i="3"/>
  <c r="BE153" i="3" s="1"/>
  <c r="BF153" i="3" s="1"/>
  <c r="BG153" i="3" s="1"/>
  <c r="BB153" i="3"/>
  <c r="BC153" i="3" s="1"/>
  <c r="AT151" i="3"/>
  <c r="AE151" i="3"/>
  <c r="AC151" i="3"/>
  <c r="U151" i="3"/>
  <c r="K151" i="3"/>
  <c r="H151" i="3"/>
  <c r="G151" i="3"/>
  <c r="F151" i="3"/>
  <c r="E151" i="3"/>
  <c r="D151" i="3"/>
  <c r="AY150" i="3"/>
  <c r="AV150" i="3"/>
  <c r="AV151" i="3" s="1"/>
  <c r="AS150" i="3"/>
  <c r="AS51" i="3" s="1"/>
  <c r="AT51" i="3" s="1"/>
  <c r="AR150" i="3"/>
  <c r="AP150" i="3"/>
  <c r="AP151" i="3" s="1"/>
  <c r="AO150" i="3"/>
  <c r="AN150" i="3"/>
  <c r="AN151" i="3" s="1"/>
  <c r="AM150" i="3"/>
  <c r="AL150" i="3"/>
  <c r="AK150" i="3"/>
  <c r="AJ150" i="3"/>
  <c r="AJ151" i="3" s="1"/>
  <c r="AI150" i="3"/>
  <c r="AH150" i="3"/>
  <c r="AG150" i="3"/>
  <c r="AF150" i="3"/>
  <c r="AF151" i="3" s="1"/>
  <c r="AD150" i="3"/>
  <c r="AB150" i="3"/>
  <c r="AB151" i="3" s="1"/>
  <c r="AA150" i="3"/>
  <c r="Z150" i="3"/>
  <c r="Y150" i="3"/>
  <c r="X150" i="3"/>
  <c r="W150" i="3"/>
  <c r="W151" i="3" s="1"/>
  <c r="V150" i="3"/>
  <c r="V151" i="3" s="1"/>
  <c r="U150" i="3"/>
  <c r="T150" i="3"/>
  <c r="T51" i="3" s="1"/>
  <c r="S150" i="3"/>
  <c r="R150" i="3"/>
  <c r="Q150" i="3"/>
  <c r="P150" i="3"/>
  <c r="O150" i="3"/>
  <c r="O151" i="3" s="1"/>
  <c r="N150" i="3"/>
  <c r="M150" i="3"/>
  <c r="M151" i="3" s="1"/>
  <c r="L150" i="3"/>
  <c r="L151" i="3" s="1"/>
  <c r="K150" i="3"/>
  <c r="J150" i="3"/>
  <c r="J151" i="3" s="1"/>
  <c r="I150" i="3"/>
  <c r="I151" i="3" s="1"/>
  <c r="AY146" i="3"/>
  <c r="AY151" i="3" s="1"/>
  <c r="AX146" i="3"/>
  <c r="AW146" i="3"/>
  <c r="AW151" i="3"/>
  <c r="AU146" i="3"/>
  <c r="AU151" i="3" s="1"/>
  <c r="AS146" i="3"/>
  <c r="AS151" i="3" s="1"/>
  <c r="AR146" i="3"/>
  <c r="AR151" i="3" s="1"/>
  <c r="AQ146" i="3"/>
  <c r="AQ151" i="3" s="1"/>
  <c r="AO146" i="3"/>
  <c r="AM146" i="3"/>
  <c r="AL146" i="3"/>
  <c r="AK146" i="3"/>
  <c r="AI146" i="3"/>
  <c r="AH146" i="3"/>
  <c r="AG146" i="3"/>
  <c r="AD146" i="3"/>
  <c r="AD151" i="3" s="1"/>
  <c r="AA145" i="3"/>
  <c r="Z145" i="3"/>
  <c r="Y145" i="3"/>
  <c r="X145" i="3"/>
  <c r="T145" i="3"/>
  <c r="S145" i="3"/>
  <c r="S151" i="3" s="1"/>
  <c r="R145" i="3"/>
  <c r="Q145" i="3"/>
  <c r="P145" i="3"/>
  <c r="P151" i="3" s="1"/>
  <c r="AM144" i="3"/>
  <c r="AM151" i="3" s="1"/>
  <c r="AL144" i="3"/>
  <c r="AK144" i="3"/>
  <c r="AI144" i="3"/>
  <c r="AI151" i="3" s="1"/>
  <c r="BD149" i="3"/>
  <c r="BE149" i="3" s="1"/>
  <c r="BF149" i="3" s="1"/>
  <c r="BG149" i="3" s="1"/>
  <c r="BB149" i="3"/>
  <c r="BC149" i="3" s="1"/>
  <c r="BD146" i="3"/>
  <c r="BE146" i="3" s="1"/>
  <c r="BF146" i="3" s="1"/>
  <c r="BG146" i="3" s="1"/>
  <c r="BB146" i="3"/>
  <c r="BC146" i="3" s="1"/>
  <c r="BD145" i="3"/>
  <c r="BE145" i="3" s="1"/>
  <c r="BF145" i="3" s="1"/>
  <c r="BG145" i="3" s="1"/>
  <c r="BB145" i="3"/>
  <c r="BC145" i="3" s="1"/>
  <c r="BD144" i="3"/>
  <c r="BE144" i="3"/>
  <c r="BF144" i="3" s="1"/>
  <c r="BG144" i="3" s="1"/>
  <c r="BB144" i="3"/>
  <c r="BC144" i="3" s="1"/>
  <c r="BD143" i="3"/>
  <c r="BE143" i="3" s="1"/>
  <c r="BF143" i="3" s="1"/>
  <c r="BG143" i="3" s="1"/>
  <c r="BB143" i="3"/>
  <c r="BC143" i="3" s="1"/>
  <c r="AT140" i="3"/>
  <c r="AR140" i="3"/>
  <c r="AO140" i="3"/>
  <c r="AN140" i="3"/>
  <c r="AM140" i="3"/>
  <c r="AL140" i="3"/>
  <c r="AK140" i="3"/>
  <c r="AJ140" i="3"/>
  <c r="AH140" i="3"/>
  <c r="AG140" i="3"/>
  <c r="AF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AQ139" i="3"/>
  <c r="AQ140" i="3" s="1"/>
  <c r="AE139" i="3"/>
  <c r="AE140" i="3" s="1"/>
  <c r="AY137" i="3"/>
  <c r="AY140" i="3" s="1"/>
  <c r="AX137" i="3"/>
  <c r="AX140" i="3" s="1"/>
  <c r="AW137" i="3"/>
  <c r="AV137" i="3"/>
  <c r="AV38" i="3" s="1"/>
  <c r="AP137" i="3"/>
  <c r="AP140" i="3" s="1"/>
  <c r="AI137" i="3"/>
  <c r="AW136" i="3"/>
  <c r="AV136" i="3"/>
  <c r="AS136" i="3"/>
  <c r="AS140" i="3" s="1"/>
  <c r="AD136" i="3"/>
  <c r="AD140" i="3" s="1"/>
  <c r="AU135" i="3"/>
  <c r="AU140" i="3" s="1"/>
  <c r="AI134" i="3"/>
  <c r="BD138" i="3"/>
  <c r="BE138" i="3" s="1"/>
  <c r="BF138" i="3" s="1"/>
  <c r="BG138" i="3" s="1"/>
  <c r="BB138" i="3"/>
  <c r="BC138" i="3" s="1"/>
  <c r="BD137" i="3"/>
  <c r="BE137" i="3" s="1"/>
  <c r="BF137" i="3" s="1"/>
  <c r="BG137" i="3" s="1"/>
  <c r="BB137" i="3"/>
  <c r="BC137" i="3" s="1"/>
  <c r="BD136" i="3"/>
  <c r="BE136" i="3" s="1"/>
  <c r="BF136" i="3" s="1"/>
  <c r="BG136" i="3" s="1"/>
  <c r="BB136" i="3"/>
  <c r="BC136" i="3" s="1"/>
  <c r="BD135" i="3"/>
  <c r="BE135" i="3" s="1"/>
  <c r="BF135" i="3" s="1"/>
  <c r="BG135" i="3" s="1"/>
  <c r="BB135" i="3"/>
  <c r="BC135" i="3" s="1"/>
  <c r="BD134" i="3"/>
  <c r="BE134" i="3" s="1"/>
  <c r="BF134" i="3" s="1"/>
  <c r="BG134" i="3" s="1"/>
  <c r="AX129" i="3"/>
  <c r="AH129" i="3"/>
  <c r="AD129" i="3"/>
  <c r="AA129" i="3"/>
  <c r="Z129" i="3"/>
  <c r="Y129" i="3"/>
  <c r="W129" i="3"/>
  <c r="V129" i="3"/>
  <c r="S129" i="3"/>
  <c r="AQ120" i="3"/>
  <c r="AP120" i="3"/>
  <c r="AM120" i="3"/>
  <c r="AL120" i="3"/>
  <c r="AI120" i="3"/>
  <c r="AH120" i="3"/>
  <c r="AE120" i="3"/>
  <c r="AD120" i="3"/>
  <c r="S120" i="3"/>
  <c r="R120" i="3"/>
  <c r="Q120" i="3"/>
  <c r="AO117" i="3"/>
  <c r="AA116" i="3"/>
  <c r="W116" i="3"/>
  <c r="S116" i="3"/>
  <c r="AU115" i="3"/>
  <c r="AQ115" i="3"/>
  <c r="AO115" i="3"/>
  <c r="AO16" i="3" s="1"/>
  <c r="AP16" i="3" s="1"/>
  <c r="AN115" i="3"/>
  <c r="AM115" i="3"/>
  <c r="AK115" i="3"/>
  <c r="AJ115" i="3"/>
  <c r="AJ16" i="3" s="1"/>
  <c r="AI115" i="3"/>
  <c r="AG115" i="3"/>
  <c r="AF115" i="3"/>
  <c r="AE115" i="3"/>
  <c r="AC115" i="3"/>
  <c r="AB115" i="3"/>
  <c r="AB16" i="3" s="1"/>
  <c r="Z115" i="3"/>
  <c r="Y115" i="3"/>
  <c r="Y16" i="3" s="1"/>
  <c r="Z16" i="3" s="1"/>
  <c r="X115" i="3"/>
  <c r="V115" i="3"/>
  <c r="U115" i="3"/>
  <c r="T115" i="3"/>
  <c r="T16" i="3" s="1"/>
  <c r="U16" i="3" s="1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BD119" i="3"/>
  <c r="BE119" i="3" s="1"/>
  <c r="BF119" i="3" s="1"/>
  <c r="BG119" i="3" s="1"/>
  <c r="BB119" i="3"/>
  <c r="BC119" i="3" s="1"/>
  <c r="BD118" i="3"/>
  <c r="BE118" i="3" s="1"/>
  <c r="BF118" i="3" s="1"/>
  <c r="BG118" i="3" s="1"/>
  <c r="BB118" i="3"/>
  <c r="BC118" i="3" s="1"/>
  <c r="BD117" i="3"/>
  <c r="BE117" i="3" s="1"/>
  <c r="BF117" i="3" s="1"/>
  <c r="BG117" i="3" s="1"/>
  <c r="BB117" i="3"/>
  <c r="BC117" i="3" s="1"/>
  <c r="BD116" i="3"/>
  <c r="BE116" i="3" s="1"/>
  <c r="BF116" i="3" s="1"/>
  <c r="BG116" i="3" s="1"/>
  <c r="BB116" i="3"/>
  <c r="BC116" i="3" s="1"/>
  <c r="BD115" i="3"/>
  <c r="BE115" i="3" s="1"/>
  <c r="BF115" i="3" s="1"/>
  <c r="BG115" i="3" s="1"/>
  <c r="BB115" i="3"/>
  <c r="BC115" i="3" s="1"/>
  <c r="BD114" i="3"/>
  <c r="BE114" i="3"/>
  <c r="BF114" i="3" s="1"/>
  <c r="BG114" i="3" s="1"/>
  <c r="BB114" i="3"/>
  <c r="BC114" i="3" s="1"/>
  <c r="AY75" i="3"/>
  <c r="AX75" i="3"/>
  <c r="AW75" i="3"/>
  <c r="AV75" i="3"/>
  <c r="AU75" i="3"/>
  <c r="AT75" i="3"/>
  <c r="AS75" i="3"/>
  <c r="AS76" i="3" s="1"/>
  <c r="AR75" i="3"/>
  <c r="AQ75" i="3"/>
  <c r="AP75" i="3"/>
  <c r="AO75" i="3"/>
  <c r="AO76" i="3" s="1"/>
  <c r="AN75" i="3"/>
  <c r="AM75" i="3"/>
  <c r="AK75" i="3"/>
  <c r="AK76" i="3" s="1"/>
  <c r="AJ75" i="3"/>
  <c r="AI75" i="3"/>
  <c r="AH75" i="3"/>
  <c r="AG75" i="3"/>
  <c r="AG76" i="3" s="1"/>
  <c r="AF75" i="3"/>
  <c r="AE75" i="3"/>
  <c r="AD75" i="3"/>
  <c r="AC75" i="3"/>
  <c r="AC76" i="3" s="1"/>
  <c r="AB75" i="3"/>
  <c r="AA75" i="3"/>
  <c r="Z75" i="3"/>
  <c r="Y75" i="3"/>
  <c r="Y76" i="3" s="1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AY73" i="3"/>
  <c r="AY76" i="3" s="1"/>
  <c r="AX73" i="3"/>
  <c r="AW73" i="3"/>
  <c r="AV73" i="3"/>
  <c r="AU73" i="3"/>
  <c r="AS73" i="3"/>
  <c r="AR73" i="3"/>
  <c r="AR76" i="3" s="1"/>
  <c r="AQ73" i="3"/>
  <c r="AP73" i="3"/>
  <c r="AP76" i="3" s="1"/>
  <c r="AO73" i="3"/>
  <c r="AN73" i="3"/>
  <c r="AN76" i="3" s="1"/>
  <c r="AM73" i="3"/>
  <c r="AL73" i="3"/>
  <c r="AK73" i="3"/>
  <c r="AJ73" i="3"/>
  <c r="AI73" i="3"/>
  <c r="AH73" i="3"/>
  <c r="AH76" i="3" s="1"/>
  <c r="AG73" i="3"/>
  <c r="AF73" i="3"/>
  <c r="AF76" i="3" s="1"/>
  <c r="AE73" i="3"/>
  <c r="AD73" i="3"/>
  <c r="AC73" i="3"/>
  <c r="AB73" i="3"/>
  <c r="AB76" i="3" s="1"/>
  <c r="AA73" i="3"/>
  <c r="Z73" i="3"/>
  <c r="Y73" i="3"/>
  <c r="X73" i="3"/>
  <c r="X76" i="3" s="1"/>
  <c r="W73" i="3"/>
  <c r="S73" i="3"/>
  <c r="O73" i="3"/>
  <c r="K73" i="3"/>
  <c r="K76" i="3" s="1"/>
  <c r="G73" i="3"/>
  <c r="AT72" i="3"/>
  <c r="BX72" i="3"/>
  <c r="BW72" i="3"/>
  <c r="BV72" i="3"/>
  <c r="BU72" i="3"/>
  <c r="BT72" i="3"/>
  <c r="BS72" i="3"/>
  <c r="BR72" i="3"/>
  <c r="BQ72" i="3"/>
  <c r="BP72" i="3"/>
  <c r="BO72" i="3"/>
  <c r="BN72" i="3"/>
  <c r="BM72" i="3"/>
  <c r="BX70" i="3"/>
  <c r="BX73" i="3" s="1"/>
  <c r="BW70" i="3"/>
  <c r="BV70" i="3"/>
  <c r="BU70" i="3"/>
  <c r="BT70" i="3"/>
  <c r="BT73" i="3" s="1"/>
  <c r="BT76" i="3" s="1"/>
  <c r="BS70" i="3"/>
  <c r="BS73" i="3" s="1"/>
  <c r="BR70" i="3"/>
  <c r="BR73" i="3" s="1"/>
  <c r="BQ70" i="3"/>
  <c r="BP70" i="3"/>
  <c r="BO70" i="3"/>
  <c r="BO73" i="3" s="1"/>
  <c r="BN70" i="3"/>
  <c r="BN73" i="3" s="1"/>
  <c r="BM70" i="3"/>
  <c r="BM73" i="3"/>
  <c r="BG69" i="3"/>
  <c r="BF69" i="3"/>
  <c r="BE69" i="3"/>
  <c r="BD69" i="3"/>
  <c r="BC69" i="3"/>
  <c r="BB69" i="3"/>
  <c r="CP72" i="3"/>
  <c r="CO72" i="3"/>
  <c r="CN72" i="3"/>
  <c r="CM72" i="3"/>
  <c r="CM73" i="3" s="1"/>
  <c r="CL72" i="3"/>
  <c r="CK72" i="3"/>
  <c r="CJ72" i="3"/>
  <c r="CP70" i="3"/>
  <c r="CP73" i="3" s="1"/>
  <c r="CO70" i="3"/>
  <c r="CN70" i="3"/>
  <c r="CM70" i="3"/>
  <c r="CL70" i="3"/>
  <c r="CK70" i="3"/>
  <c r="CJ70" i="3"/>
  <c r="BE68" i="3"/>
  <c r="BF68" i="3"/>
  <c r="BG68" i="3" s="1"/>
  <c r="BV67" i="3"/>
  <c r="BU67" i="3"/>
  <c r="BT67" i="3"/>
  <c r="BS67" i="3"/>
  <c r="BR67" i="3"/>
  <c r="BQ67" i="3"/>
  <c r="BP67" i="3"/>
  <c r="BO67" i="3"/>
  <c r="BN67" i="3"/>
  <c r="BM67" i="3"/>
  <c r="AY66" i="3"/>
  <c r="AY92" i="3" s="1"/>
  <c r="B62" i="3"/>
  <c r="B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B59" i="3"/>
  <c r="B58" i="3"/>
  <c r="B57" i="3"/>
  <c r="B56" i="3"/>
  <c r="AV57" i="3"/>
  <c r="AW57" i="3" s="1"/>
  <c r="AX57" i="3" s="1"/>
  <c r="AR57" i="3"/>
  <c r="AS57" i="3"/>
  <c r="AT57" i="3" s="1"/>
  <c r="AN57" i="3"/>
  <c r="AO57" i="3" s="1"/>
  <c r="AP57" i="3" s="1"/>
  <c r="AJ57" i="3"/>
  <c r="AK57" i="3" s="1"/>
  <c r="AL57" i="3" s="1"/>
  <c r="AF57" i="3"/>
  <c r="AG57" i="3" s="1"/>
  <c r="AH57" i="3" s="1"/>
  <c r="AB57" i="3"/>
  <c r="AC57" i="3" s="1"/>
  <c r="AD57" i="3" s="1"/>
  <c r="X57" i="3"/>
  <c r="T57" i="3"/>
  <c r="P57" i="3"/>
  <c r="Q57" i="3" s="1"/>
  <c r="L57" i="3"/>
  <c r="M57" i="3" s="1"/>
  <c r="H57" i="3"/>
  <c r="I57" i="3" s="1"/>
  <c r="J57" i="3" s="1"/>
  <c r="K57" i="3" s="1"/>
  <c r="D57" i="3"/>
  <c r="E57" i="3" s="1"/>
  <c r="CR57" i="3"/>
  <c r="D56" i="3"/>
  <c r="BM56" i="3" s="1"/>
  <c r="BM155" i="3" s="1"/>
  <c r="CR54" i="3"/>
  <c r="CR153" i="3"/>
  <c r="AV54" i="3"/>
  <c r="AR54" i="3"/>
  <c r="AN54" i="3"/>
  <c r="AO54" i="3" s="1"/>
  <c r="AP54" i="3" s="1"/>
  <c r="AJ54" i="3"/>
  <c r="AK54" i="3"/>
  <c r="AL54" i="3" s="1"/>
  <c r="AF54" i="3"/>
  <c r="AG54" i="3"/>
  <c r="AH54" i="3" s="1"/>
  <c r="AB54" i="3"/>
  <c r="X54" i="3"/>
  <c r="Y54" i="3" s="1"/>
  <c r="Z54" i="3" s="1"/>
  <c r="AA54" i="3" s="1"/>
  <c r="BR54" i="3" s="1"/>
  <c r="BR153" i="3" s="1"/>
  <c r="T54" i="3"/>
  <c r="U54" i="3" s="1"/>
  <c r="P54" i="3"/>
  <c r="L54" i="3"/>
  <c r="M54" i="3" s="1"/>
  <c r="N54" i="3" s="1"/>
  <c r="O54" i="3" s="1"/>
  <c r="H54" i="3"/>
  <c r="I54" i="3" s="1"/>
  <c r="J54" i="3" s="1"/>
  <c r="D54" i="3"/>
  <c r="E54" i="3" s="1"/>
  <c r="B54" i="3"/>
  <c r="B52" i="3"/>
  <c r="B51" i="3"/>
  <c r="B50" i="3"/>
  <c r="B49" i="3"/>
  <c r="B48" i="3"/>
  <c r="B47" i="3"/>
  <c r="B46" i="3"/>
  <c r="B45" i="3"/>
  <c r="B44" i="3"/>
  <c r="B43" i="3"/>
  <c r="AR51" i="3"/>
  <c r="AN51" i="3"/>
  <c r="AJ51" i="3"/>
  <c r="AF51" i="3"/>
  <c r="AB51" i="3"/>
  <c r="X51" i="3"/>
  <c r="P51" i="3"/>
  <c r="L51" i="3"/>
  <c r="H51" i="3"/>
  <c r="D51" i="3"/>
  <c r="E51" i="3" s="1"/>
  <c r="AV50" i="3"/>
  <c r="AW50" i="3" s="1"/>
  <c r="AX50" i="3" s="1"/>
  <c r="AY50" i="3" s="1"/>
  <c r="AR50" i="3"/>
  <c r="AS50" i="3" s="1"/>
  <c r="AT50" i="3" s="1"/>
  <c r="AN50" i="3"/>
  <c r="AO50" i="3"/>
  <c r="AP50" i="3" s="1"/>
  <c r="AJ50" i="3"/>
  <c r="AK50" i="3" s="1"/>
  <c r="AL50" i="3" s="1"/>
  <c r="AF50" i="3"/>
  <c r="AG50" i="3" s="1"/>
  <c r="AH50" i="3" s="1"/>
  <c r="AB50" i="3"/>
  <c r="AC50" i="3" s="1"/>
  <c r="X50" i="3"/>
  <c r="Y50" i="3" s="1"/>
  <c r="T50" i="3"/>
  <c r="P50" i="3"/>
  <c r="L50" i="3"/>
  <c r="M50" i="3" s="1"/>
  <c r="H50" i="3"/>
  <c r="I50" i="3" s="1"/>
  <c r="D50" i="3"/>
  <c r="AV49" i="3"/>
  <c r="AW49" i="3" s="1"/>
  <c r="AR49" i="3"/>
  <c r="AS49" i="3" s="1"/>
  <c r="AN49" i="3"/>
  <c r="AO49" i="3" s="1"/>
  <c r="AP49" i="3" s="1"/>
  <c r="AQ49" i="3" s="1"/>
  <c r="AJ49" i="3"/>
  <c r="AF49" i="3"/>
  <c r="AB49" i="3"/>
  <c r="AC49" i="3" s="1"/>
  <c r="X49" i="3"/>
  <c r="Y49" i="3" s="1"/>
  <c r="Z49" i="3" s="1"/>
  <c r="T49" i="3"/>
  <c r="P49" i="3"/>
  <c r="Q49" i="3" s="1"/>
  <c r="R49" i="3" s="1"/>
  <c r="L49" i="3"/>
  <c r="M49" i="3" s="1"/>
  <c r="N49" i="3" s="1"/>
  <c r="H49" i="3"/>
  <c r="D49" i="3"/>
  <c r="AV48" i="3"/>
  <c r="AW48" i="3" s="1"/>
  <c r="AX48" i="3" s="1"/>
  <c r="AR48" i="3"/>
  <c r="AN48" i="3"/>
  <c r="AO48" i="3" s="1"/>
  <c r="AJ48" i="3"/>
  <c r="AK48" i="3" s="1"/>
  <c r="AF48" i="3"/>
  <c r="AG48" i="3" s="1"/>
  <c r="AB48" i="3"/>
  <c r="X48" i="3"/>
  <c r="Y48" i="3" s="1"/>
  <c r="Z48" i="3" s="1"/>
  <c r="AA48" i="3" s="1"/>
  <c r="T48" i="3"/>
  <c r="U48" i="3" s="1"/>
  <c r="V48" i="3" s="1"/>
  <c r="P48" i="3"/>
  <c r="Q48" i="3"/>
  <c r="R48" i="3" s="1"/>
  <c r="L48" i="3"/>
  <c r="H48" i="3"/>
  <c r="D48" i="3"/>
  <c r="E48" i="3" s="1"/>
  <c r="CR50" i="3"/>
  <c r="CR149" i="3" s="1"/>
  <c r="CR47" i="3"/>
  <c r="CR146" i="3" s="1"/>
  <c r="CR46" i="3"/>
  <c r="CR145" i="3" s="1"/>
  <c r="CR45" i="3"/>
  <c r="CR144" i="3" s="1"/>
  <c r="CR44" i="3"/>
  <c r="CR143" i="3" s="1"/>
  <c r="BY50" i="3"/>
  <c r="BY149" i="3" s="1"/>
  <c r="BY46" i="3"/>
  <c r="BY145" i="3" s="1"/>
  <c r="BY44" i="3"/>
  <c r="BY143" i="3" s="1"/>
  <c r="AV47" i="3"/>
  <c r="AN47" i="3"/>
  <c r="AJ47" i="3"/>
  <c r="AK47" i="3" s="1"/>
  <c r="AF47" i="3"/>
  <c r="AB47" i="3"/>
  <c r="X47" i="3"/>
  <c r="Y47" i="3"/>
  <c r="Z47" i="3" s="1"/>
  <c r="T47" i="3"/>
  <c r="U47" i="3" s="1"/>
  <c r="P47" i="3"/>
  <c r="L47" i="3"/>
  <c r="H47" i="3"/>
  <c r="I47" i="3" s="1"/>
  <c r="J47" i="3" s="1"/>
  <c r="K47" i="3" s="1"/>
  <c r="D47" i="3"/>
  <c r="E47" i="3" s="1"/>
  <c r="AV46" i="3"/>
  <c r="AR46" i="3"/>
  <c r="AS46" i="3" s="1"/>
  <c r="AT46" i="3" s="1"/>
  <c r="AN46" i="3"/>
  <c r="AO46" i="3" s="1"/>
  <c r="AJ46" i="3"/>
  <c r="AK46" i="3" s="1"/>
  <c r="AF46" i="3"/>
  <c r="AB46" i="3"/>
  <c r="AC46" i="3" s="1"/>
  <c r="X46" i="3"/>
  <c r="Y46" i="3" s="1"/>
  <c r="P46" i="3"/>
  <c r="L46" i="3"/>
  <c r="M46" i="3"/>
  <c r="N46" i="3" s="1"/>
  <c r="H46" i="3"/>
  <c r="D46" i="3"/>
  <c r="E46" i="3" s="1"/>
  <c r="F46" i="3" s="1"/>
  <c r="G46" i="3" s="1"/>
  <c r="AV45" i="3"/>
  <c r="AW45" i="3" s="1"/>
  <c r="AR45" i="3"/>
  <c r="AS45" i="3" s="1"/>
  <c r="AT45" i="3" s="1"/>
  <c r="AN45" i="3"/>
  <c r="AO45" i="3" s="1"/>
  <c r="AJ45" i="3"/>
  <c r="AF45" i="3"/>
  <c r="AB45" i="3"/>
  <c r="X45" i="3"/>
  <c r="Y45" i="3" s="1"/>
  <c r="Z45" i="3" s="1"/>
  <c r="T45" i="3"/>
  <c r="U45" i="3" s="1"/>
  <c r="P45" i="3"/>
  <c r="Q45" i="3" s="1"/>
  <c r="R45" i="3" s="1"/>
  <c r="L45" i="3"/>
  <c r="M45" i="3" s="1"/>
  <c r="H45" i="3"/>
  <c r="I45" i="3" s="1"/>
  <c r="J45" i="3" s="1"/>
  <c r="D45" i="3"/>
  <c r="E45" i="3" s="1"/>
  <c r="AV44" i="3"/>
  <c r="AR44" i="3"/>
  <c r="AS44" i="3" s="1"/>
  <c r="AT44" i="3" s="1"/>
  <c r="AU44" i="3" s="1"/>
  <c r="AN44" i="3"/>
  <c r="AJ44" i="3"/>
  <c r="AF44" i="3"/>
  <c r="AG44" i="3" s="1"/>
  <c r="AB44" i="3"/>
  <c r="AC44" i="3" s="1"/>
  <c r="AD44" i="3" s="1"/>
  <c r="AE44" i="3" s="1"/>
  <c r="X44" i="3"/>
  <c r="T44" i="3"/>
  <c r="U44" i="3" s="1"/>
  <c r="V44" i="3" s="1"/>
  <c r="P44" i="3"/>
  <c r="L44" i="3"/>
  <c r="L52" i="3" s="1"/>
  <c r="H44" i="3"/>
  <c r="D44" i="3"/>
  <c r="E44" i="3" s="1"/>
  <c r="B41" i="3"/>
  <c r="B40" i="3"/>
  <c r="B39" i="3"/>
  <c r="B38" i="3"/>
  <c r="B37" i="3"/>
  <c r="B36" i="3"/>
  <c r="B35" i="3"/>
  <c r="B34" i="3"/>
  <c r="B33" i="3"/>
  <c r="AV40" i="3"/>
  <c r="AW40" i="3" s="1"/>
  <c r="AR40" i="3"/>
  <c r="AS40" i="3" s="1"/>
  <c r="AN40" i="3"/>
  <c r="AO40" i="3" s="1"/>
  <c r="AP40" i="3" s="1"/>
  <c r="AJ40" i="3"/>
  <c r="AK40" i="3" s="1"/>
  <c r="AF40" i="3"/>
  <c r="AG40" i="3"/>
  <c r="AH40" i="3" s="1"/>
  <c r="AB40" i="3"/>
  <c r="X40" i="3"/>
  <c r="T40" i="3"/>
  <c r="U40" i="3"/>
  <c r="V40" i="3" s="1"/>
  <c r="P40" i="3"/>
  <c r="Q40" i="3" s="1"/>
  <c r="L40" i="3"/>
  <c r="M40" i="3" s="1"/>
  <c r="N40" i="3" s="1"/>
  <c r="O40" i="3" s="1"/>
  <c r="H40" i="3"/>
  <c r="D40" i="3"/>
  <c r="E40" i="3" s="1"/>
  <c r="BY39" i="3"/>
  <c r="BY138" i="3" s="1"/>
  <c r="BY37" i="3"/>
  <c r="BY136" i="3" s="1"/>
  <c r="BY35" i="3"/>
  <c r="AV39" i="3"/>
  <c r="AR39" i="3"/>
  <c r="AS39" i="3" s="1"/>
  <c r="AT39" i="3" s="1"/>
  <c r="AU39" i="3" s="1"/>
  <c r="AN39" i="3"/>
  <c r="AJ39" i="3"/>
  <c r="AK39" i="3" s="1"/>
  <c r="AL39" i="3" s="1"/>
  <c r="AM39" i="3" s="1"/>
  <c r="AF39" i="3"/>
  <c r="AG39" i="3" s="1"/>
  <c r="AH39" i="3" s="1"/>
  <c r="AB39" i="3"/>
  <c r="X39" i="3"/>
  <c r="Y39" i="3" s="1"/>
  <c r="Z39" i="3" s="1"/>
  <c r="T39" i="3"/>
  <c r="U39" i="3" s="1"/>
  <c r="V39" i="3" s="1"/>
  <c r="P39" i="3"/>
  <c r="Q39" i="3" s="1"/>
  <c r="L39" i="3"/>
  <c r="M39" i="3" s="1"/>
  <c r="H39" i="3"/>
  <c r="I39" i="3" s="1"/>
  <c r="D39" i="3"/>
  <c r="E39" i="3" s="1"/>
  <c r="F39" i="3" s="1"/>
  <c r="AR38" i="3"/>
  <c r="AS38" i="3" s="1"/>
  <c r="AN38" i="3"/>
  <c r="AO38" i="3"/>
  <c r="AP38" i="3" s="1"/>
  <c r="AJ38" i="3"/>
  <c r="AK38" i="3"/>
  <c r="AL38" i="3" s="1"/>
  <c r="AF38" i="3"/>
  <c r="AB38" i="3"/>
  <c r="X38" i="3"/>
  <c r="Y38" i="3" s="1"/>
  <c r="T38" i="3"/>
  <c r="U38" i="3" s="1"/>
  <c r="V38" i="3" s="1"/>
  <c r="P38" i="3"/>
  <c r="Q38" i="3" s="1"/>
  <c r="R38" i="3" s="1"/>
  <c r="L38" i="3"/>
  <c r="M38" i="3" s="1"/>
  <c r="N38" i="3" s="1"/>
  <c r="H38" i="3"/>
  <c r="D38" i="3"/>
  <c r="AR37" i="3"/>
  <c r="AN37" i="3"/>
  <c r="AJ37" i="3"/>
  <c r="AK37" i="3" s="1"/>
  <c r="AL37" i="3" s="1"/>
  <c r="AF37" i="3"/>
  <c r="AG37" i="3" s="1"/>
  <c r="AH37" i="3" s="1"/>
  <c r="AB37" i="3"/>
  <c r="AC37" i="3" s="1"/>
  <c r="AD37" i="3" s="1"/>
  <c r="AE37" i="3" s="1"/>
  <c r="X37" i="3"/>
  <c r="T37" i="3"/>
  <c r="U37" i="3" s="1"/>
  <c r="P37" i="3"/>
  <c r="L37" i="3"/>
  <c r="M37" i="3" s="1"/>
  <c r="N37" i="3" s="1"/>
  <c r="H37" i="3"/>
  <c r="D37" i="3"/>
  <c r="E37" i="3" s="1"/>
  <c r="AV36" i="3"/>
  <c r="AR36" i="3"/>
  <c r="AS36" i="3" s="1"/>
  <c r="AT36" i="3" s="1"/>
  <c r="AN36" i="3"/>
  <c r="AO36" i="3" s="1"/>
  <c r="AP36" i="3" s="1"/>
  <c r="AJ36" i="3"/>
  <c r="AK36" i="3" s="1"/>
  <c r="AF36" i="3"/>
  <c r="AB36" i="3"/>
  <c r="AC36" i="3" s="1"/>
  <c r="AD36" i="3" s="1"/>
  <c r="X36" i="3"/>
  <c r="Y36" i="3" s="1"/>
  <c r="Z36" i="3" s="1"/>
  <c r="T36" i="3"/>
  <c r="U36" i="3" s="1"/>
  <c r="P36" i="3"/>
  <c r="Q36" i="3" s="1"/>
  <c r="R36" i="3" s="1"/>
  <c r="S36" i="3" s="1"/>
  <c r="L36" i="3"/>
  <c r="H36" i="3"/>
  <c r="I36" i="3" s="1"/>
  <c r="J36" i="3" s="1"/>
  <c r="D36" i="3"/>
  <c r="E36" i="3" s="1"/>
  <c r="F36" i="3" s="1"/>
  <c r="AV35" i="3"/>
  <c r="AR35" i="3"/>
  <c r="AN35" i="3"/>
  <c r="AK35" i="3"/>
  <c r="AJ35" i="3"/>
  <c r="AF35" i="3"/>
  <c r="AG35" i="3" s="1"/>
  <c r="AB35" i="3"/>
  <c r="X35" i="3"/>
  <c r="T35" i="3"/>
  <c r="U35" i="3"/>
  <c r="P35" i="3"/>
  <c r="L35" i="3"/>
  <c r="H35" i="3"/>
  <c r="I35" i="3"/>
  <c r="J35" i="3" s="1"/>
  <c r="D35" i="3"/>
  <c r="CR39" i="3"/>
  <c r="CR138" i="3" s="1"/>
  <c r="CR38" i="3"/>
  <c r="CR137" i="3" s="1"/>
  <c r="CR37" i="3"/>
  <c r="CR136" i="3" s="1"/>
  <c r="CR36" i="3"/>
  <c r="CR135" i="3" s="1"/>
  <c r="CR35" i="3"/>
  <c r="CR134" i="3" s="1"/>
  <c r="AV34" i="3"/>
  <c r="AR34" i="3"/>
  <c r="AS34" i="3" s="1"/>
  <c r="AN34" i="3"/>
  <c r="AJ34" i="3"/>
  <c r="AF34" i="3"/>
  <c r="AG34" i="3" s="1"/>
  <c r="AB34" i="3"/>
  <c r="X34" i="3"/>
  <c r="Y34" i="3" s="1"/>
  <c r="Z34" i="3" s="1"/>
  <c r="T34" i="3"/>
  <c r="T66" i="3" s="1"/>
  <c r="T68" i="3" s="1"/>
  <c r="P34" i="3"/>
  <c r="L34" i="3"/>
  <c r="H34" i="3"/>
  <c r="D34" i="3"/>
  <c r="D66" i="3" s="1"/>
  <c r="B31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V30" i="3"/>
  <c r="AW30" i="3" s="1"/>
  <c r="AR30" i="3"/>
  <c r="AS30" i="3" s="1"/>
  <c r="AT30" i="3" s="1"/>
  <c r="AU30" i="3" s="1"/>
  <c r="AN30" i="3"/>
  <c r="AO30" i="3" s="1"/>
  <c r="AP30" i="3" s="1"/>
  <c r="AJ30" i="3"/>
  <c r="AK30" i="3" s="1"/>
  <c r="AL30" i="3" s="1"/>
  <c r="AM30" i="3" s="1"/>
  <c r="AF30" i="3"/>
  <c r="AG30" i="3" s="1"/>
  <c r="AB30" i="3"/>
  <c r="AC30" i="3" s="1"/>
  <c r="X30" i="3"/>
  <c r="Y30" i="3" s="1"/>
  <c r="T30" i="3"/>
  <c r="U30" i="3" s="1"/>
  <c r="V30" i="3" s="1"/>
  <c r="P30" i="3"/>
  <c r="Q30" i="3" s="1"/>
  <c r="R30" i="3" s="1"/>
  <c r="L30" i="3"/>
  <c r="M30" i="3" s="1"/>
  <c r="H30" i="3"/>
  <c r="I30" i="3" s="1"/>
  <c r="J30" i="3" s="1"/>
  <c r="D30" i="3"/>
  <c r="AV29" i="3"/>
  <c r="AW29" i="3" s="1"/>
  <c r="AR29" i="3"/>
  <c r="AS29" i="3"/>
  <c r="AT29" i="3" s="1"/>
  <c r="AU29" i="3" s="1"/>
  <c r="CP29" i="3" s="1"/>
  <c r="CP128" i="3" s="1"/>
  <c r="AN29" i="3"/>
  <c r="AO29" i="3" s="1"/>
  <c r="AJ29" i="3"/>
  <c r="AK29" i="3" s="1"/>
  <c r="AL29" i="3" s="1"/>
  <c r="AM29" i="3" s="1"/>
  <c r="AF29" i="3"/>
  <c r="AG29" i="3" s="1"/>
  <c r="AH29" i="3" s="1"/>
  <c r="AI29" i="3" s="1"/>
  <c r="BT29" i="3" s="1"/>
  <c r="BT128" i="3" s="1"/>
  <c r="AB29" i="3"/>
  <c r="AC29" i="3"/>
  <c r="AD29" i="3" s="1"/>
  <c r="X29" i="3"/>
  <c r="Y29" i="3" s="1"/>
  <c r="Z29" i="3" s="1"/>
  <c r="T29" i="3"/>
  <c r="U29" i="3" s="1"/>
  <c r="P29" i="3"/>
  <c r="Q29" i="3" s="1"/>
  <c r="R29" i="3" s="1"/>
  <c r="L29" i="3"/>
  <c r="M29" i="3" s="1"/>
  <c r="N29" i="3" s="1"/>
  <c r="H29" i="3"/>
  <c r="I29" i="3" s="1"/>
  <c r="J29" i="3" s="1"/>
  <c r="D29" i="3"/>
  <c r="AV28" i="3"/>
  <c r="AW28" i="3"/>
  <c r="BX28" i="3" s="1"/>
  <c r="BX127" i="3" s="1"/>
  <c r="AR28" i="3"/>
  <c r="AS28" i="3" s="1"/>
  <c r="AN28" i="3"/>
  <c r="AO28" i="3" s="1"/>
  <c r="AP28" i="3" s="1"/>
  <c r="AJ28" i="3"/>
  <c r="AK28" i="3" s="1"/>
  <c r="AF28" i="3"/>
  <c r="AG28" i="3" s="1"/>
  <c r="AH28" i="3" s="1"/>
  <c r="AB28" i="3"/>
  <c r="AC28" i="3" s="1"/>
  <c r="X28" i="3"/>
  <c r="Y28" i="3" s="1"/>
  <c r="Z28" i="3" s="1"/>
  <c r="T28" i="3"/>
  <c r="U28" i="3" s="1"/>
  <c r="P28" i="3"/>
  <c r="Q28" i="3" s="1"/>
  <c r="L28" i="3"/>
  <c r="M28" i="3" s="1"/>
  <c r="H28" i="3"/>
  <c r="I28" i="3" s="1"/>
  <c r="D28" i="3"/>
  <c r="E28" i="3" s="1"/>
  <c r="F28" i="3" s="1"/>
  <c r="AV27" i="3"/>
  <c r="AW27" i="3" s="1"/>
  <c r="AR27" i="3"/>
  <c r="AS27" i="3" s="1"/>
  <c r="AN27" i="3"/>
  <c r="AO27" i="3" s="1"/>
  <c r="AJ27" i="3"/>
  <c r="AK27" i="3"/>
  <c r="AL27" i="3" s="1"/>
  <c r="AF27" i="3"/>
  <c r="AB27" i="3"/>
  <c r="AC27" i="3" s="1"/>
  <c r="AD27" i="3" s="1"/>
  <c r="AE27" i="3" s="1"/>
  <c r="BS27" i="3" s="1"/>
  <c r="BS126" i="3" s="1"/>
  <c r="X27" i="3"/>
  <c r="Y27" i="3"/>
  <c r="Z27" i="3" s="1"/>
  <c r="T27" i="3"/>
  <c r="U27" i="3" s="1"/>
  <c r="V27" i="3" s="1"/>
  <c r="P27" i="3"/>
  <c r="Q27" i="3" s="1"/>
  <c r="R27" i="3" s="1"/>
  <c r="L27" i="3"/>
  <c r="M27" i="3" s="1"/>
  <c r="H27" i="3"/>
  <c r="I27" i="3" s="1"/>
  <c r="D27" i="3"/>
  <c r="E27" i="3" s="1"/>
  <c r="AV26" i="3"/>
  <c r="AW26" i="3"/>
  <c r="AX26" i="3" s="1"/>
  <c r="AR26" i="3"/>
  <c r="AS26" i="3" s="1"/>
  <c r="AN26" i="3"/>
  <c r="AO26" i="3" s="1"/>
  <c r="AJ26" i="3"/>
  <c r="AK26" i="3" s="1"/>
  <c r="AL26" i="3" s="1"/>
  <c r="AM26" i="3" s="1"/>
  <c r="AF26" i="3"/>
  <c r="AG26" i="3" s="1"/>
  <c r="AH26" i="3" s="1"/>
  <c r="AB26" i="3"/>
  <c r="AC26" i="3" s="1"/>
  <c r="X26" i="3"/>
  <c r="Y26" i="3"/>
  <c r="Z26" i="3" s="1"/>
  <c r="AA26" i="3" s="1"/>
  <c r="T26" i="3"/>
  <c r="U26" i="3"/>
  <c r="V26" i="3" s="1"/>
  <c r="P26" i="3"/>
  <c r="Q26" i="3"/>
  <c r="R26" i="3" s="1"/>
  <c r="L26" i="3"/>
  <c r="M26" i="3" s="1"/>
  <c r="H26" i="3"/>
  <c r="I26" i="3" s="1"/>
  <c r="J26" i="3" s="1"/>
  <c r="K26" i="3" s="1"/>
  <c r="BN26" i="3" s="1"/>
  <c r="BN125" i="3" s="1"/>
  <c r="D26" i="3"/>
  <c r="E26" i="3"/>
  <c r="F26" i="3" s="1"/>
  <c r="G26" i="3" s="1"/>
  <c r="BM26" i="3" s="1"/>
  <c r="BM125" i="3" s="1"/>
  <c r="AV25" i="3"/>
  <c r="AW25" i="3" s="1"/>
  <c r="AR25" i="3"/>
  <c r="AS25" i="3" s="1"/>
  <c r="AT25" i="3" s="1"/>
  <c r="AN25" i="3"/>
  <c r="AO25" i="3" s="1"/>
  <c r="AP25" i="3" s="1"/>
  <c r="AQ25" i="3" s="1"/>
  <c r="AJ25" i="3"/>
  <c r="AK25" i="3" s="1"/>
  <c r="AL25" i="3" s="1"/>
  <c r="AM25" i="3" s="1"/>
  <c r="CN25" i="3" s="1"/>
  <c r="CN124" i="3" s="1"/>
  <c r="AF25" i="3"/>
  <c r="AG25" i="3" s="1"/>
  <c r="AB25" i="3"/>
  <c r="AC25" i="3" s="1"/>
  <c r="X25" i="3"/>
  <c r="Y25" i="3" s="1"/>
  <c r="Z25" i="3" s="1"/>
  <c r="T25" i="3"/>
  <c r="U25" i="3" s="1"/>
  <c r="V25" i="3" s="1"/>
  <c r="P25" i="3"/>
  <c r="Q25" i="3" s="1"/>
  <c r="L25" i="3"/>
  <c r="M25" i="3" s="1"/>
  <c r="N25" i="3" s="1"/>
  <c r="H25" i="3"/>
  <c r="I25" i="3" s="1"/>
  <c r="J25" i="3" s="1"/>
  <c r="D25" i="3"/>
  <c r="E25" i="3" s="1"/>
  <c r="F25" i="3" s="1"/>
  <c r="AV24" i="3"/>
  <c r="AW24" i="3" s="1"/>
  <c r="AR24" i="3"/>
  <c r="AS24" i="3" s="1"/>
  <c r="AT24" i="3" s="1"/>
  <c r="AN24" i="3"/>
  <c r="AO24" i="3" s="1"/>
  <c r="AP24" i="3" s="1"/>
  <c r="AJ24" i="3"/>
  <c r="AK24" i="3" s="1"/>
  <c r="AF24" i="3"/>
  <c r="AG24" i="3" s="1"/>
  <c r="AB24" i="3"/>
  <c r="AC24" i="3" s="1"/>
  <c r="X24" i="3"/>
  <c r="Y24" i="3" s="1"/>
  <c r="Z24" i="3" s="1"/>
  <c r="AA24" i="3" s="1"/>
  <c r="T24" i="3"/>
  <c r="U24" i="3"/>
  <c r="P24" i="3"/>
  <c r="Q24" i="3" s="1"/>
  <c r="R24" i="3" s="1"/>
  <c r="L24" i="3"/>
  <c r="M24" i="3" s="1"/>
  <c r="N24" i="3" s="1"/>
  <c r="H24" i="3"/>
  <c r="I24" i="3" s="1"/>
  <c r="J24" i="3" s="1"/>
  <c r="D24" i="3"/>
  <c r="E24" i="3" s="1"/>
  <c r="AV23" i="3"/>
  <c r="AW23" i="3" s="1"/>
  <c r="AR23" i="3"/>
  <c r="AS23" i="3" s="1"/>
  <c r="AT23" i="3" s="1"/>
  <c r="AU23" i="3" s="1"/>
  <c r="AN23" i="3"/>
  <c r="AO23" i="3" s="1"/>
  <c r="AJ23" i="3"/>
  <c r="AK23" i="3" s="1"/>
  <c r="AF23" i="3"/>
  <c r="AB23" i="3"/>
  <c r="AC23" i="3" s="1"/>
  <c r="X23" i="3"/>
  <c r="Y23" i="3" s="1"/>
  <c r="T23" i="3"/>
  <c r="U23" i="3" s="1"/>
  <c r="V23" i="3" s="1"/>
  <c r="P23" i="3"/>
  <c r="Q23" i="3"/>
  <c r="R23" i="3" s="1"/>
  <c r="L23" i="3"/>
  <c r="M23" i="3" s="1"/>
  <c r="N23" i="3" s="1"/>
  <c r="O23" i="3" s="1"/>
  <c r="H23" i="3"/>
  <c r="I23" i="3" s="1"/>
  <c r="D23" i="3"/>
  <c r="E23" i="3" s="1"/>
  <c r="AV21" i="3"/>
  <c r="AW21" i="3" s="1"/>
  <c r="AX21" i="3" s="1"/>
  <c r="AR21" i="3"/>
  <c r="AS21" i="3" s="1"/>
  <c r="AN21" i="3"/>
  <c r="AO21" i="3" s="1"/>
  <c r="AJ21" i="3"/>
  <c r="AK21" i="3" s="1"/>
  <c r="AL21" i="3" s="1"/>
  <c r="AF21" i="3"/>
  <c r="AG21" i="3" s="1"/>
  <c r="AB21" i="3"/>
  <c r="AC21" i="3"/>
  <c r="X21" i="3"/>
  <c r="Y21" i="3" s="1"/>
  <c r="T21" i="3"/>
  <c r="U21" i="3" s="1"/>
  <c r="V21" i="3" s="1"/>
  <c r="P21" i="3"/>
  <c r="L21" i="3"/>
  <c r="M21" i="3" s="1"/>
  <c r="N21" i="3" s="1"/>
  <c r="H21" i="3"/>
  <c r="D21" i="3"/>
  <c r="E21" i="3" s="1"/>
  <c r="F21" i="3" s="1"/>
  <c r="BY19" i="3"/>
  <c r="BY118" i="3" s="1"/>
  <c r="BY17" i="3"/>
  <c r="BY15" i="3"/>
  <c r="BY114" i="3" s="1"/>
  <c r="AV20" i="3"/>
  <c r="AW20" i="3" s="1"/>
  <c r="AX20" i="3" s="1"/>
  <c r="AR20" i="3"/>
  <c r="AS20" i="3"/>
  <c r="AT20" i="3" s="1"/>
  <c r="AN20" i="3"/>
  <c r="AJ20" i="3"/>
  <c r="AF20" i="3"/>
  <c r="AG20" i="3" s="1"/>
  <c r="AH20" i="3" s="1"/>
  <c r="AB20" i="3"/>
  <c r="AC20" i="3" s="1"/>
  <c r="X20" i="3"/>
  <c r="Y20" i="3" s="1"/>
  <c r="Z20" i="3" s="1"/>
  <c r="T20" i="3"/>
  <c r="P20" i="3"/>
  <c r="Q20" i="3" s="1"/>
  <c r="L20" i="3"/>
  <c r="M20" i="3" s="1"/>
  <c r="N20" i="3" s="1"/>
  <c r="H20" i="3"/>
  <c r="I20" i="3" s="1"/>
  <c r="D20" i="3"/>
  <c r="AV19" i="3"/>
  <c r="AW19" i="3" s="1"/>
  <c r="AX19" i="3" s="1"/>
  <c r="AR19" i="3"/>
  <c r="AS19" i="3" s="1"/>
  <c r="AT19" i="3" s="1"/>
  <c r="AU19" i="3" s="1"/>
  <c r="AN19" i="3"/>
  <c r="AJ19" i="3"/>
  <c r="AF19" i="3"/>
  <c r="AG19" i="3" s="1"/>
  <c r="AB19" i="3"/>
  <c r="AC19" i="3" s="1"/>
  <c r="AD19" i="3" s="1"/>
  <c r="X19" i="3"/>
  <c r="Y19" i="3" s="1"/>
  <c r="Z19" i="3" s="1"/>
  <c r="T19" i="3"/>
  <c r="U19" i="3"/>
  <c r="V19" i="3" s="1"/>
  <c r="P19" i="3"/>
  <c r="Q19" i="3" s="1"/>
  <c r="L19" i="3"/>
  <c r="M19" i="3" s="1"/>
  <c r="N19" i="3" s="1"/>
  <c r="H19" i="3"/>
  <c r="D19" i="3"/>
  <c r="E19" i="3"/>
  <c r="F19" i="3" s="1"/>
  <c r="AV18" i="3"/>
  <c r="AW18" i="3" s="1"/>
  <c r="AX18" i="3" s="1"/>
  <c r="AR18" i="3"/>
  <c r="AS18" i="3" s="1"/>
  <c r="AT18" i="3" s="1"/>
  <c r="AN18" i="3"/>
  <c r="AJ18" i="3"/>
  <c r="AK18" i="3" s="1"/>
  <c r="AL18" i="3" s="1"/>
  <c r="AF18" i="3"/>
  <c r="AG18" i="3" s="1"/>
  <c r="AB18" i="3"/>
  <c r="AC18" i="3"/>
  <c r="AD18" i="3" s="1"/>
  <c r="X18" i="3"/>
  <c r="Y18" i="3"/>
  <c r="Z18" i="3" s="1"/>
  <c r="T18" i="3"/>
  <c r="U18" i="3" s="1"/>
  <c r="P18" i="3"/>
  <c r="Q18" i="3" s="1"/>
  <c r="L18" i="3"/>
  <c r="M18" i="3"/>
  <c r="N18" i="3" s="1"/>
  <c r="O18" i="3" s="1"/>
  <c r="H18" i="3"/>
  <c r="I18" i="3" s="1"/>
  <c r="D18" i="3"/>
  <c r="E18" i="3" s="1"/>
  <c r="F18" i="3" s="1"/>
  <c r="G18" i="3" s="1"/>
  <c r="AV17" i="3"/>
  <c r="AW17" i="3" s="1"/>
  <c r="AR17" i="3"/>
  <c r="AS17" i="3" s="1"/>
  <c r="AT17" i="3" s="1"/>
  <c r="AN17" i="3"/>
  <c r="AO17" i="3" s="1"/>
  <c r="AJ17" i="3"/>
  <c r="AJ69" i="3"/>
  <c r="AF17" i="3"/>
  <c r="AG17" i="3"/>
  <c r="AB17" i="3"/>
  <c r="AC17" i="3" s="1"/>
  <c r="X17" i="3"/>
  <c r="X69" i="3" s="1"/>
  <c r="T17" i="3"/>
  <c r="U17" i="3" s="1"/>
  <c r="P17" i="3"/>
  <c r="Q17" i="3" s="1"/>
  <c r="L17" i="3"/>
  <c r="M17" i="3" s="1"/>
  <c r="L69" i="3"/>
  <c r="H17" i="3"/>
  <c r="H69" i="3"/>
  <c r="D17" i="3"/>
  <c r="AV16" i="3"/>
  <c r="AW16" i="3" s="1"/>
  <c r="AX16" i="3" s="1"/>
  <c r="AR16" i="3"/>
  <c r="AS16" i="3" s="1"/>
  <c r="AN16" i="3"/>
  <c r="AF16" i="3"/>
  <c r="AG16" i="3" s="1"/>
  <c r="X16" i="3"/>
  <c r="P16" i="3"/>
  <c r="L16" i="3"/>
  <c r="M16" i="3"/>
  <c r="H16" i="3"/>
  <c r="I16" i="3" s="1"/>
  <c r="D16" i="3"/>
  <c r="AV15" i="3"/>
  <c r="AW15" i="3" s="1"/>
  <c r="AX15" i="3" s="1"/>
  <c r="AR15" i="3"/>
  <c r="AS15" i="3" s="1"/>
  <c r="AT15" i="3" s="1"/>
  <c r="AU15" i="3" s="1"/>
  <c r="AN15" i="3"/>
  <c r="AO15" i="3" s="1"/>
  <c r="AP15" i="3" s="1"/>
  <c r="AJ15" i="3"/>
  <c r="AK15" i="3"/>
  <c r="AL15" i="3" s="1"/>
  <c r="AF15" i="3"/>
  <c r="AG15" i="3" s="1"/>
  <c r="AB15" i="3"/>
  <c r="AC15" i="3" s="1"/>
  <c r="AD15" i="3" s="1"/>
  <c r="X15" i="3"/>
  <c r="Y15" i="3"/>
  <c r="T15" i="3"/>
  <c r="U15" i="3" s="1"/>
  <c r="V15" i="3" s="1"/>
  <c r="P15" i="3"/>
  <c r="Q15" i="3" s="1"/>
  <c r="L15" i="3"/>
  <c r="M15" i="3" s="1"/>
  <c r="H15" i="3"/>
  <c r="I15" i="3" s="1"/>
  <c r="D15" i="3"/>
  <c r="E15" i="3" s="1"/>
  <c r="F15" i="3" s="1"/>
  <c r="CR20" i="3"/>
  <c r="CR119" i="3" s="1"/>
  <c r="CR19" i="3"/>
  <c r="CR118" i="3" s="1"/>
  <c r="CR18" i="3"/>
  <c r="CR117" i="3" s="1"/>
  <c r="CR17" i="3"/>
  <c r="CR116" i="3" s="1"/>
  <c r="CR16" i="3"/>
  <c r="CR115" i="3" s="1"/>
  <c r="CR15" i="3"/>
  <c r="CR114" i="3" s="1"/>
  <c r="BG14" i="3"/>
  <c r="BF14" i="3"/>
  <c r="BE14" i="3"/>
  <c r="BD14" i="3"/>
  <c r="BC14" i="3"/>
  <c r="BC166" i="1" s="1"/>
  <c r="AV14" i="3"/>
  <c r="AV166" i="1" s="1"/>
  <c r="AR14" i="3"/>
  <c r="AN14" i="3"/>
  <c r="AN83" i="3" s="1"/>
  <c r="AN84" i="3" s="1"/>
  <c r="AJ14" i="3"/>
  <c r="AK14" i="3" s="1"/>
  <c r="AF14" i="3"/>
  <c r="AB14" i="3"/>
  <c r="X14" i="3"/>
  <c r="X83" i="3" s="1"/>
  <c r="T14" i="3"/>
  <c r="P14" i="3"/>
  <c r="Q14" i="3"/>
  <c r="P166" i="1"/>
  <c r="L14" i="3"/>
  <c r="H14" i="3"/>
  <c r="H83" i="3" s="1"/>
  <c r="D14" i="3"/>
  <c r="AV13" i="3"/>
  <c r="AR13" i="3"/>
  <c r="AS13" i="3" s="1"/>
  <c r="AT13" i="3" s="1"/>
  <c r="AU13" i="3" s="1"/>
  <c r="AN13" i="3"/>
  <c r="AJ13" i="3"/>
  <c r="AF13" i="3"/>
  <c r="AB13" i="3"/>
  <c r="X13" i="3"/>
  <c r="Y13" i="3" s="1"/>
  <c r="T13" i="3"/>
  <c r="U13" i="3" s="1"/>
  <c r="V13" i="3" s="1"/>
  <c r="P13" i="3"/>
  <c r="L13" i="3"/>
  <c r="M13" i="3" s="1"/>
  <c r="H13" i="3"/>
  <c r="D13" i="3"/>
  <c r="E13" i="3" s="1"/>
  <c r="F13" i="3" s="1"/>
  <c r="G13" i="3" s="1"/>
  <c r="B6" i="3"/>
  <c r="CR125" i="2"/>
  <c r="BT125" i="2"/>
  <c r="BP125" i="2"/>
  <c r="BY117" i="2"/>
  <c r="BZ117" i="2"/>
  <c r="CA117" i="2" s="1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O115" i="2" s="1"/>
  <c r="AO118" i="2" s="1"/>
  <c r="AN114" i="2"/>
  <c r="AM114" i="2"/>
  <c r="AL114" i="2"/>
  <c r="AK114" i="2"/>
  <c r="AJ114" i="2"/>
  <c r="AI114" i="2"/>
  <c r="AZ113" i="2"/>
  <c r="AY113" i="2"/>
  <c r="AX113" i="2"/>
  <c r="AX115" i="2" s="1"/>
  <c r="AX118" i="2" s="1"/>
  <c r="AW113" i="2"/>
  <c r="AW115" i="2"/>
  <c r="AW118" i="2" s="1"/>
  <c r="AV113" i="2"/>
  <c r="AV115" i="2" s="1"/>
  <c r="AV118" i="2" s="1"/>
  <c r="AU113" i="2"/>
  <c r="AT113" i="2"/>
  <c r="AT115" i="2" s="1"/>
  <c r="AT118" i="2" s="1"/>
  <c r="AS113" i="2"/>
  <c r="AS115" i="2" s="1"/>
  <c r="AS118" i="2" s="1"/>
  <c r="AR113" i="2"/>
  <c r="AQ113" i="2"/>
  <c r="AQ115" i="2"/>
  <c r="AQ118" i="2" s="1"/>
  <c r="AP113" i="2"/>
  <c r="AP115" i="2" s="1"/>
  <c r="AP118" i="2" s="1"/>
  <c r="AO113" i="2"/>
  <c r="AN113" i="2"/>
  <c r="AN115" i="2" s="1"/>
  <c r="AN118" i="2" s="1"/>
  <c r="AM113" i="2"/>
  <c r="AL113" i="2"/>
  <c r="AL115" i="2" s="1"/>
  <c r="AL118" i="2" s="1"/>
  <c r="AK113" i="2"/>
  <c r="AK115" i="2"/>
  <c r="AK118" i="2" s="1"/>
  <c r="AJ113" i="2"/>
  <c r="AI113" i="2"/>
  <c r="AI104" i="2"/>
  <c r="AJ104" i="2" s="1"/>
  <c r="AK104" i="2" s="1"/>
  <c r="AL104" i="2" s="1"/>
  <c r="AM104" i="2" s="1"/>
  <c r="AI103" i="2"/>
  <c r="AI102" i="2"/>
  <c r="AH99" i="2"/>
  <c r="AH98" i="2" s="1"/>
  <c r="AU98" i="2"/>
  <c r="BW98" i="2" s="1"/>
  <c r="AI97" i="2"/>
  <c r="BT96" i="2"/>
  <c r="AX98" i="2"/>
  <c r="AJ96" i="2"/>
  <c r="AK96" i="2" s="1"/>
  <c r="AY87" i="2"/>
  <c r="AX87" i="2"/>
  <c r="AW87" i="2"/>
  <c r="AV87" i="2"/>
  <c r="AU87" i="2"/>
  <c r="AT87" i="2"/>
  <c r="AS87" i="2"/>
  <c r="AR87" i="2"/>
  <c r="AQ87" i="2"/>
  <c r="AP87" i="2"/>
  <c r="AO87" i="2"/>
  <c r="AO88" i="2" s="1"/>
  <c r="AN87" i="2"/>
  <c r="AM87" i="2"/>
  <c r="AL87" i="2"/>
  <c r="AK87" i="2"/>
  <c r="AJ87" i="2"/>
  <c r="AI87" i="2"/>
  <c r="AH87" i="2"/>
  <c r="AG87" i="2"/>
  <c r="AY85" i="2"/>
  <c r="AX85" i="2"/>
  <c r="AW85" i="2"/>
  <c r="AW88" i="2"/>
  <c r="AV85" i="2"/>
  <c r="AU85" i="2"/>
  <c r="AT85" i="2"/>
  <c r="AS85" i="2"/>
  <c r="AS88" i="2" s="1"/>
  <c r="AR85" i="2"/>
  <c r="AQ85" i="2"/>
  <c r="AP85" i="2"/>
  <c r="AP88" i="2" s="1"/>
  <c r="AO85" i="2"/>
  <c r="AN85" i="2"/>
  <c r="AN88" i="2" s="1"/>
  <c r="AM85" i="2"/>
  <c r="AL85" i="2"/>
  <c r="AK85" i="2"/>
  <c r="AJ85" i="2"/>
  <c r="AI85" i="2"/>
  <c r="AH85" i="2"/>
  <c r="AG85" i="2"/>
  <c r="AG88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K82" i="2" s="1"/>
  <c r="AJ81" i="2"/>
  <c r="AI81" i="2"/>
  <c r="AH81" i="2"/>
  <c r="AG81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AF81" i="2"/>
  <c r="AE81" i="2"/>
  <c r="AE82" i="2" s="1"/>
  <c r="AB81" i="2"/>
  <c r="V81" i="2"/>
  <c r="AI79" i="2"/>
  <c r="AY76" i="2"/>
  <c r="BX76" i="2" s="1"/>
  <c r="AX76" i="2"/>
  <c r="AW76" i="2"/>
  <c r="CP76" i="2" s="1"/>
  <c r="AV76" i="2"/>
  <c r="AV77" i="2" s="1"/>
  <c r="AU76" i="2"/>
  <c r="BW76" i="2"/>
  <c r="AT76" i="2"/>
  <c r="AS76" i="2"/>
  <c r="AR76" i="2"/>
  <c r="AQ76" i="2"/>
  <c r="AP76" i="2"/>
  <c r="AO76" i="2"/>
  <c r="CN76" i="2" s="1"/>
  <c r="AN76" i="2"/>
  <c r="AM76" i="2"/>
  <c r="BU76" i="2"/>
  <c r="BU77" i="2" s="1"/>
  <c r="AL76" i="2"/>
  <c r="AL77" i="2" s="1"/>
  <c r="AK76" i="2"/>
  <c r="CM76" i="2" s="1"/>
  <c r="AJ76" i="2"/>
  <c r="AI76" i="2"/>
  <c r="BT76" i="2"/>
  <c r="AH76" i="2"/>
  <c r="AG76" i="2"/>
  <c r="CL76" i="2" s="1"/>
  <c r="AF76" i="2"/>
  <c r="AE76" i="2"/>
  <c r="BS76" i="2" s="1"/>
  <c r="AD76" i="2"/>
  <c r="AC76" i="2"/>
  <c r="CK76" i="2" s="1"/>
  <c r="AB76" i="2"/>
  <c r="AA76" i="2"/>
  <c r="BR76" i="2" s="1"/>
  <c r="Z76" i="2"/>
  <c r="Y76" i="2"/>
  <c r="CJ76" i="2" s="1"/>
  <c r="X76" i="2"/>
  <c r="W76" i="2"/>
  <c r="BQ76" i="2"/>
  <c r="V76" i="2"/>
  <c r="U76" i="2"/>
  <c r="CI76" i="2" s="1"/>
  <c r="T76" i="2"/>
  <c r="S76" i="2"/>
  <c r="BP76" i="2"/>
  <c r="R76" i="2"/>
  <c r="Q76" i="2"/>
  <c r="CH76" i="2" s="1"/>
  <c r="P76" i="2"/>
  <c r="O76" i="2"/>
  <c r="O77" i="2" s="1"/>
  <c r="BO76" i="2"/>
  <c r="N76" i="2"/>
  <c r="M76" i="2"/>
  <c r="CG76" i="2" s="1"/>
  <c r="L76" i="2"/>
  <c r="L77" i="2" s="1"/>
  <c r="K76" i="2"/>
  <c r="J76" i="2"/>
  <c r="I76" i="2"/>
  <c r="CF76" i="2" s="1"/>
  <c r="H76" i="2"/>
  <c r="H77" i="2" s="1"/>
  <c r="G76" i="2"/>
  <c r="BM76" i="2"/>
  <c r="F76" i="2"/>
  <c r="E76" i="2"/>
  <c r="D76" i="2"/>
  <c r="CP73" i="2"/>
  <c r="CO73" i="2"/>
  <c r="CN73" i="2"/>
  <c r="CM73" i="2"/>
  <c r="CL73" i="2"/>
  <c r="CK73" i="2"/>
  <c r="CJ73" i="2"/>
  <c r="CI73" i="2"/>
  <c r="CH73" i="2"/>
  <c r="CG73" i="2"/>
  <c r="CF73" i="2"/>
  <c r="CP72" i="2"/>
  <c r="CO72" i="2"/>
  <c r="CN72" i="2"/>
  <c r="CM72" i="2"/>
  <c r="CL72" i="2"/>
  <c r="CK72" i="2"/>
  <c r="CJ72" i="2"/>
  <c r="CI72" i="2"/>
  <c r="CH72" i="2"/>
  <c r="CG72" i="2"/>
  <c r="CF72" i="2"/>
  <c r="CP71" i="2"/>
  <c r="CO71" i="2"/>
  <c r="CN71" i="2"/>
  <c r="CM71" i="2"/>
  <c r="CL71" i="2"/>
  <c r="CK71" i="2"/>
  <c r="CJ71" i="2"/>
  <c r="CI71" i="2"/>
  <c r="CH71" i="2"/>
  <c r="CG71" i="2"/>
  <c r="CF71" i="2"/>
  <c r="CP70" i="2"/>
  <c r="CO70" i="2"/>
  <c r="CN70" i="2"/>
  <c r="CM70" i="2"/>
  <c r="CL70" i="2"/>
  <c r="CK70" i="2"/>
  <c r="CJ70" i="2"/>
  <c r="CI70" i="2"/>
  <c r="CH70" i="2"/>
  <c r="CG70" i="2"/>
  <c r="CF70" i="2"/>
  <c r="BX73" i="2"/>
  <c r="BW73" i="2"/>
  <c r="BV73" i="2"/>
  <c r="BU73" i="2"/>
  <c r="BT73" i="2"/>
  <c r="BS73" i="2"/>
  <c r="BR73" i="2"/>
  <c r="BQ73" i="2"/>
  <c r="BP73" i="2"/>
  <c r="BO73" i="2"/>
  <c r="BN73" i="2"/>
  <c r="BM73" i="2"/>
  <c r="BX72" i="2"/>
  <c r="BW72" i="2"/>
  <c r="BV72" i="2"/>
  <c r="BU72" i="2"/>
  <c r="BT72" i="2"/>
  <c r="BS72" i="2"/>
  <c r="BR72" i="2"/>
  <c r="BQ72" i="2"/>
  <c r="BP72" i="2"/>
  <c r="BO72" i="2"/>
  <c r="BN72" i="2"/>
  <c r="BM72" i="2"/>
  <c r="BX71" i="2"/>
  <c r="BW71" i="2"/>
  <c r="BV71" i="2"/>
  <c r="BU71" i="2"/>
  <c r="BT71" i="2"/>
  <c r="BS71" i="2"/>
  <c r="BR71" i="2"/>
  <c r="BQ71" i="2"/>
  <c r="BP71" i="2"/>
  <c r="BO71" i="2"/>
  <c r="BN71" i="2"/>
  <c r="BM71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CQ71" i="2"/>
  <c r="BC70" i="2"/>
  <c r="BY70" i="2" s="1"/>
  <c r="AX70" i="2"/>
  <c r="AY68" i="2"/>
  <c r="AX68" i="2"/>
  <c r="AX74" i="2"/>
  <c r="AW68" i="2"/>
  <c r="AV68" i="2"/>
  <c r="AU68" i="2"/>
  <c r="AU74" i="2" s="1"/>
  <c r="AS68" i="2"/>
  <c r="AR68" i="2"/>
  <c r="AQ68" i="2"/>
  <c r="AO68" i="2"/>
  <c r="AN68" i="2"/>
  <c r="AN74" i="2" s="1"/>
  <c r="AN77" i="2" s="1"/>
  <c r="AM68" i="2"/>
  <c r="AL68" i="2"/>
  <c r="AL74" i="2" s="1"/>
  <c r="AK68" i="2"/>
  <c r="AJ68" i="2"/>
  <c r="AJ74" i="2" s="1"/>
  <c r="AI68" i="2"/>
  <c r="AH68" i="2"/>
  <c r="AH74" i="2"/>
  <c r="AG68" i="2"/>
  <c r="AF68" i="2"/>
  <c r="AF74" i="2" s="1"/>
  <c r="AF77" i="2" s="1"/>
  <c r="AE68" i="2"/>
  <c r="AD68" i="2"/>
  <c r="AD74" i="2" s="1"/>
  <c r="AD77" i="2" s="1"/>
  <c r="AC68" i="2"/>
  <c r="AB68" i="2"/>
  <c r="AA68" i="2"/>
  <c r="Z68" i="2"/>
  <c r="Z74" i="2" s="1"/>
  <c r="Y68" i="2"/>
  <c r="X68" i="2"/>
  <c r="W68" i="2"/>
  <c r="V68" i="2"/>
  <c r="V74" i="2" s="1"/>
  <c r="U68" i="2"/>
  <c r="T68" i="2"/>
  <c r="T74" i="2" s="1"/>
  <c r="T77" i="2" s="1"/>
  <c r="S68" i="2"/>
  <c r="R68" i="2"/>
  <c r="R74" i="2" s="1"/>
  <c r="Q68" i="2"/>
  <c r="Q74" i="2" s="1"/>
  <c r="Q77" i="2" s="1"/>
  <c r="P68" i="2"/>
  <c r="O68" i="2"/>
  <c r="N68" i="2"/>
  <c r="N74" i="2"/>
  <c r="M68" i="2"/>
  <c r="L68" i="2"/>
  <c r="K68" i="2"/>
  <c r="J68" i="2"/>
  <c r="J74" i="2" s="1"/>
  <c r="J77" i="2" s="1"/>
  <c r="I68" i="2"/>
  <c r="H68" i="2"/>
  <c r="H74" i="2"/>
  <c r="G68" i="2"/>
  <c r="G74" i="2" s="1"/>
  <c r="G77" i="2" s="1"/>
  <c r="F68" i="2"/>
  <c r="F74" i="2" s="1"/>
  <c r="E68" i="2"/>
  <c r="D68" i="2"/>
  <c r="D74" i="2"/>
  <c r="AT67" i="2"/>
  <c r="AT68" i="2" s="1"/>
  <c r="AP65" i="2"/>
  <c r="AP67" i="2" s="1"/>
  <c r="CP67" i="2"/>
  <c r="CO67" i="2"/>
  <c r="CN67" i="2"/>
  <c r="CM67" i="2"/>
  <c r="CL67" i="2"/>
  <c r="CK67" i="2"/>
  <c r="CJ67" i="2"/>
  <c r="CI67" i="2"/>
  <c r="CI68" i="2" s="1"/>
  <c r="CI74" i="2" s="1"/>
  <c r="CH67" i="2"/>
  <c r="CG67" i="2"/>
  <c r="CF67" i="2"/>
  <c r="CP66" i="2"/>
  <c r="CO66" i="2"/>
  <c r="CN66" i="2"/>
  <c r="CM66" i="2"/>
  <c r="CL66" i="2"/>
  <c r="CL68" i="2" s="1"/>
  <c r="CL74" i="2" s="1"/>
  <c r="CK66" i="2"/>
  <c r="CJ66" i="2"/>
  <c r="CI66" i="2"/>
  <c r="CH66" i="2"/>
  <c r="CH68" i="2" s="1"/>
  <c r="CH74" i="2" s="1"/>
  <c r="CG66" i="2"/>
  <c r="CF66" i="2"/>
  <c r="CP65" i="2"/>
  <c r="CO65" i="2"/>
  <c r="CO68" i="2" s="1"/>
  <c r="CO74" i="2" s="1"/>
  <c r="CN65" i="2"/>
  <c r="CM65" i="2"/>
  <c r="CL65" i="2"/>
  <c r="CK65" i="2"/>
  <c r="CK68" i="2" s="1"/>
  <c r="CK74" i="2" s="1"/>
  <c r="CJ65" i="2"/>
  <c r="CI65" i="2"/>
  <c r="CH65" i="2"/>
  <c r="CG65" i="2"/>
  <c r="CG68" i="2" s="1"/>
  <c r="CG74" i="2" s="1"/>
  <c r="CF65" i="2"/>
  <c r="CP64" i="2"/>
  <c r="CO64" i="2"/>
  <c r="CN64" i="2"/>
  <c r="CN68" i="2" s="1"/>
  <c r="CN74" i="2" s="1"/>
  <c r="CM64" i="2"/>
  <c r="CL64" i="2"/>
  <c r="CK64" i="2"/>
  <c r="CJ64" i="2"/>
  <c r="CJ68" i="2" s="1"/>
  <c r="CJ74" i="2" s="1"/>
  <c r="CI64" i="2"/>
  <c r="CH64" i="2"/>
  <c r="CG64" i="2"/>
  <c r="CF64" i="2"/>
  <c r="CF68" i="2" s="1"/>
  <c r="CF74" i="2" s="1"/>
  <c r="BX67" i="2"/>
  <c r="BW67" i="2"/>
  <c r="BV67" i="2"/>
  <c r="BU67" i="2"/>
  <c r="BT67" i="2"/>
  <c r="BS67" i="2"/>
  <c r="BR67" i="2"/>
  <c r="BQ67" i="2"/>
  <c r="BP67" i="2"/>
  <c r="BO67" i="2"/>
  <c r="BN67" i="2"/>
  <c r="BM67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BX65" i="2"/>
  <c r="BW65" i="2"/>
  <c r="BV65" i="2"/>
  <c r="BU65" i="2"/>
  <c r="BT65" i="2"/>
  <c r="BS65" i="2"/>
  <c r="BR65" i="2"/>
  <c r="BQ65" i="2"/>
  <c r="BP65" i="2"/>
  <c r="BP68" i="2" s="1"/>
  <c r="BP74" i="2" s="1"/>
  <c r="BP77" i="2" s="1"/>
  <c r="BO65" i="2"/>
  <c r="BN65" i="2"/>
  <c r="BM65" i="2"/>
  <c r="BX64" i="2"/>
  <c r="BX68" i="2" s="1"/>
  <c r="BW64" i="2"/>
  <c r="BV64" i="2"/>
  <c r="BV68" i="2" s="1"/>
  <c r="BV74" i="2" s="1"/>
  <c r="BU64" i="2"/>
  <c r="BU68" i="2"/>
  <c r="BU74" i="2" s="1"/>
  <c r="BT64" i="2"/>
  <c r="BS64" i="2"/>
  <c r="BS68" i="2" s="1"/>
  <c r="BS74" i="2" s="1"/>
  <c r="BR64" i="2"/>
  <c r="BQ64" i="2"/>
  <c r="BP64" i="2"/>
  <c r="BO64" i="2"/>
  <c r="BO68" i="2" s="1"/>
  <c r="BO74" i="2" s="1"/>
  <c r="BO77" i="2" s="1"/>
  <c r="BN64" i="2"/>
  <c r="BM64" i="2"/>
  <c r="BM68" i="2" s="1"/>
  <c r="BM74" i="2" s="1"/>
  <c r="CQ67" i="2"/>
  <c r="BC65" i="2"/>
  <c r="BY65" i="2" s="1"/>
  <c r="AZ64" i="2"/>
  <c r="CP60" i="2"/>
  <c r="CO60" i="2"/>
  <c r="CL60" i="2"/>
  <c r="CL56" i="2" s="1"/>
  <c r="CO59" i="2"/>
  <c r="CO57" i="2" s="1"/>
  <c r="CN59" i="2"/>
  <c r="CL59" i="2"/>
  <c r="BX60" i="2"/>
  <c r="BX55" i="2" s="1"/>
  <c r="BX54" i="2" s="1"/>
  <c r="BV60" i="2"/>
  <c r="BV55" i="2" s="1"/>
  <c r="BU60" i="2"/>
  <c r="BT60" i="2"/>
  <c r="BX59" i="2"/>
  <c r="BX57" i="2" s="1"/>
  <c r="BW59" i="2"/>
  <c r="BW57" i="2" s="1"/>
  <c r="BS59" i="2"/>
  <c r="BS57" i="2" s="1"/>
  <c r="AY60" i="2"/>
  <c r="AX60" i="2"/>
  <c r="AW60" i="2"/>
  <c r="AV60" i="2"/>
  <c r="AU60" i="2"/>
  <c r="AT60" i="2"/>
  <c r="AS60" i="2"/>
  <c r="AS55" i="2" s="1"/>
  <c r="AS54" i="2" s="1"/>
  <c r="AR60" i="2"/>
  <c r="AR55" i="2" s="1"/>
  <c r="AQ60" i="2"/>
  <c r="AQ56" i="2" s="1"/>
  <c r="AP60" i="2"/>
  <c r="AP56" i="2" s="1"/>
  <c r="AO60" i="2"/>
  <c r="AO56" i="2" s="1"/>
  <c r="AN60" i="2"/>
  <c r="AM60" i="2"/>
  <c r="AM56" i="2" s="1"/>
  <c r="AL60" i="2"/>
  <c r="AK60" i="2"/>
  <c r="AK55" i="2" s="1"/>
  <c r="AK54" i="2" s="1"/>
  <c r="AJ60" i="2"/>
  <c r="AI60" i="2"/>
  <c r="AH60" i="2"/>
  <c r="AG60" i="2"/>
  <c r="AG56" i="2" s="1"/>
  <c r="AF60" i="2"/>
  <c r="AF56" i="2" s="1"/>
  <c r="AE60" i="2"/>
  <c r="AE55" i="2" s="1"/>
  <c r="AE54" i="2" s="1"/>
  <c r="AD60" i="2"/>
  <c r="AD56" i="2" s="1"/>
  <c r="AC60" i="2"/>
  <c r="AC56" i="2" s="1"/>
  <c r="AB60" i="2"/>
  <c r="AA60" i="2"/>
  <c r="Z60" i="2"/>
  <c r="Z56" i="2" s="1"/>
  <c r="Y60" i="2"/>
  <c r="Y56" i="2" s="1"/>
  <c r="X60" i="2"/>
  <c r="X56" i="2" s="1"/>
  <c r="V60" i="2"/>
  <c r="V55" i="2" s="1"/>
  <c r="V54" i="2" s="1"/>
  <c r="U60" i="2"/>
  <c r="T60" i="2"/>
  <c r="S60" i="2"/>
  <c r="S55" i="2" s="1"/>
  <c r="S54" i="2" s="1"/>
  <c r="R60" i="2"/>
  <c r="R56" i="2" s="1"/>
  <c r="Q60" i="2"/>
  <c r="P60" i="2"/>
  <c r="P56" i="2" s="1"/>
  <c r="N60" i="2"/>
  <c r="M60" i="2"/>
  <c r="M55" i="2" s="1"/>
  <c r="M54" i="2" s="1"/>
  <c r="L60" i="2"/>
  <c r="J60" i="2"/>
  <c r="J56" i="2" s="1"/>
  <c r="I60" i="2"/>
  <c r="H60" i="2"/>
  <c r="G60" i="2"/>
  <c r="G56" i="2" s="1"/>
  <c r="F60" i="2"/>
  <c r="E60" i="2"/>
  <c r="E55" i="2" s="1"/>
  <c r="E54" i="2" s="1"/>
  <c r="D60" i="2"/>
  <c r="AY59" i="2"/>
  <c r="AX59" i="2"/>
  <c r="AW59" i="2"/>
  <c r="AV59" i="2"/>
  <c r="AU59" i="2"/>
  <c r="AT59" i="2"/>
  <c r="AT53" i="2" s="1"/>
  <c r="AS59" i="2"/>
  <c r="AR59" i="2"/>
  <c r="AR57" i="2" s="1"/>
  <c r="AQ59" i="2"/>
  <c r="AP59" i="2"/>
  <c r="AP57" i="2" s="1"/>
  <c r="AO59" i="2"/>
  <c r="AO57" i="2" s="1"/>
  <c r="AN59" i="2"/>
  <c r="AM59" i="2"/>
  <c r="AM57" i="2" s="1"/>
  <c r="AL59" i="2"/>
  <c r="AK59" i="2"/>
  <c r="AK57" i="2" s="1"/>
  <c r="AJ59" i="2"/>
  <c r="AI59" i="2"/>
  <c r="AI53" i="2" s="1"/>
  <c r="AH59" i="2"/>
  <c r="AG59" i="2"/>
  <c r="AG53" i="2" s="1"/>
  <c r="AF59" i="2"/>
  <c r="AF53" i="2" s="1"/>
  <c r="AE59" i="2"/>
  <c r="AE57" i="2" s="1"/>
  <c r="AD59" i="2"/>
  <c r="AC59" i="2"/>
  <c r="AC57" i="2" s="1"/>
  <c r="AB59" i="2"/>
  <c r="Z59" i="2"/>
  <c r="Y59" i="2"/>
  <c r="Y57" i="2" s="1"/>
  <c r="X59" i="2"/>
  <c r="W59" i="2"/>
  <c r="W57" i="2" s="1"/>
  <c r="V59" i="2"/>
  <c r="U59" i="2"/>
  <c r="U57" i="2" s="1"/>
  <c r="T59" i="2"/>
  <c r="R59" i="2"/>
  <c r="R57" i="2" s="1"/>
  <c r="Q59" i="2"/>
  <c r="Q53" i="2" s="1"/>
  <c r="P59" i="2"/>
  <c r="P57" i="2" s="1"/>
  <c r="O59" i="2"/>
  <c r="O57" i="2" s="1"/>
  <c r="N59" i="2"/>
  <c r="N53" i="2" s="1"/>
  <c r="M59" i="2"/>
  <c r="M57" i="2" s="1"/>
  <c r="L59" i="2"/>
  <c r="L53" i="2" s="1"/>
  <c r="J59" i="2"/>
  <c r="I59" i="2"/>
  <c r="I53" i="2" s="1"/>
  <c r="H59" i="2"/>
  <c r="G59" i="2"/>
  <c r="G57" i="2" s="1"/>
  <c r="F59" i="2"/>
  <c r="E59" i="2"/>
  <c r="E57" i="2" s="1"/>
  <c r="D59" i="2"/>
  <c r="CP45" i="2"/>
  <c r="CP83" i="2" s="1"/>
  <c r="CO45" i="2"/>
  <c r="CN45" i="2"/>
  <c r="CM45" i="2"/>
  <c r="CL45" i="2"/>
  <c r="CK45" i="2"/>
  <c r="CJ45" i="2"/>
  <c r="CI45" i="2"/>
  <c r="CH45" i="2"/>
  <c r="CG45" i="2"/>
  <c r="CF45" i="2"/>
  <c r="BX45" i="2"/>
  <c r="BW45" i="2"/>
  <c r="BV45" i="2"/>
  <c r="BU45" i="2"/>
  <c r="BU83" i="2" s="1"/>
  <c r="BT45" i="2"/>
  <c r="BS45" i="2"/>
  <c r="BR45" i="2"/>
  <c r="BQ45" i="2"/>
  <c r="BP45" i="2"/>
  <c r="BO45" i="2"/>
  <c r="BO83" i="2" s="1"/>
  <c r="BN45" i="2"/>
  <c r="BM45" i="2"/>
  <c r="BY44" i="2"/>
  <c r="BX44" i="2"/>
  <c r="AX42" i="2"/>
  <c r="AU42" i="2"/>
  <c r="AT42" i="2"/>
  <c r="AS42" i="2"/>
  <c r="CO42" i="2" s="1"/>
  <c r="AR40" i="2"/>
  <c r="AQ40" i="2"/>
  <c r="AP40" i="2"/>
  <c r="AO40" i="2"/>
  <c r="CN40" i="2" s="1"/>
  <c r="AN40" i="2"/>
  <c r="AM40" i="2"/>
  <c r="BU40" i="2" s="1"/>
  <c r="AL40" i="2"/>
  <c r="AK40" i="2"/>
  <c r="CM40" i="2" s="1"/>
  <c r="AJ40" i="2"/>
  <c r="AI40" i="2"/>
  <c r="AH40" i="2"/>
  <c r="AH47" i="2" s="1"/>
  <c r="AH49" i="2" s="1"/>
  <c r="AG40" i="2"/>
  <c r="AF40" i="2"/>
  <c r="AE40" i="2"/>
  <c r="AD40" i="2"/>
  <c r="AC40" i="2"/>
  <c r="CK40" i="2"/>
  <c r="AB40" i="2"/>
  <c r="AA40" i="2"/>
  <c r="BR40" i="2" s="1"/>
  <c r="Z40" i="2"/>
  <c r="Y40" i="2"/>
  <c r="CJ40" i="2" s="1"/>
  <c r="X40" i="2"/>
  <c r="W40" i="2"/>
  <c r="BQ40" i="2" s="1"/>
  <c r="V40" i="2"/>
  <c r="U40" i="2"/>
  <c r="CI40" i="2" s="1"/>
  <c r="T40" i="2"/>
  <c r="S40" i="2"/>
  <c r="BP40" i="2" s="1"/>
  <c r="R40" i="2"/>
  <c r="Q40" i="2"/>
  <c r="CH40" i="2" s="1"/>
  <c r="CR44" i="2"/>
  <c r="CQ44" i="2"/>
  <c r="CP44" i="2"/>
  <c r="CP43" i="2"/>
  <c r="CP42" i="2"/>
  <c r="CP41" i="2"/>
  <c r="CP40" i="2"/>
  <c r="CP39" i="2"/>
  <c r="CO43" i="2"/>
  <c r="CN43" i="2"/>
  <c r="CM43" i="2"/>
  <c r="CL43" i="2"/>
  <c r="CK43" i="2"/>
  <c r="CJ43" i="2"/>
  <c r="CI43" i="2"/>
  <c r="CH43" i="2"/>
  <c r="CG43" i="2"/>
  <c r="CF43" i="2"/>
  <c r="CN42" i="2"/>
  <c r="CM42" i="2"/>
  <c r="CL42" i="2"/>
  <c r="CK42" i="2"/>
  <c r="CJ42" i="2"/>
  <c r="CI42" i="2"/>
  <c r="CH42" i="2"/>
  <c r="CG42" i="2"/>
  <c r="CF42" i="2"/>
  <c r="CO41" i="2"/>
  <c r="CN41" i="2"/>
  <c r="CM41" i="2"/>
  <c r="CL41" i="2"/>
  <c r="CK41" i="2"/>
  <c r="CJ41" i="2"/>
  <c r="CI41" i="2"/>
  <c r="CH41" i="2"/>
  <c r="CG41" i="2"/>
  <c r="CF41" i="2"/>
  <c r="CO40" i="2"/>
  <c r="CL40" i="2"/>
  <c r="CG40" i="2"/>
  <c r="CF40" i="2"/>
  <c r="CO39" i="2"/>
  <c r="CN39" i="2"/>
  <c r="CM39" i="2"/>
  <c r="CL39" i="2"/>
  <c r="CK39" i="2"/>
  <c r="CJ39" i="2"/>
  <c r="CI39" i="2"/>
  <c r="CH39" i="2"/>
  <c r="CG39" i="2"/>
  <c r="CF39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X40" i="2"/>
  <c r="BW40" i="2"/>
  <c r="BV40" i="2"/>
  <c r="BT40" i="2"/>
  <c r="BS40" i="2"/>
  <c r="BO40" i="2"/>
  <c r="BN40" i="2"/>
  <c r="BM40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C43" i="2"/>
  <c r="BC41" i="2"/>
  <c r="BD41" i="2" s="1"/>
  <c r="BE41" i="2" s="1"/>
  <c r="CR41" i="2" s="1"/>
  <c r="AY37" i="2"/>
  <c r="AY47" i="2" s="1"/>
  <c r="AX37" i="2"/>
  <c r="AX47" i="2"/>
  <c r="AW37" i="2"/>
  <c r="AW47" i="2" s="1"/>
  <c r="AV37" i="2"/>
  <c r="AV47" i="2"/>
  <c r="AU37" i="2"/>
  <c r="AT37" i="2"/>
  <c r="AT47" i="2"/>
  <c r="AS37" i="2"/>
  <c r="AR37" i="2"/>
  <c r="AR47" i="2"/>
  <c r="AQ37" i="2"/>
  <c r="AQ47" i="2" s="1"/>
  <c r="AQ49" i="2" s="1"/>
  <c r="AP37" i="2"/>
  <c r="AO37" i="2"/>
  <c r="AN37" i="2"/>
  <c r="AM37" i="2"/>
  <c r="AM47" i="2"/>
  <c r="AM49" i="2" s="1"/>
  <c r="AL37" i="2"/>
  <c r="AK37" i="2"/>
  <c r="AK47" i="2"/>
  <c r="AK49" i="2" s="1"/>
  <c r="AJ37" i="2"/>
  <c r="AJ90" i="2" s="1"/>
  <c r="AI37" i="2"/>
  <c r="AI47" i="2"/>
  <c r="AH37" i="2"/>
  <c r="AH90" i="2" s="1"/>
  <c r="AG37" i="2"/>
  <c r="AG47" i="2"/>
  <c r="AF37" i="2"/>
  <c r="AE37" i="2"/>
  <c r="AE47" i="2" s="1"/>
  <c r="AE49" i="2" s="1"/>
  <c r="AD37" i="2"/>
  <c r="AC37" i="2"/>
  <c r="AC47" i="2" s="1"/>
  <c r="AB37" i="2"/>
  <c r="AB47" i="2"/>
  <c r="AA37" i="2"/>
  <c r="Z37" i="2"/>
  <c r="Z47" i="2"/>
  <c r="Y37" i="2"/>
  <c r="Y47" i="2" s="1"/>
  <c r="X37" i="2"/>
  <c r="X47" i="2"/>
  <c r="W37" i="2"/>
  <c r="V37" i="2"/>
  <c r="V47" i="2" s="1"/>
  <c r="U37" i="2"/>
  <c r="U47" i="2" s="1"/>
  <c r="T37" i="2"/>
  <c r="T47" i="2"/>
  <c r="S37" i="2"/>
  <c r="R37" i="2"/>
  <c r="Q37" i="2"/>
  <c r="Q47" i="2"/>
  <c r="P37" i="2"/>
  <c r="P47" i="2"/>
  <c r="O37" i="2"/>
  <c r="O47" i="2"/>
  <c r="N37" i="2"/>
  <c r="N47" i="2"/>
  <c r="M37" i="2"/>
  <c r="M47" i="2"/>
  <c r="L37" i="2"/>
  <c r="L47" i="2"/>
  <c r="K37" i="2"/>
  <c r="K90" i="2" s="1"/>
  <c r="K47" i="2"/>
  <c r="J37" i="2"/>
  <c r="J47" i="2"/>
  <c r="I37" i="2"/>
  <c r="I47" i="2"/>
  <c r="H37" i="2"/>
  <c r="H47" i="2"/>
  <c r="G37" i="2"/>
  <c r="G47" i="2"/>
  <c r="F37" i="2"/>
  <c r="F47" i="2"/>
  <c r="E37" i="2"/>
  <c r="E47" i="2"/>
  <c r="D37" i="2"/>
  <c r="D47" i="2"/>
  <c r="CP36" i="2"/>
  <c r="CO36" i="2"/>
  <c r="CN36" i="2"/>
  <c r="CM36" i="2"/>
  <c r="CL36" i="2"/>
  <c r="CK36" i="2"/>
  <c r="CJ36" i="2"/>
  <c r="CI36" i="2"/>
  <c r="CH36" i="2"/>
  <c r="CG36" i="2"/>
  <c r="CF36" i="2"/>
  <c r="CP35" i="2"/>
  <c r="CO35" i="2"/>
  <c r="CN35" i="2"/>
  <c r="CM35" i="2"/>
  <c r="CL35" i="2"/>
  <c r="CK35" i="2"/>
  <c r="CJ35" i="2"/>
  <c r="CI35" i="2"/>
  <c r="CH35" i="2"/>
  <c r="CG35" i="2"/>
  <c r="CF35" i="2"/>
  <c r="CP34" i="2"/>
  <c r="CO34" i="2"/>
  <c r="CN34" i="2"/>
  <c r="CM34" i="2"/>
  <c r="CL34" i="2"/>
  <c r="CK34" i="2"/>
  <c r="CJ34" i="2"/>
  <c r="CI34" i="2"/>
  <c r="CI37" i="2" s="1"/>
  <c r="CH34" i="2"/>
  <c r="CG34" i="2"/>
  <c r="CF34" i="2"/>
  <c r="CP33" i="2"/>
  <c r="CO33" i="2"/>
  <c r="CN33" i="2"/>
  <c r="CM33" i="2"/>
  <c r="CL33" i="2"/>
  <c r="CK33" i="2"/>
  <c r="CJ33" i="2"/>
  <c r="CI33" i="2"/>
  <c r="CH33" i="2"/>
  <c r="CG33" i="2"/>
  <c r="CF33" i="2"/>
  <c r="CP32" i="2"/>
  <c r="CO32" i="2"/>
  <c r="CN32" i="2"/>
  <c r="CM32" i="2"/>
  <c r="CL32" i="2"/>
  <c r="CK32" i="2"/>
  <c r="CK37" i="2" s="1"/>
  <c r="CJ32" i="2"/>
  <c r="CI32" i="2"/>
  <c r="CH32" i="2"/>
  <c r="CG32" i="2"/>
  <c r="CF32" i="2"/>
  <c r="CP31" i="2"/>
  <c r="CO31" i="2"/>
  <c r="CN31" i="2"/>
  <c r="CM31" i="2"/>
  <c r="CL31" i="2"/>
  <c r="CK31" i="2"/>
  <c r="CJ31" i="2"/>
  <c r="CI31" i="2"/>
  <c r="CH31" i="2"/>
  <c r="CG31" i="2"/>
  <c r="CF31" i="2"/>
  <c r="CP30" i="2"/>
  <c r="CO30" i="2"/>
  <c r="CN30" i="2"/>
  <c r="CM30" i="2"/>
  <c r="CM37" i="2" s="1"/>
  <c r="CL30" i="2"/>
  <c r="CK30" i="2"/>
  <c r="CJ30" i="2"/>
  <c r="CI30" i="2"/>
  <c r="CH30" i="2"/>
  <c r="CG30" i="2"/>
  <c r="CF30" i="2"/>
  <c r="CF37" i="2" s="1"/>
  <c r="BX36" i="2"/>
  <c r="BW36" i="2"/>
  <c r="BV36" i="2"/>
  <c r="BU36" i="2"/>
  <c r="BT36" i="2"/>
  <c r="BS36" i="2"/>
  <c r="BR36" i="2"/>
  <c r="BQ36" i="2"/>
  <c r="BP36" i="2"/>
  <c r="BO36" i="2"/>
  <c r="BN36" i="2"/>
  <c r="BM36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M37" i="2" s="1"/>
  <c r="BX30" i="2"/>
  <c r="BX37" i="2" s="1"/>
  <c r="BW30" i="2"/>
  <c r="BV30" i="2"/>
  <c r="BV37" i="2" s="1"/>
  <c r="BU30" i="2"/>
  <c r="BU37" i="2" s="1"/>
  <c r="BU47" i="2" s="1"/>
  <c r="BT30" i="2"/>
  <c r="BS30" i="2"/>
  <c r="BS37" i="2" s="1"/>
  <c r="BR30" i="2"/>
  <c r="BR37" i="2" s="1"/>
  <c r="BQ30" i="2"/>
  <c r="BQ37" i="2" s="1"/>
  <c r="BQ47" i="2" s="1"/>
  <c r="BP30" i="2"/>
  <c r="BP37" i="2"/>
  <c r="BO30" i="2"/>
  <c r="BN30" i="2"/>
  <c r="BM30" i="2"/>
  <c r="BC36" i="2"/>
  <c r="BD36" i="2" s="1"/>
  <c r="BE36" i="2" s="1"/>
  <c r="BC32" i="2"/>
  <c r="BD32" i="2" s="1"/>
  <c r="BE32" i="2" s="1"/>
  <c r="BC31" i="2"/>
  <c r="BC26" i="2"/>
  <c r="AY26" i="2"/>
  <c r="BX26" i="2" s="1"/>
  <c r="AX26" i="2"/>
  <c r="AW26" i="2"/>
  <c r="CP26" i="2" s="1"/>
  <c r="AV26" i="2"/>
  <c r="AU26" i="2"/>
  <c r="AT26" i="2"/>
  <c r="AS26" i="2"/>
  <c r="CO26" i="2" s="1"/>
  <c r="CN26" i="2"/>
  <c r="CM26" i="2"/>
  <c r="CL26" i="2"/>
  <c r="CK26" i="2"/>
  <c r="CJ26" i="2"/>
  <c r="CI26" i="2"/>
  <c r="CH26" i="2"/>
  <c r="CG26" i="2"/>
  <c r="CF26" i="2"/>
  <c r="CP25" i="2"/>
  <c r="CO25" i="2"/>
  <c r="CN25" i="2"/>
  <c r="CM25" i="2"/>
  <c r="CL25" i="2"/>
  <c r="CK25" i="2"/>
  <c r="CJ25" i="2"/>
  <c r="CI25" i="2"/>
  <c r="CH25" i="2"/>
  <c r="CG25" i="2"/>
  <c r="CF25" i="2"/>
  <c r="CP24" i="2"/>
  <c r="CO24" i="2"/>
  <c r="CO83" i="2" s="1"/>
  <c r="CN24" i="2"/>
  <c r="CM24" i="2"/>
  <c r="CL24" i="2"/>
  <c r="CK24" i="2"/>
  <c r="CK83" i="2" s="1"/>
  <c r="CJ24" i="2"/>
  <c r="CI24" i="2"/>
  <c r="CH24" i="2"/>
  <c r="CG24" i="2"/>
  <c r="CF24" i="2"/>
  <c r="CP23" i="2"/>
  <c r="CO23" i="2"/>
  <c r="CN23" i="2"/>
  <c r="CM23" i="2"/>
  <c r="CL23" i="2"/>
  <c r="CK23" i="2"/>
  <c r="CJ23" i="2"/>
  <c r="CI23" i="2"/>
  <c r="CH23" i="2"/>
  <c r="CG23" i="2"/>
  <c r="CF23" i="2"/>
  <c r="CP22" i="2"/>
  <c r="CO22" i="2"/>
  <c r="CN22" i="2"/>
  <c r="CM22" i="2"/>
  <c r="CL22" i="2"/>
  <c r="CK22" i="2"/>
  <c r="CJ22" i="2"/>
  <c r="CI22" i="2"/>
  <c r="CH22" i="2"/>
  <c r="CG22" i="2"/>
  <c r="CF22" i="2"/>
  <c r="CP21" i="2"/>
  <c r="CO21" i="2"/>
  <c r="CN21" i="2"/>
  <c r="CM21" i="2"/>
  <c r="CL21" i="2"/>
  <c r="CK21" i="2"/>
  <c r="CJ21" i="2"/>
  <c r="CI21" i="2"/>
  <c r="CH21" i="2"/>
  <c r="CG21" i="2"/>
  <c r="CF21" i="2"/>
  <c r="CP20" i="2"/>
  <c r="CO20" i="2"/>
  <c r="CN20" i="2"/>
  <c r="CM20" i="2"/>
  <c r="CL20" i="2"/>
  <c r="CK20" i="2"/>
  <c r="CJ20" i="2"/>
  <c r="CI20" i="2"/>
  <c r="CH20" i="2"/>
  <c r="CG20" i="2"/>
  <c r="CF20" i="2"/>
  <c r="CP19" i="2"/>
  <c r="CP75" i="3" s="1"/>
  <c r="CO19" i="2"/>
  <c r="CO75" i="3" s="1"/>
  <c r="CN19" i="2"/>
  <c r="CN75" i="3" s="1"/>
  <c r="CM19" i="2"/>
  <c r="CM75" i="3" s="1"/>
  <c r="CL19" i="2"/>
  <c r="CL75" i="3" s="1"/>
  <c r="CK19" i="2"/>
  <c r="CK75" i="3" s="1"/>
  <c r="CJ19" i="2"/>
  <c r="CJ75" i="3" s="1"/>
  <c r="CI19" i="2"/>
  <c r="CI75" i="3" s="1"/>
  <c r="CH19" i="2"/>
  <c r="CH75" i="3" s="1"/>
  <c r="CG19" i="2"/>
  <c r="CG75" i="3" s="1"/>
  <c r="CF19" i="2"/>
  <c r="CF75" i="3" s="1"/>
  <c r="BV26" i="2"/>
  <c r="BU26" i="2"/>
  <c r="BT26" i="2"/>
  <c r="BS26" i="2"/>
  <c r="BR26" i="2"/>
  <c r="BQ26" i="2"/>
  <c r="BP26" i="2"/>
  <c r="BO26" i="2"/>
  <c r="BN26" i="2"/>
  <c r="BM26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X19" i="2"/>
  <c r="BX75" i="3" s="1"/>
  <c r="BW19" i="2"/>
  <c r="BW75" i="3" s="1"/>
  <c r="BV19" i="2"/>
  <c r="BV75" i="3" s="1"/>
  <c r="BU19" i="2"/>
  <c r="BU75" i="3" s="1"/>
  <c r="BT19" i="2"/>
  <c r="BT75" i="3" s="1"/>
  <c r="BS19" i="2"/>
  <c r="BS75" i="3" s="1"/>
  <c r="BR19" i="2"/>
  <c r="BR75" i="3" s="1"/>
  <c r="BQ19" i="2"/>
  <c r="BQ75" i="3" s="1"/>
  <c r="BP19" i="2"/>
  <c r="BP75" i="3" s="1"/>
  <c r="BO19" i="2"/>
  <c r="BO75" i="3" s="1"/>
  <c r="BN19" i="2"/>
  <c r="BN75" i="3" s="1"/>
  <c r="BM19" i="2"/>
  <c r="BM75" i="3" s="1"/>
  <c r="BC25" i="2"/>
  <c r="BD25" i="2" s="1"/>
  <c r="BC23" i="2"/>
  <c r="BY23" i="2" s="1"/>
  <c r="CQ22" i="2"/>
  <c r="AY17" i="2"/>
  <c r="AX17" i="2"/>
  <c r="AW17" i="2"/>
  <c r="AV17" i="2"/>
  <c r="AU17" i="2"/>
  <c r="AT17" i="2"/>
  <c r="AT27" i="2" s="1"/>
  <c r="AS17" i="2"/>
  <c r="AS27" i="2" s="1"/>
  <c r="AR17" i="2"/>
  <c r="AQ17" i="2"/>
  <c r="AP17" i="2"/>
  <c r="AO17" i="2"/>
  <c r="AN17" i="2"/>
  <c r="AM17" i="2"/>
  <c r="AL17" i="2"/>
  <c r="AL27" i="2" s="1"/>
  <c r="AK17" i="2"/>
  <c r="AK27" i="2" s="1"/>
  <c r="AJ17" i="2"/>
  <c r="AI17" i="2"/>
  <c r="AI90" i="2" s="1"/>
  <c r="AH17" i="2"/>
  <c r="AH27" i="2"/>
  <c r="AH71" i="3" s="1"/>
  <c r="AG17" i="2"/>
  <c r="AF17" i="2"/>
  <c r="AE17" i="2"/>
  <c r="AD17" i="2"/>
  <c r="AD27" i="2" s="1"/>
  <c r="AD71" i="3" s="1"/>
  <c r="AC17" i="2"/>
  <c r="X17" i="2"/>
  <c r="P17" i="2"/>
  <c r="O17" i="2"/>
  <c r="O90" i="2" s="1"/>
  <c r="N17" i="2"/>
  <c r="N27" i="2"/>
  <c r="M17" i="2"/>
  <c r="L17" i="2"/>
  <c r="L27" i="2" s="1"/>
  <c r="K17" i="2"/>
  <c r="J17" i="2"/>
  <c r="J27" i="2" s="1"/>
  <c r="I17" i="2"/>
  <c r="H17" i="2"/>
  <c r="H27" i="2" s="1"/>
  <c r="G17" i="2"/>
  <c r="F17" i="2"/>
  <c r="F27" i="2"/>
  <c r="E17" i="2"/>
  <c r="D17" i="2"/>
  <c r="R16" i="2"/>
  <c r="Q16" i="2"/>
  <c r="Q17" i="2" s="1"/>
  <c r="AB15" i="2"/>
  <c r="AB17" i="2" s="1"/>
  <c r="AA15" i="2"/>
  <c r="AA17" i="2" s="1"/>
  <c r="Z15" i="2"/>
  <c r="Z17" i="2"/>
  <c r="Y15" i="2"/>
  <c r="Y17" i="2" s="1"/>
  <c r="Y27" i="2" s="1"/>
  <c r="X15" i="2"/>
  <c r="W15" i="2"/>
  <c r="BQ15" i="2" s="1"/>
  <c r="V15" i="2"/>
  <c r="V17" i="2" s="1"/>
  <c r="U15" i="2"/>
  <c r="U17" i="2" s="1"/>
  <c r="T15" i="2"/>
  <c r="T17" i="2" s="1"/>
  <c r="S15" i="2"/>
  <c r="BP15" i="2"/>
  <c r="CP16" i="2"/>
  <c r="CO16" i="2"/>
  <c r="CN16" i="2"/>
  <c r="CM16" i="2"/>
  <c r="CL16" i="2"/>
  <c r="CK16" i="2"/>
  <c r="CJ16" i="2"/>
  <c r="CI16" i="2"/>
  <c r="CG16" i="2"/>
  <c r="CF16" i="2"/>
  <c r="CP15" i="2"/>
  <c r="CO15" i="2"/>
  <c r="CN15" i="2"/>
  <c r="CM15" i="2"/>
  <c r="CL15" i="2"/>
  <c r="CK15" i="2"/>
  <c r="CJ15" i="2"/>
  <c r="CH15" i="2"/>
  <c r="CG15" i="2"/>
  <c r="CF15" i="2"/>
  <c r="CF17" i="2" s="1"/>
  <c r="CP14" i="2"/>
  <c r="CP55" i="2" s="1"/>
  <c r="CP54" i="2" s="1"/>
  <c r="CO14" i="2"/>
  <c r="CN14" i="2"/>
  <c r="CM14" i="2"/>
  <c r="CM55" i="2" s="1"/>
  <c r="CM54" i="2" s="1"/>
  <c r="CL14" i="2"/>
  <c r="CK14" i="2"/>
  <c r="CJ14" i="2"/>
  <c r="CI14" i="2"/>
  <c r="CH14" i="2"/>
  <c r="CG14" i="2"/>
  <c r="CF14" i="2"/>
  <c r="CP13" i="2"/>
  <c r="CO13" i="2"/>
  <c r="CN13" i="2"/>
  <c r="CM13" i="2"/>
  <c r="CL13" i="2"/>
  <c r="CK13" i="2"/>
  <c r="CJ13" i="2"/>
  <c r="CI13" i="2"/>
  <c r="CH13" i="2"/>
  <c r="CG13" i="2"/>
  <c r="CF13" i="2"/>
  <c r="CP12" i="2"/>
  <c r="CP85" i="2" s="1"/>
  <c r="CO12" i="2"/>
  <c r="CN12" i="2"/>
  <c r="CM12" i="2"/>
  <c r="CL12" i="2"/>
  <c r="CL85" i="2" s="1"/>
  <c r="CK12" i="2"/>
  <c r="CJ12" i="2"/>
  <c r="CI12" i="2"/>
  <c r="CH12" i="2"/>
  <c r="CH85" i="2" s="1"/>
  <c r="CG12" i="2"/>
  <c r="CF12" i="2"/>
  <c r="CP11" i="2"/>
  <c r="CO11" i="2"/>
  <c r="CN11" i="2"/>
  <c r="CM11" i="2"/>
  <c r="CL11" i="2"/>
  <c r="CL160" i="3" s="1"/>
  <c r="CK11" i="2"/>
  <c r="CJ11" i="2"/>
  <c r="CI11" i="2"/>
  <c r="CH11" i="2"/>
  <c r="CG11" i="2"/>
  <c r="CF11" i="2"/>
  <c r="CF85" i="2" s="1"/>
  <c r="BX16" i="2"/>
  <c r="BW16" i="2"/>
  <c r="BV16" i="2"/>
  <c r="BU16" i="2"/>
  <c r="BT16" i="2"/>
  <c r="BS16" i="2"/>
  <c r="BR16" i="2"/>
  <c r="BQ16" i="2"/>
  <c r="BP16" i="2"/>
  <c r="BO16" i="2"/>
  <c r="BN16" i="2"/>
  <c r="BM16" i="2"/>
  <c r="BX15" i="2"/>
  <c r="BX17" i="2" s="1"/>
  <c r="BX27" i="2" s="1"/>
  <c r="BW15" i="2"/>
  <c r="BV15" i="2"/>
  <c r="BU15" i="2"/>
  <c r="BT15" i="2"/>
  <c r="BS15" i="2"/>
  <c r="BO15" i="2"/>
  <c r="BN15" i="2"/>
  <c r="BM15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X12" i="2"/>
  <c r="BY114" i="2" s="1"/>
  <c r="BW12" i="2"/>
  <c r="BV12" i="2"/>
  <c r="BU12" i="2"/>
  <c r="BT12" i="2"/>
  <c r="BS12" i="2"/>
  <c r="BS85" i="2" s="1"/>
  <c r="BR12" i="2"/>
  <c r="BQ12" i="2"/>
  <c r="BQ17" i="2" s="1"/>
  <c r="BP12" i="2"/>
  <c r="BO12" i="2"/>
  <c r="BN12" i="2"/>
  <c r="BM12" i="2"/>
  <c r="BX11" i="2"/>
  <c r="BY113" i="2" s="1"/>
  <c r="BY115" i="2" s="1"/>
  <c r="BY118" i="2" s="1"/>
  <c r="BW11" i="2"/>
  <c r="BV11" i="2"/>
  <c r="BU11" i="2"/>
  <c r="BT11" i="2"/>
  <c r="BT17" i="2"/>
  <c r="BS11" i="2"/>
  <c r="BR11" i="2"/>
  <c r="BQ11" i="2"/>
  <c r="BQ160" i="3" s="1"/>
  <c r="BP11" i="2"/>
  <c r="BO11" i="2"/>
  <c r="BN11" i="2"/>
  <c r="BM11" i="2"/>
  <c r="BA114" i="2"/>
  <c r="CA9" i="2"/>
  <c r="BZ9" i="2"/>
  <c r="BZ52" i="2" s="1"/>
  <c r="BZ63" i="2" s="1"/>
  <c r="BZ93" i="2" s="1"/>
  <c r="BY9" i="2"/>
  <c r="BY9" i="3" s="1"/>
  <c r="BX9" i="2"/>
  <c r="BX9" i="3" s="1"/>
  <c r="BW9" i="2"/>
  <c r="BW9" i="3" s="1"/>
  <c r="BW108" i="3" s="1"/>
  <c r="BV9" i="2"/>
  <c r="BV9" i="3" s="1"/>
  <c r="BU9" i="2"/>
  <c r="BU9" i="3" s="1"/>
  <c r="BT9" i="2"/>
  <c r="BT9" i="3" s="1"/>
  <c r="BT108" i="3" s="1"/>
  <c r="BS9" i="2"/>
  <c r="BS9" i="3" s="1"/>
  <c r="BR9" i="2"/>
  <c r="BQ9" i="2"/>
  <c r="BQ9" i="3" s="1"/>
  <c r="BP9" i="2"/>
  <c r="BO9" i="2"/>
  <c r="BO9" i="3" s="1"/>
  <c r="BN9" i="2"/>
  <c r="BM9" i="2"/>
  <c r="BM9" i="3" s="1"/>
  <c r="CR8" i="2"/>
  <c r="CR8" i="3" s="1"/>
  <c r="CQ8" i="2"/>
  <c r="CQ8" i="3" s="1"/>
  <c r="CP8" i="2"/>
  <c r="CP8" i="3" s="1"/>
  <c r="CO8" i="2"/>
  <c r="CO8" i="3" s="1"/>
  <c r="CN8" i="2"/>
  <c r="CN8" i="3" s="1"/>
  <c r="CM8" i="2"/>
  <c r="CM8" i="3" s="1"/>
  <c r="CL8" i="2"/>
  <c r="CL8" i="3" s="1"/>
  <c r="CK8" i="2"/>
  <c r="CK8" i="3" s="1"/>
  <c r="CJ8" i="2"/>
  <c r="CJ8" i="3" s="1"/>
  <c r="CI8" i="2"/>
  <c r="CI8" i="3" s="1"/>
  <c r="CH8" i="2"/>
  <c r="CH8" i="3" s="1"/>
  <c r="CG8" i="2"/>
  <c r="CG8" i="3" s="1"/>
  <c r="CF8" i="2"/>
  <c r="CF8" i="3" s="1"/>
  <c r="CR7" i="2"/>
  <c r="CR7" i="3" s="1"/>
  <c r="CR65" i="3" s="1"/>
  <c r="CR79" i="3" s="1"/>
  <c r="CR87" i="3" s="1"/>
  <c r="CR108" i="3" s="1"/>
  <c r="CQ7" i="2"/>
  <c r="CQ7" i="3" s="1"/>
  <c r="CQ65" i="3" s="1"/>
  <c r="CQ79" i="3" s="1"/>
  <c r="CQ87" i="3" s="1"/>
  <c r="CQ108" i="3" s="1"/>
  <c r="CP7" i="2"/>
  <c r="CP7" i="3" s="1"/>
  <c r="CP65" i="3" s="1"/>
  <c r="CP79" i="3" s="1"/>
  <c r="CP87" i="3" s="1"/>
  <c r="CP108" i="3" s="1"/>
  <c r="CO7" i="2"/>
  <c r="CO7" i="3" s="1"/>
  <c r="CO65" i="3" s="1"/>
  <c r="CO79" i="3" s="1"/>
  <c r="CO87" i="3" s="1"/>
  <c r="CO108" i="3" s="1"/>
  <c r="CN7" i="2"/>
  <c r="CN7" i="3" s="1"/>
  <c r="CN65" i="3" s="1"/>
  <c r="CN79" i="3" s="1"/>
  <c r="CN87" i="3" s="1"/>
  <c r="CN108" i="3" s="1"/>
  <c r="CM7" i="2"/>
  <c r="CM7" i="3" s="1"/>
  <c r="CM65" i="3" s="1"/>
  <c r="CM79" i="3" s="1"/>
  <c r="CM87" i="3" s="1"/>
  <c r="CM108" i="3" s="1"/>
  <c r="CL7" i="2"/>
  <c r="CL7" i="3" s="1"/>
  <c r="CL65" i="3" s="1"/>
  <c r="CL79" i="3" s="1"/>
  <c r="CL87" i="3" s="1"/>
  <c r="CL108" i="3" s="1"/>
  <c r="CK7" i="2"/>
  <c r="CK7" i="3" s="1"/>
  <c r="CK65" i="3" s="1"/>
  <c r="CK79" i="3" s="1"/>
  <c r="CK87" i="3" s="1"/>
  <c r="CK108" i="3" s="1"/>
  <c r="CJ7" i="2"/>
  <c r="CJ7" i="3" s="1"/>
  <c r="CJ65" i="3" s="1"/>
  <c r="CJ79" i="3" s="1"/>
  <c r="CJ87" i="3" s="1"/>
  <c r="CJ108" i="3" s="1"/>
  <c r="CI7" i="2"/>
  <c r="CI7" i="3" s="1"/>
  <c r="CI65" i="3" s="1"/>
  <c r="CI79" i="3" s="1"/>
  <c r="CI87" i="3" s="1"/>
  <c r="CI108" i="3" s="1"/>
  <c r="CH7" i="2"/>
  <c r="CH7" i="3" s="1"/>
  <c r="CH65" i="3" s="1"/>
  <c r="CH79" i="3" s="1"/>
  <c r="CH87" i="3" s="1"/>
  <c r="CH108" i="3" s="1"/>
  <c r="CG7" i="2"/>
  <c r="CG7" i="3" s="1"/>
  <c r="CG65" i="3" s="1"/>
  <c r="CG79" i="3" s="1"/>
  <c r="CG87" i="3" s="1"/>
  <c r="CG108" i="3" s="1"/>
  <c r="CF7" i="2"/>
  <c r="CF7" i="3" s="1"/>
  <c r="CF65" i="3" s="1"/>
  <c r="CF79" i="3" s="1"/>
  <c r="CF87" i="3" s="1"/>
  <c r="CF108" i="3" s="1"/>
  <c r="BG9" i="2"/>
  <c r="BG9" i="3" s="1"/>
  <c r="BF9" i="2"/>
  <c r="BF9" i="3" s="1"/>
  <c r="BE9" i="2"/>
  <c r="BD9" i="2"/>
  <c r="BD9" i="3" s="1"/>
  <c r="BC9" i="2"/>
  <c r="BC9" i="3" s="1"/>
  <c r="BB9" i="2"/>
  <c r="BA9" i="2"/>
  <c r="BA9" i="3" s="1"/>
  <c r="AZ9" i="2"/>
  <c r="AZ9" i="3" s="1"/>
  <c r="AY9" i="2"/>
  <c r="AY9" i="3" s="1"/>
  <c r="AX9" i="2"/>
  <c r="AX9" i="3" s="1"/>
  <c r="AW9" i="2"/>
  <c r="AV9" i="2"/>
  <c r="AU9" i="2"/>
  <c r="AT9" i="2"/>
  <c r="AT9" i="3" s="1"/>
  <c r="AT65" i="3" s="1"/>
  <c r="AT79" i="3" s="1"/>
  <c r="AT87" i="3" s="1"/>
  <c r="AS9" i="2"/>
  <c r="AS9" i="3" s="1"/>
  <c r="AR9" i="2"/>
  <c r="AR9" i="3" s="1"/>
  <c r="AR108" i="3" s="1"/>
  <c r="AQ9" i="2"/>
  <c r="AQ9" i="3" s="1"/>
  <c r="AQ108" i="3" s="1"/>
  <c r="AP9" i="2"/>
  <c r="AO9" i="2"/>
  <c r="AN9" i="2"/>
  <c r="AN9" i="3" s="1"/>
  <c r="AM9" i="2"/>
  <c r="AM9" i="3" s="1"/>
  <c r="AL9" i="2"/>
  <c r="AK9" i="2"/>
  <c r="AK9" i="3" s="1"/>
  <c r="AK65" i="3" s="1"/>
  <c r="AK79" i="3" s="1"/>
  <c r="AK87" i="3" s="1"/>
  <c r="AJ9" i="2"/>
  <c r="AJ9" i="3" s="1"/>
  <c r="AI9" i="2"/>
  <c r="AI9" i="3" s="1"/>
  <c r="AH9" i="2"/>
  <c r="AG9" i="2"/>
  <c r="AF9" i="2"/>
  <c r="AE9" i="2"/>
  <c r="AE9" i="3" s="1"/>
  <c r="AD9" i="2"/>
  <c r="AD9" i="3" s="1"/>
  <c r="AC9" i="2"/>
  <c r="AB9" i="2"/>
  <c r="AA9" i="2"/>
  <c r="AA9" i="3" s="1"/>
  <c r="AA108" i="3" s="1"/>
  <c r="Z9" i="2"/>
  <c r="Y9" i="2"/>
  <c r="Y9" i="3" s="1"/>
  <c r="Y65" i="3" s="1"/>
  <c r="Y79" i="3" s="1"/>
  <c r="Y87" i="3" s="1"/>
  <c r="X9" i="2"/>
  <c r="W9" i="2"/>
  <c r="W9" i="3" s="1"/>
  <c r="V9" i="2"/>
  <c r="V9" i="3" s="1"/>
  <c r="U9" i="2"/>
  <c r="T9" i="2"/>
  <c r="T9" i="3" s="1"/>
  <c r="S9" i="2"/>
  <c r="R9" i="2"/>
  <c r="R9" i="3" s="1"/>
  <c r="R65" i="3" s="1"/>
  <c r="R79" i="3" s="1"/>
  <c r="R87" i="3" s="1"/>
  <c r="Q9" i="2"/>
  <c r="P9" i="2"/>
  <c r="P9" i="3" s="1"/>
  <c r="P108" i="3" s="1"/>
  <c r="O9" i="2"/>
  <c r="O52" i="2" s="1"/>
  <c r="O63" i="2" s="1"/>
  <c r="N9" i="2"/>
  <c r="N9" i="3" s="1"/>
  <c r="N65" i="3" s="1"/>
  <c r="N79" i="3" s="1"/>
  <c r="N87" i="3" s="1"/>
  <c r="M9" i="2"/>
  <c r="L9" i="2"/>
  <c r="L9" i="3" s="1"/>
  <c r="K9" i="2"/>
  <c r="K9" i="3" s="1"/>
  <c r="J9" i="2"/>
  <c r="J9" i="3" s="1"/>
  <c r="J108" i="3" s="1"/>
  <c r="I9" i="2"/>
  <c r="I9" i="3" s="1"/>
  <c r="H9" i="2"/>
  <c r="G9" i="2"/>
  <c r="F9" i="2"/>
  <c r="F9" i="3" s="1"/>
  <c r="E9" i="2"/>
  <c r="E9" i="3" s="1"/>
  <c r="E65" i="3" s="1"/>
  <c r="E79" i="3" s="1"/>
  <c r="E87" i="3" s="1"/>
  <c r="D9" i="2"/>
  <c r="D9" i="3" s="1"/>
  <c r="BG8" i="2"/>
  <c r="BG8" i="3" s="1"/>
  <c r="BF8" i="2"/>
  <c r="BF8" i="3" s="1"/>
  <c r="BE8" i="2"/>
  <c r="BE8" i="3" s="1"/>
  <c r="BD8" i="2"/>
  <c r="BD8" i="3" s="1"/>
  <c r="BC8" i="2"/>
  <c r="BC8" i="3" s="1"/>
  <c r="BB8" i="2"/>
  <c r="BB8" i="3" s="1"/>
  <c r="BA8" i="2"/>
  <c r="BA8" i="3" s="1"/>
  <c r="AZ8" i="2"/>
  <c r="AZ8" i="3" s="1"/>
  <c r="AY8" i="2"/>
  <c r="AY8" i="3" s="1"/>
  <c r="AX8" i="2"/>
  <c r="AX8" i="3" s="1"/>
  <c r="AW8" i="2"/>
  <c r="AW8" i="3" s="1"/>
  <c r="AV8" i="2"/>
  <c r="AV8" i="3" s="1"/>
  <c r="AU8" i="2"/>
  <c r="AU8" i="3" s="1"/>
  <c r="AT8" i="2"/>
  <c r="AT8" i="3" s="1"/>
  <c r="AS8" i="2"/>
  <c r="AS8" i="3" s="1"/>
  <c r="AR8" i="2"/>
  <c r="AR8" i="3" s="1"/>
  <c r="AQ8" i="2"/>
  <c r="AQ8" i="3" s="1"/>
  <c r="AP8" i="2"/>
  <c r="AP8" i="3" s="1"/>
  <c r="AO8" i="2"/>
  <c r="AO8" i="3" s="1"/>
  <c r="AN8" i="2"/>
  <c r="AN8" i="3" s="1"/>
  <c r="AM8" i="2"/>
  <c r="AM8" i="3" s="1"/>
  <c r="AL8" i="2"/>
  <c r="AL8" i="3" s="1"/>
  <c r="AK8" i="2"/>
  <c r="AK8" i="3" s="1"/>
  <c r="AJ8" i="2"/>
  <c r="AJ8" i="3" s="1"/>
  <c r="AI8" i="2"/>
  <c r="AI8" i="3" s="1"/>
  <c r="AH8" i="2"/>
  <c r="AH8" i="3" s="1"/>
  <c r="AG8" i="2"/>
  <c r="AG8" i="3" s="1"/>
  <c r="AF8" i="2"/>
  <c r="AF8" i="3" s="1"/>
  <c r="AE8" i="2"/>
  <c r="AE8" i="3" s="1"/>
  <c r="AD8" i="2"/>
  <c r="AD8" i="3" s="1"/>
  <c r="AC8" i="2"/>
  <c r="AC8" i="3" s="1"/>
  <c r="AB8" i="2"/>
  <c r="AB8" i="3" s="1"/>
  <c r="AA8" i="2"/>
  <c r="AA8" i="3" s="1"/>
  <c r="Z8" i="2"/>
  <c r="Z8" i="3" s="1"/>
  <c r="Y8" i="2"/>
  <c r="Y8" i="3" s="1"/>
  <c r="X8" i="2"/>
  <c r="X8" i="3" s="1"/>
  <c r="W8" i="2"/>
  <c r="W8" i="3" s="1"/>
  <c r="V8" i="2"/>
  <c r="V8" i="3" s="1"/>
  <c r="U8" i="2"/>
  <c r="U8" i="3" s="1"/>
  <c r="T8" i="2"/>
  <c r="T8" i="3" s="1"/>
  <c r="S8" i="2"/>
  <c r="S8" i="3" s="1"/>
  <c r="R8" i="2"/>
  <c r="R8" i="3" s="1"/>
  <c r="Q8" i="2"/>
  <c r="Q8" i="3" s="1"/>
  <c r="P8" i="2"/>
  <c r="P8" i="3" s="1"/>
  <c r="O8" i="2"/>
  <c r="O8" i="3" s="1"/>
  <c r="N8" i="2"/>
  <c r="N8" i="3" s="1"/>
  <c r="M8" i="2"/>
  <c r="M8" i="3" s="1"/>
  <c r="L8" i="2"/>
  <c r="L8" i="3" s="1"/>
  <c r="K8" i="2"/>
  <c r="K8" i="3" s="1"/>
  <c r="J8" i="2"/>
  <c r="J8" i="3" s="1"/>
  <c r="I8" i="2"/>
  <c r="I8" i="3" s="1"/>
  <c r="H8" i="2"/>
  <c r="H8" i="3" s="1"/>
  <c r="G8" i="2"/>
  <c r="G8" i="3" s="1"/>
  <c r="F8" i="2"/>
  <c r="F8" i="3" s="1"/>
  <c r="E8" i="2"/>
  <c r="E8" i="3" s="1"/>
  <c r="D8" i="2"/>
  <c r="BG7" i="2"/>
  <c r="BG7" i="3" s="1"/>
  <c r="BF7" i="2"/>
  <c r="BF7" i="3" s="1"/>
  <c r="BE7" i="2"/>
  <c r="BE7" i="3" s="1"/>
  <c r="BD7" i="2"/>
  <c r="BD7" i="3" s="1"/>
  <c r="BC7" i="2"/>
  <c r="BC7" i="3" s="1"/>
  <c r="BB7" i="2"/>
  <c r="BB7" i="3" s="1"/>
  <c r="BA7" i="2"/>
  <c r="BA7" i="3" s="1"/>
  <c r="AZ7" i="2"/>
  <c r="AZ7" i="3" s="1"/>
  <c r="AY7" i="2"/>
  <c r="AY7" i="3" s="1"/>
  <c r="AX7" i="2"/>
  <c r="AX7" i="3" s="1"/>
  <c r="AW7" i="2"/>
  <c r="AW7" i="3" s="1"/>
  <c r="AV7" i="2"/>
  <c r="AV7" i="3" s="1"/>
  <c r="AU7" i="2"/>
  <c r="AU7" i="3" s="1"/>
  <c r="AT7" i="2"/>
  <c r="AT7" i="3" s="1"/>
  <c r="AS7" i="2"/>
  <c r="AS7" i="3" s="1"/>
  <c r="AR7" i="2"/>
  <c r="AR7" i="3" s="1"/>
  <c r="AQ7" i="2"/>
  <c r="AQ7" i="3" s="1"/>
  <c r="AP7" i="2"/>
  <c r="AP7" i="3" s="1"/>
  <c r="AO7" i="2"/>
  <c r="AO7" i="3" s="1"/>
  <c r="AN7" i="2"/>
  <c r="AN7" i="3" s="1"/>
  <c r="AM7" i="2"/>
  <c r="AM7" i="3" s="1"/>
  <c r="AL7" i="2"/>
  <c r="AL7" i="3" s="1"/>
  <c r="AK7" i="2"/>
  <c r="AK7" i="3" s="1"/>
  <c r="AJ7" i="2"/>
  <c r="AJ7" i="3" s="1"/>
  <c r="AI7" i="2"/>
  <c r="AI7" i="3" s="1"/>
  <c r="AH7" i="2"/>
  <c r="AH7" i="3" s="1"/>
  <c r="AG7" i="2"/>
  <c r="AG7" i="3" s="1"/>
  <c r="AF7" i="2"/>
  <c r="AF7" i="3" s="1"/>
  <c r="AE7" i="2"/>
  <c r="AE7" i="3" s="1"/>
  <c r="AD7" i="2"/>
  <c r="AD7" i="3" s="1"/>
  <c r="AC7" i="2"/>
  <c r="AC7" i="3" s="1"/>
  <c r="AB7" i="2"/>
  <c r="AB7" i="3"/>
  <c r="AA7" i="2"/>
  <c r="AA7" i="3" s="1"/>
  <c r="Z7" i="2"/>
  <c r="Z7" i="3" s="1"/>
  <c r="Y7" i="2"/>
  <c r="Y7" i="3" s="1"/>
  <c r="X7" i="2"/>
  <c r="X7" i="3" s="1"/>
  <c r="W7" i="2"/>
  <c r="W7" i="3" s="1"/>
  <c r="V7" i="2"/>
  <c r="V7" i="3" s="1"/>
  <c r="U7" i="2"/>
  <c r="U7" i="3" s="1"/>
  <c r="T7" i="2"/>
  <c r="T7" i="3" s="1"/>
  <c r="S7" i="2"/>
  <c r="S7" i="3" s="1"/>
  <c r="R7" i="2"/>
  <c r="R7" i="3" s="1"/>
  <c r="Q7" i="2"/>
  <c r="Q7" i="3" s="1"/>
  <c r="P7" i="2"/>
  <c r="P7" i="3"/>
  <c r="O7" i="2"/>
  <c r="O7" i="3" s="1"/>
  <c r="N7" i="2"/>
  <c r="N7" i="3" s="1"/>
  <c r="M7" i="2"/>
  <c r="M7" i="3" s="1"/>
  <c r="L7" i="2"/>
  <c r="L7" i="3" s="1"/>
  <c r="K7" i="2"/>
  <c r="K7" i="3" s="1"/>
  <c r="J7" i="2"/>
  <c r="J7" i="3" s="1"/>
  <c r="I7" i="2"/>
  <c r="I7" i="3" s="1"/>
  <c r="H7" i="2"/>
  <c r="H7" i="3" s="1"/>
  <c r="G7" i="2"/>
  <c r="G7" i="3" s="1"/>
  <c r="F7" i="2"/>
  <c r="F7" i="3" s="1"/>
  <c r="E7" i="2"/>
  <c r="E7" i="3" s="1"/>
  <c r="D7" i="2"/>
  <c r="D7" i="3" s="1"/>
  <c r="B6" i="2"/>
  <c r="CA316" i="48"/>
  <c r="BU168" i="3"/>
  <c r="BG316" i="48"/>
  <c r="BF168" i="3"/>
  <c r="BE316" i="48"/>
  <c r="BC316" i="48"/>
  <c r="AZ168" i="3"/>
  <c r="AY316" i="48"/>
  <c r="AU316" i="48"/>
  <c r="AR168" i="3"/>
  <c r="AQ316" i="48"/>
  <c r="AM316" i="48"/>
  <c r="AJ168" i="3"/>
  <c r="AI316" i="48"/>
  <c r="AE316" i="48"/>
  <c r="AB168" i="3"/>
  <c r="AA316" i="48"/>
  <c r="W316" i="48"/>
  <c r="T168" i="3"/>
  <c r="S316" i="48"/>
  <c r="O316" i="48"/>
  <c r="L168" i="3"/>
  <c r="K316" i="48"/>
  <c r="G316" i="48"/>
  <c r="F316" i="48"/>
  <c r="E316" i="48"/>
  <c r="AD81" i="2"/>
  <c r="AD82" i="2" s="1"/>
  <c r="AC81" i="2"/>
  <c r="AA81" i="2"/>
  <c r="Z81" i="2"/>
  <c r="Y81" i="2"/>
  <c r="Y86" i="2" s="1"/>
  <c r="X81" i="2"/>
  <c r="U81" i="2"/>
  <c r="T81" i="2"/>
  <c r="T86" i="2" s="1"/>
  <c r="R81" i="2"/>
  <c r="Q81" i="2"/>
  <c r="P81" i="2"/>
  <c r="P84" i="2" s="1"/>
  <c r="O81" i="2"/>
  <c r="N81" i="2"/>
  <c r="M81" i="2"/>
  <c r="L81" i="2"/>
  <c r="K81" i="2"/>
  <c r="J81" i="2"/>
  <c r="I81" i="2"/>
  <c r="H81" i="2"/>
  <c r="H82" i="2" s="1"/>
  <c r="G81" i="2"/>
  <c r="F81" i="2"/>
  <c r="E81" i="2"/>
  <c r="D81" i="2"/>
  <c r="E125" i="2"/>
  <c r="I125" i="2"/>
  <c r="M125" i="2"/>
  <c r="Q125" i="2"/>
  <c r="U125" i="2"/>
  <c r="Y125" i="2"/>
  <c r="AC125" i="2"/>
  <c r="AG125" i="2"/>
  <c r="AK125" i="2"/>
  <c r="AO125" i="2"/>
  <c r="AS125" i="2"/>
  <c r="AW125" i="2"/>
  <c r="BA125" i="2"/>
  <c r="BE125" i="2"/>
  <c r="BO125" i="2"/>
  <c r="BS125" i="2"/>
  <c r="BW125" i="2"/>
  <c r="CA125" i="2"/>
  <c r="BO168" i="3"/>
  <c r="BS168" i="3"/>
  <c r="BW168" i="3"/>
  <c r="H316" i="48"/>
  <c r="X316" i="48"/>
  <c r="AN316" i="48"/>
  <c r="BD316" i="48"/>
  <c r="BY316" i="48"/>
  <c r="G125" i="2"/>
  <c r="K125" i="2"/>
  <c r="O125" i="2"/>
  <c r="S125" i="2"/>
  <c r="W125" i="2"/>
  <c r="AA125" i="2"/>
  <c r="AE125" i="2"/>
  <c r="AI125" i="2"/>
  <c r="AM125" i="2"/>
  <c r="AQ125" i="2"/>
  <c r="AU125" i="2"/>
  <c r="AY125" i="2"/>
  <c r="BC125" i="2"/>
  <c r="BG125" i="2"/>
  <c r="BQ125" i="2"/>
  <c r="G168" i="3"/>
  <c r="K168" i="3"/>
  <c r="O168" i="3"/>
  <c r="S168" i="3"/>
  <c r="W168" i="3"/>
  <c r="AA168" i="3"/>
  <c r="AE168" i="3"/>
  <c r="AI168" i="3"/>
  <c r="AM168" i="3"/>
  <c r="AQ168" i="3"/>
  <c r="AU168" i="3"/>
  <c r="AY168" i="3"/>
  <c r="BC168" i="3"/>
  <c r="BG168" i="3"/>
  <c r="BO316" i="48"/>
  <c r="BS316" i="48"/>
  <c r="BW316" i="48"/>
  <c r="D125" i="2"/>
  <c r="T125" i="2"/>
  <c r="AJ125" i="2"/>
  <c r="AZ125" i="2"/>
  <c r="BN125" i="2"/>
  <c r="BR125" i="2"/>
  <c r="BV125" i="2"/>
  <c r="BZ125" i="2"/>
  <c r="BN168" i="3"/>
  <c r="BR168" i="3"/>
  <c r="BV168" i="3"/>
  <c r="BP316" i="48"/>
  <c r="BT316" i="48"/>
  <c r="BX316" i="48"/>
  <c r="F143" i="48"/>
  <c r="R283" i="48"/>
  <c r="R256" i="48"/>
  <c r="R161" i="48"/>
  <c r="N299" i="48"/>
  <c r="N244" i="48"/>
  <c r="N153" i="48"/>
  <c r="D279" i="48"/>
  <c r="D147" i="48"/>
  <c r="D143" i="48"/>
  <c r="H299" i="48"/>
  <c r="H287" i="48"/>
  <c r="H147" i="48"/>
  <c r="H153" i="48"/>
  <c r="L256" i="48"/>
  <c r="AB279" i="48"/>
  <c r="AF143" i="48"/>
  <c r="AJ299" i="48"/>
  <c r="AJ283" i="48"/>
  <c r="AJ272" i="48"/>
  <c r="AJ256" i="48"/>
  <c r="AJ147" i="48"/>
  <c r="AJ244" i="48"/>
  <c r="AJ143" i="48"/>
  <c r="AJ161" i="48"/>
  <c r="AN272" i="48"/>
  <c r="AN287" i="48"/>
  <c r="AN256" i="48"/>
  <c r="AN232" i="48"/>
  <c r="AN147" i="48"/>
  <c r="AN223" i="48"/>
  <c r="AN136" i="48"/>
  <c r="AN118" i="48" s="1"/>
  <c r="AN127" i="48" s="1"/>
  <c r="AR287" i="48"/>
  <c r="AR272" i="48"/>
  <c r="AR244" i="48"/>
  <c r="AR153" i="48"/>
  <c r="AV272" i="48"/>
  <c r="AV287" i="48"/>
  <c r="AV143" i="48"/>
  <c r="AV161" i="48"/>
  <c r="AV153" i="48"/>
  <c r="AZ272" i="48"/>
  <c r="AZ232" i="48"/>
  <c r="AZ153" i="48"/>
  <c r="AZ161" i="48"/>
  <c r="BD287" i="48"/>
  <c r="BD272" i="48"/>
  <c r="BD256" i="48"/>
  <c r="BD283" i="48"/>
  <c r="BD232" i="48"/>
  <c r="BD161" i="48"/>
  <c r="BD223" i="48"/>
  <c r="BD143" i="48"/>
  <c r="BM279" i="48"/>
  <c r="BM283" i="48"/>
  <c r="BM272" i="48"/>
  <c r="BM232" i="48"/>
  <c r="BM244" i="48"/>
  <c r="BM147" i="48"/>
  <c r="BM143" i="48"/>
  <c r="BM153" i="48"/>
  <c r="BQ279" i="48"/>
  <c r="BQ232" i="48"/>
  <c r="BQ283" i="48"/>
  <c r="BQ244" i="48"/>
  <c r="BQ147" i="48"/>
  <c r="BQ153" i="48"/>
  <c r="BQ223" i="48"/>
  <c r="BQ136" i="48"/>
  <c r="BQ118" i="48" s="1"/>
  <c r="BQ127" i="48" s="1"/>
  <c r="BU287" i="48"/>
  <c r="BU283" i="48"/>
  <c r="BU279" i="48"/>
  <c r="BU272" i="48"/>
  <c r="BU265" i="48"/>
  <c r="BU232" i="48"/>
  <c r="BU256" i="48"/>
  <c r="BU147" i="48"/>
  <c r="BU223" i="48"/>
  <c r="BU153" i="48"/>
  <c r="BU143" i="48"/>
  <c r="BU244" i="48"/>
  <c r="BU136" i="48"/>
  <c r="BU118" i="48" s="1"/>
  <c r="BU127" i="48" s="1"/>
  <c r="BU161" i="48"/>
  <c r="BY287" i="48"/>
  <c r="BY272" i="48"/>
  <c r="BY283" i="48"/>
  <c r="BY265" i="48"/>
  <c r="BY256" i="48"/>
  <c r="BY279" i="48"/>
  <c r="BY232" i="48"/>
  <c r="BY244" i="48"/>
  <c r="BY147" i="48"/>
  <c r="BY161" i="48"/>
  <c r="BY223" i="48"/>
  <c r="BY153" i="48"/>
  <c r="BY143" i="48"/>
  <c r="BY136" i="48"/>
  <c r="BY127" i="48"/>
  <c r="BY118" i="48"/>
  <c r="V272" i="48"/>
  <c r="V299" i="48"/>
  <c r="V283" i="48"/>
  <c r="V287" i="48"/>
  <c r="V279" i="48"/>
  <c r="V256" i="48"/>
  <c r="V244" i="48"/>
  <c r="V232" i="48"/>
  <c r="V265" i="48"/>
  <c r="V223" i="48"/>
  <c r="V153" i="48"/>
  <c r="V143" i="48"/>
  <c r="V161" i="48"/>
  <c r="V147" i="48"/>
  <c r="V136" i="48"/>
  <c r="V118" i="48" s="1"/>
  <c r="V127" i="48" s="1"/>
  <c r="U299" i="48"/>
  <c r="Y265" i="48"/>
  <c r="AK244" i="48"/>
  <c r="BN279" i="48"/>
  <c r="BV272" i="48"/>
  <c r="Z287" i="48"/>
  <c r="Z272" i="48"/>
  <c r="Z299" i="48"/>
  <c r="Z279" i="48"/>
  <c r="Z265" i="48"/>
  <c r="Z283" i="48"/>
  <c r="Z244" i="48"/>
  <c r="Z232" i="48"/>
  <c r="Z223" i="48"/>
  <c r="Z153" i="48"/>
  <c r="Z143" i="48"/>
  <c r="Z256" i="48"/>
  <c r="Z136" i="48"/>
  <c r="Z118" i="48" s="1"/>
  <c r="Z127" i="48" s="1"/>
  <c r="Z147" i="48"/>
  <c r="Z161" i="48"/>
  <c r="AD283" i="48"/>
  <c r="AD272" i="48"/>
  <c r="AD299" i="48"/>
  <c r="AD287" i="48"/>
  <c r="AD265" i="48"/>
  <c r="AD279" i="48"/>
  <c r="AD244" i="48"/>
  <c r="AD232" i="48"/>
  <c r="AD256" i="48"/>
  <c r="AD223" i="48"/>
  <c r="AD153" i="48"/>
  <c r="AD143" i="48"/>
  <c r="AD161" i="48"/>
  <c r="AD136" i="48"/>
  <c r="AD118" i="48" s="1"/>
  <c r="AD127" i="48" s="1"/>
  <c r="AD147" i="48"/>
  <c r="AH299" i="48"/>
  <c r="AH279" i="48"/>
  <c r="AH272" i="48"/>
  <c r="AH287" i="48"/>
  <c r="AH256" i="48"/>
  <c r="AH283" i="48"/>
  <c r="AH265" i="48"/>
  <c r="AH244" i="48"/>
  <c r="AH232" i="48"/>
  <c r="AH223" i="48"/>
  <c r="AH153" i="48"/>
  <c r="AH143" i="48"/>
  <c r="AH161" i="48"/>
  <c r="AH147" i="48"/>
  <c r="AH136" i="48"/>
  <c r="AH118" i="48" s="1"/>
  <c r="AH127" i="48" s="1"/>
  <c r="AL244" i="48"/>
  <c r="AL143" i="48"/>
  <c r="AP161" i="48"/>
  <c r="AT283" i="48"/>
  <c r="AT272" i="48"/>
  <c r="AT279" i="48"/>
  <c r="AT265" i="48"/>
  <c r="AT299" i="48"/>
  <c r="AT244" i="48"/>
  <c r="AT256" i="48"/>
  <c r="AT232" i="48"/>
  <c r="AT223" i="48"/>
  <c r="AT153" i="48"/>
  <c r="AT143" i="48"/>
  <c r="AT161" i="48"/>
  <c r="AT136" i="48"/>
  <c r="AT170" i="48" s="1"/>
  <c r="AT287" i="48"/>
  <c r="AT147" i="48"/>
  <c r="AX299" i="48"/>
  <c r="AX279" i="48"/>
  <c r="AX272" i="48"/>
  <c r="AX287" i="48"/>
  <c r="AX283" i="48"/>
  <c r="AX256" i="48"/>
  <c r="AX265" i="48"/>
  <c r="AX244" i="48"/>
  <c r="AX223" i="48"/>
  <c r="AX153" i="48"/>
  <c r="AX143" i="48"/>
  <c r="AX232" i="48"/>
  <c r="AX161" i="48"/>
  <c r="AX147" i="48"/>
  <c r="AX136" i="48"/>
  <c r="BB272" i="48"/>
  <c r="BB299" i="48"/>
  <c r="BB283" i="48"/>
  <c r="BB287" i="48"/>
  <c r="BB279" i="48"/>
  <c r="BB256" i="48"/>
  <c r="BB244" i="48"/>
  <c r="BB265" i="48"/>
  <c r="BB223" i="48"/>
  <c r="BB153" i="48"/>
  <c r="BB143" i="48"/>
  <c r="BB161" i="48"/>
  <c r="BB147" i="48"/>
  <c r="BB136" i="48"/>
  <c r="BB170" i="48" s="1"/>
  <c r="BB232" i="48"/>
  <c r="BF299" i="48"/>
  <c r="BF287" i="48"/>
  <c r="BF272" i="48"/>
  <c r="BF279" i="48"/>
  <c r="BF265" i="48"/>
  <c r="BF283" i="48"/>
  <c r="BF244" i="48"/>
  <c r="BF232" i="48"/>
  <c r="BF223" i="48"/>
  <c r="BF153" i="48"/>
  <c r="BF143" i="48"/>
  <c r="BF256" i="48"/>
  <c r="BF136" i="48"/>
  <c r="BF170" i="48" s="1"/>
  <c r="BF161" i="48"/>
  <c r="BF147" i="48"/>
  <c r="BO283" i="48"/>
  <c r="BO272" i="48"/>
  <c r="BO287" i="48"/>
  <c r="BO265" i="48"/>
  <c r="BO279" i="48"/>
  <c r="BO244" i="48"/>
  <c r="BO256" i="48"/>
  <c r="BO232" i="48"/>
  <c r="BO223" i="48"/>
  <c r="BO153" i="48"/>
  <c r="BO143" i="48"/>
  <c r="BO161" i="48"/>
  <c r="BO136" i="48"/>
  <c r="BO118" i="48" s="1"/>
  <c r="BO127" i="48" s="1"/>
  <c r="BO147" i="48"/>
  <c r="BS244" i="48"/>
  <c r="BS223" i="48"/>
  <c r="BW256" i="48"/>
  <c r="BW161" i="48"/>
  <c r="BW147" i="48"/>
  <c r="CA232" i="48"/>
  <c r="CA161" i="48"/>
  <c r="BA147" i="48"/>
  <c r="K283" i="48"/>
  <c r="K232" i="48"/>
  <c r="O287" i="48"/>
  <c r="O153" i="48"/>
  <c r="S287" i="48"/>
  <c r="S223" i="48"/>
  <c r="AE265" i="48"/>
  <c r="AE161" i="48"/>
  <c r="AM232" i="48"/>
  <c r="AQ283" i="48"/>
  <c r="AQ143" i="48"/>
  <c r="AU287" i="48"/>
  <c r="AU265" i="48"/>
  <c r="AU153" i="48"/>
  <c r="AU147" i="48"/>
  <c r="AY272" i="48"/>
  <c r="AY279" i="48"/>
  <c r="AY223" i="48"/>
  <c r="AY136" i="48"/>
  <c r="AY118" i="48" s="1"/>
  <c r="AY127" i="48" s="1"/>
  <c r="BC287" i="48"/>
  <c r="BC244" i="48"/>
  <c r="BC223" i="48"/>
  <c r="BG283" i="48"/>
  <c r="BG287" i="48"/>
  <c r="BG143" i="48"/>
  <c r="BP256" i="48"/>
  <c r="BP244" i="48"/>
  <c r="BP161" i="48"/>
  <c r="BT265" i="48"/>
  <c r="BT153" i="48"/>
  <c r="BX283" i="48"/>
  <c r="BT136" i="48"/>
  <c r="BT118" i="48" s="1"/>
  <c r="BT127" i="48" s="1"/>
  <c r="W139" i="48"/>
  <c r="W114" i="48"/>
  <c r="AM140" i="48"/>
  <c r="AM122" i="48"/>
  <c r="AM66" i="48" s="1"/>
  <c r="AM138" i="48"/>
  <c r="AM171" i="48" s="1"/>
  <c r="AQ123" i="48"/>
  <c r="AQ84" i="48" s="1"/>
  <c r="AQ95" i="48" s="1"/>
  <c r="AY123" i="48"/>
  <c r="AY84" i="48" s="1"/>
  <c r="BO145" i="48"/>
  <c r="T137" i="48"/>
  <c r="X122" i="48"/>
  <c r="X140" i="48"/>
  <c r="AB148" i="48"/>
  <c r="AB149" i="48" s="1"/>
  <c r="AB151" i="48" s="1"/>
  <c r="AB122" i="48"/>
  <c r="AB66" i="48" s="1"/>
  <c r="AF148" i="48"/>
  <c r="AF149" i="48" s="1"/>
  <c r="AF151" i="48" s="1"/>
  <c r="AF122" i="48"/>
  <c r="AF66" i="48" s="1"/>
  <c r="AF139" i="48"/>
  <c r="AJ122" i="48"/>
  <c r="AJ66" i="48" s="1"/>
  <c r="AN123" i="48"/>
  <c r="AN84" i="48" s="1"/>
  <c r="AN119" i="48"/>
  <c r="AN12" i="48" s="1"/>
  <c r="AV121" i="48"/>
  <c r="AV48" i="48" s="1"/>
  <c r="AP119" i="48"/>
  <c r="AP12" i="48" s="1"/>
  <c r="AX123" i="48"/>
  <c r="AX84" i="48" s="1"/>
  <c r="AB138" i="48"/>
  <c r="AB171" i="48" s="1"/>
  <c r="R114" i="48"/>
  <c r="R140" i="48"/>
  <c r="AH178" i="48"/>
  <c r="AT123" i="48"/>
  <c r="AT84" i="48" s="1"/>
  <c r="AX120" i="48"/>
  <c r="AT121" i="48"/>
  <c r="AT48" i="48" s="1"/>
  <c r="U148" i="48"/>
  <c r="U149" i="48" s="1"/>
  <c r="U151" i="48" s="1"/>
  <c r="U138" i="48"/>
  <c r="Y148" i="48"/>
  <c r="Y149" i="48" s="1"/>
  <c r="Y151" i="48" s="1"/>
  <c r="Y138" i="48"/>
  <c r="AC211" i="48"/>
  <c r="AC138" i="48"/>
  <c r="AC171" i="48" s="1"/>
  <c r="AG178" i="48"/>
  <c r="AG140" i="48"/>
  <c r="AG138" i="48"/>
  <c r="AG171" i="48" s="1"/>
  <c r="U114" i="48"/>
  <c r="Y119" i="48"/>
  <c r="Y12" i="48" s="1"/>
  <c r="AC120" i="48"/>
  <c r="AC29" i="48" s="1"/>
  <c r="AC186" i="48" s="1"/>
  <c r="AG121" i="48"/>
  <c r="AG48" i="48" s="1"/>
  <c r="Y123" i="48"/>
  <c r="Y84" i="48" s="1"/>
  <c r="Y137" i="48"/>
  <c r="M139" i="48"/>
  <c r="AC139" i="48"/>
  <c r="M140" i="48"/>
  <c r="AK140" i="48"/>
  <c r="M148" i="48"/>
  <c r="M149" i="48" s="1"/>
  <c r="M151" i="48" s="1"/>
  <c r="AE249" i="48"/>
  <c r="BU192" i="48"/>
  <c r="BP288" i="48"/>
  <c r="BP285" i="48"/>
  <c r="AE247" i="48"/>
  <c r="BS239" i="48"/>
  <c r="BS251" i="48" s="1"/>
  <c r="Z258" i="48"/>
  <c r="AI237" i="48"/>
  <c r="AI249" i="48" s="1"/>
  <c r="AH240" i="48"/>
  <c r="AH242" i="48" s="1"/>
  <c r="BM288" i="48"/>
  <c r="BM281" i="48"/>
  <c r="BQ281" i="48"/>
  <c r="Q13" i="3"/>
  <c r="R13" i="3" s="1"/>
  <c r="AO13" i="3"/>
  <c r="AP13" i="3"/>
  <c r="BA91" i="3"/>
  <c r="AP17" i="3"/>
  <c r="AQ17" i="3" s="1"/>
  <c r="CO17" i="3" s="1"/>
  <c r="CO116" i="3" s="1"/>
  <c r="AH24" i="3"/>
  <c r="AI24" i="3" s="1"/>
  <c r="AX25" i="3"/>
  <c r="AY25" i="3" s="1"/>
  <c r="BX25" i="3" s="1"/>
  <c r="BX124" i="3" s="1"/>
  <c r="AP26" i="3"/>
  <c r="AP27" i="3"/>
  <c r="AT28" i="3"/>
  <c r="AU28" i="3" s="1"/>
  <c r="AX28" i="3"/>
  <c r="AX29" i="3"/>
  <c r="AY29" i="3" s="1"/>
  <c r="AW36" i="3"/>
  <c r="AX36" i="3" s="1"/>
  <c r="AW38" i="3"/>
  <c r="AX38" i="3" s="1"/>
  <c r="BF91" i="3"/>
  <c r="CR69" i="3"/>
  <c r="I19" i="3"/>
  <c r="J19" i="3" s="1"/>
  <c r="K19" i="3" s="1"/>
  <c r="CG19" i="3" s="1"/>
  <c r="CG118" i="3" s="1"/>
  <c r="AO19" i="3"/>
  <c r="AF69" i="3"/>
  <c r="AV69" i="3"/>
  <c r="E20" i="3"/>
  <c r="F20" i="3" s="1"/>
  <c r="U20" i="3"/>
  <c r="AK20" i="3"/>
  <c r="AL20" i="3" s="1"/>
  <c r="I21" i="3"/>
  <c r="J21" i="3" s="1"/>
  <c r="AD21" i="3"/>
  <c r="P66" i="3"/>
  <c r="P68" i="3" s="1"/>
  <c r="AV66" i="3"/>
  <c r="AV92" i="3" s="1"/>
  <c r="AW34" i="3"/>
  <c r="AL35" i="3"/>
  <c r="AM35" i="3" s="1"/>
  <c r="BU35" i="3" s="1"/>
  <c r="BU134" i="3" s="1"/>
  <c r="AW35" i="3"/>
  <c r="AX35" i="3" s="1"/>
  <c r="AG36" i="3"/>
  <c r="Q37" i="3"/>
  <c r="R37" i="3" s="1"/>
  <c r="S37" i="3" s="1"/>
  <c r="AG38" i="3"/>
  <c r="AH38" i="3" s="1"/>
  <c r="AW39" i="3"/>
  <c r="AX39" i="3" s="1"/>
  <c r="D83" i="3"/>
  <c r="D80" i="3"/>
  <c r="D84" i="3" s="1"/>
  <c r="H80" i="3"/>
  <c r="P83" i="3"/>
  <c r="P80" i="3"/>
  <c r="T83" i="3"/>
  <c r="AB83" i="3"/>
  <c r="AF91" i="3"/>
  <c r="AJ83" i="3"/>
  <c r="AJ80" i="3"/>
  <c r="AJ81" i="3" s="1"/>
  <c r="AJ91" i="3"/>
  <c r="AN91" i="3"/>
  <c r="AN80" i="3"/>
  <c r="AN81" i="3" s="1"/>
  <c r="AV83" i="3"/>
  <c r="BD91" i="3"/>
  <c r="BY116" i="3"/>
  <c r="D68" i="3"/>
  <c r="E34" i="3"/>
  <c r="F34" i="3" s="1"/>
  <c r="F66" i="3" s="1"/>
  <c r="U34" i="3"/>
  <c r="V34" i="3" s="1"/>
  <c r="AJ66" i="3"/>
  <c r="AJ92" i="3" s="1"/>
  <c r="AK34" i="3"/>
  <c r="AJ41" i="3"/>
  <c r="I40" i="3"/>
  <c r="X66" i="3"/>
  <c r="X68" i="3" s="1"/>
  <c r="AN66" i="3"/>
  <c r="AN68" i="3"/>
  <c r="AO34" i="3"/>
  <c r="Y35" i="3"/>
  <c r="Z35" i="3" s="1"/>
  <c r="AA35" i="3" s="1"/>
  <c r="AA69" i="3" s="1"/>
  <c r="I37" i="3"/>
  <c r="Y37" i="3"/>
  <c r="I38" i="3"/>
  <c r="J38" i="3"/>
  <c r="K38" i="3" s="1"/>
  <c r="AO39" i="3"/>
  <c r="AP39" i="3" s="1"/>
  <c r="I44" i="3"/>
  <c r="Y44" i="3"/>
  <c r="AO44" i="3"/>
  <c r="AP44" i="3" s="1"/>
  <c r="I46" i="3"/>
  <c r="J46" i="3" s="1"/>
  <c r="K46" i="3" s="1"/>
  <c r="AP46" i="3"/>
  <c r="AW54" i="3"/>
  <c r="AX54" i="3" s="1"/>
  <c r="AY54" i="3" s="1"/>
  <c r="CQ54" i="3" s="1"/>
  <c r="CQ153" i="3" s="1"/>
  <c r="Y40" i="3"/>
  <c r="X41" i="3"/>
  <c r="AC47" i="3"/>
  <c r="AD47" i="3" s="1"/>
  <c r="I48" i="3"/>
  <c r="J48" i="3" s="1"/>
  <c r="K48" i="3" s="1"/>
  <c r="I49" i="3"/>
  <c r="Q50" i="3"/>
  <c r="AW44" i="3"/>
  <c r="AG45" i="3"/>
  <c r="AH45" i="3"/>
  <c r="AG46" i="3"/>
  <c r="AH46" i="3"/>
  <c r="AI46" i="3" s="1"/>
  <c r="BT46" i="3" s="1"/>
  <c r="BT145" i="3" s="1"/>
  <c r="AW46" i="3"/>
  <c r="Q47" i="3"/>
  <c r="R47" i="3" s="1"/>
  <c r="S47" i="3" s="1"/>
  <c r="BY153" i="3"/>
  <c r="L66" i="3"/>
  <c r="L68" i="3" s="1"/>
  <c r="M34" i="3"/>
  <c r="N34" i="3" s="1"/>
  <c r="AB66" i="3"/>
  <c r="AB68" i="3" s="1"/>
  <c r="AC34" i="3"/>
  <c r="AD34" i="3" s="1"/>
  <c r="AE34" i="3" s="1"/>
  <c r="AR66" i="3"/>
  <c r="AS66" i="3"/>
  <c r="M35" i="3"/>
  <c r="M36" i="3"/>
  <c r="N36" i="3" s="1"/>
  <c r="AS37" i="3"/>
  <c r="AC38" i="3"/>
  <c r="AD38" i="3" s="1"/>
  <c r="N39" i="3"/>
  <c r="O39" i="3" s="1"/>
  <c r="AC39" i="3"/>
  <c r="AD39" i="3" s="1"/>
  <c r="M44" i="3"/>
  <c r="N44" i="3" s="1"/>
  <c r="M47" i="3"/>
  <c r="N47" i="3" s="1"/>
  <c r="O47" i="3" s="1"/>
  <c r="CH47" i="3" s="1"/>
  <c r="CH146" i="3" s="1"/>
  <c r="AG47" i="3"/>
  <c r="AW47" i="3"/>
  <c r="AC48" i="3"/>
  <c r="AS48" i="3"/>
  <c r="AT48" i="3" s="1"/>
  <c r="E49" i="3"/>
  <c r="U49" i="3"/>
  <c r="V49" i="3" s="1"/>
  <c r="E50" i="3"/>
  <c r="U50" i="3"/>
  <c r="V50" i="3" s="1"/>
  <c r="AC51" i="3"/>
  <c r="AC54" i="3"/>
  <c r="AD54" i="3" s="1"/>
  <c r="AS54" i="3"/>
  <c r="Y57" i="3"/>
  <c r="Z57" i="3" s="1"/>
  <c r="CK73" i="3"/>
  <c r="CK76" i="3" s="1"/>
  <c r="CO73" i="3"/>
  <c r="AV76" i="3"/>
  <c r="BP73" i="3"/>
  <c r="BP76" i="3" s="1"/>
  <c r="R151" i="3"/>
  <c r="X151" i="3"/>
  <c r="CQ26" i="2"/>
  <c r="BV85" i="2"/>
  <c r="CM85" i="2"/>
  <c r="W17" i="2"/>
  <c r="W27" i="2" s="1"/>
  <c r="BV17" i="2"/>
  <c r="BV27" i="2" s="1"/>
  <c r="BV71" i="3" s="1"/>
  <c r="S17" i="2"/>
  <c r="S90" i="2" s="1"/>
  <c r="CQ25" i="2"/>
  <c r="AF27" i="2"/>
  <c r="AF71" i="3" s="1"/>
  <c r="CQ32" i="2"/>
  <c r="CQ31" i="2"/>
  <c r="BP85" i="2"/>
  <c r="BT85" i="2"/>
  <c r="R17" i="2"/>
  <c r="R27" i="2"/>
  <c r="K27" i="2"/>
  <c r="O27" i="2"/>
  <c r="O71" i="3" s="1"/>
  <c r="T27" i="2"/>
  <c r="CJ37" i="2"/>
  <c r="CQ43" i="2"/>
  <c r="BM85" i="2"/>
  <c r="BQ85" i="2"/>
  <c r="CL17" i="2"/>
  <c r="AE27" i="2"/>
  <c r="AE71" i="3" s="1"/>
  <c r="AI27" i="2"/>
  <c r="AM27" i="2"/>
  <c r="AM71" i="3" s="1"/>
  <c r="AQ27" i="2"/>
  <c r="AY90" i="2"/>
  <c r="AY27" i="2"/>
  <c r="AY71" i="3" s="1"/>
  <c r="D27" i="2"/>
  <c r="BC40" i="2"/>
  <c r="BD40" i="2" s="1"/>
  <c r="BE40" i="2" s="1"/>
  <c r="CR40" i="2" s="1"/>
  <c r="CQ40" i="2"/>
  <c r="CQ23" i="2"/>
  <c r="CQ20" i="2"/>
  <c r="AJ27" i="2"/>
  <c r="AJ71" i="3" s="1"/>
  <c r="CH37" i="2"/>
  <c r="CP37" i="2"/>
  <c r="CQ41" i="2"/>
  <c r="F90" i="2"/>
  <c r="J90" i="2"/>
  <c r="N90" i="2"/>
  <c r="AL90" i="2"/>
  <c r="AT90" i="2"/>
  <c r="BO37" i="2"/>
  <c r="BW37" i="2"/>
  <c r="CF83" i="2"/>
  <c r="P55" i="2"/>
  <c r="P54" i="2" s="1"/>
  <c r="X55" i="2"/>
  <c r="X54" i="2" s="1"/>
  <c r="AF55" i="2"/>
  <c r="AF54" i="2" s="1"/>
  <c r="BT83" i="2"/>
  <c r="CG83" i="2"/>
  <c r="BQ83" i="2"/>
  <c r="BN37" i="2"/>
  <c r="BN47" i="2" s="1"/>
  <c r="CI83" i="2"/>
  <c r="CM83" i="2"/>
  <c r="BD65" i="2"/>
  <c r="BE65" i="2" s="1"/>
  <c r="BF65" i="2" s="1"/>
  <c r="BG65" i="2" s="1"/>
  <c r="BD70" i="2"/>
  <c r="BE70" i="2" s="1"/>
  <c r="CQ65" i="2"/>
  <c r="P74" i="2"/>
  <c r="P77" i="2" s="1"/>
  <c r="AS74" i="2"/>
  <c r="BC71" i="2"/>
  <c r="L74" i="2"/>
  <c r="S74" i="2"/>
  <c r="S77" i="2" s="1"/>
  <c r="AE74" i="2"/>
  <c r="AE77" i="2"/>
  <c r="AR74" i="2"/>
  <c r="AR77" i="2" s="1"/>
  <c r="AY74" i="2"/>
  <c r="AY77" i="2" s="1"/>
  <c r="AS82" i="2"/>
  <c r="AK84" i="2"/>
  <c r="E74" i="2"/>
  <c r="E77" i="2" s="1"/>
  <c r="I74" i="2"/>
  <c r="I77" i="2" s="1"/>
  <c r="M74" i="2"/>
  <c r="M77" i="2" s="1"/>
  <c r="U74" i="2"/>
  <c r="Y74" i="2"/>
  <c r="Y77" i="2" s="1"/>
  <c r="AC74" i="2"/>
  <c r="AC77" i="2" s="1"/>
  <c r="AG74" i="2"/>
  <c r="AG77" i="2" s="1"/>
  <c r="AK74" i="2"/>
  <c r="AK77" i="2" s="1"/>
  <c r="AO74" i="2"/>
  <c r="AM74" i="2"/>
  <c r="AM77" i="2"/>
  <c r="AT74" i="2"/>
  <c r="AT77" i="2"/>
  <c r="BC67" i="2"/>
  <c r="BD67" i="2" s="1"/>
  <c r="BE67" i="2" s="1"/>
  <c r="BQ68" i="2"/>
  <c r="BQ74" i="2" s="1"/>
  <c r="BQ77" i="2" s="1"/>
  <c r="O74" i="2"/>
  <c r="AU77" i="2"/>
  <c r="AG84" i="2"/>
  <c r="AK86" i="2"/>
  <c r="AZ68" i="2"/>
  <c r="AZ74" i="2" s="1"/>
  <c r="CQ64" i="2"/>
  <c r="CQ68" i="2" s="1"/>
  <c r="CQ74" i="2" s="1"/>
  <c r="CQ77" i="2" s="1"/>
  <c r="BX74" i="2"/>
  <c r="BX77" i="2" s="1"/>
  <c r="K74" i="2"/>
  <c r="AA74" i="2"/>
  <c r="AA77" i="2" s="1"/>
  <c r="AW74" i="2"/>
  <c r="AW77" i="2" s="1"/>
  <c r="CQ70" i="2"/>
  <c r="W74" i="2"/>
  <c r="W77" i="2" s="1"/>
  <c r="AH88" i="2"/>
  <c r="AT88" i="2"/>
  <c r="BW68" i="2"/>
  <c r="BW74" i="2" s="1"/>
  <c r="BW77" i="2" s="1"/>
  <c r="AQ74" i="2"/>
  <c r="AV74" i="2"/>
  <c r="V86" i="2"/>
  <c r="AS86" i="2"/>
  <c r="AK88" i="2"/>
  <c r="AK89" i="2" s="1"/>
  <c r="AV88" i="2"/>
  <c r="AV98" i="2"/>
  <c r="AR88" i="2"/>
  <c r="BT97" i="2"/>
  <c r="AI108" i="2"/>
  <c r="BT108" i="2"/>
  <c r="BT103" i="2"/>
  <c r="AJ103" i="2"/>
  <c r="AJ108" i="2" s="1"/>
  <c r="AY98" i="2"/>
  <c r="AZ98" i="2" s="1"/>
  <c r="BA98" i="2" s="1"/>
  <c r="BB98" i="2" s="1"/>
  <c r="BC98" i="2" s="1"/>
  <c r="BX98" i="2"/>
  <c r="AJ97" i="2"/>
  <c r="AK97" i="2"/>
  <c r="AL97" i="2" s="1"/>
  <c r="AM97" i="2" s="1"/>
  <c r="BT104" i="2"/>
  <c r="AX44" i="3"/>
  <c r="J44" i="3"/>
  <c r="E66" i="3"/>
  <c r="E68" i="3" s="1"/>
  <c r="S29" i="3"/>
  <c r="BP29" i="3" s="1"/>
  <c r="BP128" i="3" s="1"/>
  <c r="AK66" i="3"/>
  <c r="AK92" i="3" s="1"/>
  <c r="AI28" i="3"/>
  <c r="AA27" i="3"/>
  <c r="CK27" i="3" s="1"/>
  <c r="CK126" i="3" s="1"/>
  <c r="S24" i="3"/>
  <c r="BV17" i="3"/>
  <c r="BV116" i="3" s="1"/>
  <c r="G36" i="3"/>
  <c r="BM36" i="3" s="1"/>
  <c r="BM135" i="3" s="1"/>
  <c r="BR26" i="3"/>
  <c r="BR125" i="3" s="1"/>
  <c r="O24" i="3"/>
  <c r="BO24" i="3"/>
  <c r="BO123" i="3" s="1"/>
  <c r="AT34" i="3"/>
  <c r="M66" i="3"/>
  <c r="M68" i="3" s="1"/>
  <c r="AW66" i="3"/>
  <c r="AW92" i="3" s="1"/>
  <c r="AX34" i="3"/>
  <c r="AE21" i="3"/>
  <c r="BS21" i="3" s="1"/>
  <c r="BS120" i="3" s="1"/>
  <c r="AM20" i="3"/>
  <c r="AY28" i="3"/>
  <c r="CQ28" i="3" s="1"/>
  <c r="S27" i="2"/>
  <c r="S71" i="3" s="1"/>
  <c r="CL27" i="2"/>
  <c r="BV90" i="2"/>
  <c r="R90" i="2"/>
  <c r="CF90" i="2"/>
  <c r="AU111" i="48"/>
  <c r="AS111" i="48"/>
  <c r="AR111" i="48"/>
  <c r="AP111" i="48"/>
  <c r="AO111" i="48"/>
  <c r="AN111" i="48"/>
  <c r="AM111" i="48"/>
  <c r="AK111" i="48"/>
  <c r="AJ111" i="48"/>
  <c r="AI111" i="48"/>
  <c r="AH111" i="48"/>
  <c r="AG111" i="48"/>
  <c r="AC111" i="48"/>
  <c r="AB111" i="48"/>
  <c r="Z111" i="48"/>
  <c r="X111" i="48"/>
  <c r="V111" i="48"/>
  <c r="V115" i="48" s="1"/>
  <c r="U111" i="48"/>
  <c r="U115" i="48" s="1"/>
  <c r="T111" i="48"/>
  <c r="T115" i="48" s="1"/>
  <c r="R111" i="48"/>
  <c r="R115" i="48" s="1"/>
  <c r="Q111" i="48"/>
  <c r="Q115" i="48" s="1"/>
  <c r="P111" i="48"/>
  <c r="P115" i="48" s="1"/>
  <c r="N111" i="48"/>
  <c r="N115" i="48" s="1"/>
  <c r="M111" i="48"/>
  <c r="M115" i="48" s="1"/>
  <c r="L111" i="48"/>
  <c r="J111" i="48"/>
  <c r="I111" i="48"/>
  <c r="H111" i="48"/>
  <c r="E111" i="48"/>
  <c r="D111" i="48"/>
  <c r="BN281" i="48"/>
  <c r="BN289" i="48" s="1"/>
  <c r="AJ176" i="48"/>
  <c r="AJ178" i="48" s="1"/>
  <c r="BS188" i="48"/>
  <c r="AJ188" i="48"/>
  <c r="BB118" i="48"/>
  <c r="BB127" i="48" s="1"/>
  <c r="BF118" i="48"/>
  <c r="BF127" i="48" s="1"/>
  <c r="D287" i="48"/>
  <c r="D256" i="48"/>
  <c r="D223" i="48"/>
  <c r="D244" i="48"/>
  <c r="H256" i="48"/>
  <c r="H279" i="48"/>
  <c r="H223" i="48"/>
  <c r="H136" i="48"/>
  <c r="H118" i="48" s="1"/>
  <c r="H127" i="48" s="1"/>
  <c r="J265" i="48"/>
  <c r="L244" i="48"/>
  <c r="L223" i="48"/>
  <c r="N283" i="48"/>
  <c r="N265" i="48"/>
  <c r="N287" i="48"/>
  <c r="N161" i="48"/>
  <c r="R272" i="48"/>
  <c r="R244" i="48"/>
  <c r="R153" i="48"/>
  <c r="R136" i="48"/>
  <c r="R118" i="48" s="1"/>
  <c r="R127" i="48" s="1"/>
  <c r="X136" i="48"/>
  <c r="X118" i="48" s="1"/>
  <c r="X127" i="48" s="1"/>
  <c r="AB223" i="48"/>
  <c r="AF153" i="48"/>
  <c r="AJ287" i="48"/>
  <c r="AJ279" i="48"/>
  <c r="AJ265" i="48"/>
  <c r="AJ232" i="48"/>
  <c r="AJ223" i="48"/>
  <c r="AJ153" i="48"/>
  <c r="AJ136" i="48"/>
  <c r="AJ118" i="48" s="1"/>
  <c r="AJ127" i="48" s="1"/>
  <c r="AN299" i="48"/>
  <c r="AN283" i="48"/>
  <c r="AN265" i="48"/>
  <c r="AN279" i="48"/>
  <c r="AN244" i="48"/>
  <c r="AN161" i="48"/>
  <c r="AN153" i="48"/>
  <c r="AN143" i="48"/>
  <c r="AR279" i="48"/>
  <c r="AR283" i="48"/>
  <c r="AR265" i="48"/>
  <c r="AR147" i="48"/>
  <c r="AR223" i="48"/>
  <c r="AR143" i="48"/>
  <c r="AV283" i="48"/>
  <c r="AV232" i="48"/>
  <c r="AV265" i="48"/>
  <c r="AV256" i="48"/>
  <c r="AV223" i="48"/>
  <c r="AV136" i="48"/>
  <c r="AV118" i="48" s="1"/>
  <c r="AV127" i="48" s="1"/>
  <c r="AZ279" i="48"/>
  <c r="AZ265" i="48"/>
  <c r="AZ256" i="48"/>
  <c r="AZ244" i="48"/>
  <c r="AZ136" i="48"/>
  <c r="AZ170" i="48" s="1"/>
  <c r="D299" i="48"/>
  <c r="D283" i="48"/>
  <c r="D272" i="48"/>
  <c r="D265" i="48"/>
  <c r="D232" i="48"/>
  <c r="D153" i="48"/>
  <c r="D136" i="48"/>
  <c r="D118" i="48" s="1"/>
  <c r="D127" i="48"/>
  <c r="D161" i="48"/>
  <c r="F265" i="48"/>
  <c r="H272" i="48"/>
  <c r="H283" i="48"/>
  <c r="H265" i="48"/>
  <c r="H244" i="48"/>
  <c r="H161" i="48"/>
  <c r="H232" i="48"/>
  <c r="H143" i="48"/>
  <c r="L299" i="48"/>
  <c r="L287" i="48"/>
  <c r="L265" i="48"/>
  <c r="L147" i="48"/>
  <c r="L161" i="48"/>
  <c r="L136" i="48"/>
  <c r="L118" i="48" s="1"/>
  <c r="L127" i="48" s="1"/>
  <c r="N272" i="48"/>
  <c r="N279" i="48"/>
  <c r="N256" i="48"/>
  <c r="N232" i="48"/>
  <c r="N223" i="48"/>
  <c r="N143" i="48"/>
  <c r="N136" i="48"/>
  <c r="N118" i="48" s="1"/>
  <c r="N127" i="48" s="1"/>
  <c r="P223" i="48"/>
  <c r="P136" i="48"/>
  <c r="P118" i="48" s="1"/>
  <c r="P127" i="48" s="1"/>
  <c r="R279" i="48"/>
  <c r="R287" i="48"/>
  <c r="R265" i="48"/>
  <c r="R232" i="48"/>
  <c r="R223" i="48"/>
  <c r="R143" i="48"/>
  <c r="R147" i="48"/>
  <c r="T143" i="48"/>
  <c r="X232" i="48"/>
  <c r="AB287" i="48"/>
  <c r="AB143" i="48"/>
  <c r="AJ193" i="48"/>
  <c r="AH252" i="48"/>
  <c r="AH254" i="48" s="1"/>
  <c r="AT118" i="48"/>
  <c r="AT127" i="48" s="1"/>
  <c r="G299" i="48"/>
  <c r="G256" i="48"/>
  <c r="G147" i="48"/>
  <c r="G153" i="48"/>
  <c r="K287" i="48"/>
  <c r="K256" i="48"/>
  <c r="K161" i="48"/>
  <c r="K136" i="48"/>
  <c r="K118" i="48" s="1"/>
  <c r="K127" i="48" s="1"/>
  <c r="O279" i="48"/>
  <c r="O223" i="48"/>
  <c r="O136" i="48"/>
  <c r="O118" i="48" s="1"/>
  <c r="O127" i="48" s="1"/>
  <c r="Q153" i="48"/>
  <c r="S283" i="48"/>
  <c r="S279" i="48"/>
  <c r="S161" i="48"/>
  <c r="S147" i="48"/>
  <c r="U272" i="48"/>
  <c r="U153" i="48"/>
  <c r="AA279" i="48"/>
  <c r="AC287" i="48"/>
  <c r="AC161" i="48"/>
  <c r="AG279" i="48"/>
  <c r="AG232" i="48"/>
  <c r="AK299" i="48"/>
  <c r="AK256" i="48"/>
  <c r="AM299" i="48"/>
  <c r="AM272" i="48"/>
  <c r="AM161" i="48"/>
  <c r="AM153" i="48"/>
  <c r="AQ256" i="48"/>
  <c r="AQ265" i="48"/>
  <c r="AQ147" i="48"/>
  <c r="AQ153" i="48"/>
  <c r="AS153" i="48"/>
  <c r="AU283" i="48"/>
  <c r="AU299" i="48"/>
  <c r="AU256" i="48"/>
  <c r="AU272" i="48"/>
  <c r="AU223" i="48"/>
  <c r="AU143" i="48"/>
  <c r="AU244" i="48"/>
  <c r="AU161" i="48"/>
  <c r="AY256" i="48"/>
  <c r="AY299" i="48"/>
  <c r="AY265" i="48"/>
  <c r="AY244" i="48"/>
  <c r="AY161" i="48"/>
  <c r="AY153" i="48"/>
  <c r="AY143" i="48"/>
  <c r="BC283" i="48"/>
  <c r="BC279" i="48"/>
  <c r="BC256" i="48"/>
  <c r="BC265" i="48"/>
  <c r="BC161" i="48"/>
  <c r="BC232" i="48"/>
  <c r="BC153" i="48"/>
  <c r="BC136" i="48"/>
  <c r="BG223" i="48"/>
  <c r="BG299" i="48"/>
  <c r="BG272" i="48"/>
  <c r="BG244" i="48"/>
  <c r="BG232" i="48"/>
  <c r="BG279" i="48"/>
  <c r="BG147" i="48"/>
  <c r="BN287" i="48"/>
  <c r="BN283" i="48"/>
  <c r="BN153" i="48"/>
  <c r="BP283" i="48"/>
  <c r="BP279" i="48"/>
  <c r="BP265" i="48"/>
  <c r="BP232" i="48"/>
  <c r="BP223" i="48"/>
  <c r="BP143" i="48"/>
  <c r="BP136" i="48"/>
  <c r="BP118" i="48" s="1"/>
  <c r="BP127" i="48" s="1"/>
  <c r="BR287" i="48"/>
  <c r="BR279" i="48"/>
  <c r="BR147" i="48"/>
  <c r="BR153" i="48"/>
  <c r="BT283" i="48"/>
  <c r="BT256" i="48"/>
  <c r="BT272" i="48"/>
  <c r="BT244" i="48"/>
  <c r="BT232" i="48"/>
  <c r="BT161" i="48"/>
  <c r="BT143" i="48"/>
  <c r="BV161" i="48"/>
  <c r="BV143" i="48"/>
  <c r="BX256" i="48"/>
  <c r="BX223" i="48"/>
  <c r="BX147" i="48"/>
  <c r="BX136" i="48"/>
  <c r="BZ287" i="48"/>
  <c r="P148" i="48"/>
  <c r="P149" i="48" s="1"/>
  <c r="P151" i="48" s="1"/>
  <c r="X148" i="48"/>
  <c r="X149" i="48" s="1"/>
  <c r="X151" i="48" s="1"/>
  <c r="X123" i="48"/>
  <c r="X84" i="48" s="1"/>
  <c r="X121" i="48"/>
  <c r="X48" i="48" s="1"/>
  <c r="X119" i="48"/>
  <c r="X139" i="48"/>
  <c r="AB139" i="48"/>
  <c r="AB211" i="48"/>
  <c r="AF211" i="48" s="1"/>
  <c r="AF213" i="48" s="1"/>
  <c r="AB140" i="48"/>
  <c r="AB123" i="48"/>
  <c r="AB84" i="48" s="1"/>
  <c r="AB121" i="48"/>
  <c r="AB48" i="48" s="1"/>
  <c r="AB119" i="48"/>
  <c r="AF178" i="48"/>
  <c r="AF123" i="48"/>
  <c r="AF121" i="48"/>
  <c r="AF48" i="48" s="1"/>
  <c r="AF119" i="48"/>
  <c r="AF138" i="48"/>
  <c r="AH119" i="48"/>
  <c r="AJ123" i="48"/>
  <c r="AJ84" i="48" s="1"/>
  <c r="AN87" i="48" s="1"/>
  <c r="AJ121" i="48"/>
  <c r="AJ119" i="48"/>
  <c r="AN122" i="48"/>
  <c r="AN66" i="48" s="1"/>
  <c r="AN120" i="48"/>
  <c r="AP123" i="48"/>
  <c r="AP84" i="48" s="1"/>
  <c r="AP120" i="48"/>
  <c r="AP29" i="48" s="1"/>
  <c r="AR123" i="48"/>
  <c r="AR84" i="48" s="1"/>
  <c r="AR121" i="48"/>
  <c r="AR48" i="48" s="1"/>
  <c r="AV51" i="48" s="1"/>
  <c r="AR119" i="48"/>
  <c r="AR12" i="48" s="1"/>
  <c r="AV122" i="48"/>
  <c r="AV66" i="48" s="1"/>
  <c r="AV120" i="48"/>
  <c r="AV29" i="48" s="1"/>
  <c r="AX119" i="48"/>
  <c r="AX12" i="48" s="1"/>
  <c r="AX122" i="48"/>
  <c r="AX66" i="48" s="1"/>
  <c r="AH138" i="48"/>
  <c r="AT122" i="48"/>
  <c r="AT66" i="48" s="1"/>
  <c r="AT120" i="48"/>
  <c r="AT29" i="48" s="1"/>
  <c r="AP122" i="48"/>
  <c r="AP66" i="48" s="1"/>
  <c r="AL139" i="48"/>
  <c r="Z140" i="48"/>
  <c r="R148" i="48"/>
  <c r="R149" i="48" s="1"/>
  <c r="R151" i="48" s="1"/>
  <c r="R139" i="48"/>
  <c r="AF140" i="48"/>
  <c r="R138" i="48"/>
  <c r="AX121" i="48"/>
  <c r="AX48" i="48" s="1"/>
  <c r="AV119" i="48"/>
  <c r="AV12" i="48" s="1"/>
  <c r="AV123" i="48"/>
  <c r="AV84" i="48" s="1"/>
  <c r="AR122" i="48"/>
  <c r="AR66" i="48" s="1"/>
  <c r="AN121" i="48"/>
  <c r="AJ120" i="48"/>
  <c r="AJ29" i="48" s="1"/>
  <c r="AJ137" i="48"/>
  <c r="AF120" i="48"/>
  <c r="AF137" i="48"/>
  <c r="AB120" i="48"/>
  <c r="AB137" i="48"/>
  <c r="X138" i="48"/>
  <c r="X120" i="48"/>
  <c r="X29" i="48" s="1"/>
  <c r="X137" i="48"/>
  <c r="P137" i="48"/>
  <c r="BX143" i="48"/>
  <c r="BX244" i="48"/>
  <c r="BT147" i="48"/>
  <c r="BT223" i="48"/>
  <c r="BT279" i="48"/>
  <c r="BP147" i="48"/>
  <c r="BP153" i="48"/>
  <c r="BP272" i="48"/>
  <c r="BP287" i="48"/>
  <c r="BG161" i="48"/>
  <c r="BG265" i="48"/>
  <c r="BG256" i="48"/>
  <c r="BC143" i="48"/>
  <c r="BC147" i="48"/>
  <c r="BC272" i="48"/>
  <c r="BC299" i="48"/>
  <c r="AY147" i="48"/>
  <c r="AY232" i="48"/>
  <c r="AY287" i="48"/>
  <c r="AY283" i="48"/>
  <c r="AU136" i="48"/>
  <c r="AU232" i="48"/>
  <c r="AU279" i="48"/>
  <c r="AQ223" i="48"/>
  <c r="AQ272" i="48"/>
  <c r="AM223" i="48"/>
  <c r="AM287" i="48"/>
  <c r="AI223" i="48"/>
  <c r="AA283" i="48"/>
  <c r="S143" i="48"/>
  <c r="S256" i="48"/>
  <c r="O161" i="48"/>
  <c r="O265" i="48"/>
  <c r="K223" i="48"/>
  <c r="K279" i="48"/>
  <c r="G143" i="48"/>
  <c r="G287" i="48"/>
  <c r="BZ283" i="48"/>
  <c r="BV223" i="48"/>
  <c r="BV279" i="48"/>
  <c r="BN143" i="48"/>
  <c r="BN244" i="48"/>
  <c r="AK153" i="48"/>
  <c r="AG143" i="48"/>
  <c r="AC153" i="48"/>
  <c r="Y143" i="48"/>
  <c r="U143" i="48"/>
  <c r="L252" i="48"/>
  <c r="L254" i="48" s="1"/>
  <c r="AD252" i="48"/>
  <c r="AD254" i="48" s="1"/>
  <c r="BC48" i="3"/>
  <c r="BD83" i="3"/>
  <c r="BD84" i="3" s="1"/>
  <c r="BD113" i="3"/>
  <c r="P65" i="3"/>
  <c r="P79" i="3" s="1"/>
  <c r="P87" i="3" s="1"/>
  <c r="BF83" i="3"/>
  <c r="BF84" i="3" s="1"/>
  <c r="BB91" i="3"/>
  <c r="AZ87" i="2"/>
  <c r="Z76" i="3"/>
  <c r="AJ76" i="3"/>
  <c r="AN92" i="3"/>
  <c r="BB113" i="3"/>
  <c r="BC113" i="3" s="1"/>
  <c r="BC83" i="3"/>
  <c r="BC84" i="3" s="1"/>
  <c r="AQ65" i="3"/>
  <c r="AQ79" i="3" s="1"/>
  <c r="AQ87" i="3" s="1"/>
  <c r="CM29" i="3"/>
  <c r="CM128" i="3" s="1"/>
  <c r="BW39" i="3"/>
  <c r="BW138" i="3" s="1"/>
  <c r="AX46" i="3"/>
  <c r="Z40" i="3"/>
  <c r="AA40" i="3" s="1"/>
  <c r="AY34" i="3"/>
  <c r="BX34" i="3" s="1"/>
  <c r="BN48" i="3"/>
  <c r="BN147" i="3" s="1"/>
  <c r="BN57" i="3"/>
  <c r="BN156" i="3" s="1"/>
  <c r="F50" i="3"/>
  <c r="AD48" i="3"/>
  <c r="AE48" i="3" s="1"/>
  <c r="AP48" i="3"/>
  <c r="AQ48" i="3" s="1"/>
  <c r="AM15" i="3"/>
  <c r="AJ84" i="3"/>
  <c r="Z21" i="3"/>
  <c r="X166" i="1"/>
  <c r="AJ166" i="1"/>
  <c r="H166" i="1"/>
  <c r="I14" i="3"/>
  <c r="Q166" i="1"/>
  <c r="Q80" i="3"/>
  <c r="AO14" i="3"/>
  <c r="AO80" i="3" s="1"/>
  <c r="AO81" i="3" s="1"/>
  <c r="Y17" i="3"/>
  <c r="AB166" i="1"/>
  <c r="AF166" i="1"/>
  <c r="AD49" i="3"/>
  <c r="AE49" i="3" s="1"/>
  <c r="BU73" i="3"/>
  <c r="BW73" i="3"/>
  <c r="CJ73" i="3"/>
  <c r="CL73" i="3"/>
  <c r="CN73" i="3"/>
  <c r="BV73" i="3"/>
  <c r="BI166" i="1"/>
  <c r="BK166" i="1"/>
  <c r="BJ91" i="3"/>
  <c r="BM160" i="3"/>
  <c r="BM61" i="3"/>
  <c r="BO160" i="3"/>
  <c r="BO61" i="3"/>
  <c r="BQ61" i="3"/>
  <c r="BS160" i="3"/>
  <c r="BS61" i="3"/>
  <c r="BS17" i="2"/>
  <c r="CI160" i="3"/>
  <c r="CI61" i="3"/>
  <c r="CJ160" i="3"/>
  <c r="CJ61" i="3"/>
  <c r="CL61" i="3"/>
  <c r="CO85" i="2"/>
  <c r="BW85" i="2"/>
  <c r="CI85" i="2"/>
  <c r="BX85" i="2"/>
  <c r="BN160" i="3"/>
  <c r="BR61" i="3"/>
  <c r="BT160" i="3"/>
  <c r="BT61" i="3"/>
  <c r="BV160" i="3"/>
  <c r="BV61" i="3"/>
  <c r="BX160" i="3"/>
  <c r="BX61" i="3"/>
  <c r="CF160" i="3"/>
  <c r="CF61" i="3"/>
  <c r="CH160" i="3"/>
  <c r="CH61" i="3"/>
  <c r="CJ85" i="2"/>
  <c r="CK61" i="3"/>
  <c r="CM160" i="3"/>
  <c r="CM61" i="3"/>
  <c r="CN160" i="3"/>
  <c r="CN61" i="3"/>
  <c r="CP160" i="3"/>
  <c r="CP61" i="3"/>
  <c r="CJ17" i="2"/>
  <c r="CJ27" i="2" s="1"/>
  <c r="CJ71" i="3" s="1"/>
  <c r="CL57" i="2"/>
  <c r="BS76" i="3"/>
  <c r="BO76" i="3"/>
  <c r="CP56" i="2"/>
  <c r="P53" i="2"/>
  <c r="X53" i="2"/>
  <c r="X57" i="2"/>
  <c r="AN53" i="2"/>
  <c r="AN57" i="2"/>
  <c r="D56" i="2"/>
  <c r="D55" i="2"/>
  <c r="D54" i="2" s="1"/>
  <c r="L56" i="2"/>
  <c r="L55" i="2"/>
  <c r="L54" i="2" s="1"/>
  <c r="T56" i="2"/>
  <c r="T55" i="2"/>
  <c r="T54" i="2" s="1"/>
  <c r="AB56" i="2"/>
  <c r="AB55" i="2"/>
  <c r="AB54" i="2" s="1"/>
  <c r="AJ56" i="2"/>
  <c r="AJ55" i="2"/>
  <c r="AJ54" i="2" s="1"/>
  <c r="AR56" i="2"/>
  <c r="AR54" i="2"/>
  <c r="AB86" i="2"/>
  <c r="AH82" i="2"/>
  <c r="Y108" i="3"/>
  <c r="BU53" i="2"/>
  <c r="AC55" i="2"/>
  <c r="AC54" i="2" s="1"/>
  <c r="AM55" i="2"/>
  <c r="AM54" i="2" s="1"/>
  <c r="AQ71" i="3"/>
  <c r="L86" i="2"/>
  <c r="AD84" i="2"/>
  <c r="AA65" i="3"/>
  <c r="AA79" i="3" s="1"/>
  <c r="AA87" i="3" s="1"/>
  <c r="BC12" i="2"/>
  <c r="BD114" i="2" s="1"/>
  <c r="E108" i="3"/>
  <c r="E56" i="2"/>
  <c r="AC193" i="48"/>
  <c r="AM193" i="48"/>
  <c r="E53" i="2"/>
  <c r="M53" i="2"/>
  <c r="AE53" i="2"/>
  <c r="AK53" i="2"/>
  <c r="Y55" i="2"/>
  <c r="Y54" i="2" s="1"/>
  <c r="AG55" i="2"/>
  <c r="AG54" i="2" s="1"/>
  <c r="AQ55" i="2"/>
  <c r="AQ54" i="2" s="1"/>
  <c r="S56" i="2"/>
  <c r="AE56" i="2"/>
  <c r="AK56" i="2"/>
  <c r="AS56" i="2"/>
  <c r="I57" i="2"/>
  <c r="BK9" i="3"/>
  <c r="BK108" i="3" s="1"/>
  <c r="G31" i="1"/>
  <c r="G32" i="1" s="1"/>
  <c r="G18" i="1"/>
  <c r="G52" i="1" s="1"/>
  <c r="G17" i="1"/>
  <c r="H18" i="1"/>
  <c r="H52" i="1" s="1"/>
  <c r="G51" i="1"/>
  <c r="G39" i="1"/>
  <c r="G22" i="1"/>
  <c r="G12" i="1"/>
  <c r="H12" i="1"/>
  <c r="O31" i="1"/>
  <c r="O19" i="1"/>
  <c r="O18" i="1"/>
  <c r="O17" i="1"/>
  <c r="P18" i="1"/>
  <c r="P40" i="1" s="1"/>
  <c r="O22" i="1"/>
  <c r="O39" i="1"/>
  <c r="O12" i="1"/>
  <c r="P12" i="1"/>
  <c r="O13" i="1"/>
  <c r="W51" i="1"/>
  <c r="W31" i="1"/>
  <c r="W19" i="1"/>
  <c r="W18" i="1"/>
  <c r="W52" i="1" s="1"/>
  <c r="W17" i="1"/>
  <c r="W39" i="1"/>
  <c r="X18" i="1"/>
  <c r="X12" i="1"/>
  <c r="W13" i="1"/>
  <c r="W12" i="1"/>
  <c r="AB17" i="1"/>
  <c r="W53" i="2"/>
  <c r="G55" i="2"/>
  <c r="G54" i="2" s="1"/>
  <c r="K31" i="1"/>
  <c r="K19" i="1"/>
  <c r="K17" i="1"/>
  <c r="K39" i="1"/>
  <c r="L12" i="1"/>
  <c r="K13" i="1"/>
  <c r="S19" i="1"/>
  <c r="S18" i="1"/>
  <c r="S17" i="1"/>
  <c r="T18" i="1"/>
  <c r="S39" i="1"/>
  <c r="S13" i="1"/>
  <c r="T12" i="1"/>
  <c r="S12" i="1"/>
  <c r="AA19" i="1"/>
  <c r="AA18" i="1"/>
  <c r="AB18" i="1"/>
  <c r="AA39" i="1"/>
  <c r="AA22" i="1"/>
  <c r="AA13" i="1"/>
  <c r="AE13" i="1"/>
  <c r="AE115" i="1"/>
  <c r="AE129" i="1" s="1"/>
  <c r="AE17" i="1"/>
  <c r="BJ9" i="3"/>
  <c r="BJ108" i="3" s="1"/>
  <c r="BI9" i="3"/>
  <c r="BH113" i="3"/>
  <c r="BI113" i="3" s="1"/>
  <c r="BJ113" i="3" s="1"/>
  <c r="BK113" i="3" s="1"/>
  <c r="BI83" i="3"/>
  <c r="BI84" i="3" s="1"/>
  <c r="BH83" i="3"/>
  <c r="BH84" i="3" s="1"/>
  <c r="BJ143" i="3"/>
  <c r="BK143" i="3" s="1"/>
  <c r="BI80" i="2"/>
  <c r="BJ80" i="2"/>
  <c r="BH299" i="48"/>
  <c r="BH287" i="48"/>
  <c r="BH283" i="48"/>
  <c r="BH279" i="48"/>
  <c r="BH272" i="48"/>
  <c r="BH265" i="48"/>
  <c r="BH256" i="48"/>
  <c r="BH244" i="48"/>
  <c r="BH232" i="48"/>
  <c r="BH223" i="48"/>
  <c r="BH161" i="48"/>
  <c r="BH153" i="48"/>
  <c r="BH147" i="48"/>
  <c r="BH143" i="48"/>
  <c r="BH136" i="48"/>
  <c r="BJ283" i="48"/>
  <c r="BJ279" i="48"/>
  <c r="BI299" i="48"/>
  <c r="BI287" i="48"/>
  <c r="BI283" i="48"/>
  <c r="BI279" i="48"/>
  <c r="BI272" i="48"/>
  <c r="BI265" i="48"/>
  <c r="BI256" i="48"/>
  <c r="BI244" i="48"/>
  <c r="BI232" i="48"/>
  <c r="BI223" i="48"/>
  <c r="BI161" i="48"/>
  <c r="BI153" i="48"/>
  <c r="BI147" i="48"/>
  <c r="BI143" i="48"/>
  <c r="BI136" i="48"/>
  <c r="BI170" i="48" s="1"/>
  <c r="BK299" i="48"/>
  <c r="BK287" i="48"/>
  <c r="BK279" i="48"/>
  <c r="BK272" i="48"/>
  <c r="BK265" i="48"/>
  <c r="BK244" i="48"/>
  <c r="BK232" i="48"/>
  <c r="BK223" i="48"/>
  <c r="BK153" i="48"/>
  <c r="BK147" i="48"/>
  <c r="BK143" i="48"/>
  <c r="E244" i="48"/>
  <c r="E283" i="48"/>
  <c r="G283" i="48"/>
  <c r="G279" i="48"/>
  <c r="G265" i="48"/>
  <c r="G244" i="48"/>
  <c r="G161" i="48"/>
  <c r="G223" i="48"/>
  <c r="G232" i="48"/>
  <c r="G136" i="48"/>
  <c r="G118" i="48" s="1"/>
  <c r="G127" i="48" s="1"/>
  <c r="I143" i="48"/>
  <c r="I147" i="48"/>
  <c r="K299" i="48"/>
  <c r="K272" i="48"/>
  <c r="K265" i="48"/>
  <c r="K244" i="48"/>
  <c r="K143" i="48"/>
  <c r="K147" i="48"/>
  <c r="K153" i="48"/>
  <c r="M279" i="48"/>
  <c r="M272" i="48"/>
  <c r="O283" i="48"/>
  <c r="O299" i="48"/>
  <c r="O256" i="48"/>
  <c r="O272" i="48"/>
  <c r="O244" i="48"/>
  <c r="O143" i="48"/>
  <c r="O232" i="48"/>
  <c r="O147" i="48"/>
  <c r="Q265" i="48"/>
  <c r="Q244" i="48"/>
  <c r="Q147" i="48"/>
  <c r="S272" i="48"/>
  <c r="S265" i="48"/>
  <c r="S244" i="48"/>
  <c r="S299" i="48"/>
  <c r="S232" i="48"/>
  <c r="S153" i="48"/>
  <c r="S136" i="48"/>
  <c r="S118" i="48" s="1"/>
  <c r="S127" i="48" s="1"/>
  <c r="U279" i="48"/>
  <c r="U265" i="48"/>
  <c r="U283" i="48"/>
  <c r="U244" i="48"/>
  <c r="U161" i="48"/>
  <c r="U223" i="48"/>
  <c r="U147" i="48"/>
  <c r="U287" i="48"/>
  <c r="U256" i="48"/>
  <c r="U232" i="48"/>
  <c r="U136" i="48"/>
  <c r="U118" i="48" s="1"/>
  <c r="U127" i="48" s="1"/>
  <c r="W283" i="48"/>
  <c r="W153" i="48"/>
  <c r="Y287" i="48"/>
  <c r="Y283" i="48"/>
  <c r="Y256" i="48"/>
  <c r="Y299" i="48"/>
  <c r="Y161" i="48"/>
  <c r="Y153" i="48"/>
  <c r="Y136" i="48"/>
  <c r="Y118" i="48" s="1"/>
  <c r="Y127" i="48" s="1"/>
  <c r="Y147" i="48"/>
  <c r="Y279" i="48"/>
  <c r="Y272" i="48"/>
  <c r="Y223" i="48"/>
  <c r="Y244" i="48"/>
  <c r="AA147" i="48"/>
  <c r="AC279" i="48"/>
  <c r="AC265" i="48"/>
  <c r="AC256" i="48"/>
  <c r="AC232" i="48"/>
  <c r="AC223" i="48"/>
  <c r="AC272" i="48"/>
  <c r="AC143" i="48"/>
  <c r="AC299" i="48"/>
  <c r="AC244" i="48"/>
  <c r="AC147" i="48"/>
  <c r="AC136" i="48"/>
  <c r="AC118" i="48" s="1"/>
  <c r="AC127" i="48" s="1"/>
  <c r="AE272" i="48"/>
  <c r="AE244" i="48"/>
  <c r="AG287" i="48"/>
  <c r="AG299" i="48"/>
  <c r="AG265" i="48"/>
  <c r="AG256" i="48"/>
  <c r="AG161" i="48"/>
  <c r="AG223" i="48"/>
  <c r="AG153" i="48"/>
  <c r="AG136" i="48"/>
  <c r="AG118" i="48" s="1"/>
  <c r="AG127" i="48" s="1"/>
  <c r="AG283" i="48"/>
  <c r="AG244" i="48"/>
  <c r="AG147" i="48"/>
  <c r="AK279" i="48"/>
  <c r="AK265" i="48"/>
  <c r="AK272" i="48"/>
  <c r="AK161" i="48"/>
  <c r="AK143" i="48"/>
  <c r="AK223" i="48"/>
  <c r="AK136" i="48"/>
  <c r="AK118" i="48" s="1"/>
  <c r="AK127" i="48" s="1"/>
  <c r="AK287" i="48"/>
  <c r="AK283" i="48"/>
  <c r="AK232" i="48"/>
  <c r="AK147" i="48"/>
  <c r="AM283" i="48"/>
  <c r="AM279" i="48"/>
  <c r="AM256" i="48"/>
  <c r="AM265" i="48"/>
  <c r="AM244" i="48"/>
  <c r="AM147" i="48"/>
  <c r="AM143" i="48"/>
  <c r="AM136" i="48"/>
  <c r="AM118" i="48" s="1"/>
  <c r="AM127" i="48" s="1"/>
  <c r="AO272" i="48"/>
  <c r="AO256" i="48"/>
  <c r="AQ299" i="48"/>
  <c r="AQ287" i="48"/>
  <c r="AQ279" i="48"/>
  <c r="AQ244" i="48"/>
  <c r="AQ161" i="48"/>
  <c r="AQ232" i="48"/>
  <c r="AQ136" i="48"/>
  <c r="AQ118" i="48" s="1"/>
  <c r="AQ127" i="48" s="1"/>
  <c r="AS143" i="48"/>
  <c r="AS244" i="48"/>
  <c r="BA265" i="48"/>
  <c r="BA232" i="48"/>
  <c r="BV118" i="48"/>
  <c r="BZ136" i="48"/>
  <c r="BZ223" i="48"/>
  <c r="BZ256" i="48"/>
  <c r="BV136" i="48"/>
  <c r="BV127" i="48"/>
  <c r="BV153" i="48"/>
  <c r="BV256" i="48"/>
  <c r="BV244" i="48"/>
  <c r="BV232" i="48"/>
  <c r="BV265" i="48"/>
  <c r="BV287" i="48"/>
  <c r="BR136" i="48"/>
  <c r="BR118" i="48" s="1"/>
  <c r="BR127" i="48" s="1"/>
  <c r="BR232" i="48"/>
  <c r="BR223" i="48"/>
  <c r="BR244" i="48"/>
  <c r="BR272" i="48"/>
  <c r="BR283" i="48"/>
  <c r="BN136" i="48"/>
  <c r="BN118" i="48" s="1"/>
  <c r="BN127" i="48" s="1"/>
  <c r="BN147" i="48"/>
  <c r="BN272" i="48"/>
  <c r="BN161" i="48"/>
  <c r="BN256" i="48"/>
  <c r="BN265" i="48"/>
  <c r="AD193" i="48"/>
  <c r="AE193" i="48"/>
  <c r="BS196" i="48"/>
  <c r="AF199" i="48"/>
  <c r="AM76" i="3"/>
  <c r="G76" i="3"/>
  <c r="O76" i="3"/>
  <c r="S76" i="3"/>
  <c r="W76" i="3"/>
  <c r="AA76" i="3"/>
  <c r="AE76" i="3"/>
  <c r="AI76" i="3"/>
  <c r="AQ76" i="3"/>
  <c r="AU76" i="3"/>
  <c r="AD76" i="3"/>
  <c r="AL76" i="3"/>
  <c r="AG57" i="2"/>
  <c r="D90" i="2"/>
  <c r="H90" i="2"/>
  <c r="L90" i="2"/>
  <c r="T90" i="2"/>
  <c r="G53" i="2"/>
  <c r="O53" i="2"/>
  <c r="AC53" i="2"/>
  <c r="AI57" i="2"/>
  <c r="AM53" i="2"/>
  <c r="AQ57" i="2"/>
  <c r="AQ53" i="2"/>
  <c r="AU57" i="2"/>
  <c r="AU53" i="2"/>
  <c r="BX53" i="2"/>
  <c r="BT56" i="2"/>
  <c r="AH77" i="2"/>
  <c r="W71" i="3"/>
  <c r="R108" i="3"/>
  <c r="BC21" i="2"/>
  <c r="BD21" i="2" s="1"/>
  <c r="BE21" i="2" s="1"/>
  <c r="BF21" i="2" s="1"/>
  <c r="BG21" i="2" s="1"/>
  <c r="CQ21" i="2"/>
  <c r="K71" i="3"/>
  <c r="K49" i="2"/>
  <c r="N82" i="2"/>
  <c r="N84" i="2"/>
  <c r="P82" i="2"/>
  <c r="P86" i="2"/>
  <c r="BC24" i="2"/>
  <c r="CQ24" i="2"/>
  <c r="AT49" i="2"/>
  <c r="AW76" i="3"/>
  <c r="AX76" i="3"/>
  <c r="BD23" i="2"/>
  <c r="BE23" i="2" s="1"/>
  <c r="BF23" i="2" s="1"/>
  <c r="BG23" i="2" s="1"/>
  <c r="BH23" i="2" s="1"/>
  <c r="BI23" i="2" s="1"/>
  <c r="BJ23" i="2" s="1"/>
  <c r="BK23" i="2" s="1"/>
  <c r="CA23" i="2" s="1"/>
  <c r="AK103" i="2"/>
  <c r="AK108" i="2" s="1"/>
  <c r="X90" i="2"/>
  <c r="X27" i="2"/>
  <c r="X71" i="3" s="1"/>
  <c r="AG27" i="2"/>
  <c r="AG90" i="2"/>
  <c r="AO27" i="2"/>
  <c r="AS90" i="2"/>
  <c r="BC73" i="2"/>
  <c r="CQ73" i="2"/>
  <c r="E90" i="2"/>
  <c r="E27" i="2"/>
  <c r="I90" i="2"/>
  <c r="I27" i="2"/>
  <c r="M90" i="2"/>
  <c r="M27" i="2"/>
  <c r="M49" i="2" s="1"/>
  <c r="AN27" i="2"/>
  <c r="AN71" i="3" s="1"/>
  <c r="AN90" i="2"/>
  <c r="AR90" i="2"/>
  <c r="AR27" i="2"/>
  <c r="AR71" i="3" s="1"/>
  <c r="BC20" i="2"/>
  <c r="BY20" i="2" s="1"/>
  <c r="J49" i="2"/>
  <c r="N49" i="2"/>
  <c r="D77" i="2"/>
  <c r="N77" i="2"/>
  <c r="CQ127" i="3"/>
  <c r="CQ66" i="2"/>
  <c r="BA52" i="2"/>
  <c r="BA63" i="2" s="1"/>
  <c r="F111" i="48"/>
  <c r="Y111" i="48"/>
  <c r="E168" i="3"/>
  <c r="CK52" i="2"/>
  <c r="CK63" i="2" s="1"/>
  <c r="CK93" i="2" s="1"/>
  <c r="M138" i="48"/>
  <c r="Q138" i="48"/>
  <c r="AD258" i="48"/>
  <c r="AD261" i="48" s="1"/>
  <c r="AD263" i="48" s="1"/>
  <c r="AI52" i="2"/>
  <c r="AI63" i="2" s="1"/>
  <c r="CG52" i="2"/>
  <c r="CG63" i="2" s="1"/>
  <c r="CQ52" i="2"/>
  <c r="CQ63" i="2" s="1"/>
  <c r="CQ80" i="2" s="1"/>
  <c r="AP53" i="2"/>
  <c r="J55" i="2"/>
  <c r="J54" i="2" s="1"/>
  <c r="Z55" i="2"/>
  <c r="Z54" i="2" s="1"/>
  <c r="AP55" i="2"/>
  <c r="AP54" i="2" s="1"/>
  <c r="F57" i="2"/>
  <c r="F53" i="2"/>
  <c r="AL57" i="2"/>
  <c r="AL53" i="2"/>
  <c r="AT57" i="2"/>
  <c r="F56" i="2"/>
  <c r="F55" i="2"/>
  <c r="F54" i="2" s="1"/>
  <c r="N56" i="2"/>
  <c r="N55" i="2"/>
  <c r="N54" i="2" s="1"/>
  <c r="V56" i="2"/>
  <c r="AW56" i="2"/>
  <c r="AW55" i="2"/>
  <c r="AW54" i="2" s="1"/>
  <c r="AY56" i="2"/>
  <c r="AY55" i="2"/>
  <c r="AY54" i="2" s="1"/>
  <c r="Y120" i="48"/>
  <c r="Y29" i="48" s="1"/>
  <c r="Y38" i="48"/>
  <c r="AF252" i="48"/>
  <c r="AF254" i="48" s="1"/>
  <c r="F125" i="2"/>
  <c r="F168" i="3"/>
  <c r="J168" i="3"/>
  <c r="J316" i="48"/>
  <c r="J125" i="2"/>
  <c r="N125" i="2"/>
  <c r="N316" i="48"/>
  <c r="N168" i="3"/>
  <c r="R168" i="3"/>
  <c r="R316" i="48"/>
  <c r="R125" i="2"/>
  <c r="V125" i="2"/>
  <c r="V316" i="48"/>
  <c r="V168" i="3"/>
  <c r="Z168" i="3"/>
  <c r="Z316" i="48"/>
  <c r="Z125" i="2"/>
  <c r="AD125" i="2"/>
  <c r="AD316" i="48"/>
  <c r="AD168" i="3"/>
  <c r="AH168" i="3"/>
  <c r="AH316" i="48"/>
  <c r="AH125" i="2"/>
  <c r="AL125" i="2"/>
  <c r="AL316" i="48"/>
  <c r="AL168" i="3"/>
  <c r="AP168" i="3"/>
  <c r="AP316" i="48"/>
  <c r="AP125" i="2"/>
  <c r="AT125" i="2"/>
  <c r="AT316" i="48"/>
  <c r="AT168" i="3"/>
  <c r="AX168" i="3"/>
  <c r="AX316" i="48"/>
  <c r="AX125" i="2"/>
  <c r="BB125" i="2"/>
  <c r="BB316" i="48"/>
  <c r="BB168" i="3"/>
  <c r="I316" i="48"/>
  <c r="I168" i="3"/>
  <c r="M168" i="3"/>
  <c r="M316" i="48"/>
  <c r="Q316" i="48"/>
  <c r="Q168" i="3"/>
  <c r="U168" i="3"/>
  <c r="U316" i="48"/>
  <c r="Y316" i="48"/>
  <c r="Y168" i="3"/>
  <c r="AC168" i="3"/>
  <c r="AC316" i="48"/>
  <c r="AG316" i="48"/>
  <c r="AG168" i="3"/>
  <c r="AK168" i="3"/>
  <c r="AK316" i="48"/>
  <c r="AO316" i="48"/>
  <c r="AO168" i="3"/>
  <c r="AS168" i="3"/>
  <c r="AS316" i="48"/>
  <c r="AW316" i="48"/>
  <c r="AW168" i="3"/>
  <c r="BA168" i="3"/>
  <c r="BA316" i="48"/>
  <c r="BF125" i="2"/>
  <c r="BE168" i="3"/>
  <c r="BF316" i="48"/>
  <c r="I52" i="2"/>
  <c r="I63" i="2" s="1"/>
  <c r="I93" i="2" s="1"/>
  <c r="AA52" i="2"/>
  <c r="AA63" i="2" s="1"/>
  <c r="AS52" i="2"/>
  <c r="AS63" i="2" s="1"/>
  <c r="AS93" i="2" s="1"/>
  <c r="AD260" i="48"/>
  <c r="AG112" i="48"/>
  <c r="BG153" i="48"/>
  <c r="AE52" i="2"/>
  <c r="AE63" i="2" s="1"/>
  <c r="AE93" i="2" s="1"/>
  <c r="BG52" i="2"/>
  <c r="BG63" i="2" s="1"/>
  <c r="CI52" i="2"/>
  <c r="CI63" i="2" s="1"/>
  <c r="CO52" i="2"/>
  <c r="CO63" i="2" s="1"/>
  <c r="CO93" i="2" s="1"/>
  <c r="BV52" i="2"/>
  <c r="BV63" i="2" s="1"/>
  <c r="BV93" i="2" s="1"/>
  <c r="AE86" i="2"/>
  <c r="AU112" i="48"/>
  <c r="E52" i="2"/>
  <c r="E63" i="2" s="1"/>
  <c r="Y52" i="2"/>
  <c r="Y63" i="2" s="1"/>
  <c r="AK52" i="2"/>
  <c r="AK63" i="2" s="1"/>
  <c r="AK93" i="2" s="1"/>
  <c r="AQ52" i="2"/>
  <c r="AQ63" i="2" s="1"/>
  <c r="AY52" i="2"/>
  <c r="AY63" i="2" s="1"/>
  <c r="AY93" i="2" s="1"/>
  <c r="BT52" i="2"/>
  <c r="BT63" i="2"/>
  <c r="BT93" i="2" s="1"/>
  <c r="AM82" i="2"/>
  <c r="AU82" i="2"/>
  <c r="AU84" i="2"/>
  <c r="AW121" i="48"/>
  <c r="AW48" i="48" s="1"/>
  <c r="AC258" i="48"/>
  <c r="AC261" i="48" s="1"/>
  <c r="AC263" i="48" s="1"/>
  <c r="I112" i="48"/>
  <c r="U112" i="48"/>
  <c r="E86" i="2"/>
  <c r="E82" i="2"/>
  <c r="E84" i="2"/>
  <c r="G86" i="2"/>
  <c r="G82" i="2"/>
  <c r="J82" i="2"/>
  <c r="J84" i="2"/>
  <c r="J86" i="2"/>
  <c r="Q86" i="2"/>
  <c r="Q84" i="2"/>
  <c r="Q82" i="2"/>
  <c r="U82" i="2"/>
  <c r="X82" i="2"/>
  <c r="X86" i="2"/>
  <c r="X84" i="2"/>
  <c r="AA84" i="2"/>
  <c r="AC84" i="2"/>
  <c r="AC86" i="2"/>
  <c r="AC82" i="2"/>
  <c r="F84" i="2"/>
  <c r="K86" i="2"/>
  <c r="M82" i="2"/>
  <c r="O86" i="2"/>
  <c r="O82" i="2"/>
  <c r="R82" i="2"/>
  <c r="T82" i="2"/>
  <c r="Z82" i="2"/>
  <c r="Z84" i="2"/>
  <c r="S81" i="2"/>
  <c r="W81" i="2"/>
  <c r="AJ82" i="2"/>
  <c r="AR82" i="2"/>
  <c r="AI82" i="2"/>
  <c r="AQ82" i="2"/>
  <c r="AR86" i="2"/>
  <c r="BX168" i="3"/>
  <c r="F52" i="2"/>
  <c r="F63" i="2" s="1"/>
  <c r="L52" i="2"/>
  <c r="L63" i="2" s="1"/>
  <c r="N52" i="2"/>
  <c r="N63" i="2" s="1"/>
  <c r="P52" i="2"/>
  <c r="P63" i="2" s="1"/>
  <c r="R52" i="2"/>
  <c r="R63" i="2" s="1"/>
  <c r="R80" i="2" s="1"/>
  <c r="T52" i="2"/>
  <c r="T63" i="2" s="1"/>
  <c r="T93" i="2" s="1"/>
  <c r="V52" i="2"/>
  <c r="V63" i="2" s="1"/>
  <c r="V93" i="2" s="1"/>
  <c r="AD52" i="2"/>
  <c r="AD63" i="2" s="1"/>
  <c r="AD80" i="2" s="1"/>
  <c r="AJ52" i="2"/>
  <c r="AJ63" i="2" s="1"/>
  <c r="AJ80" i="2" s="1"/>
  <c r="AN52" i="2"/>
  <c r="AN63" i="2" s="1"/>
  <c r="AR52" i="2"/>
  <c r="AR63" i="2" s="1"/>
  <c r="AT52" i="2"/>
  <c r="AT63" i="2" s="1"/>
  <c r="AT80" i="2" s="1"/>
  <c r="AX52" i="2"/>
  <c r="AX63" i="2" s="1"/>
  <c r="AZ52" i="2"/>
  <c r="AZ63" i="2" s="1"/>
  <c r="AZ93" i="2" s="1"/>
  <c r="BD52" i="2"/>
  <c r="BD63" i="2" s="1"/>
  <c r="BD93" i="2" s="1"/>
  <c r="BF52" i="2"/>
  <c r="BF63" i="2" s="1"/>
  <c r="CF52" i="2"/>
  <c r="CF63" i="2" s="1"/>
  <c r="CH52" i="2"/>
  <c r="CH63" i="2" s="1"/>
  <c r="CJ52" i="2"/>
  <c r="CJ63" i="2" s="1"/>
  <c r="CL52" i="2"/>
  <c r="CL63" i="2" s="1"/>
  <c r="CN52" i="2"/>
  <c r="CN63" i="2" s="1"/>
  <c r="CP52" i="2"/>
  <c r="CP63" i="2" s="1"/>
  <c r="CP93" i="2" s="1"/>
  <c r="CR52" i="2"/>
  <c r="CR63" i="2" s="1"/>
  <c r="CR93" i="2" s="1"/>
  <c r="BM52" i="2"/>
  <c r="BM63" i="2" s="1"/>
  <c r="BM93" i="2" s="1"/>
  <c r="BO52" i="2"/>
  <c r="BO63" i="2" s="1"/>
  <c r="BO93" i="2" s="1"/>
  <c r="BQ52" i="2"/>
  <c r="BQ63" i="2" s="1"/>
  <c r="BQ80" i="2" s="1"/>
  <c r="BS52" i="2"/>
  <c r="BS63" i="2" s="1"/>
  <c r="BU52" i="2"/>
  <c r="BU63" i="2" s="1"/>
  <c r="BW52" i="2"/>
  <c r="BW63" i="2" s="1"/>
  <c r="BY52" i="2"/>
  <c r="BY63" i="2" s="1"/>
  <c r="W52" i="2"/>
  <c r="W63" i="2" s="1"/>
  <c r="W80" i="2" s="1"/>
  <c r="AM52" i="2"/>
  <c r="AM63" i="2" s="1"/>
  <c r="AM80" i="2" s="1"/>
  <c r="BC52" i="2"/>
  <c r="BC63" i="2" s="1"/>
  <c r="BC80" i="2" s="1"/>
  <c r="CM52" i="2"/>
  <c r="CM63" i="2" s="1"/>
  <c r="AY81" i="2"/>
  <c r="AY86" i="2" s="1"/>
  <c r="Q148" i="48"/>
  <c r="Q149" i="48" s="1"/>
  <c r="Q151" i="48" s="1"/>
  <c r="Q140" i="48"/>
  <c r="Q139" i="48"/>
  <c r="Q137" i="48"/>
  <c r="T140" i="48"/>
  <c r="T139" i="48"/>
  <c r="T138" i="48"/>
  <c r="Y140" i="48"/>
  <c r="Y139" i="48"/>
  <c r="Y122" i="48"/>
  <c r="Y66" i="48" s="1"/>
  <c r="Y121" i="48"/>
  <c r="Y48" i="48" s="1"/>
  <c r="Z138" i="48"/>
  <c r="Z121" i="48"/>
  <c r="Z48" i="48" s="1"/>
  <c r="AK138" i="48"/>
  <c r="AP121" i="48"/>
  <c r="AP48" i="48" s="1"/>
  <c r="AT51" i="48" s="1"/>
  <c r="AS120" i="48"/>
  <c r="AS29" i="48" s="1"/>
  <c r="AW123" i="48"/>
  <c r="AW84" i="48" s="1"/>
  <c r="AW122" i="48"/>
  <c r="M114" i="48"/>
  <c r="T114" i="48"/>
  <c r="Z119" i="48"/>
  <c r="AW119" i="48"/>
  <c r="Z120" i="48"/>
  <c r="Z29" i="48" s="1"/>
  <c r="AU120" i="48"/>
  <c r="AU29" i="48" s="1"/>
  <c r="U140" i="48"/>
  <c r="U139" i="48"/>
  <c r="U137" i="48"/>
  <c r="AC148" i="48"/>
  <c r="AC149" i="48" s="1"/>
  <c r="AC151" i="48" s="1"/>
  <c r="AC140" i="48"/>
  <c r="AC137" i="48"/>
  <c r="AC123" i="48"/>
  <c r="AC84" i="48" s="1"/>
  <c r="AC87" i="48" s="1"/>
  <c r="AC122" i="48"/>
  <c r="AC66" i="48" s="1"/>
  <c r="AC121" i="48"/>
  <c r="AC124" i="48" s="1"/>
  <c r="AG139" i="48"/>
  <c r="AG137" i="48"/>
  <c r="AG123" i="48"/>
  <c r="AG84" i="48" s="1"/>
  <c r="AG122" i="48"/>
  <c r="AG66" i="48" s="1"/>
  <c r="AH123" i="48"/>
  <c r="AH84" i="48" s="1"/>
  <c r="AJ139" i="48"/>
  <c r="AJ140" i="48"/>
  <c r="AJ138" i="48"/>
  <c r="AK137" i="48"/>
  <c r="AK123" i="48"/>
  <c r="AK139" i="48"/>
  <c r="AK121" i="48"/>
  <c r="AK48" i="48" s="1"/>
  <c r="AS122" i="48"/>
  <c r="AS66" i="48" s="1"/>
  <c r="AC119" i="48"/>
  <c r="AC12" i="48" s="1"/>
  <c r="AC15" i="48" s="1"/>
  <c r="AK119" i="48"/>
  <c r="AK12" i="48" s="1"/>
  <c r="AU119" i="48"/>
  <c r="AU12" i="48" s="1"/>
  <c r="AG120" i="48"/>
  <c r="AG29" i="48" s="1"/>
  <c r="AB213" i="48"/>
  <c r="BC118" i="48"/>
  <c r="BC127" i="48" s="1"/>
  <c r="BC170" i="48"/>
  <c r="BB87" i="2"/>
  <c r="CQ39" i="2"/>
  <c r="AO166" i="1"/>
  <c r="AO83" i="3"/>
  <c r="AO84" i="3" s="1"/>
  <c r="J14" i="3"/>
  <c r="K14" i="3" s="1"/>
  <c r="CP19" i="3"/>
  <c r="CP118" i="3" s="1"/>
  <c r="BV48" i="3"/>
  <c r="BV147" i="3" s="1"/>
  <c r="CL48" i="3"/>
  <c r="CL147" i="3" s="1"/>
  <c r="BS48" i="3"/>
  <c r="BS147" i="3" s="1"/>
  <c r="Z17" i="3"/>
  <c r="AA17" i="3" s="1"/>
  <c r="AQ16" i="3"/>
  <c r="AA21" i="3"/>
  <c r="BR21" i="3" s="1"/>
  <c r="BR120" i="3" s="1"/>
  <c r="AY46" i="3"/>
  <c r="BX46" i="3" s="1"/>
  <c r="BX145" i="3" s="1"/>
  <c r="CO49" i="3"/>
  <c r="CO148" i="3" s="1"/>
  <c r="CJ90" i="2"/>
  <c r="CQ12" i="2"/>
  <c r="BB114" i="2"/>
  <c r="CQ35" i="2"/>
  <c r="AE47" i="1"/>
  <c r="X52" i="1"/>
  <c r="O47" i="1"/>
  <c r="BI118" i="48"/>
  <c r="BI127" i="48" s="1"/>
  <c r="CQ42" i="2"/>
  <c r="BC33" i="2"/>
  <c r="BD33" i="2" s="1"/>
  <c r="CQ33" i="2"/>
  <c r="Y71" i="3"/>
  <c r="AK71" i="3"/>
  <c r="AR49" i="2"/>
  <c r="I49" i="2"/>
  <c r="BC15" i="2"/>
  <c r="BY15" i="2" s="1"/>
  <c r="CQ15" i="2"/>
  <c r="AO71" i="3"/>
  <c r="AZ81" i="2"/>
  <c r="AZ82" i="2" s="1"/>
  <c r="AS98" i="48"/>
  <c r="AS45" i="48"/>
  <c r="AS27" i="48"/>
  <c r="AS82" i="48"/>
  <c r="AS64" i="48"/>
  <c r="D112" i="48"/>
  <c r="CQ46" i="3"/>
  <c r="CQ145" i="3" s="1"/>
  <c r="BC34" i="2"/>
  <c r="BB128" i="3"/>
  <c r="BA81" i="2"/>
  <c r="BA82" i="2" s="1"/>
  <c r="BC55" i="2"/>
  <c r="BC54" i="2" s="1"/>
  <c r="BB81" i="2"/>
  <c r="BC81" i="2"/>
  <c r="AF193" i="48"/>
  <c r="AK193" i="48"/>
  <c r="BS201" i="48"/>
  <c r="AI201" i="48"/>
  <c r="AM201" i="48" s="1"/>
  <c r="AL201" i="48"/>
  <c r="AJ201" i="48"/>
  <c r="CI37" i="3"/>
  <c r="CI136" i="3"/>
  <c r="BP37" i="3"/>
  <c r="BP136" i="3"/>
  <c r="G34" i="3"/>
  <c r="F68" i="3"/>
  <c r="AW68" i="3"/>
  <c r="M69" i="3"/>
  <c r="BM13" i="3"/>
  <c r="BM112" i="3"/>
  <c r="BO54" i="3"/>
  <c r="BO153" i="3" s="1"/>
  <c r="BO39" i="3"/>
  <c r="BO138" i="3" s="1"/>
  <c r="O36" i="3"/>
  <c r="BO36" i="3" s="1"/>
  <c r="BO135" i="3" s="1"/>
  <c r="AY39" i="3"/>
  <c r="BW23" i="3"/>
  <c r="BW122" i="3"/>
  <c r="N57" i="3"/>
  <c r="F49" i="3"/>
  <c r="G49" i="3" s="1"/>
  <c r="CF49" i="3" s="1"/>
  <c r="CF148" i="3" s="1"/>
  <c r="BU20" i="3"/>
  <c r="BU119" i="3" s="1"/>
  <c r="G15" i="3"/>
  <c r="BM15" i="3" s="1"/>
  <c r="BM114" i="3" s="1"/>
  <c r="AQ15" i="3"/>
  <c r="N17" i="3"/>
  <c r="V17" i="3"/>
  <c r="CF18" i="3"/>
  <c r="CF117" i="3" s="1"/>
  <c r="BM18" i="3"/>
  <c r="BM117" i="3" s="1"/>
  <c r="AY18" i="3"/>
  <c r="BX18" i="3" s="1"/>
  <c r="BX117" i="3" s="1"/>
  <c r="AE19" i="3"/>
  <c r="BS19" i="3" s="1"/>
  <c r="BS118" i="3" s="1"/>
  <c r="AY19" i="3"/>
  <c r="BX19" i="3" s="1"/>
  <c r="BX118" i="3" s="1"/>
  <c r="CQ19" i="3"/>
  <c r="CQ118" i="3" s="1"/>
  <c r="K25" i="3"/>
  <c r="BV25" i="3"/>
  <c r="BV124" i="3" s="1"/>
  <c r="BN47" i="3"/>
  <c r="BN146" i="3" s="1"/>
  <c r="AL34" i="3"/>
  <c r="BR48" i="3"/>
  <c r="BR147" i="3" s="1"/>
  <c r="J15" i="3"/>
  <c r="Z15" i="3"/>
  <c r="AA15" i="3" s="1"/>
  <c r="CK15" i="3" s="1"/>
  <c r="CK114" i="3" s="1"/>
  <c r="AY15" i="3"/>
  <c r="CQ15" i="3" s="1"/>
  <c r="CQ114" i="3" s="1"/>
  <c r="V16" i="3"/>
  <c r="R17" i="3"/>
  <c r="AU17" i="3"/>
  <c r="CP17" i="3" s="1"/>
  <c r="CP116" i="3" s="1"/>
  <c r="G19" i="3"/>
  <c r="W21" i="3"/>
  <c r="CJ21" i="3" s="1"/>
  <c r="CJ120" i="3" s="1"/>
  <c r="AA25" i="3"/>
  <c r="BR25" i="3" s="1"/>
  <c r="BR124" i="3" s="1"/>
  <c r="K29" i="3"/>
  <c r="BN29" i="3" s="1"/>
  <c r="BN128" i="3" s="1"/>
  <c r="AC13" i="3"/>
  <c r="AD13" i="3" s="1"/>
  <c r="T69" i="3"/>
  <c r="BO40" i="3"/>
  <c r="BO139" i="3" s="1"/>
  <c r="AZ27" i="2"/>
  <c r="AZ71" i="3" s="1"/>
  <c r="BC35" i="2"/>
  <c r="BY36" i="2"/>
  <c r="CQ34" i="2"/>
  <c r="BA87" i="2"/>
  <c r="CQ36" i="2"/>
  <c r="BD71" i="2"/>
  <c r="BE71" i="2" s="1"/>
  <c r="BF71" i="2" s="1"/>
  <c r="BG71" i="2" s="1"/>
  <c r="BY71" i="2"/>
  <c r="BY41" i="2"/>
  <c r="BY40" i="2"/>
  <c r="BM77" i="2"/>
  <c r="CN85" i="2"/>
  <c r="AW90" i="2"/>
  <c r="BW65" i="3"/>
  <c r="BW79" i="3" s="1"/>
  <c r="BW87" i="3" s="1"/>
  <c r="AZ108" i="3"/>
  <c r="AZ65" i="3"/>
  <c r="AZ79" i="3" s="1"/>
  <c r="AZ87" i="3" s="1"/>
  <c r="AZ91" i="1"/>
  <c r="AZ94" i="1" s="1"/>
  <c r="AZ32" i="1"/>
  <c r="AZ98" i="48" s="1"/>
  <c r="AZ40" i="1"/>
  <c r="AZ67" i="1"/>
  <c r="AZ48" i="1"/>
  <c r="AM93" i="2"/>
  <c r="T80" i="2"/>
  <c r="AD93" i="2"/>
  <c r="CO80" i="2"/>
  <c r="AS80" i="2"/>
  <c r="I80" i="2"/>
  <c r="CQ93" i="2"/>
  <c r="CA9" i="3"/>
  <c r="CA65" i="3" s="1"/>
  <c r="CA79" i="3" s="1"/>
  <c r="CA87" i="3" s="1"/>
  <c r="CA52" i="2"/>
  <c r="CA63" i="2" s="1"/>
  <c r="AE93" i="1"/>
  <c r="AE94" i="1"/>
  <c r="AM70" i="1"/>
  <c r="AI70" i="1"/>
  <c r="AK94" i="1"/>
  <c r="AK93" i="1"/>
  <c r="CQ147" i="1"/>
  <c r="CQ148" i="1"/>
  <c r="K15" i="3"/>
  <c r="O57" i="3"/>
  <c r="BO57" i="3" s="1"/>
  <c r="BO156" i="3" s="1"/>
  <c r="CH57" i="3"/>
  <c r="CH156" i="3" s="1"/>
  <c r="G66" i="3"/>
  <c r="G68" i="3" s="1"/>
  <c r="BW17" i="3"/>
  <c r="BW116" i="3" s="1"/>
  <c r="S17" i="3"/>
  <c r="AM34" i="3"/>
  <c r="F70" i="3"/>
  <c r="E70" i="3" s="1"/>
  <c r="E72" i="3" s="1"/>
  <c r="BC22" i="2"/>
  <c r="BD22" i="2" s="1"/>
  <c r="BD20" i="2"/>
  <c r="AZ149" i="1"/>
  <c r="CQ144" i="1"/>
  <c r="CQ145" i="1"/>
  <c r="AZ160" i="1"/>
  <c r="AZ159" i="1"/>
  <c r="AZ83" i="2"/>
  <c r="AZ76" i="2"/>
  <c r="AZ77" i="2" s="1"/>
  <c r="BA113" i="2"/>
  <c r="BA115" i="2"/>
  <c r="BA118" i="2" s="1"/>
  <c r="AZ85" i="2"/>
  <c r="AZ90" i="2"/>
  <c r="AZ122" i="48"/>
  <c r="AZ66" i="48" s="1"/>
  <c r="AZ123" i="48"/>
  <c r="AZ84" i="48" s="1"/>
  <c r="AZ119" i="48"/>
  <c r="BC313" i="48"/>
  <c r="BC20" i="48"/>
  <c r="BA308" i="48"/>
  <c r="BA313" i="48" s="1"/>
  <c r="J45" i="1"/>
  <c r="P45" i="1"/>
  <c r="U45" i="1"/>
  <c r="Z45" i="1"/>
  <c r="M47" i="1"/>
  <c r="R47" i="1"/>
  <c r="AC47" i="1"/>
  <c r="M27" i="1"/>
  <c r="M29" i="1"/>
  <c r="AM79" i="1"/>
  <c r="AC96" i="1"/>
  <c r="AC79" i="1"/>
  <c r="I96" i="1"/>
  <c r="I79" i="1"/>
  <c r="H48" i="1"/>
  <c r="V47" i="1"/>
  <c r="W122" i="1"/>
  <c r="AC48" i="1"/>
  <c r="K44" i="1"/>
  <c r="N79" i="1"/>
  <c r="N112" i="48"/>
  <c r="N96" i="1"/>
  <c r="N97" i="1" s="1"/>
  <c r="AN69" i="48"/>
  <c r="AF171" i="48"/>
  <c r="T108" i="3"/>
  <c r="T65" i="3"/>
  <c r="T79" i="3" s="1"/>
  <c r="T87" i="3" s="1"/>
  <c r="Y291" i="48"/>
  <c r="AC291" i="48"/>
  <c r="AE291" i="48"/>
  <c r="AG291" i="48"/>
  <c r="BH291" i="48"/>
  <c r="AU74" i="1"/>
  <c r="Z291" i="48"/>
  <c r="AD291" i="48"/>
  <c r="AH291" i="48"/>
  <c r="AJ291" i="48"/>
  <c r="AN291" i="48"/>
  <c r="AR291" i="48"/>
  <c r="AT291" i="48"/>
  <c r="AV291" i="48"/>
  <c r="AX291" i="48"/>
  <c r="AZ291" i="48"/>
  <c r="BI291" i="48"/>
  <c r="U96" i="1"/>
  <c r="U97" i="1" s="1"/>
  <c r="U79" i="1"/>
  <c r="Y96" i="1"/>
  <c r="Y79" i="1"/>
  <c r="AJ52" i="1"/>
  <c r="AP40" i="1"/>
  <c r="AF52" i="1"/>
  <c r="AD40" i="1"/>
  <c r="L27" i="1"/>
  <c r="AR55" i="1"/>
  <c r="BW55" i="1" s="1"/>
  <c r="W46" i="1"/>
  <c r="O167" i="1"/>
  <c r="AA46" i="1"/>
  <c r="CO145" i="1"/>
  <c r="BS145" i="1"/>
  <c r="BN148" i="1"/>
  <c r="CG148" i="1"/>
  <c r="CG81" i="2" s="1"/>
  <c r="CI148" i="1"/>
  <c r="BQ148" i="1"/>
  <c r="BR148" i="1"/>
  <c r="CK148" i="1"/>
  <c r="CL148" i="1"/>
  <c r="CG151" i="1"/>
  <c r="BM151" i="1"/>
  <c r="CK151" i="1"/>
  <c r="BQ151" i="1"/>
  <c r="BP145" i="1"/>
  <c r="CI145" i="1"/>
  <c r="O85" i="1"/>
  <c r="S85" i="1"/>
  <c r="S91" i="1" s="1"/>
  <c r="BW148" i="1"/>
  <c r="BO145" i="1"/>
  <c r="BT145" i="1"/>
  <c r="CM145" i="1"/>
  <c r="CM148" i="1"/>
  <c r="BU148" i="1"/>
  <c r="BV148" i="1"/>
  <c r="BV81" i="2" s="1"/>
  <c r="CO148" i="1"/>
  <c r="CO81" i="2" s="1"/>
  <c r="N113" i="1"/>
  <c r="N130" i="1" s="1"/>
  <c r="AG173" i="1"/>
  <c r="CL173" i="1"/>
  <c r="D123" i="1"/>
  <c r="I123" i="1"/>
  <c r="T123" i="1"/>
  <c r="Y123" i="1"/>
  <c r="AD123" i="1"/>
  <c r="AH123" i="1"/>
  <c r="AL123" i="1"/>
  <c r="AT123" i="1"/>
  <c r="AS173" i="1"/>
  <c r="O108" i="1"/>
  <c r="L123" i="1"/>
  <c r="V123" i="1"/>
  <c r="AF124" i="48"/>
  <c r="O40" i="1"/>
  <c r="H40" i="1"/>
  <c r="AO55" i="2"/>
  <c r="AO54" i="2" s="1"/>
  <c r="D291" i="48"/>
  <c r="H291" i="48"/>
  <c r="I307" i="48"/>
  <c r="L291" i="48"/>
  <c r="U307" i="48"/>
  <c r="Y307" i="48"/>
  <c r="AQ307" i="48"/>
  <c r="AY307" i="48"/>
  <c r="BB307" i="48"/>
  <c r="BF307" i="48"/>
  <c r="BK307" i="48"/>
  <c r="BY148" i="1"/>
  <c r="BC147" i="1"/>
  <c r="BY147" i="1" s="1"/>
  <c r="AE75" i="1"/>
  <c r="X94" i="1"/>
  <c r="X93" i="1"/>
  <c r="Y68" i="1"/>
  <c r="Y74" i="1" s="1"/>
  <c r="L68" i="1"/>
  <c r="L70" i="1" s="1"/>
  <c r="L115" i="1"/>
  <c r="L129" i="1" s="1"/>
  <c r="BC291" i="48"/>
  <c r="BG291" i="48"/>
  <c r="AF68" i="1"/>
  <c r="AU96" i="1"/>
  <c r="AU113" i="1" s="1"/>
  <c r="AU79" i="1"/>
  <c r="O67" i="1"/>
  <c r="O68" i="1" s="1"/>
  <c r="AD160" i="1"/>
  <c r="AD67" i="1"/>
  <c r="O73" i="1"/>
  <c r="T59" i="1"/>
  <c r="T45" i="1"/>
  <c r="AC68" i="1"/>
  <c r="AC70" i="1" s="1"/>
  <c r="H33" i="1"/>
  <c r="S26" i="1"/>
  <c r="S27" i="1" s="1"/>
  <c r="Z29" i="1"/>
  <c r="Q40" i="1"/>
  <c r="I35" i="1"/>
  <c r="I36" i="1" s="1"/>
  <c r="M35" i="1"/>
  <c r="Z27" i="1"/>
  <c r="M40" i="1"/>
  <c r="I29" i="1"/>
  <c r="Z33" i="1"/>
  <c r="Z34" i="1" s="1"/>
  <c r="T27" i="1"/>
  <c r="BO153" i="1"/>
  <c r="BW151" i="1"/>
  <c r="CJ153" i="1"/>
  <c r="AZ56" i="1"/>
  <c r="CH148" i="1"/>
  <c r="CH81" i="2" s="1"/>
  <c r="CH151" i="1"/>
  <c r="AY89" i="48"/>
  <c r="AY90" i="48" s="1"/>
  <c r="BQ240" i="48"/>
  <c r="O289" i="48"/>
  <c r="O305" i="48" s="1"/>
  <c r="W289" i="48"/>
  <c r="W305" i="48" s="1"/>
  <c r="X289" i="48"/>
  <c r="X305" i="48" s="1"/>
  <c r="AB297" i="48"/>
  <c r="AB313" i="48" s="1"/>
  <c r="BO124" i="48"/>
  <c r="Z261" i="48"/>
  <c r="Z263" i="48" s="1"/>
  <c r="AX79" i="48"/>
  <c r="X12" i="48"/>
  <c r="BS236" i="48"/>
  <c r="BS248" i="48" s="1"/>
  <c r="AE248" i="48"/>
  <c r="Q297" i="48"/>
  <c r="Q313" i="48" s="1"/>
  <c r="Q289" i="48"/>
  <c r="Q305" i="48" s="1"/>
  <c r="AA297" i="48"/>
  <c r="AA313" i="48" s="1"/>
  <c r="AA289" i="48"/>
  <c r="AA305" i="48" s="1"/>
  <c r="AD297" i="48"/>
  <c r="AD313" i="48" s="1"/>
  <c r="BO288" i="48"/>
  <c r="AB259" i="48"/>
  <c r="AC260" i="48" s="1"/>
  <c r="BN288" i="48"/>
  <c r="E289" i="48"/>
  <c r="E305" i="48" s="1"/>
  <c r="I297" i="48"/>
  <c r="I313" i="48" s="1"/>
  <c r="I289" i="48"/>
  <c r="I305" i="48" s="1"/>
  <c r="P289" i="48"/>
  <c r="P305" i="48" s="1"/>
  <c r="S297" i="48"/>
  <c r="S313" i="48" s="1"/>
  <c r="S289" i="48"/>
  <c r="S305" i="48" s="1"/>
  <c r="Y297" i="48"/>
  <c r="Y313" i="48" s="1"/>
  <c r="Y289" i="48"/>
  <c r="Y305" i="48" s="1"/>
  <c r="AC297" i="48"/>
  <c r="AC313" i="48" s="1"/>
  <c r="AC289" i="48"/>
  <c r="AC305" i="48" s="1"/>
  <c r="L297" i="48"/>
  <c r="L313" i="48" s="1"/>
  <c r="P297" i="48"/>
  <c r="P313" i="48" s="1"/>
  <c r="T297" i="48"/>
  <c r="T313" i="48" s="1"/>
  <c r="AY37" i="48"/>
  <c r="AY313" i="48"/>
  <c r="V59" i="1"/>
  <c r="H45" i="1"/>
  <c r="F45" i="1"/>
  <c r="V33" i="1"/>
  <c r="V35" i="1"/>
  <c r="V36" i="1" s="1"/>
  <c r="H47" i="1"/>
  <c r="H35" i="1"/>
  <c r="N33" i="1"/>
  <c r="H27" i="1"/>
  <c r="F33" i="1"/>
  <c r="N27" i="1"/>
  <c r="N35" i="1"/>
  <c r="N36" i="1" s="1"/>
  <c r="H59" i="1"/>
  <c r="F27" i="1"/>
  <c r="F29" i="1"/>
  <c r="N57" i="1"/>
  <c r="F94" i="1"/>
  <c r="F93" i="1"/>
  <c r="AD94" i="1"/>
  <c r="AD93" i="1"/>
  <c r="AU91" i="1"/>
  <c r="M93" i="1"/>
  <c r="M94" i="1"/>
  <c r="D93" i="1"/>
  <c r="N93" i="1"/>
  <c r="N94" i="1"/>
  <c r="AC93" i="1"/>
  <c r="AC94" i="1"/>
  <c r="AQ85" i="1"/>
  <c r="AG85" i="1"/>
  <c r="CQ125" i="2"/>
  <c r="CQ168" i="3"/>
  <c r="CN80" i="2"/>
  <c r="CN93" i="2"/>
  <c r="BO80" i="2"/>
  <c r="BZ80" i="2"/>
  <c r="BX125" i="2"/>
  <c r="BX52" i="2"/>
  <c r="BX63" i="2" s="1"/>
  <c r="BZ265" i="48"/>
  <c r="BZ161" i="48"/>
  <c r="BZ143" i="48"/>
  <c r="BZ118" i="48"/>
  <c r="BZ153" i="48"/>
  <c r="BX287" i="48"/>
  <c r="BX161" i="48"/>
  <c r="BZ147" i="48"/>
  <c r="BZ272" i="48"/>
  <c r="BZ279" i="48"/>
  <c r="BX118" i="48"/>
  <c r="BX232" i="48"/>
  <c r="BX265" i="48"/>
  <c r="BX279" i="48"/>
  <c r="BX127" i="48"/>
  <c r="BV108" i="3"/>
  <c r="BV65" i="3"/>
  <c r="BV79" i="3" s="1"/>
  <c r="BV87" i="3" s="1"/>
  <c r="AY85" i="48"/>
  <c r="AX87" i="48"/>
  <c r="AT100" i="48"/>
  <c r="AT88" i="48" s="1"/>
  <c r="Y252" i="48"/>
  <c r="Y254" i="48" s="1"/>
  <c r="BA20" i="48"/>
  <c r="BQ124" i="48"/>
  <c r="BH118" i="48"/>
  <c r="BH127" i="48" s="1"/>
  <c r="BH170" i="48"/>
  <c r="AF84" i="48"/>
  <c r="V297" i="48"/>
  <c r="V313" i="48" s="1"/>
  <c r="AT124" i="48"/>
  <c r="AX49" i="48"/>
  <c r="AT15" i="48"/>
  <c r="M141" i="48"/>
  <c r="X66" i="48"/>
  <c r="AE245" i="48"/>
  <c r="BS233" i="48"/>
  <c r="BS245" i="48" s="1"/>
  <c r="BS238" i="48"/>
  <c r="BS250" i="48" s="1"/>
  <c r="AF259" i="48"/>
  <c r="AF260" i="48" s="1"/>
  <c r="AE260" i="48"/>
  <c r="AC141" i="48"/>
  <c r="D297" i="48"/>
  <c r="D313" i="48" s="1"/>
  <c r="D289" i="48"/>
  <c r="D305" i="48" s="1"/>
  <c r="H297" i="48"/>
  <c r="H313" i="48" s="1"/>
  <c r="H289" i="48"/>
  <c r="H305" i="48" s="1"/>
  <c r="M297" i="48"/>
  <c r="M313" i="48" s="1"/>
  <c r="M289" i="48"/>
  <c r="M305" i="48" s="1"/>
  <c r="BY67" i="2"/>
  <c r="BY21" i="2"/>
  <c r="BC27" i="3"/>
  <c r="BC114" i="2"/>
  <c r="BC39" i="2"/>
  <c r="BF70" i="2"/>
  <c r="BG70" i="2" s="1"/>
  <c r="CR70" i="2"/>
  <c r="T49" i="2"/>
  <c r="BT55" i="2"/>
  <c r="BT54" i="2" s="1"/>
  <c r="BX56" i="2"/>
  <c r="CL53" i="2"/>
  <c r="CN53" i="2"/>
  <c r="AJ85" i="1"/>
  <c r="AO85" i="1"/>
  <c r="AT85" i="1"/>
  <c r="CQ81" i="2"/>
  <c r="BY153" i="1"/>
  <c r="BA85" i="1"/>
  <c r="BA91" i="1" s="1"/>
  <c r="BA32" i="1"/>
  <c r="BA40" i="1"/>
  <c r="BA60" i="1"/>
  <c r="BA73" i="1"/>
  <c r="BA78" i="1" s="1"/>
  <c r="AG15" i="48"/>
  <c r="AB29" i="48"/>
  <c r="BU81" i="2"/>
  <c r="BU84" i="2" s="1"/>
  <c r="BD80" i="2"/>
  <c r="CR80" i="2"/>
  <c r="BD153" i="1"/>
  <c r="AK15" i="48"/>
  <c r="AW66" i="48"/>
  <c r="Y124" i="48"/>
  <c r="AY82" i="2"/>
  <c r="J52" i="2"/>
  <c r="J63" i="2" s="1"/>
  <c r="J80" i="2" s="1"/>
  <c r="BJ65" i="3"/>
  <c r="BJ79" i="3" s="1"/>
  <c r="BJ87" i="3" s="1"/>
  <c r="AE57" i="1"/>
  <c r="AE45" i="1"/>
  <c r="CN57" i="2"/>
  <c r="N108" i="3"/>
  <c r="AX69" i="48"/>
  <c r="AJ48" i="48"/>
  <c r="AF57" i="2"/>
  <c r="AR53" i="2"/>
  <c r="AG49" i="48"/>
  <c r="AN67" i="48"/>
  <c r="AX170" i="48"/>
  <c r="AX118" i="48"/>
  <c r="AX127" i="48" s="1"/>
  <c r="F82" i="2"/>
  <c r="I82" i="2"/>
  <c r="I86" i="2"/>
  <c r="I84" i="2"/>
  <c r="K82" i="2"/>
  <c r="M86" i="2"/>
  <c r="M84" i="2"/>
  <c r="R84" i="2"/>
  <c r="U86" i="2"/>
  <c r="U84" i="2"/>
  <c r="Y84" i="2"/>
  <c r="AA86" i="2"/>
  <c r="AA82" i="2"/>
  <c r="H9" i="3"/>
  <c r="H108" i="3" s="1"/>
  <c r="H52" i="2"/>
  <c r="H63" i="2" s="1"/>
  <c r="AR65" i="3"/>
  <c r="AR79" i="3" s="1"/>
  <c r="AR87" i="3" s="1"/>
  <c r="AW9" i="3"/>
  <c r="AW65" i="3" s="1"/>
  <c r="AW79" i="3" s="1"/>
  <c r="AW87" i="3" s="1"/>
  <c r="AW52" i="2"/>
  <c r="AW63" i="2" s="1"/>
  <c r="BC108" i="3"/>
  <c r="BC65" i="3"/>
  <c r="BC79" i="3" s="1"/>
  <c r="BC87" i="3" s="1"/>
  <c r="BF65" i="3"/>
  <c r="BF79" i="3" s="1"/>
  <c r="BF87" i="3" s="1"/>
  <c r="BF108" i="3"/>
  <c r="BN9" i="3"/>
  <c r="BN108" i="3" s="1"/>
  <c r="BN52" i="2"/>
  <c r="BN63" i="2" s="1"/>
  <c r="BS108" i="3"/>
  <c r="BS65" i="3"/>
  <c r="BS79" i="3" s="1"/>
  <c r="BS87" i="3" s="1"/>
  <c r="BY108" i="3"/>
  <c r="BY65" i="3"/>
  <c r="BY79" i="3" s="1"/>
  <c r="BY87" i="3" s="1"/>
  <c r="CA108" i="3"/>
  <c r="AK84" i="48"/>
  <c r="AF29" i="48"/>
  <c r="AC213" i="48"/>
  <c r="AC183" i="48" s="1"/>
  <c r="AC184" i="48" s="1"/>
  <c r="AC203" i="48" s="1"/>
  <c r="AC177" i="48"/>
  <c r="AG211" i="48"/>
  <c r="AG212" i="48" s="1"/>
  <c r="AJ69" i="48"/>
  <c r="AF69" i="48"/>
  <c r="J65" i="3"/>
  <c r="J79" i="3" s="1"/>
  <c r="J87" i="3" s="1"/>
  <c r="S9" i="3"/>
  <c r="S108" i="3" s="1"/>
  <c r="S52" i="2"/>
  <c r="S63" i="2" s="1"/>
  <c r="AE108" i="3"/>
  <c r="AE65" i="3"/>
  <c r="AE79" i="3" s="1"/>
  <c r="AE87" i="3" s="1"/>
  <c r="AG9" i="3"/>
  <c r="AG108" i="3" s="1"/>
  <c r="AG52" i="2"/>
  <c r="AG63" i="2" s="1"/>
  <c r="AG80" i="2" s="1"/>
  <c r="D57" i="2"/>
  <c r="D53" i="2"/>
  <c r="N57" i="2"/>
  <c r="R53" i="2"/>
  <c r="T57" i="2"/>
  <c r="T53" i="2"/>
  <c r="AB57" i="2"/>
  <c r="AB53" i="2"/>
  <c r="AJ57" i="2"/>
  <c r="AJ53" i="2"/>
  <c r="AV53" i="2"/>
  <c r="AV57" i="2"/>
  <c r="AX57" i="2"/>
  <c r="AX53" i="2"/>
  <c r="I55" i="2"/>
  <c r="I54" i="2" s="1"/>
  <c r="I56" i="2"/>
  <c r="AA55" i="2"/>
  <c r="AA54" i="2" s="1"/>
  <c r="AA56" i="2"/>
  <c r="AI56" i="2"/>
  <c r="AI55" i="2"/>
  <c r="AI54" i="2" s="1"/>
  <c r="AT56" i="2"/>
  <c r="AT55" i="2"/>
  <c r="AT54" i="2" s="1"/>
  <c r="AV56" i="2"/>
  <c r="AV55" i="2"/>
  <c r="AV54" i="2" s="1"/>
  <c r="AX55" i="2"/>
  <c r="AX54" i="2" s="1"/>
  <c r="AX56" i="2"/>
  <c r="BS53" i="2"/>
  <c r="BV54" i="2"/>
  <c r="CM56" i="2"/>
  <c r="CO56" i="2"/>
  <c r="CO55" i="2"/>
  <c r="CO54" i="2" s="1"/>
  <c r="AB84" i="2"/>
  <c r="AB82" i="2"/>
  <c r="AN82" i="2"/>
  <c r="AP82" i="2"/>
  <c r="AT89" i="2"/>
  <c r="AV86" i="2"/>
  <c r="AV89" i="2"/>
  <c r="AV82" i="2"/>
  <c r="BK93" i="2"/>
  <c r="BK80" i="2"/>
  <c r="I65" i="3"/>
  <c r="I79" i="3" s="1"/>
  <c r="I87" i="3" s="1"/>
  <c r="I108" i="3"/>
  <c r="AB9" i="3"/>
  <c r="AB108" i="3" s="1"/>
  <c r="AB52" i="2"/>
  <c r="AB63" i="2" s="1"/>
  <c r="AU9" i="3"/>
  <c r="AU65" i="3"/>
  <c r="AU79" i="3" s="1"/>
  <c r="AU87" i="3" s="1"/>
  <c r="AU52" i="2"/>
  <c r="AU63" i="2" s="1"/>
  <c r="AU80" i="2" s="1"/>
  <c r="BE9" i="3"/>
  <c r="BE52" i="2"/>
  <c r="BE63" i="2" s="1"/>
  <c r="BP9" i="3"/>
  <c r="BP65" i="3" s="1"/>
  <c r="BP79" i="3" s="1"/>
  <c r="BP87" i="3" s="1"/>
  <c r="BP52" i="2"/>
  <c r="BP63" i="2" s="1"/>
  <c r="AY57" i="2"/>
  <c r="AY53" i="2"/>
  <c r="AW53" i="2"/>
  <c r="AW57" i="2"/>
  <c r="AU56" i="2"/>
  <c r="AU55" i="2"/>
  <c r="AU54" i="2" s="1"/>
  <c r="R115" i="1"/>
  <c r="R129" i="1" s="1"/>
  <c r="R68" i="1"/>
  <c r="R74" i="1" s="1"/>
  <c r="AP68" i="1"/>
  <c r="AP74" i="1" s="1"/>
  <c r="H115" i="1"/>
  <c r="H129" i="1" s="1"/>
  <c r="I57" i="1"/>
  <c r="I27" i="1"/>
  <c r="AF85" i="1"/>
  <c r="AN85" i="1"/>
  <c r="G85" i="1"/>
  <c r="BU145" i="1"/>
  <c r="CG149" i="1"/>
  <c r="CL149" i="1"/>
  <c r="BM148" i="1"/>
  <c r="W85" i="1"/>
  <c r="W91" i="1" s="1"/>
  <c r="BS149" i="1"/>
  <c r="BW149" i="1"/>
  <c r="BO151" i="1"/>
  <c r="AZ120" i="48"/>
  <c r="AZ29" i="48" s="1"/>
  <c r="AZ34" i="48" s="1"/>
  <c r="AZ121" i="48"/>
  <c r="AZ48" i="48" s="1"/>
  <c r="AZ53" i="48" s="1"/>
  <c r="BA93" i="2"/>
  <c r="BA80" i="2"/>
  <c r="CO168" i="3"/>
  <c r="CO125" i="2"/>
  <c r="CP125" i="2"/>
  <c r="CP168" i="3"/>
  <c r="CH168" i="3"/>
  <c r="CH125" i="2"/>
  <c r="CL125" i="2"/>
  <c r="CL168" i="3"/>
  <c r="CG125" i="2"/>
  <c r="CG168" i="3"/>
  <c r="CI125" i="2"/>
  <c r="CI168" i="3"/>
  <c r="CK125" i="2"/>
  <c r="CK168" i="3"/>
  <c r="CM125" i="2"/>
  <c r="CM168" i="3"/>
  <c r="AG259" i="48"/>
  <c r="AB69" i="48"/>
  <c r="BD15" i="2"/>
  <c r="BE15" i="2" s="1"/>
  <c r="AO91" i="1"/>
  <c r="AU108" i="3"/>
  <c r="AB65" i="3"/>
  <c r="AB79" i="3" s="1"/>
  <c r="AB87" i="3" s="1"/>
  <c r="AC30" i="48"/>
  <c r="CJ48" i="48"/>
  <c r="AN97" i="2"/>
  <c r="AO97" i="2" s="1"/>
  <c r="BU97" i="2"/>
  <c r="CQ110" i="48"/>
  <c r="CQ34" i="3"/>
  <c r="CQ13" i="2"/>
  <c r="CQ60" i="2"/>
  <c r="CQ16" i="2"/>
  <c r="CQ19" i="2"/>
  <c r="CQ75" i="3" s="1"/>
  <c r="CQ14" i="2"/>
  <c r="CQ30" i="2"/>
  <c r="CQ151" i="1"/>
  <c r="CQ72" i="2"/>
  <c r="BA83" i="2"/>
  <c r="BA84" i="2"/>
  <c r="CQ45" i="2"/>
  <c r="CQ76" i="2"/>
  <c r="BA160" i="3"/>
  <c r="CQ11" i="2"/>
  <c r="CQ85" i="2" s="1"/>
  <c r="BA85" i="2"/>
  <c r="BB113" i="2"/>
  <c r="BB115" i="2"/>
  <c r="BB118" i="2" s="1"/>
  <c r="BA61" i="3"/>
  <c r="BA90" i="2"/>
  <c r="BN25" i="3"/>
  <c r="BN124" i="3" s="1"/>
  <c r="BX15" i="3"/>
  <c r="BX114" i="3" s="1"/>
  <c r="CL19" i="3"/>
  <c r="CL118" i="3" s="1"/>
  <c r="BV16" i="3"/>
  <c r="BV115" i="3" s="1"/>
  <c r="J80" i="3"/>
  <c r="J166" i="1"/>
  <c r="BX39" i="3"/>
  <c r="BX138" i="3" s="1"/>
  <c r="AE57" i="3"/>
  <c r="CL57" i="3" s="1"/>
  <c r="CL156" i="3" s="1"/>
  <c r="CF15" i="3"/>
  <c r="CF114" i="3" s="1"/>
  <c r="CQ50" i="3"/>
  <c r="CQ149" i="3" s="1"/>
  <c r="BX50" i="3"/>
  <c r="BX149" i="3" s="1"/>
  <c r="CI17" i="3"/>
  <c r="CI116" i="3" s="1"/>
  <c r="BP17" i="3"/>
  <c r="BX133" i="3"/>
  <c r="CP15" i="3"/>
  <c r="CP114" i="3" s="1"/>
  <c r="BW13" i="3"/>
  <c r="BW112" i="3" s="1"/>
  <c r="BO23" i="3"/>
  <c r="BO122" i="3" s="1"/>
  <c r="CH23" i="3"/>
  <c r="CH122" i="3" s="1"/>
  <c r="CN30" i="3"/>
  <c r="CN129" i="3" s="1"/>
  <c r="AI50" i="3"/>
  <c r="CM50" i="3" s="1"/>
  <c r="CM149" i="3" s="1"/>
  <c r="I80" i="3"/>
  <c r="AA57" i="3"/>
  <c r="BP36" i="3"/>
  <c r="BP135" i="3" s="1"/>
  <c r="CI24" i="3"/>
  <c r="CI123" i="3" s="1"/>
  <c r="BP24" i="3"/>
  <c r="BP123" i="3" s="1"/>
  <c r="AM50" i="3"/>
  <c r="BM46" i="3"/>
  <c r="BM145" i="3" s="1"/>
  <c r="BR24" i="3"/>
  <c r="BR123" i="3" s="1"/>
  <c r="AI20" i="3"/>
  <c r="CM20" i="3"/>
  <c r="CM119" i="3" s="1"/>
  <c r="V24" i="3"/>
  <c r="W24" i="3" s="1"/>
  <c r="AD28" i="3"/>
  <c r="AE36" i="3"/>
  <c r="BS36" i="3"/>
  <c r="BS135" i="3" s="1"/>
  <c r="AX66" i="3"/>
  <c r="AX92" i="3" s="1"/>
  <c r="Z44" i="3"/>
  <c r="AA44" i="3" s="1"/>
  <c r="N35" i="3"/>
  <c r="CL37" i="3"/>
  <c r="CL136" i="3"/>
  <c r="BS37" i="3"/>
  <c r="BS136" i="3" s="1"/>
  <c r="CN39" i="3"/>
  <c r="CN138" i="3" s="1"/>
  <c r="R14" i="3"/>
  <c r="Q83" i="3"/>
  <c r="AQ46" i="3"/>
  <c r="BV46" i="3" s="1"/>
  <c r="BV145" i="3" s="1"/>
  <c r="CG57" i="3"/>
  <c r="CG156" i="3" s="1"/>
  <c r="CG38" i="3"/>
  <c r="CG137" i="3" s="1"/>
  <c r="V28" i="3"/>
  <c r="W28" i="3" s="1"/>
  <c r="CP30" i="3"/>
  <c r="CP129" i="3" s="1"/>
  <c r="BW30" i="3"/>
  <c r="BW129" i="3" s="1"/>
  <c r="AU25" i="3"/>
  <c r="CH40" i="3"/>
  <c r="CH139" i="3"/>
  <c r="AK13" i="3"/>
  <c r="E17" i="3"/>
  <c r="F17" i="3" s="1"/>
  <c r="I17" i="3"/>
  <c r="I69" i="3" s="1"/>
  <c r="AK17" i="3"/>
  <c r="AK19" i="3"/>
  <c r="AM37" i="3"/>
  <c r="BU37" i="3" s="1"/>
  <c r="BU136" i="3" s="1"/>
  <c r="AZ80" i="3"/>
  <c r="AZ81" i="3" s="1"/>
  <c r="L49" i="2"/>
  <c r="Z77" i="2"/>
  <c r="BY25" i="2"/>
  <c r="AZ93" i="1"/>
  <c r="AZ94" i="3" s="1"/>
  <c r="H49" i="2"/>
  <c r="BD31" i="2"/>
  <c r="BE31" i="2"/>
  <c r="BF31" i="2" s="1"/>
  <c r="BG31" i="2" s="1"/>
  <c r="BY31" i="2"/>
  <c r="BU55" i="2"/>
  <c r="BU54" i="2" s="1"/>
  <c r="BU57" i="2"/>
  <c r="R70" i="1"/>
  <c r="CO82" i="2"/>
  <c r="BQ93" i="2"/>
  <c r="AG65" i="3"/>
  <c r="AG79" i="3" s="1"/>
  <c r="AG87" i="3" s="1"/>
  <c r="AT33" i="48"/>
  <c r="CP80" i="2"/>
  <c r="L80" i="2"/>
  <c r="L93" i="2"/>
  <c r="CK81" i="2"/>
  <c r="CK84" i="2" s="1"/>
  <c r="I97" i="1"/>
  <c r="AN29" i="48"/>
  <c r="AR32" i="48" s="1"/>
  <c r="H36" i="1"/>
  <c r="AY84" i="2"/>
  <c r="BT65" i="3"/>
  <c r="BT79" i="3" s="1"/>
  <c r="BT87" i="3" s="1"/>
  <c r="Q55" i="2"/>
  <c r="Q54" i="2" s="1"/>
  <c r="Q56" i="2"/>
  <c r="AG82" i="2"/>
  <c r="AG86" i="2"/>
  <c r="AR89" i="2"/>
  <c r="AL173" i="1"/>
  <c r="D59" i="1"/>
  <c r="D29" i="1"/>
  <c r="D33" i="1"/>
  <c r="D57" i="1"/>
  <c r="D47" i="1"/>
  <c r="D45" i="1"/>
  <c r="D27" i="1"/>
  <c r="AH57" i="2"/>
  <c r="AH53" i="2"/>
  <c r="J136" i="48"/>
  <c r="J118" i="48" s="1"/>
  <c r="J127" i="48" s="1"/>
  <c r="J161" i="48"/>
  <c r="L307" i="48"/>
  <c r="L143" i="48"/>
  <c r="L283" i="48"/>
  <c r="L272" i="48"/>
  <c r="L153" i="48"/>
  <c r="L279" i="48"/>
  <c r="L232" i="48"/>
  <c r="P153" i="48"/>
  <c r="T265" i="48"/>
  <c r="T153" i="48"/>
  <c r="AG307" i="48"/>
  <c r="AG272" i="48"/>
  <c r="AP232" i="48"/>
  <c r="AP283" i="48"/>
  <c r="BN232" i="48"/>
  <c r="BN223" i="48"/>
  <c r="BR265" i="48"/>
  <c r="BR256" i="48"/>
  <c r="BR161" i="48"/>
  <c r="BR143" i="48"/>
  <c r="BV283" i="48"/>
  <c r="BV147" i="48"/>
  <c r="BZ127" i="48"/>
  <c r="BZ232" i="48"/>
  <c r="BZ244" i="48"/>
  <c r="AE211" i="48"/>
  <c r="AE123" i="48"/>
  <c r="AE84" i="48" s="1"/>
  <c r="AF85" i="48" s="1"/>
  <c r="AE122" i="48"/>
  <c r="AE66" i="48" s="1"/>
  <c r="AE148" i="48"/>
  <c r="AE149" i="48" s="1"/>
  <c r="AE151" i="48" s="1"/>
  <c r="AE138" i="48"/>
  <c r="AI120" i="48"/>
  <c r="AI29" i="48" s="1"/>
  <c r="AI33" i="48" s="1"/>
  <c r="AI139" i="48"/>
  <c r="AI121" i="48"/>
  <c r="AI48" i="48" s="1"/>
  <c r="AI52" i="48" s="1"/>
  <c r="AM137" i="48"/>
  <c r="AM121" i="48"/>
  <c r="AM123" i="48"/>
  <c r="AM84" i="48" s="1"/>
  <c r="AN85" i="48" s="1"/>
  <c r="AM139" i="48"/>
  <c r="AM119" i="48"/>
  <c r="AM12" i="48" s="1"/>
  <c r="AM120" i="48"/>
  <c r="AM29" i="48" s="1"/>
  <c r="AQ120" i="48"/>
  <c r="AQ29" i="48" s="1"/>
  <c r="AQ119" i="48"/>
  <c r="AQ12" i="48" s="1"/>
  <c r="AQ121" i="48"/>
  <c r="AQ48" i="48" s="1"/>
  <c r="AQ122" i="48"/>
  <c r="AQ66" i="48" s="1"/>
  <c r="AU121" i="48"/>
  <c r="AU122" i="48"/>
  <c r="AU66" i="48" s="1"/>
  <c r="AU123" i="48"/>
  <c r="AU84" i="48" s="1"/>
  <c r="AY119" i="48"/>
  <c r="AY120" i="48"/>
  <c r="AY29" i="48" s="1"/>
  <c r="AY122" i="48"/>
  <c r="AY66" i="48" s="1"/>
  <c r="AY121" i="48"/>
  <c r="AY48" i="48" s="1"/>
  <c r="AH78" i="1"/>
  <c r="AD78" i="1"/>
  <c r="O249" i="48"/>
  <c r="O248" i="48"/>
  <c r="O247" i="48"/>
  <c r="O246" i="48"/>
  <c r="O245" i="48"/>
  <c r="N276" i="48"/>
  <c r="O259" i="48"/>
  <c r="BO259" i="48" s="1"/>
  <c r="O257" i="48"/>
  <c r="O242" i="48"/>
  <c r="O110" i="48"/>
  <c r="O138" i="48" s="1"/>
  <c r="BS247" i="48"/>
  <c r="BS154" i="48"/>
  <c r="BS155" i="48"/>
  <c r="BS110" i="48"/>
  <c r="CP110" i="48"/>
  <c r="M68" i="1"/>
  <c r="M70" i="1" s="1"/>
  <c r="I33" i="1"/>
  <c r="I34" i="1" s="1"/>
  <c r="O122" i="1"/>
  <c r="AJ252" i="48"/>
  <c r="AJ254" i="48" s="1"/>
  <c r="AW52" i="1"/>
  <c r="AW40" i="1"/>
  <c r="J115" i="1"/>
  <c r="J129" i="1" s="1"/>
  <c r="J68" i="1"/>
  <c r="AG52" i="1"/>
  <c r="BM145" i="1"/>
  <c r="BR145" i="1"/>
  <c r="BT148" i="1"/>
  <c r="CP148" i="1"/>
  <c r="L48" i="1"/>
  <c r="AY85" i="1"/>
  <c r="AY91" i="1" s="1"/>
  <c r="AY93" i="1" s="1"/>
  <c r="AY94" i="3" s="1"/>
  <c r="BN145" i="1"/>
  <c r="BQ145" i="1"/>
  <c r="BW145" i="1"/>
  <c r="BX145" i="1"/>
  <c r="CI149" i="1"/>
  <c r="BA56" i="2"/>
  <c r="BC56" i="2" s="1"/>
  <c r="BD56" i="2" s="1"/>
  <c r="BE56" i="2" s="1"/>
  <c r="BF56" i="2" s="1"/>
  <c r="BG56" i="2" s="1"/>
  <c r="BH56" i="2" s="1"/>
  <c r="BI56" i="2" s="1"/>
  <c r="BJ56" i="2" s="1"/>
  <c r="BK56" i="2" s="1"/>
  <c r="AM85" i="1"/>
  <c r="AP85" i="1"/>
  <c r="AP91" i="1" s="1"/>
  <c r="AU307" i="48"/>
  <c r="BD307" i="48"/>
  <c r="AG252" i="48"/>
  <c r="AG254" i="48" s="1"/>
  <c r="AD116" i="1"/>
  <c r="AX40" i="1"/>
  <c r="F35" i="1"/>
  <c r="F36" i="1" s="1"/>
  <c r="J35" i="1"/>
  <c r="J36" i="1" s="1"/>
  <c r="AH85" i="1"/>
  <c r="AX85" i="1"/>
  <c r="CH149" i="1"/>
  <c r="CP149" i="1"/>
  <c r="CQ59" i="2"/>
  <c r="J93" i="2"/>
  <c r="AU94" i="1"/>
  <c r="Y13" i="48"/>
  <c r="V34" i="1"/>
  <c r="O115" i="1"/>
  <c r="O129" i="1" s="1"/>
  <c r="BF80" i="2"/>
  <c r="BF93" i="2"/>
  <c r="R93" i="2"/>
  <c r="AV170" i="48"/>
  <c r="CN173" i="1"/>
  <c r="O91" i="1"/>
  <c r="BN81" i="2"/>
  <c r="BN82" i="2" s="1"/>
  <c r="BU111" i="48"/>
  <c r="AE59" i="1"/>
  <c r="S40" i="1"/>
  <c r="S52" i="1"/>
  <c r="H57" i="2"/>
  <c r="H53" i="2"/>
  <c r="AO82" i="2"/>
  <c r="AO89" i="2"/>
  <c r="AO84" i="2"/>
  <c r="AO86" i="2"/>
  <c r="AT108" i="3"/>
  <c r="U55" i="2"/>
  <c r="U54" i="2" s="1"/>
  <c r="U56" i="2"/>
  <c r="AB51" i="48"/>
  <c r="R291" i="48"/>
  <c r="S307" i="48"/>
  <c r="BE307" i="48"/>
  <c r="U115" i="1"/>
  <c r="U129" i="1" s="1"/>
  <c r="U68" i="1"/>
  <c r="U70" i="1" s="1"/>
  <c r="U75" i="1" s="1"/>
  <c r="O28" i="1"/>
  <c r="O35" i="1" s="1"/>
  <c r="O26" i="1"/>
  <c r="O27" i="1" s="1"/>
  <c r="S28" i="1"/>
  <c r="AS307" i="48"/>
  <c r="Y27" i="1"/>
  <c r="Y33" i="1"/>
  <c r="R33" i="1"/>
  <c r="R27" i="1"/>
  <c r="R45" i="1"/>
  <c r="R59" i="1"/>
  <c r="R29" i="1"/>
  <c r="X45" i="1"/>
  <c r="X59" i="1"/>
  <c r="AD29" i="1"/>
  <c r="AD33" i="1"/>
  <c r="AD59" i="1"/>
  <c r="AD47" i="1"/>
  <c r="N52" i="1"/>
  <c r="N40" i="1"/>
  <c r="V40" i="1"/>
  <c r="K249" i="48"/>
  <c r="K247" i="48"/>
  <c r="K110" i="48"/>
  <c r="K148" i="48" s="1"/>
  <c r="K149" i="48" s="1"/>
  <c r="K151" i="48" s="1"/>
  <c r="AA250" i="48"/>
  <c r="AA249" i="48"/>
  <c r="AA245" i="48"/>
  <c r="Z276" i="48"/>
  <c r="AA247" i="48"/>
  <c r="CO110" i="48"/>
  <c r="V68" i="1"/>
  <c r="V115" i="1"/>
  <c r="V129" i="1" s="1"/>
  <c r="CJ167" i="1"/>
  <c r="E35" i="1"/>
  <c r="E36" i="1" s="1"/>
  <c r="R252" i="48"/>
  <c r="R254" i="48" s="1"/>
  <c r="J276" i="48"/>
  <c r="F40" i="1"/>
  <c r="AL40" i="1"/>
  <c r="AL52" i="1"/>
  <c r="AO52" i="1"/>
  <c r="AO40" i="1"/>
  <c r="P252" i="48"/>
  <c r="P254" i="48" s="1"/>
  <c r="AK40" i="1"/>
  <c r="P35" i="1"/>
  <c r="P36" i="1" s="1"/>
  <c r="J33" i="1"/>
  <c r="AV40" i="1"/>
  <c r="AE26" i="1"/>
  <c r="AF25" i="1"/>
  <c r="U35" i="1"/>
  <c r="U27" i="1"/>
  <c r="U57" i="1"/>
  <c r="U47" i="1"/>
  <c r="U59" i="1"/>
  <c r="U33" i="1"/>
  <c r="U34" i="1" s="1"/>
  <c r="AH52" i="1"/>
  <c r="AH40" i="1"/>
  <c r="AQ52" i="1"/>
  <c r="AQ40" i="1"/>
  <c r="P57" i="1"/>
  <c r="U29" i="1"/>
  <c r="U52" i="1"/>
  <c r="U40" i="1"/>
  <c r="AI52" i="1"/>
  <c r="AI40" i="1"/>
  <c r="V48" i="1"/>
  <c r="N60" i="1"/>
  <c r="CG145" i="1"/>
  <c r="CK145" i="1"/>
  <c r="CL145" i="1"/>
  <c r="BS148" i="1"/>
  <c r="BS81" i="2" s="1"/>
  <c r="BS86" i="2" s="1"/>
  <c r="BA120" i="48"/>
  <c r="BA29" i="48" s="1"/>
  <c r="E57" i="1"/>
  <c r="L57" i="1"/>
  <c r="Q57" i="1"/>
  <c r="BA122" i="48"/>
  <c r="BA66" i="48" s="1"/>
  <c r="AD27" i="1"/>
  <c r="H29" i="1"/>
  <c r="AD35" i="1"/>
  <c r="AD36" i="1" s="1"/>
  <c r="CF145" i="1"/>
  <c r="CH145" i="1"/>
  <c r="CP145" i="1"/>
  <c r="CF149" i="1"/>
  <c r="BO148" i="1"/>
  <c r="AB26" i="1"/>
  <c r="I45" i="1"/>
  <c r="AU48" i="1"/>
  <c r="BT149" i="1"/>
  <c r="BX149" i="1"/>
  <c r="BV145" i="1"/>
  <c r="BV149" i="1"/>
  <c r="CO149" i="1"/>
  <c r="CF148" i="1"/>
  <c r="CJ148" i="1"/>
  <c r="CJ81" i="2" s="1"/>
  <c r="AG213" i="48"/>
  <c r="AG184" i="48" s="1"/>
  <c r="AG177" i="48" s="1"/>
  <c r="AG67" i="48"/>
  <c r="BC93" i="2"/>
  <c r="P80" i="2"/>
  <c r="P93" i="2"/>
  <c r="W86" i="2"/>
  <c r="W82" i="2"/>
  <c r="BS93" i="2"/>
  <c r="BS80" i="2"/>
  <c r="G111" i="48"/>
  <c r="AY170" i="48"/>
  <c r="AO53" i="2"/>
  <c r="D96" i="1"/>
  <c r="D97" i="1" s="1"/>
  <c r="D79" i="1"/>
  <c r="E115" i="1"/>
  <c r="E129" i="1" s="1"/>
  <c r="E68" i="1"/>
  <c r="AE70" i="1"/>
  <c r="AE71" i="1" s="1"/>
  <c r="AE74" i="1"/>
  <c r="F307" i="48"/>
  <c r="N307" i="48"/>
  <c r="V307" i="48"/>
  <c r="AK307" i="48"/>
  <c r="BA307" i="48"/>
  <c r="G68" i="1"/>
  <c r="G70" i="1" s="1"/>
  <c r="M33" i="1"/>
  <c r="N67" i="1"/>
  <c r="R60" i="1"/>
  <c r="Y40" i="1"/>
  <c r="AA26" i="1"/>
  <c r="O44" i="1"/>
  <c r="AK48" i="1"/>
  <c r="AS48" i="1"/>
  <c r="AO48" i="1"/>
  <c r="G56" i="1"/>
  <c r="G58" i="1"/>
  <c r="G59" i="1" s="1"/>
  <c r="P33" i="1"/>
  <c r="P27" i="1"/>
  <c r="P29" i="1"/>
  <c r="T57" i="1"/>
  <c r="T35" i="1"/>
  <c r="T36" i="1" s="1"/>
  <c r="T33" i="1"/>
  <c r="G28" i="1"/>
  <c r="G35" i="1" s="1"/>
  <c r="AE125" i="1"/>
  <c r="T29" i="1"/>
  <c r="G291" i="48"/>
  <c r="O291" i="48"/>
  <c r="I52" i="1"/>
  <c r="I40" i="1"/>
  <c r="AM48" i="1"/>
  <c r="AI48" i="1"/>
  <c r="AY48" i="1"/>
  <c r="AQ56" i="1"/>
  <c r="AQ58" i="1"/>
  <c r="V27" i="1"/>
  <c r="V29" i="1"/>
  <c r="G159" i="1"/>
  <c r="O56" i="1"/>
  <c r="AI58" i="1"/>
  <c r="AJ55" i="1"/>
  <c r="BU55" i="1" s="1"/>
  <c r="AG60" i="1"/>
  <c r="AC60" i="1"/>
  <c r="AS60" i="1"/>
  <c r="J27" i="1"/>
  <c r="BA159" i="1"/>
  <c r="BA123" i="48"/>
  <c r="BA84" i="48" s="1"/>
  <c r="BA119" i="48"/>
  <c r="BA12" i="48" s="1"/>
  <c r="BT20" i="3"/>
  <c r="BT119" i="3" s="1"/>
  <c r="R166" i="1"/>
  <c r="R83" i="3"/>
  <c r="R84" i="3" s="1"/>
  <c r="S14" i="3"/>
  <c r="R80" i="3"/>
  <c r="CL36" i="3"/>
  <c r="CL135" i="3" s="1"/>
  <c r="AE28" i="3"/>
  <c r="BS28" i="3" s="1"/>
  <c r="BS127" i="3" s="1"/>
  <c r="K80" i="3"/>
  <c r="K81" i="3" s="1"/>
  <c r="CK17" i="3"/>
  <c r="CK116" i="3" s="1"/>
  <c r="AL19" i="3"/>
  <c r="N41" i="3"/>
  <c r="CJ24" i="3"/>
  <c r="CJ123" i="3" s="1"/>
  <c r="BP116" i="3"/>
  <c r="BT81" i="2"/>
  <c r="BO257" i="48"/>
  <c r="D34" i="1"/>
  <c r="J74" i="1"/>
  <c r="J70" i="1"/>
  <c r="AU48" i="48"/>
  <c r="CP48" i="48" s="1"/>
  <c r="AI211" i="48"/>
  <c r="AM211" i="48" s="1"/>
  <c r="AM213" i="48" s="1"/>
  <c r="AE213" i="48"/>
  <c r="AE183" i="48" s="1"/>
  <c r="AE184" i="48" s="1"/>
  <c r="AY12" i="48"/>
  <c r="AU95" i="48"/>
  <c r="AU97" i="48" s="1"/>
  <c r="AV85" i="48"/>
  <c r="AY91" i="48"/>
  <c r="AU85" i="48"/>
  <c r="AY87" i="48"/>
  <c r="AF26" i="1"/>
  <c r="AE27" i="1"/>
  <c r="AE33" i="1"/>
  <c r="AE34" i="1" s="1"/>
  <c r="O33" i="1"/>
  <c r="O34" i="1" s="1"/>
  <c r="U36" i="1"/>
  <c r="V70" i="1"/>
  <c r="AU60" i="1"/>
  <c r="N115" i="1"/>
  <c r="N129" i="1" s="1"/>
  <c r="AC176" i="48"/>
  <c r="AC178" i="48" s="1"/>
  <c r="AC179" i="48" s="1"/>
  <c r="AR56" i="1"/>
  <c r="AJ58" i="1"/>
  <c r="AI75" i="1"/>
  <c r="O45" i="1"/>
  <c r="AM19" i="3"/>
  <c r="BU19" i="3" s="1"/>
  <c r="BU118" i="3" s="1"/>
  <c r="CS23" i="2"/>
  <c r="J71" i="1"/>
  <c r="J75" i="1"/>
  <c r="M71" i="1"/>
  <c r="AU49" i="48"/>
  <c r="AF67" i="48"/>
  <c r="AN13" i="48"/>
  <c r="AI213" i="48"/>
  <c r="AI183" i="48" s="1"/>
  <c r="BD125" i="2" l="1"/>
  <c r="AN125" i="2"/>
  <c r="X125" i="2"/>
  <c r="H125" i="2"/>
  <c r="BU125" i="2"/>
  <c r="BM316" i="48"/>
  <c r="AR316" i="48"/>
  <c r="AB316" i="48"/>
  <c r="L316" i="48"/>
  <c r="BQ168" i="3"/>
  <c r="BH168" i="3"/>
  <c r="CJ168" i="3"/>
  <c r="CF168" i="3"/>
  <c r="CN125" i="2"/>
  <c r="AV125" i="2"/>
  <c r="AF125" i="2"/>
  <c r="P125" i="2"/>
  <c r="BM125" i="2"/>
  <c r="BU316" i="48"/>
  <c r="D316" i="48"/>
  <c r="BY168" i="3"/>
  <c r="BH125" i="2"/>
  <c r="BQ316" i="48"/>
  <c r="AV316" i="48"/>
  <c r="AF316" i="48"/>
  <c r="P316" i="48"/>
  <c r="BM168" i="3"/>
  <c r="AE154" i="1"/>
  <c r="BP154" i="1" s="1"/>
  <c r="BO261" i="48"/>
  <c r="BW81" i="2"/>
  <c r="BV80" i="2"/>
  <c r="AC48" i="48"/>
  <c r="H252" i="48"/>
  <c r="H254" i="48" s="1"/>
  <c r="M252" i="48"/>
  <c r="M254" i="48" s="1"/>
  <c r="V252" i="48"/>
  <c r="V254" i="48" s="1"/>
  <c r="Z252" i="48"/>
  <c r="Z254" i="48" s="1"/>
  <c r="AK252" i="48"/>
  <c r="AK254" i="48" s="1"/>
  <c r="BT88" i="1"/>
  <c r="CN88" i="1"/>
  <c r="CN148" i="1"/>
  <c r="AQ75" i="1"/>
  <c r="CK80" i="2"/>
  <c r="AF74" i="1"/>
  <c r="AZ80" i="2"/>
  <c r="AB177" i="48"/>
  <c r="AM252" i="48"/>
  <c r="AM254" i="48" s="1"/>
  <c r="BB171" i="1"/>
  <c r="BC171" i="1" s="1"/>
  <c r="BD171" i="1" s="1"/>
  <c r="BE171" i="1" s="1"/>
  <c r="BF171" i="1" s="1"/>
  <c r="BG171" i="1" s="1"/>
  <c r="BH171" i="1" s="1"/>
  <c r="BI171" i="1" s="1"/>
  <c r="BJ171" i="1" s="1"/>
  <c r="BK171" i="1" s="1"/>
  <c r="AZ55" i="2"/>
  <c r="AZ54" i="2" s="1"/>
  <c r="BB175" i="1"/>
  <c r="BC175" i="1" s="1"/>
  <c r="BD175" i="1" s="1"/>
  <c r="BE175" i="1" s="1"/>
  <c r="BF175" i="1" s="1"/>
  <c r="BG175" i="1" s="1"/>
  <c r="BH175" i="1" s="1"/>
  <c r="BI175" i="1" s="1"/>
  <c r="BJ175" i="1" s="1"/>
  <c r="BK175" i="1" s="1"/>
  <c r="CF81" i="2"/>
  <c r="AO93" i="1"/>
  <c r="BP108" i="3"/>
  <c r="CM81" i="2"/>
  <c r="F34" i="1"/>
  <c r="AE80" i="2"/>
  <c r="AK141" i="48"/>
  <c r="AD199" i="48"/>
  <c r="AD202" i="48" s="1"/>
  <c r="AH199" i="48"/>
  <c r="AH202" i="48" s="1"/>
  <c r="AE199" i="48"/>
  <c r="AE202" i="48" s="1"/>
  <c r="AK199" i="48"/>
  <c r="AK206" i="48" s="1"/>
  <c r="BB15" i="1"/>
  <c r="BB16" i="1"/>
  <c r="CQ84" i="48"/>
  <c r="BB85" i="48"/>
  <c r="BB90" i="48"/>
  <c r="BB67" i="48"/>
  <c r="BB72" i="48"/>
  <c r="BA30" i="48"/>
  <c r="BB30" i="48"/>
  <c r="BB35" i="48"/>
  <c r="AK211" i="48"/>
  <c r="AK213" i="48" s="1"/>
  <c r="Y67" i="48"/>
  <c r="Y141" i="48"/>
  <c r="T141" i="48"/>
  <c r="BB51" i="48"/>
  <c r="BB55" i="48"/>
  <c r="BB15" i="48"/>
  <c r="BB19" i="48"/>
  <c r="BA17" i="48"/>
  <c r="BB13" i="48"/>
  <c r="BB18" i="48"/>
  <c r="BB69" i="48"/>
  <c r="BB73" i="48"/>
  <c r="AV15" i="48"/>
  <c r="BB87" i="48"/>
  <c r="BB91" i="48"/>
  <c r="BB49" i="48"/>
  <c r="BB54" i="48"/>
  <c r="AJ186" i="48"/>
  <c r="AJ30" i="48"/>
  <c r="AF87" i="48"/>
  <c r="AC85" i="48"/>
  <c r="AX15" i="48"/>
  <c r="AX24" i="48"/>
  <c r="AW67" i="48"/>
  <c r="CO29" i="48"/>
  <c r="AT32" i="48"/>
  <c r="AJ87" i="48"/>
  <c r="AD206" i="48"/>
  <c r="AH206" i="48"/>
  <c r="BN240" i="48"/>
  <c r="BR240" i="48"/>
  <c r="BN261" i="48"/>
  <c r="U289" i="48"/>
  <c r="U305" i="48" s="1"/>
  <c r="J289" i="48"/>
  <c r="Z289" i="48"/>
  <c r="Z305" i="48" s="1"/>
  <c r="AF206" i="48"/>
  <c r="BT193" i="48"/>
  <c r="U252" i="48"/>
  <c r="U254" i="48" s="1"/>
  <c r="CQ70" i="3"/>
  <c r="CK57" i="3"/>
  <c r="CK156" i="3" s="1"/>
  <c r="BR57" i="3"/>
  <c r="BR156" i="3" s="1"/>
  <c r="O35" i="3"/>
  <c r="BO35" i="3" s="1"/>
  <c r="BO134" i="3" s="1"/>
  <c r="BT50" i="3"/>
  <c r="BT149" i="3" s="1"/>
  <c r="K83" i="3"/>
  <c r="K166" i="1"/>
  <c r="AE54" i="3"/>
  <c r="CL54" i="3"/>
  <c r="CL153" i="3" s="1"/>
  <c r="G20" i="3"/>
  <c r="BM20" i="3"/>
  <c r="BM119" i="3" s="1"/>
  <c r="W44" i="3"/>
  <c r="CJ44" i="3"/>
  <c r="CJ143" i="3" s="1"/>
  <c r="AD30" i="3"/>
  <c r="AZ91" i="3"/>
  <c r="AZ166" i="1"/>
  <c r="BA84" i="3"/>
  <c r="AZ83" i="3"/>
  <c r="AZ84" i="3" s="1"/>
  <c r="BP47" i="3"/>
  <c r="BP146" i="3" s="1"/>
  <c r="AC66" i="3"/>
  <c r="AC68" i="3" s="1"/>
  <c r="CF46" i="3"/>
  <c r="CF145" i="3" s="1"/>
  <c r="CN50" i="3"/>
  <c r="CN149" i="3" s="1"/>
  <c r="BN14" i="3"/>
  <c r="BN83" i="3" s="1"/>
  <c r="BN81" i="3" s="1"/>
  <c r="BN80" i="3" s="1"/>
  <c r="BW15" i="3"/>
  <c r="BW114" i="3" s="1"/>
  <c r="J83" i="3"/>
  <c r="J84" i="3" s="1"/>
  <c r="BR17" i="3"/>
  <c r="BR116" i="3" s="1"/>
  <c r="CG25" i="3"/>
  <c r="CG124" i="3" s="1"/>
  <c r="CQ25" i="3"/>
  <c r="CQ124" i="3" s="1"/>
  <c r="AZ92" i="3"/>
  <c r="CQ18" i="3"/>
  <c r="CQ117" i="3" s="1"/>
  <c r="CG29" i="3"/>
  <c r="CG128" i="3" s="1"/>
  <c r="CO15" i="3"/>
  <c r="CO114" i="3" s="1"/>
  <c r="CM46" i="3"/>
  <c r="CM145" i="3" s="1"/>
  <c r="BS54" i="3"/>
  <c r="BS153" i="3" s="1"/>
  <c r="CL21" i="3"/>
  <c r="CL120" i="3" s="1"/>
  <c r="BX66" i="3"/>
  <c r="BN46" i="3"/>
  <c r="BN145" i="3" s="1"/>
  <c r="BB129" i="3"/>
  <c r="Y69" i="3"/>
  <c r="AP14" i="3"/>
  <c r="BK83" i="3"/>
  <c r="BK84" i="3" s="1"/>
  <c r="AG49" i="3"/>
  <c r="AR69" i="3"/>
  <c r="AN166" i="1"/>
  <c r="Y14" i="3"/>
  <c r="BN38" i="3"/>
  <c r="BN137" i="3" s="1"/>
  <c r="CF26" i="3"/>
  <c r="CF125" i="3" s="1"/>
  <c r="BY14" i="3"/>
  <c r="Y66" i="3"/>
  <c r="Y68" i="3" s="1"/>
  <c r="T41" i="3"/>
  <c r="AV80" i="3"/>
  <c r="AV81" i="3" s="1"/>
  <c r="AV91" i="3"/>
  <c r="X80" i="3"/>
  <c r="BC91" i="3"/>
  <c r="CM24" i="3"/>
  <c r="CM123" i="3" s="1"/>
  <c r="AG13" i="3"/>
  <c r="BX71" i="3"/>
  <c r="D166" i="1"/>
  <c r="E14" i="3"/>
  <c r="CP39" i="3"/>
  <c r="CP138" i="3" s="1"/>
  <c r="CA69" i="3"/>
  <c r="CP28" i="3"/>
  <c r="CP127" i="3" s="1"/>
  <c r="CO25" i="3"/>
  <c r="CO124" i="3" s="1"/>
  <c r="H41" i="3"/>
  <c r="CK48" i="3"/>
  <c r="CK147" i="3" s="1"/>
  <c r="AC16" i="3"/>
  <c r="AD16" i="3" s="1"/>
  <c r="AE16" i="3" s="1"/>
  <c r="Q21" i="3"/>
  <c r="R21" i="3" s="1"/>
  <c r="AD51" i="3"/>
  <c r="AE51" i="3" s="1"/>
  <c r="AK51" i="3"/>
  <c r="AL51" i="3" s="1"/>
  <c r="AM51" i="3" s="1"/>
  <c r="AO51" i="3"/>
  <c r="AP51" i="3" s="1"/>
  <c r="AQ51" i="3" s="1"/>
  <c r="CR71" i="2"/>
  <c r="BD29" i="3"/>
  <c r="BD128" i="3" s="1"/>
  <c r="BE33" i="2"/>
  <c r="BF33" i="2" s="1"/>
  <c r="BF29" i="3" s="1"/>
  <c r="BZ23" i="2"/>
  <c r="CR23" i="2"/>
  <c r="BC28" i="3"/>
  <c r="BF32" i="2"/>
  <c r="BG32" i="2" s="1"/>
  <c r="BZ32" i="2" s="1"/>
  <c r="CR32" i="2"/>
  <c r="BH21" i="2"/>
  <c r="BI21" i="2" s="1"/>
  <c r="BZ21" i="2"/>
  <c r="BY28" i="3"/>
  <c r="BY127" i="3" s="1"/>
  <c r="BD88" i="1"/>
  <c r="CR31" i="2"/>
  <c r="BY12" i="2"/>
  <c r="BZ114" i="2" s="1"/>
  <c r="BY22" i="2"/>
  <c r="BD12" i="2"/>
  <c r="CP14" i="1"/>
  <c r="CQ14" i="1"/>
  <c r="CN14" i="1"/>
  <c r="CN16" i="1" s="1"/>
  <c r="CO14" i="1"/>
  <c r="BC15" i="1"/>
  <c r="BC16" i="1"/>
  <c r="BE15" i="1"/>
  <c r="BE16" i="1"/>
  <c r="BG15" i="1"/>
  <c r="BG16" i="1"/>
  <c r="BI15" i="1"/>
  <c r="BI16" i="1"/>
  <c r="BK15" i="1"/>
  <c r="BK16" i="1"/>
  <c r="BT16" i="1"/>
  <c r="BV16" i="1"/>
  <c r="BW16" i="1"/>
  <c r="CA16" i="1"/>
  <c r="CR14" i="1"/>
  <c r="BD16" i="1"/>
  <c r="BD15" i="1"/>
  <c r="BF16" i="1"/>
  <c r="CS14" i="1"/>
  <c r="CS16" i="1" s="1"/>
  <c r="BF15" i="1"/>
  <c r="BH16" i="1"/>
  <c r="BH15" i="1"/>
  <c r="BJ16" i="1"/>
  <c r="BJ15" i="1"/>
  <c r="BS16" i="1"/>
  <c r="BU16" i="1"/>
  <c r="BX16" i="1"/>
  <c r="BY16" i="1"/>
  <c r="AW85" i="48"/>
  <c r="CP84" i="48"/>
  <c r="AX85" i="48"/>
  <c r="CJ93" i="2"/>
  <c r="CJ80" i="2"/>
  <c r="BN80" i="2"/>
  <c r="BN93" i="2"/>
  <c r="AY53" i="48"/>
  <c r="AC67" i="48"/>
  <c r="AG68" i="48" s="1"/>
  <c r="AC69" i="48"/>
  <c r="Q93" i="1"/>
  <c r="Q94" i="1"/>
  <c r="AG176" i="48"/>
  <c r="CF86" i="2"/>
  <c r="BA124" i="48"/>
  <c r="J34" i="1"/>
  <c r="O261" i="48"/>
  <c r="O263" i="48" s="1"/>
  <c r="AU100" i="48"/>
  <c r="AU101" i="48" s="1"/>
  <c r="W93" i="2"/>
  <c r="AY80" i="2"/>
  <c r="AG141" i="48"/>
  <c r="BK65" i="3"/>
  <c r="BK79" i="3" s="1"/>
  <c r="BK87" i="3" s="1"/>
  <c r="N291" i="48"/>
  <c r="BN10" i="1"/>
  <c r="CG10" i="1"/>
  <c r="BP10" i="1"/>
  <c r="CI10" i="1"/>
  <c r="BR10" i="1"/>
  <c r="CK10" i="1"/>
  <c r="BM10" i="1"/>
  <c r="CF10" i="1"/>
  <c r="BO10" i="1"/>
  <c r="CH10" i="1"/>
  <c r="BQ10" i="1"/>
  <c r="CJ10" i="1"/>
  <c r="BV88" i="1"/>
  <c r="CP88" i="1"/>
  <c r="CP89" i="1" s="1"/>
  <c r="BX88" i="1"/>
  <c r="AP94" i="1"/>
  <c r="AP93" i="1"/>
  <c r="AE127" i="1"/>
  <c r="AE116" i="1" s="1"/>
  <c r="BS125" i="1"/>
  <c r="BS127" i="1" s="1"/>
  <c r="BS116" i="1" s="1"/>
  <c r="AG25" i="1"/>
  <c r="AH25" i="1" s="1"/>
  <c r="D113" i="1"/>
  <c r="AI60" i="1"/>
  <c r="O29" i="1"/>
  <c r="BU56" i="1"/>
  <c r="BU58" i="1"/>
  <c r="AN91" i="1"/>
  <c r="AO94" i="1"/>
  <c r="U104" i="1"/>
  <c r="H34" i="1"/>
  <c r="AZ68" i="1"/>
  <c r="AE60" i="1"/>
  <c r="CL67" i="1"/>
  <c r="CL68" i="1" s="1"/>
  <c r="AD115" i="1"/>
  <c r="N114" i="1"/>
  <c r="BW58" i="1"/>
  <c r="BW56" i="1"/>
  <c r="I113" i="1"/>
  <c r="I130" i="1" s="1"/>
  <c r="I104" i="1"/>
  <c r="BS17" i="1"/>
  <c r="BS11" i="1"/>
  <c r="CK11" i="1"/>
  <c r="AJ67" i="1"/>
  <c r="AH68" i="1"/>
  <c r="BT67" i="1"/>
  <c r="AB68" i="1"/>
  <c r="BS67" i="1"/>
  <c r="P68" i="1"/>
  <c r="H68" i="1"/>
  <c r="CF67" i="1"/>
  <c r="CF115" i="1" s="1"/>
  <c r="X68" i="1"/>
  <c r="CN73" i="1"/>
  <c r="CN78" i="1" s="1"/>
  <c r="CL73" i="1"/>
  <c r="CL78" i="1" s="1"/>
  <c r="BN17" i="1"/>
  <c r="CG17" i="1"/>
  <c r="BP17" i="1"/>
  <c r="CI17" i="1"/>
  <c r="Z57" i="1"/>
  <c r="BM23" i="1"/>
  <c r="CF23" i="1"/>
  <c r="CG23" i="1"/>
  <c r="BN23" i="1"/>
  <c r="BO23" i="1"/>
  <c r="CH23" i="1"/>
  <c r="BQ23" i="1"/>
  <c r="CJ23" i="1"/>
  <c r="CK23" i="1"/>
  <c r="BR23" i="1"/>
  <c r="BP21" i="1"/>
  <c r="CI21" i="1"/>
  <c r="AB28" i="1"/>
  <c r="CK25" i="1"/>
  <c r="BS25" i="1"/>
  <c r="CF38" i="1"/>
  <c r="BM38" i="1"/>
  <c r="K46" i="1"/>
  <c r="BN38" i="1"/>
  <c r="CG38" i="1"/>
  <c r="CH38" i="1"/>
  <c r="BO38" i="1"/>
  <c r="CI41" i="1"/>
  <c r="CI44" i="1" s="1"/>
  <c r="BP41" i="1"/>
  <c r="BP44" i="1" s="1"/>
  <c r="BQ41" i="1"/>
  <c r="CJ41" i="1"/>
  <c r="CK41" i="1"/>
  <c r="BR41" i="1"/>
  <c r="BS42" i="1"/>
  <c r="CK42" i="1"/>
  <c r="BM53" i="1"/>
  <c r="CF53" i="1"/>
  <c r="CG53" i="1"/>
  <c r="BN53" i="1"/>
  <c r="BO53" i="1"/>
  <c r="CH53" i="1"/>
  <c r="W56" i="1"/>
  <c r="W57" i="1" s="1"/>
  <c r="BQ53" i="1"/>
  <c r="BQ56" i="1" s="1"/>
  <c r="CJ53" i="1"/>
  <c r="CK53" i="1"/>
  <c r="BR53" i="1"/>
  <c r="AI56" i="1"/>
  <c r="CM55" i="1"/>
  <c r="CO55" i="1"/>
  <c r="BM62" i="1"/>
  <c r="CF62" i="1"/>
  <c r="BS62" i="1"/>
  <c r="BS73" i="1" s="1"/>
  <c r="BS78" i="1" s="1"/>
  <c r="CQ62" i="1"/>
  <c r="CQ73" i="1" s="1"/>
  <c r="CQ78" i="1" s="1"/>
  <c r="K167" i="1"/>
  <c r="CG63" i="1"/>
  <c r="BN63" i="1"/>
  <c r="CG65" i="1"/>
  <c r="BN65" i="1"/>
  <c r="CH64" i="1"/>
  <c r="BO64" i="1"/>
  <c r="CJ64" i="1"/>
  <c r="BQ64" i="1"/>
  <c r="BR64" i="1"/>
  <c r="CK64" i="1"/>
  <c r="AF73" i="1"/>
  <c r="BT62" i="1"/>
  <c r="BT160" i="1" s="1"/>
  <c r="AO69" i="1"/>
  <c r="BT86" i="1"/>
  <c r="CM86" i="1"/>
  <c r="CM87" i="1" s="1"/>
  <c r="BU86" i="1"/>
  <c r="AL85" i="1"/>
  <c r="CN86" i="1"/>
  <c r="BV86" i="1"/>
  <c r="CO86" i="1"/>
  <c r="CO87" i="1" s="1"/>
  <c r="AR85" i="1"/>
  <c r="BW86" i="1"/>
  <c r="CP86" i="1"/>
  <c r="AV85" i="1"/>
  <c r="AV91" i="1" s="1"/>
  <c r="AV94" i="1" s="1"/>
  <c r="BX86" i="1"/>
  <c r="CQ86" i="1"/>
  <c r="CQ87" i="1" s="1"/>
  <c r="CL88" i="1"/>
  <c r="CL89" i="1" s="1"/>
  <c r="BS88" i="1"/>
  <c r="CM88" i="1"/>
  <c r="BU88" i="1"/>
  <c r="CO88" i="1"/>
  <c r="BW88" i="1"/>
  <c r="CQ88" i="1"/>
  <c r="BP90" i="1"/>
  <c r="BP85" i="1" s="1"/>
  <c r="BP91" i="1" s="1"/>
  <c r="CI90" i="1"/>
  <c r="BQ90" i="1"/>
  <c r="BQ85" i="1" s="1"/>
  <c r="CJ90" i="1"/>
  <c r="AA85" i="1"/>
  <c r="BR90" i="1"/>
  <c r="BR85" i="1" s="1"/>
  <c r="BR91" i="1" s="1"/>
  <c r="CK90" i="1"/>
  <c r="BM103" i="1"/>
  <c r="CF103" i="1"/>
  <c r="BO103" i="1"/>
  <c r="CH103" i="1"/>
  <c r="BQ103" i="1"/>
  <c r="CJ103" i="1"/>
  <c r="BM132" i="1"/>
  <c r="CF132" i="1"/>
  <c r="BN132" i="1"/>
  <c r="CG132" i="1"/>
  <c r="BO132" i="1"/>
  <c r="CH132" i="1"/>
  <c r="BP132" i="1"/>
  <c r="CI132" i="1"/>
  <c r="BQ132" i="1"/>
  <c r="CJ132" i="1"/>
  <c r="BR132" i="1"/>
  <c r="CK132" i="1"/>
  <c r="BS132" i="1"/>
  <c r="CL132" i="1"/>
  <c r="BT132" i="1"/>
  <c r="CM132" i="1"/>
  <c r="BU132" i="1"/>
  <c r="CN132" i="1"/>
  <c r="BV132" i="1"/>
  <c r="CO132" i="1"/>
  <c r="BW132" i="1"/>
  <c r="CP132" i="1"/>
  <c r="BX132" i="1"/>
  <c r="CQ132" i="1"/>
  <c r="AZ58" i="1"/>
  <c r="CQ55" i="1"/>
  <c r="BY55" i="1"/>
  <c r="AF11" i="1"/>
  <c r="AX68" i="1"/>
  <c r="D68" i="1"/>
  <c r="BM67" i="1"/>
  <c r="Z115" i="1"/>
  <c r="Z129" i="1" s="1"/>
  <c r="BO67" i="1"/>
  <c r="AT73" i="1"/>
  <c r="AJ73" i="1"/>
  <c r="CI65" i="1"/>
  <c r="BP65" i="1"/>
  <c r="BT56" i="1"/>
  <c r="BT58" i="1"/>
  <c r="BO17" i="1"/>
  <c r="CH17" i="1"/>
  <c r="BQ17" i="1"/>
  <c r="CJ17" i="1"/>
  <c r="D35" i="1"/>
  <c r="BM17" i="1"/>
  <c r="F59" i="1"/>
  <c r="CF17" i="1"/>
  <c r="BM21" i="1"/>
  <c r="CF21" i="1"/>
  <c r="BN21" i="1"/>
  <c r="CG21" i="1"/>
  <c r="O60" i="2"/>
  <c r="BO21" i="1"/>
  <c r="CH21" i="1"/>
  <c r="BQ21" i="1"/>
  <c r="CJ21" i="1"/>
  <c r="BR21" i="1"/>
  <c r="CK21" i="1"/>
  <c r="CI23" i="1"/>
  <c r="BP23" i="1"/>
  <c r="AE28" i="1"/>
  <c r="CL25" i="1"/>
  <c r="BM41" i="1"/>
  <c r="CF41" i="1"/>
  <c r="CG41" i="1"/>
  <c r="BN41" i="1"/>
  <c r="BO41" i="1"/>
  <c r="CH41" i="1"/>
  <c r="CJ38" i="1"/>
  <c r="BQ38" i="1"/>
  <c r="BR38" i="1"/>
  <c r="CK38" i="1"/>
  <c r="BS43" i="1"/>
  <c r="CK43" i="1"/>
  <c r="CF50" i="1"/>
  <c r="BM50" i="1"/>
  <c r="BN50" i="1"/>
  <c r="CG50" i="1"/>
  <c r="CH50" i="1"/>
  <c r="BO50" i="1"/>
  <c r="CI53" i="1"/>
  <c r="CI56" i="1" s="1"/>
  <c r="CI57" i="1" s="1"/>
  <c r="BP53" i="1"/>
  <c r="BP56" i="1" s="1"/>
  <c r="BP57" i="1" s="1"/>
  <c r="BR50" i="1"/>
  <c r="CK50" i="1"/>
  <c r="CK55" i="1"/>
  <c r="BS55" i="1"/>
  <c r="CL55" i="1"/>
  <c r="AV58" i="1"/>
  <c r="BX55" i="1"/>
  <c r="CP55" i="1"/>
  <c r="BO62" i="1"/>
  <c r="N160" i="1"/>
  <c r="CH62" i="1"/>
  <c r="BR62" i="1"/>
  <c r="Z73" i="1"/>
  <c r="CK62" i="1"/>
  <c r="BP64" i="1"/>
  <c r="CI64" i="1"/>
  <c r="BN64" i="1"/>
  <c r="CG64" i="1"/>
  <c r="BO63" i="1"/>
  <c r="CH63" i="1"/>
  <c r="BO65" i="1"/>
  <c r="CH65" i="1"/>
  <c r="BQ65" i="1"/>
  <c r="CJ65" i="1"/>
  <c r="AA167" i="1"/>
  <c r="CK63" i="1"/>
  <c r="BR63" i="1"/>
  <c r="CK65" i="1"/>
  <c r="BR65" i="1"/>
  <c r="BW62" i="1"/>
  <c r="BW73" i="1" s="1"/>
  <c r="BW78" i="1" s="1"/>
  <c r="AS69" i="1"/>
  <c r="AK69" i="1"/>
  <c r="AL69" i="1" s="1"/>
  <c r="CN69" i="1" s="1"/>
  <c r="BU69" i="1"/>
  <c r="BS86" i="1"/>
  <c r="BS87" i="1" s="1"/>
  <c r="CL86" i="1"/>
  <c r="BM90" i="1"/>
  <c r="CF90" i="1"/>
  <c r="K85" i="1"/>
  <c r="BN90" i="1"/>
  <c r="CG90" i="1"/>
  <c r="BO90" i="1"/>
  <c r="CH90" i="1"/>
  <c r="CH85" i="1" s="1"/>
  <c r="CH91" i="1" s="1"/>
  <c r="BN103" i="1"/>
  <c r="CG103" i="1"/>
  <c r="BP103" i="1"/>
  <c r="CI103" i="1"/>
  <c r="BR103" i="1"/>
  <c r="CK103" i="1"/>
  <c r="AZ73" i="1"/>
  <c r="AZ78" i="1" s="1"/>
  <c r="AZ112" i="48" s="1"/>
  <c r="BY62" i="1"/>
  <c r="AU16" i="48"/>
  <c r="AU24" i="48" s="1"/>
  <c r="AU27" i="48" s="1"/>
  <c r="AU70" i="48"/>
  <c r="AU79" i="48" s="1"/>
  <c r="AU82" i="48" s="1"/>
  <c r="BA81" i="3"/>
  <c r="H80" i="2"/>
  <c r="H93" i="2"/>
  <c r="AU114" i="1"/>
  <c r="S93" i="1"/>
  <c r="S94" i="1"/>
  <c r="BY80" i="2"/>
  <c r="BY93" i="2"/>
  <c r="BU93" i="2"/>
  <c r="BU80" i="2"/>
  <c r="AE203" i="48"/>
  <c r="AE204" i="48" s="1"/>
  <c r="AE176" i="48"/>
  <c r="AZ54" i="48"/>
  <c r="AZ55" i="48"/>
  <c r="BW80" i="2"/>
  <c r="BW93" i="2"/>
  <c r="CP52" i="48"/>
  <c r="CQ57" i="2"/>
  <c r="AG85" i="48"/>
  <c r="N80" i="2"/>
  <c r="N93" i="2"/>
  <c r="AB124" i="48"/>
  <c r="AB12" i="48"/>
  <c r="BD108" i="3"/>
  <c r="BD65" i="3"/>
  <c r="BD79" i="3" s="1"/>
  <c r="BD87" i="3" s="1"/>
  <c r="AM212" i="48"/>
  <c r="D114" i="1"/>
  <c r="AG26" i="1"/>
  <c r="AY94" i="1"/>
  <c r="N68" i="1"/>
  <c r="AG183" i="48"/>
  <c r="D104" i="1"/>
  <c r="S35" i="1"/>
  <c r="AD34" i="1"/>
  <c r="J80" i="1"/>
  <c r="J98" i="1" s="1"/>
  <c r="AE80" i="1"/>
  <c r="AF28" i="1"/>
  <c r="CK82" i="2"/>
  <c r="AY51" i="48"/>
  <c r="O140" i="48"/>
  <c r="AQ87" i="48"/>
  <c r="AU93" i="1"/>
  <c r="AQ91" i="1"/>
  <c r="AQ32" i="48"/>
  <c r="BA92" i="3"/>
  <c r="CQ86" i="2"/>
  <c r="CQ53" i="2"/>
  <c r="BN65" i="3"/>
  <c r="BN79" i="3" s="1"/>
  <c r="BN87" i="3" s="1"/>
  <c r="S65" i="3"/>
  <c r="S79" i="3" s="1"/>
  <c r="S87" i="3" s="1"/>
  <c r="N104" i="1"/>
  <c r="BR81" i="2"/>
  <c r="BR82" i="2" s="1"/>
  <c r="CI81" i="2"/>
  <c r="BA98" i="48"/>
  <c r="BC49" i="3"/>
  <c r="BY49" i="3" s="1"/>
  <c r="BY148" i="3" s="1"/>
  <c r="AD68" i="1"/>
  <c r="AD74" i="1" s="1"/>
  <c r="CQ149" i="1"/>
  <c r="V80" i="2"/>
  <c r="BM80" i="2"/>
  <c r="Q141" i="48"/>
  <c r="BW86" i="2"/>
  <c r="BA108" i="3"/>
  <c r="BA65" i="3"/>
  <c r="BA79" i="3" s="1"/>
  <c r="BA87" i="3" s="1"/>
  <c r="AG79" i="1"/>
  <c r="AI42" i="48"/>
  <c r="CO84" i="2"/>
  <c r="AI84" i="2"/>
  <c r="AM84" i="2"/>
  <c r="AQ84" i="2"/>
  <c r="AS89" i="2"/>
  <c r="AX61" i="48"/>
  <c r="BN248" i="48"/>
  <c r="J252" i="48"/>
  <c r="J254" i="48" s="1"/>
  <c r="AL252" i="48"/>
  <c r="AL254" i="48" s="1"/>
  <c r="AB252" i="48"/>
  <c r="AB254" i="48" s="1"/>
  <c r="G78" i="1"/>
  <c r="R52" i="1"/>
  <c r="R40" i="1"/>
  <c r="AY111" i="48"/>
  <c r="AY32" i="1"/>
  <c r="AY98" i="48" s="1"/>
  <c r="AY95" i="48" s="1"/>
  <c r="AY97" i="48" s="1"/>
  <c r="H60" i="1"/>
  <c r="L60" i="1"/>
  <c r="T60" i="1"/>
  <c r="X60" i="1"/>
  <c r="AT60" i="1"/>
  <c r="AP60" i="1"/>
  <c r="CO86" i="2"/>
  <c r="X141" i="48"/>
  <c r="AB141" i="48"/>
  <c r="AJ141" i="48"/>
  <c r="AR124" i="48"/>
  <c r="T84" i="2"/>
  <c r="CJ12" i="48"/>
  <c r="L57" i="2"/>
  <c r="G84" i="2"/>
  <c r="K84" i="2"/>
  <c r="O84" i="2"/>
  <c r="W84" i="2"/>
  <c r="AE84" i="2"/>
  <c r="F86" i="2"/>
  <c r="N86" i="2"/>
  <c r="R86" i="2"/>
  <c r="Z86" i="2"/>
  <c r="AD86" i="2"/>
  <c r="AJ84" i="2"/>
  <c r="AN84" i="2"/>
  <c r="AR84" i="2"/>
  <c r="AV84" i="2"/>
  <c r="AG89" i="2"/>
  <c r="AJ86" i="2"/>
  <c r="AN89" i="2"/>
  <c r="I252" i="48"/>
  <c r="I254" i="48" s="1"/>
  <c r="Q252" i="48"/>
  <c r="Q254" i="48" s="1"/>
  <c r="Z260" i="48"/>
  <c r="BN263" i="48"/>
  <c r="P115" i="1"/>
  <c r="P129" i="1" s="1"/>
  <c r="X115" i="1"/>
  <c r="X129" i="1" s="1"/>
  <c r="P78" i="1"/>
  <c r="J78" i="1"/>
  <c r="J112" i="48" s="1"/>
  <c r="X78" i="1"/>
  <c r="E78" i="1"/>
  <c r="V57" i="1"/>
  <c r="AN40" i="1"/>
  <c r="K56" i="1"/>
  <c r="M45" i="1"/>
  <c r="P59" i="1"/>
  <c r="L33" i="1"/>
  <c r="L34" i="1" s="1"/>
  <c r="AI74" i="1"/>
  <c r="AW74" i="1"/>
  <c r="AY74" i="1"/>
  <c r="AL48" i="1"/>
  <c r="AX60" i="1"/>
  <c r="AI85" i="1"/>
  <c r="AW85" i="1"/>
  <c r="AW91" i="1" s="1"/>
  <c r="BV173" i="1"/>
  <c r="BR153" i="1"/>
  <c r="CK149" i="1"/>
  <c r="CJ145" i="1"/>
  <c r="CN145" i="1"/>
  <c r="BU149" i="1"/>
  <c r="CJ149" i="1"/>
  <c r="CN149" i="1"/>
  <c r="V75" i="1"/>
  <c r="V71" i="1"/>
  <c r="J81" i="1"/>
  <c r="BO81" i="2"/>
  <c r="BO82" i="2" s="1"/>
  <c r="AB93" i="2"/>
  <c r="AB80" i="2"/>
  <c r="BD98" i="2"/>
  <c r="BY98" i="2"/>
  <c r="G17" i="3"/>
  <c r="CF17" i="3" s="1"/>
  <c r="CF116" i="3" s="1"/>
  <c r="M34" i="1"/>
  <c r="BR60" i="2"/>
  <c r="AD96" i="1"/>
  <c r="AD112" i="48"/>
  <c r="AD79" i="1"/>
  <c r="AE88" i="48"/>
  <c r="AH85" i="48"/>
  <c r="AH88" i="48"/>
  <c r="AH95" i="48" s="1"/>
  <c r="BO84" i="2"/>
  <c r="AI45" i="48"/>
  <c r="G71" i="1"/>
  <c r="BC17" i="48"/>
  <c r="O36" i="1"/>
  <c r="CG60" i="2"/>
  <c r="AM58" i="1"/>
  <c r="AN55" i="1"/>
  <c r="BV55" i="1" s="1"/>
  <c r="AM56" i="1"/>
  <c r="BH31" i="2"/>
  <c r="BI31" i="2" s="1"/>
  <c r="BZ31" i="2"/>
  <c r="N135" i="1"/>
  <c r="N137" i="1" s="1"/>
  <c r="N131" i="1"/>
  <c r="L75" i="1"/>
  <c r="L71" i="1"/>
  <c r="AE48" i="1"/>
  <c r="AA48" i="1"/>
  <c r="BC42" i="2"/>
  <c r="BB150" i="3"/>
  <c r="AK51" i="48"/>
  <c r="AK49" i="48"/>
  <c r="S82" i="2"/>
  <c r="S86" i="2"/>
  <c r="AQ93" i="2"/>
  <c r="AQ80" i="2"/>
  <c r="AA80" i="2"/>
  <c r="AA93" i="2"/>
  <c r="AC32" i="48"/>
  <c r="Y39" i="48"/>
  <c r="BT111" i="48"/>
  <c r="AA52" i="1"/>
  <c r="AA40" i="1"/>
  <c r="O111" i="48"/>
  <c r="O115" i="48" s="1"/>
  <c r="O32" i="1"/>
  <c r="O78" i="1"/>
  <c r="Y83" i="3"/>
  <c r="Y84" i="3" s="1"/>
  <c r="Y80" i="3"/>
  <c r="Y81" i="3" s="1"/>
  <c r="Z14" i="3"/>
  <c r="BR35" i="3"/>
  <c r="BR134" i="3" s="1"/>
  <c r="BD48" i="3"/>
  <c r="AZ32" i="48"/>
  <c r="AV32" i="48"/>
  <c r="AV30" i="48"/>
  <c r="AR85" i="48"/>
  <c r="AV87" i="48"/>
  <c r="AR87" i="48"/>
  <c r="AJ12" i="48"/>
  <c r="AJ124" i="48"/>
  <c r="AT66" i="3"/>
  <c r="AT70" i="3"/>
  <c r="AU34" i="3"/>
  <c r="CM28" i="3"/>
  <c r="CM127" i="3" s="1"/>
  <c r="BT28" i="3"/>
  <c r="BT127" i="3" s="1"/>
  <c r="AE39" i="3"/>
  <c r="CL39" i="3" s="1"/>
  <c r="CL138" i="3" s="1"/>
  <c r="AA39" i="3"/>
  <c r="BR39" i="3" s="1"/>
  <c r="BR138" i="3" s="1"/>
  <c r="AU24" i="3"/>
  <c r="CP24" i="3" s="1"/>
  <c r="CP123" i="3" s="1"/>
  <c r="K65" i="3"/>
  <c r="K79" i="3" s="1"/>
  <c r="K87" i="3" s="1"/>
  <c r="K108" i="3"/>
  <c r="Z9" i="3"/>
  <c r="Z52" i="2"/>
  <c r="Z63" i="2" s="1"/>
  <c r="BS83" i="2"/>
  <c r="BS84" i="2" s="1"/>
  <c r="BS82" i="2"/>
  <c r="J57" i="2"/>
  <c r="J53" i="2"/>
  <c r="CO76" i="2"/>
  <c r="AS77" i="2"/>
  <c r="AM88" i="2"/>
  <c r="AM89" i="2" s="1"/>
  <c r="AM86" i="2"/>
  <c r="AX86" i="2"/>
  <c r="AX88" i="2"/>
  <c r="AX89" i="2" s="1"/>
  <c r="Z13" i="3"/>
  <c r="AW13" i="3"/>
  <c r="AX13" i="3" s="1"/>
  <c r="N140" i="48"/>
  <c r="BO140" i="48" s="1"/>
  <c r="N148" i="48"/>
  <c r="N149" i="48" s="1"/>
  <c r="N151" i="48" s="1"/>
  <c r="N138" i="48"/>
  <c r="BO138" i="48" s="1"/>
  <c r="N137" i="48"/>
  <c r="N139" i="48"/>
  <c r="S140" i="48"/>
  <c r="S114" i="48"/>
  <c r="S139" i="48"/>
  <c r="S148" i="48"/>
  <c r="S149" i="48" s="1"/>
  <c r="S151" i="48" s="1"/>
  <c r="V140" i="48"/>
  <c r="V139" i="48"/>
  <c r="BQ139" i="48" s="1"/>
  <c r="V137" i="48"/>
  <c r="V148" i="48"/>
  <c r="V149" i="48" s="1"/>
  <c r="V151" i="48" s="1"/>
  <c r="V138" i="48"/>
  <c r="AH140" i="48"/>
  <c r="AH182" i="48"/>
  <c r="AH120" i="48"/>
  <c r="AH29" i="48" s="1"/>
  <c r="AH121" i="48"/>
  <c r="AH139" i="48"/>
  <c r="AH122" i="48"/>
  <c r="AH137" i="48"/>
  <c r="AA159" i="1"/>
  <c r="BR160" i="1"/>
  <c r="AA73" i="1"/>
  <c r="AA67" i="1"/>
  <c r="CK67" i="1" s="1"/>
  <c r="CK68" i="1" s="1"/>
  <c r="CK70" i="1" s="1"/>
  <c r="AA160" i="1"/>
  <c r="F115" i="1"/>
  <c r="F129" i="1" s="1"/>
  <c r="G112" i="48"/>
  <c r="G79" i="1"/>
  <c r="G96" i="1"/>
  <c r="G97" i="1" s="1"/>
  <c r="I48" i="1"/>
  <c r="M48" i="1"/>
  <c r="I47" i="1"/>
  <c r="S47" i="1"/>
  <c r="AP48" i="1"/>
  <c r="AX48" i="1"/>
  <c r="CL160" i="1"/>
  <c r="CL159" i="1"/>
  <c r="S56" i="1"/>
  <c r="AB58" i="1"/>
  <c r="AB56" i="1"/>
  <c r="AJ32" i="48"/>
  <c r="AF186" i="48"/>
  <c r="AZ12" i="48"/>
  <c r="AZ124" i="48"/>
  <c r="AX93" i="2"/>
  <c r="AX80" i="2"/>
  <c r="CG80" i="2"/>
  <c r="CG93" i="2"/>
  <c r="BV111" i="48"/>
  <c r="AH171" i="48"/>
  <c r="AQ85" i="48"/>
  <c r="AI71" i="3"/>
  <c r="AI49" i="2"/>
  <c r="AU48" i="3"/>
  <c r="CP48" i="3" s="1"/>
  <c r="CP147" i="3" s="1"/>
  <c r="AT37" i="3"/>
  <c r="CO13" i="3"/>
  <c r="CO112" i="3" s="1"/>
  <c r="AQ13" i="3"/>
  <c r="BV13" i="3" s="1"/>
  <c r="AD108" i="3"/>
  <c r="AD65" i="3"/>
  <c r="AD79" i="3" s="1"/>
  <c r="AD87" i="3" s="1"/>
  <c r="BW47" i="2"/>
  <c r="BW83" i="2"/>
  <c r="BW84" i="2" s="1"/>
  <c r="BW82" i="2"/>
  <c r="CH83" i="2"/>
  <c r="CH84" i="2" s="1"/>
  <c r="CH82" i="2"/>
  <c r="AN55" i="2"/>
  <c r="AN54" i="2" s="1"/>
  <c r="AN56" i="2"/>
  <c r="CN77" i="2"/>
  <c r="AQ88" i="2"/>
  <c r="AQ89" i="2" s="1"/>
  <c r="AQ86" i="2"/>
  <c r="AI107" i="2"/>
  <c r="BT107" i="2" s="1"/>
  <c r="BT102" i="2"/>
  <c r="AJ102" i="2"/>
  <c r="I13" i="3"/>
  <c r="J13" i="3" s="1"/>
  <c r="CF13" i="3"/>
  <c r="CF112" i="3" s="1"/>
  <c r="AD122" i="48"/>
  <c r="AD140" i="48"/>
  <c r="AD119" i="48"/>
  <c r="AD148" i="48"/>
  <c r="AD149" i="48" s="1"/>
  <c r="AD151" i="48" s="1"/>
  <c r="AD120" i="48"/>
  <c r="AD29" i="48" s="1"/>
  <c r="AD121" i="48"/>
  <c r="AD211" i="48"/>
  <c r="AD139" i="48"/>
  <c r="AD123" i="48"/>
  <c r="AL123" i="48"/>
  <c r="AL84" i="48" s="1"/>
  <c r="BU84" i="48" s="1"/>
  <c r="BU88" i="48" s="1"/>
  <c r="AL121" i="48"/>
  <c r="AL48" i="48" s="1"/>
  <c r="AL137" i="48"/>
  <c r="AL140" i="48"/>
  <c r="AL120" i="48"/>
  <c r="AL29" i="48" s="1"/>
  <c r="AL122" i="48"/>
  <c r="AL66" i="48" s="1"/>
  <c r="AL138" i="48"/>
  <c r="AL171" i="48" s="1"/>
  <c r="AL119" i="48"/>
  <c r="AB193" i="48"/>
  <c r="BS193" i="48" s="1"/>
  <c r="BS189" i="48"/>
  <c r="BS185" i="48" s="1"/>
  <c r="BU196" i="48"/>
  <c r="AJ199" i="48"/>
  <c r="AS94" i="1"/>
  <c r="AS93" i="1"/>
  <c r="AL78" i="1"/>
  <c r="G122" i="1"/>
  <c r="G26" i="1"/>
  <c r="AV32" i="1"/>
  <c r="AV111" i="48"/>
  <c r="S122" i="1"/>
  <c r="S44" i="1"/>
  <c r="E45" i="1"/>
  <c r="E74" i="1"/>
  <c r="F47" i="1"/>
  <c r="J48" i="1"/>
  <c r="Q45" i="1"/>
  <c r="V45" i="1"/>
  <c r="AC74" i="1"/>
  <c r="AC45" i="1"/>
  <c r="R48" i="1"/>
  <c r="N48" i="1"/>
  <c r="AD48" i="1"/>
  <c r="AT48" i="1"/>
  <c r="CL28" i="3"/>
  <c r="CL127" i="3" s="1"/>
  <c r="AJ49" i="48"/>
  <c r="AG96" i="1"/>
  <c r="AG91" i="1"/>
  <c r="BW173" i="1"/>
  <c r="BS173" i="1"/>
  <c r="E73" i="3"/>
  <c r="E76" i="3" s="1"/>
  <c r="D70" i="3"/>
  <c r="BD28" i="3"/>
  <c r="BE20" i="2"/>
  <c r="CF19" i="3"/>
  <c r="CF118" i="3" s="1"/>
  <c r="BM19" i="3"/>
  <c r="BM118" i="3" s="1"/>
  <c r="Y100" i="48"/>
  <c r="Y49" i="48"/>
  <c r="AN80" i="2"/>
  <c r="AN93" i="2"/>
  <c r="BC40" i="3"/>
  <c r="BY24" i="2"/>
  <c r="BD24" i="2"/>
  <c r="BE24" i="2" s="1"/>
  <c r="K32" i="1"/>
  <c r="K111" i="48"/>
  <c r="AR13" i="48"/>
  <c r="AH12" i="48"/>
  <c r="J37" i="3"/>
  <c r="AH36" i="3"/>
  <c r="AY36" i="3"/>
  <c r="BX36" i="3" s="1"/>
  <c r="BX135" i="3" s="1"/>
  <c r="D108" i="3"/>
  <c r="D65" i="3"/>
  <c r="D79" i="3" s="1"/>
  <c r="D87" i="3" s="1"/>
  <c r="W108" i="3"/>
  <c r="W65" i="3"/>
  <c r="W79" i="3" s="1"/>
  <c r="W87" i="3" s="1"/>
  <c r="AD53" i="2"/>
  <c r="AD57" i="2"/>
  <c r="AW84" i="2"/>
  <c r="AW89" i="2"/>
  <c r="AI88" i="2"/>
  <c r="AI89" i="2" s="1"/>
  <c r="AI86" i="2"/>
  <c r="AU88" i="2"/>
  <c r="AU89" i="2" s="1"/>
  <c r="AU86" i="2"/>
  <c r="F57" i="1"/>
  <c r="H57" i="1"/>
  <c r="M57" i="1"/>
  <c r="M74" i="1"/>
  <c r="R57" i="1"/>
  <c r="X57" i="1"/>
  <c r="AD57" i="1"/>
  <c r="J123" i="1"/>
  <c r="AK123" i="1"/>
  <c r="BA51" i="48"/>
  <c r="BA53" i="48"/>
  <c r="AI61" i="48"/>
  <c r="AI64" i="48" s="1"/>
  <c r="J82" i="1"/>
  <c r="AY15" i="48"/>
  <c r="AY17" i="48"/>
  <c r="CN159" i="1"/>
  <c r="BP14" i="3"/>
  <c r="S166" i="1"/>
  <c r="P34" i="1"/>
  <c r="AY79" i="1"/>
  <c r="AU67" i="48"/>
  <c r="CP66" i="48"/>
  <c r="AM48" i="48"/>
  <c r="AM124" i="48"/>
  <c r="AI30" i="48"/>
  <c r="R71" i="1"/>
  <c r="R75" i="1"/>
  <c r="AK69" i="3"/>
  <c r="AL17" i="3"/>
  <c r="CQ160" i="3"/>
  <c r="CQ133" i="3"/>
  <c r="CQ66" i="3"/>
  <c r="BE29" i="3"/>
  <c r="BE128" i="3" s="1"/>
  <c r="BF128" i="3" s="1"/>
  <c r="G91" i="1"/>
  <c r="AJ51" i="48"/>
  <c r="AF91" i="1"/>
  <c r="BV56" i="2"/>
  <c r="AK85" i="48"/>
  <c r="AK87" i="48"/>
  <c r="AR15" i="48"/>
  <c r="CM82" i="2"/>
  <c r="CM86" i="2"/>
  <c r="CM84" i="2"/>
  <c r="AT91" i="1"/>
  <c r="AP100" i="48"/>
  <c r="Y30" i="48"/>
  <c r="N34" i="1"/>
  <c r="BN60" i="2"/>
  <c r="W48" i="1"/>
  <c r="W47" i="1"/>
  <c r="Y113" i="1"/>
  <c r="Y130" i="1" s="1"/>
  <c r="Y97" i="1"/>
  <c r="Y104" i="1"/>
  <c r="AT87" i="48"/>
  <c r="K45" i="1"/>
  <c r="AC104" i="1"/>
  <c r="AC113" i="1"/>
  <c r="AC97" i="1"/>
  <c r="BU34" i="3"/>
  <c r="AM66" i="3"/>
  <c r="BN15" i="3"/>
  <c r="BN114" i="3" s="1"/>
  <c r="CG15" i="3"/>
  <c r="CG114" i="3" s="1"/>
  <c r="AO74" i="1"/>
  <c r="AZ49" i="2"/>
  <c r="CH18" i="3"/>
  <c r="CH117" i="3" s="1"/>
  <c r="BO18" i="3"/>
  <c r="BO117" i="3" s="1"/>
  <c r="O17" i="3"/>
  <c r="O69" i="3" s="1"/>
  <c r="N69" i="3"/>
  <c r="BD34" i="2"/>
  <c r="BY34" i="2"/>
  <c r="BC30" i="3"/>
  <c r="BX92" i="3"/>
  <c r="BX68" i="3"/>
  <c r="CO48" i="3"/>
  <c r="CO147" i="3" s="1"/>
  <c r="G50" i="3"/>
  <c r="BM50" i="3" s="1"/>
  <c r="BM149" i="3" s="1"/>
  <c r="AP91" i="3"/>
  <c r="AP166" i="1"/>
  <c r="AP83" i="3"/>
  <c r="AB183" i="48"/>
  <c r="AB184" i="48" s="1"/>
  <c r="AB176" i="48" s="1"/>
  <c r="AB178" i="48" s="1"/>
  <c r="AB179" i="48" s="1"/>
  <c r="CM80" i="2"/>
  <c r="CM93" i="2"/>
  <c r="CL93" i="2"/>
  <c r="CL80" i="2"/>
  <c r="CH80" i="2"/>
  <c r="CH93" i="2"/>
  <c r="BG80" i="2"/>
  <c r="BG93" i="2"/>
  <c r="AI93" i="2"/>
  <c r="AI80" i="2"/>
  <c r="Y53" i="2"/>
  <c r="BQ246" i="48"/>
  <c r="BQ110" i="48"/>
  <c r="BQ156" i="48"/>
  <c r="W32" i="1"/>
  <c r="BS27" i="2"/>
  <c r="BS71" i="3" s="1"/>
  <c r="BS90" i="2"/>
  <c r="BW44" i="3"/>
  <c r="BW143" i="3" s="1"/>
  <c r="CP44" i="3"/>
  <c r="CP143" i="3" s="1"/>
  <c r="CK40" i="3"/>
  <c r="CK139" i="3" s="1"/>
  <c r="BY48" i="3"/>
  <c r="BY147" i="3" s="1"/>
  <c r="AN48" i="48"/>
  <c r="AN49" i="48" s="1"/>
  <c r="AN124" i="48"/>
  <c r="AT69" i="48"/>
  <c r="AP68" i="2"/>
  <c r="AP74" i="2" s="1"/>
  <c r="AP77" i="2" s="1"/>
  <c r="CP47" i="2"/>
  <c r="BO47" i="2"/>
  <c r="CH47" i="2"/>
  <c r="R50" i="3"/>
  <c r="R39" i="3"/>
  <c r="CH39" i="3"/>
  <c r="CH138" i="3" s="1"/>
  <c r="AD137" i="48"/>
  <c r="N114" i="48"/>
  <c r="S137" i="48"/>
  <c r="D86" i="2"/>
  <c r="D82" i="2"/>
  <c r="D84" i="2"/>
  <c r="L84" i="2"/>
  <c r="L82" i="2"/>
  <c r="AO47" i="2"/>
  <c r="AO49" i="2" s="1"/>
  <c r="AU47" i="2"/>
  <c r="AU90" i="2"/>
  <c r="BR47" i="2"/>
  <c r="V53" i="2"/>
  <c r="V57" i="2"/>
  <c r="Z57" i="2"/>
  <c r="Z53" i="2"/>
  <c r="AH56" i="2"/>
  <c r="AH55" i="2"/>
  <c r="AH54" i="2" s="1"/>
  <c r="AL56" i="2"/>
  <c r="AL55" i="2"/>
  <c r="AL54" i="2" s="1"/>
  <c r="BS77" i="2"/>
  <c r="X74" i="2"/>
  <c r="X77" i="2" s="1"/>
  <c r="AB74" i="2"/>
  <c r="AB77" i="2" s="1"/>
  <c r="BN76" i="2"/>
  <c r="K77" i="2"/>
  <c r="AI77" i="2"/>
  <c r="V82" i="2"/>
  <c r="V84" i="2"/>
  <c r="AF84" i="2"/>
  <c r="AF86" i="2"/>
  <c r="S84" i="2"/>
  <c r="AH84" i="2"/>
  <c r="AH86" i="2"/>
  <c r="AL82" i="2"/>
  <c r="AL86" i="2"/>
  <c r="AL84" i="2"/>
  <c r="AP89" i="2"/>
  <c r="AP84" i="2"/>
  <c r="AT84" i="2"/>
  <c r="AT86" i="2"/>
  <c r="AX84" i="2"/>
  <c r="AX82" i="2"/>
  <c r="BE91" i="3"/>
  <c r="BE83" i="3"/>
  <c r="BE84" i="3" s="1"/>
  <c r="BZ14" i="3"/>
  <c r="BE166" i="1"/>
  <c r="BB134" i="3"/>
  <c r="BC134" i="3" s="1"/>
  <c r="Z151" i="3"/>
  <c r="Z46" i="3"/>
  <c r="AA46" i="3" s="1"/>
  <c r="CK46" i="3" s="1"/>
  <c r="CK145" i="3" s="1"/>
  <c r="AH151" i="3"/>
  <c r="AH47" i="3"/>
  <c r="AX151" i="3"/>
  <c r="AX47" i="3"/>
  <c r="E291" i="48"/>
  <c r="E136" i="48"/>
  <c r="E118" i="48" s="1"/>
  <c r="E127" i="48" s="1"/>
  <c r="E299" i="48"/>
  <c r="E272" i="48"/>
  <c r="E153" i="48"/>
  <c r="E147" i="48"/>
  <c r="E143" i="48"/>
  <c r="E256" i="48"/>
  <c r="E279" i="48"/>
  <c r="E223" i="48"/>
  <c r="E161" i="48"/>
  <c r="E307" i="48"/>
  <c r="E287" i="48"/>
  <c r="I291" i="48"/>
  <c r="I256" i="48"/>
  <c r="I136" i="48"/>
  <c r="I118" i="48" s="1"/>
  <c r="I127" i="48" s="1"/>
  <c r="I223" i="48"/>
  <c r="I287" i="48"/>
  <c r="I153" i="48"/>
  <c r="I272" i="48"/>
  <c r="I244" i="48"/>
  <c r="I283" i="48"/>
  <c r="I232" i="48"/>
  <c r="I299" i="48"/>
  <c r="I279" i="48"/>
  <c r="M291" i="48"/>
  <c r="M287" i="48"/>
  <c r="M283" i="48"/>
  <c r="M161" i="48"/>
  <c r="M232" i="48"/>
  <c r="M299" i="48"/>
  <c r="M256" i="48"/>
  <c r="M223" i="48"/>
  <c r="M244" i="48"/>
  <c r="M136" i="48"/>
  <c r="M118" i="48" s="1"/>
  <c r="M127" i="48" s="1"/>
  <c r="M307" i="48"/>
  <c r="M153" i="48"/>
  <c r="M147" i="48"/>
  <c r="P147" i="48"/>
  <c r="P279" i="48"/>
  <c r="P232" i="48"/>
  <c r="P244" i="48"/>
  <c r="P291" i="48"/>
  <c r="P143" i="48"/>
  <c r="P272" i="48"/>
  <c r="P283" i="48"/>
  <c r="P256" i="48"/>
  <c r="P307" i="48"/>
  <c r="P161" i="48"/>
  <c r="T272" i="48"/>
  <c r="T136" i="48"/>
  <c r="T118" i="48" s="1"/>
  <c r="T127" i="48" s="1"/>
  <c r="T147" i="48"/>
  <c r="T161" i="48"/>
  <c r="T256" i="48"/>
  <c r="T307" i="48"/>
  <c r="T279" i="48"/>
  <c r="T283" i="48"/>
  <c r="T299" i="48"/>
  <c r="T223" i="48"/>
  <c r="T244" i="48"/>
  <c r="W287" i="48"/>
  <c r="W143" i="48"/>
  <c r="W279" i="48"/>
  <c r="W223" i="48"/>
  <c r="W272" i="48"/>
  <c r="W265" i="48"/>
  <c r="W299" i="48"/>
  <c r="W256" i="48"/>
  <c r="W307" i="48"/>
  <c r="W147" i="48"/>
  <c r="W161" i="48"/>
  <c r="W244" i="48"/>
  <c r="AA307" i="48"/>
  <c r="AA287" i="48"/>
  <c r="AA136" i="48"/>
  <c r="AA118" i="48" s="1"/>
  <c r="AA127" i="48" s="1"/>
  <c r="AA244" i="48"/>
  <c r="AA223" i="48"/>
  <c r="AA161" i="48"/>
  <c r="AA265" i="48"/>
  <c r="AA299" i="48"/>
  <c r="AA153" i="48"/>
  <c r="AA291" i="48"/>
  <c r="AA232" i="48"/>
  <c r="AA272" i="48"/>
  <c r="AE307" i="48"/>
  <c r="AE232" i="48"/>
  <c r="AE287" i="48"/>
  <c r="AE283" i="48"/>
  <c r="AE223" i="48"/>
  <c r="AE147" i="48"/>
  <c r="AE143" i="48"/>
  <c r="AE299" i="48"/>
  <c r="AE136" i="48"/>
  <c r="AE118" i="48" s="1"/>
  <c r="AE127" i="48" s="1"/>
  <c r="AE153" i="48"/>
  <c r="AE256" i="48"/>
  <c r="AI307" i="48"/>
  <c r="AI232" i="48"/>
  <c r="AI136" i="48"/>
  <c r="AI118" i="48" s="1"/>
  <c r="AI127" i="48" s="1"/>
  <c r="AI283" i="48"/>
  <c r="AI287" i="48"/>
  <c r="AI244" i="48"/>
  <c r="AI299" i="48"/>
  <c r="AI265" i="48"/>
  <c r="AI153" i="48"/>
  <c r="AI291" i="48"/>
  <c r="AI272" i="48"/>
  <c r="AI256" i="48"/>
  <c r="AI143" i="48"/>
  <c r="AO307" i="48"/>
  <c r="AO287" i="48"/>
  <c r="AO161" i="48"/>
  <c r="AO147" i="48"/>
  <c r="AO232" i="48"/>
  <c r="AO265" i="48"/>
  <c r="AO283" i="48"/>
  <c r="AO143" i="48"/>
  <c r="AO244" i="48"/>
  <c r="AO291" i="48"/>
  <c r="AO223" i="48"/>
  <c r="AO153" i="48"/>
  <c r="AO136" i="48"/>
  <c r="AO118" i="48" s="1"/>
  <c r="AO127" i="48" s="1"/>
  <c r="AS256" i="48"/>
  <c r="AS272" i="48"/>
  <c r="AS299" i="48"/>
  <c r="AS287" i="48"/>
  <c r="AS279" i="48"/>
  <c r="AS232" i="48"/>
  <c r="AS136" i="48"/>
  <c r="AS283" i="48"/>
  <c r="AS147" i="48"/>
  <c r="AS291" i="48"/>
  <c r="AS161" i="48"/>
  <c r="AS223" i="48"/>
  <c r="AW307" i="48"/>
  <c r="AW272" i="48"/>
  <c r="AW153" i="48"/>
  <c r="AW147" i="48"/>
  <c r="AW279" i="48"/>
  <c r="AW287" i="48"/>
  <c r="AW161" i="48"/>
  <c r="AW244" i="48"/>
  <c r="AW223" i="48"/>
  <c r="AW143" i="48"/>
  <c r="AW291" i="48"/>
  <c r="AW299" i="48"/>
  <c r="AW136" i="48"/>
  <c r="BA291" i="48"/>
  <c r="BA287" i="48"/>
  <c r="BA279" i="48"/>
  <c r="BA161" i="48"/>
  <c r="BA272" i="48"/>
  <c r="BA283" i="48"/>
  <c r="BA153" i="48"/>
  <c r="BA143" i="48"/>
  <c r="BA223" i="48"/>
  <c r="BA299" i="48"/>
  <c r="BA136" i="48"/>
  <c r="BE283" i="48"/>
  <c r="BE143" i="48"/>
  <c r="BE265" i="48"/>
  <c r="BE153" i="48"/>
  <c r="BE147" i="48"/>
  <c r="BE279" i="48"/>
  <c r="BE136" i="48"/>
  <c r="BE299" i="48"/>
  <c r="BE291" i="48"/>
  <c r="BE223" i="48"/>
  <c r="BE256" i="48"/>
  <c r="BE244" i="48"/>
  <c r="BE161" i="48"/>
  <c r="AG202" i="48"/>
  <c r="AG204" i="48" s="1"/>
  <c r="BR288" i="48"/>
  <c r="BR281" i="48"/>
  <c r="BR289" i="48" s="1"/>
  <c r="G297" i="48"/>
  <c r="G313" i="48" s="1"/>
  <c r="G289" i="48"/>
  <c r="G305" i="48" s="1"/>
  <c r="K297" i="48"/>
  <c r="K313" i="48" s="1"/>
  <c r="K289" i="48"/>
  <c r="K305" i="48" s="1"/>
  <c r="BJ307" i="48"/>
  <c r="BJ287" i="48"/>
  <c r="BJ265" i="48"/>
  <c r="BJ223" i="48"/>
  <c r="BJ143" i="48"/>
  <c r="BJ272" i="48"/>
  <c r="BJ161" i="48"/>
  <c r="BJ256" i="48"/>
  <c r="BJ147" i="48"/>
  <c r="BJ299" i="48"/>
  <c r="BJ244" i="48"/>
  <c r="BJ136" i="48"/>
  <c r="CN60" i="2"/>
  <c r="CN55" i="2" s="1"/>
  <c r="CN54" i="2" s="1"/>
  <c r="CF167" i="1"/>
  <c r="K28" i="1"/>
  <c r="K60" i="2"/>
  <c r="K22" i="1"/>
  <c r="K26" i="1"/>
  <c r="W28" i="1"/>
  <c r="W35" i="1" s="1"/>
  <c r="W60" i="2"/>
  <c r="W22" i="1"/>
  <c r="Q26" i="1"/>
  <c r="Q167" i="1"/>
  <c r="AN32" i="1"/>
  <c r="AN78" i="1"/>
  <c r="AT32" i="1"/>
  <c r="AT111" i="48"/>
  <c r="AT95" i="48" s="1"/>
  <c r="AW82" i="48"/>
  <c r="AW79" i="48" s="1"/>
  <c r="AX80" i="48" s="1"/>
  <c r="AW64" i="48"/>
  <c r="AW61" i="48" s="1"/>
  <c r="AW45" i="48"/>
  <c r="AW27" i="48"/>
  <c r="AW98" i="48"/>
  <c r="G160" i="1"/>
  <c r="G44" i="1"/>
  <c r="G46" i="1"/>
  <c r="W40" i="1"/>
  <c r="W44" i="1"/>
  <c r="AB44" i="1"/>
  <c r="AB46" i="1"/>
  <c r="AB115" i="1"/>
  <c r="AB129" i="1" s="1"/>
  <c r="BS129" i="1" s="1"/>
  <c r="K62" i="1"/>
  <c r="CG62" i="1" s="1"/>
  <c r="AG69" i="1"/>
  <c r="AF125" i="1"/>
  <c r="E91" i="1"/>
  <c r="R93" i="1"/>
  <c r="V91" i="1"/>
  <c r="V94" i="1" s="1"/>
  <c r="AB91" i="1"/>
  <c r="S108" i="1"/>
  <c r="S110" i="1"/>
  <c r="AU114" i="48"/>
  <c r="CQ88" i="48"/>
  <c r="AE98" i="1"/>
  <c r="AU15" i="48"/>
  <c r="CK44" i="3"/>
  <c r="CK143" i="3" s="1"/>
  <c r="S83" i="3"/>
  <c r="CQ48" i="48"/>
  <c r="BU48" i="48"/>
  <c r="AY96" i="1"/>
  <c r="BT86" i="2"/>
  <c r="CO46" i="3"/>
  <c r="CO145" i="3" s="1"/>
  <c r="AL13" i="3"/>
  <c r="K122" i="1"/>
  <c r="BM60" i="2"/>
  <c r="BU173" i="1"/>
  <c r="O93" i="1"/>
  <c r="CG167" i="1"/>
  <c r="AM96" i="1"/>
  <c r="AM91" i="1"/>
  <c r="AM141" i="48"/>
  <c r="BE287" i="48"/>
  <c r="W232" i="48"/>
  <c r="P299" i="48"/>
  <c r="BG33" i="2"/>
  <c r="CR15" i="2"/>
  <c r="BF15" i="2"/>
  <c r="BG15" i="2" s="1"/>
  <c r="AH259" i="48"/>
  <c r="AG260" i="48"/>
  <c r="AZ49" i="48"/>
  <c r="AZ51" i="48"/>
  <c r="O9" i="3"/>
  <c r="AT82" i="2"/>
  <c r="AD55" i="2"/>
  <c r="AD54" i="2" s="1"/>
  <c r="CJ66" i="48"/>
  <c r="CI82" i="2"/>
  <c r="CR65" i="2"/>
  <c r="AF202" i="48"/>
  <c r="CJ29" i="48"/>
  <c r="N47" i="1"/>
  <c r="AV124" i="48"/>
  <c r="AR100" i="48"/>
  <c r="AC100" i="48"/>
  <c r="AC51" i="48"/>
  <c r="AG206" i="48"/>
  <c r="M36" i="1"/>
  <c r="AC71" i="1"/>
  <c r="AF70" i="1"/>
  <c r="T291" i="48"/>
  <c r="Q123" i="1"/>
  <c r="BJ291" i="48"/>
  <c r="AS74" i="1"/>
  <c r="W123" i="1"/>
  <c r="AZ88" i="2"/>
  <c r="AZ86" i="2"/>
  <c r="AZ84" i="2"/>
  <c r="BF41" i="2"/>
  <c r="BG41" i="2" s="1"/>
  <c r="F71" i="3"/>
  <c r="F72" i="3"/>
  <c r="F73" i="3" s="1"/>
  <c r="F76" i="3" s="1"/>
  <c r="W16" i="3"/>
  <c r="BQ16" i="3" s="1"/>
  <c r="BQ115" i="3" s="1"/>
  <c r="AL66" i="3"/>
  <c r="CN34" i="3"/>
  <c r="AQ14" i="3"/>
  <c r="BC66" i="2"/>
  <c r="BQ245" i="48"/>
  <c r="AG69" i="48"/>
  <c r="U141" i="48"/>
  <c r="AS30" i="48"/>
  <c r="AT30" i="48"/>
  <c r="BW29" i="48"/>
  <c r="Z49" i="48"/>
  <c r="CF93" i="2"/>
  <c r="CF80" i="2"/>
  <c r="F93" i="2"/>
  <c r="F80" i="2"/>
  <c r="Y93" i="2"/>
  <c r="Y80" i="2"/>
  <c r="BC64" i="2"/>
  <c r="U53" i="2"/>
  <c r="BE232" i="48"/>
  <c r="AW256" i="48"/>
  <c r="AS265" i="48"/>
  <c r="AO299" i="48"/>
  <c r="AI161" i="48"/>
  <c r="AA143" i="48"/>
  <c r="M143" i="48"/>
  <c r="I161" i="48"/>
  <c r="E265" i="48"/>
  <c r="BJ153" i="48"/>
  <c r="T40" i="1"/>
  <c r="T52" i="1"/>
  <c r="K59" i="1"/>
  <c r="BO159" i="48"/>
  <c r="BO59" i="2"/>
  <c r="AF82" i="2"/>
  <c r="W50" i="3"/>
  <c r="CJ50" i="3" s="1"/>
  <c r="CJ149" i="3" s="1"/>
  <c r="AW232" i="48"/>
  <c r="AR69" i="48"/>
  <c r="AV69" i="48"/>
  <c r="AX51" i="48"/>
  <c r="BX48" i="48"/>
  <c r="AF12" i="48"/>
  <c r="AG13" i="48" s="1"/>
  <c r="AB87" i="48"/>
  <c r="CJ84" i="48"/>
  <c r="X100" i="48"/>
  <c r="AE279" i="48"/>
  <c r="AA256" i="48"/>
  <c r="I265" i="48"/>
  <c r="T232" i="48"/>
  <c r="AE66" i="3"/>
  <c r="AE68" i="3" s="1"/>
  <c r="AJ88" i="2"/>
  <c r="AJ89" i="2" s="1"/>
  <c r="AI74" i="2"/>
  <c r="AO77" i="2"/>
  <c r="CL83" i="2"/>
  <c r="AA49" i="3"/>
  <c r="CK49" i="3"/>
  <c r="CK148" i="3" s="1"/>
  <c r="J40" i="3"/>
  <c r="K40" i="3" s="1"/>
  <c r="CG40" i="3" s="1"/>
  <c r="CG139" i="3" s="1"/>
  <c r="BN40" i="3"/>
  <c r="BN139" i="3" s="1"/>
  <c r="V20" i="3"/>
  <c r="W26" i="3"/>
  <c r="BQ26" i="3" s="1"/>
  <c r="BQ125" i="3" s="1"/>
  <c r="BQ289" i="48"/>
  <c r="R289" i="48"/>
  <c r="R305" i="48" s="1"/>
  <c r="AX29" i="48"/>
  <c r="AX124" i="48"/>
  <c r="V114" i="48"/>
  <c r="S138" i="48"/>
  <c r="AI108" i="3"/>
  <c r="AI65" i="3"/>
  <c r="AI79" i="3" s="1"/>
  <c r="AI87" i="3" s="1"/>
  <c r="AM65" i="3"/>
  <c r="AM79" i="3" s="1"/>
  <c r="AM87" i="3" s="1"/>
  <c r="AM108" i="3"/>
  <c r="AP9" i="3"/>
  <c r="AP52" i="2"/>
  <c r="AP63" i="2" s="1"/>
  <c r="BR9" i="3"/>
  <c r="BR52" i="2"/>
  <c r="BR63" i="2" s="1"/>
  <c r="BP17" i="2"/>
  <c r="BP160" i="3"/>
  <c r="BP61" i="3"/>
  <c r="BT27" i="2"/>
  <c r="BT71" i="3" s="1"/>
  <c r="BW17" i="2"/>
  <c r="BW160" i="3"/>
  <c r="BW61" i="3"/>
  <c r="BO17" i="2"/>
  <c r="BO85" i="2"/>
  <c r="BW53" i="2"/>
  <c r="CG160" i="3"/>
  <c r="CG17" i="2"/>
  <c r="CG85" i="2"/>
  <c r="CG61" i="3"/>
  <c r="CK17" i="2"/>
  <c r="CK85" i="2"/>
  <c r="CK86" i="2" s="1"/>
  <c r="CK160" i="3"/>
  <c r="CO61" i="3"/>
  <c r="CO160" i="3"/>
  <c r="CO17" i="2"/>
  <c r="CH86" i="2"/>
  <c r="AS47" i="2"/>
  <c r="BD43" i="2"/>
  <c r="BE43" i="2" s="1"/>
  <c r="BY43" i="2"/>
  <c r="AR83" i="3"/>
  <c r="AS14" i="3"/>
  <c r="AR80" i="3"/>
  <c r="AR81" i="3" s="1"/>
  <c r="AR166" i="1"/>
  <c r="AR91" i="3"/>
  <c r="AG23" i="3"/>
  <c r="AH23" i="3" s="1"/>
  <c r="AX23" i="3"/>
  <c r="CP23" i="3"/>
  <c r="CP122" i="3" s="1"/>
  <c r="CH24" i="3"/>
  <c r="CH123" i="3" s="1"/>
  <c r="R25" i="3"/>
  <c r="AD25" i="3"/>
  <c r="AE25" i="3" s="1"/>
  <c r="CL25" i="3" s="1"/>
  <c r="CL124" i="3" s="1"/>
  <c r="CK25" i="3"/>
  <c r="CK124" i="3" s="1"/>
  <c r="AG27" i="3"/>
  <c r="CL27" i="3" s="1"/>
  <c r="CL126" i="3" s="1"/>
  <c r="AT27" i="3"/>
  <c r="CI29" i="3"/>
  <c r="CI128" i="3" s="1"/>
  <c r="E30" i="3"/>
  <c r="F30" i="3" s="1"/>
  <c r="E35" i="3"/>
  <c r="D69" i="3"/>
  <c r="D41" i="3"/>
  <c r="P69" i="3"/>
  <c r="Q35" i="3"/>
  <c r="AB41" i="3"/>
  <c r="AC35" i="3"/>
  <c r="AB69" i="3"/>
  <c r="AO35" i="3"/>
  <c r="AN69" i="3"/>
  <c r="AN41" i="3"/>
  <c r="V36" i="3"/>
  <c r="CI36" i="3"/>
  <c r="CI135" i="3" s="1"/>
  <c r="E38" i="3"/>
  <c r="AC40" i="3"/>
  <c r="F44" i="3"/>
  <c r="E52" i="3"/>
  <c r="Q44" i="3"/>
  <c r="P52" i="3"/>
  <c r="AC45" i="3"/>
  <c r="AC52" i="3" s="1"/>
  <c r="AB52" i="3"/>
  <c r="AF52" i="3"/>
  <c r="M48" i="3"/>
  <c r="AK49" i="3"/>
  <c r="BQ50" i="3"/>
  <c r="BQ149" i="3" s="1"/>
  <c r="CL71" i="3"/>
  <c r="AK16" i="3"/>
  <c r="CO16" i="3"/>
  <c r="CO115" i="3" s="1"/>
  <c r="T46" i="3"/>
  <c r="U46" i="3" s="1"/>
  <c r="V46" i="3" s="1"/>
  <c r="T151" i="3"/>
  <c r="F291" i="48"/>
  <c r="F232" i="48"/>
  <c r="F279" i="48"/>
  <c r="F299" i="48"/>
  <c r="F256" i="48"/>
  <c r="F287" i="48"/>
  <c r="F283" i="48"/>
  <c r="F272" i="48"/>
  <c r="F161" i="48"/>
  <c r="F136" i="48"/>
  <c r="F118" i="48" s="1"/>
  <c r="F127" i="48" s="1"/>
  <c r="F223" i="48"/>
  <c r="F244" i="48"/>
  <c r="J299" i="48"/>
  <c r="J283" i="48"/>
  <c r="J287" i="48"/>
  <c r="J153" i="48"/>
  <c r="J147" i="48"/>
  <c r="J272" i="48"/>
  <c r="J256" i="48"/>
  <c r="J279" i="48"/>
  <c r="J307" i="48"/>
  <c r="J291" i="48"/>
  <c r="J244" i="48"/>
  <c r="J223" i="48"/>
  <c r="J143" i="48"/>
  <c r="Q291" i="48"/>
  <c r="Q287" i="48"/>
  <c r="Q232" i="48"/>
  <c r="Q279" i="48"/>
  <c r="Q256" i="48"/>
  <c r="Q272" i="48"/>
  <c r="Q283" i="48"/>
  <c r="Q161" i="48"/>
  <c r="Q143" i="48"/>
  <c r="Q299" i="48"/>
  <c r="Q136" i="48"/>
  <c r="Q118" i="48" s="1"/>
  <c r="Q127" i="48" s="1"/>
  <c r="Q307" i="48"/>
  <c r="X307" i="48"/>
  <c r="X283" i="48"/>
  <c r="X153" i="48"/>
  <c r="X244" i="48"/>
  <c r="X287" i="48"/>
  <c r="X265" i="48"/>
  <c r="X143" i="48"/>
  <c r="X291" i="48"/>
  <c r="X279" i="48"/>
  <c r="X256" i="48"/>
  <c r="X299" i="48"/>
  <c r="X223" i="48"/>
  <c r="X161" i="48"/>
  <c r="AB307" i="48"/>
  <c r="AB265" i="48"/>
  <c r="AB244" i="48"/>
  <c r="AB299" i="48"/>
  <c r="AB147" i="48"/>
  <c r="AB232" i="48"/>
  <c r="AB283" i="48"/>
  <c r="AB161" i="48"/>
  <c r="AB291" i="48"/>
  <c r="AB153" i="48"/>
  <c r="AB272" i="48"/>
  <c r="AB256" i="48"/>
  <c r="AF307" i="48"/>
  <c r="AF256" i="48"/>
  <c r="AF136" i="48"/>
  <c r="AF118" i="48" s="1"/>
  <c r="AF127" i="48" s="1"/>
  <c r="AF287" i="48"/>
  <c r="AF244" i="48"/>
  <c r="AF232" i="48"/>
  <c r="AF223" i="48"/>
  <c r="AF283" i="48"/>
  <c r="AF279" i="48"/>
  <c r="AF299" i="48"/>
  <c r="AF272" i="48"/>
  <c r="AF291" i="48"/>
  <c r="AF147" i="48"/>
  <c r="AF265" i="48"/>
  <c r="AL287" i="48"/>
  <c r="AL223" i="48"/>
  <c r="AL265" i="48"/>
  <c r="AL299" i="48"/>
  <c r="AL279" i="48"/>
  <c r="AL161" i="48"/>
  <c r="AL272" i="48"/>
  <c r="AL153" i="48"/>
  <c r="AL136" i="48"/>
  <c r="AL118" i="48" s="1"/>
  <c r="AL127" i="48" s="1"/>
  <c r="AL283" i="48"/>
  <c r="AL232" i="48"/>
  <c r="AL256" i="48"/>
  <c r="AL147" i="48"/>
  <c r="AP272" i="48"/>
  <c r="AP223" i="48"/>
  <c r="AP143" i="48"/>
  <c r="AP136" i="48"/>
  <c r="AP118" i="48" s="1"/>
  <c r="AP127" i="48" s="1"/>
  <c r="AP153" i="48"/>
  <c r="AP287" i="48"/>
  <c r="AP299" i="48"/>
  <c r="AP291" i="48"/>
  <c r="AP307" i="48"/>
  <c r="AP265" i="48"/>
  <c r="AP256" i="48"/>
  <c r="BS279" i="48"/>
  <c r="BS283" i="48"/>
  <c r="BS143" i="48"/>
  <c r="BS232" i="48"/>
  <c r="BS256" i="48"/>
  <c r="BS153" i="48"/>
  <c r="BS287" i="48"/>
  <c r="BS161" i="48"/>
  <c r="BS272" i="48"/>
  <c r="BS147" i="48"/>
  <c r="BS265" i="48"/>
  <c r="BS136" i="48"/>
  <c r="BS118" i="48" s="1"/>
  <c r="BS127" i="48" s="1"/>
  <c r="BW283" i="48"/>
  <c r="BW265" i="48"/>
  <c r="BW153" i="48"/>
  <c r="BW136" i="48"/>
  <c r="BW244" i="48"/>
  <c r="BW232" i="48"/>
  <c r="BW127" i="48"/>
  <c r="BW287" i="48"/>
  <c r="BW143" i="48"/>
  <c r="BW279" i="48"/>
  <c r="BW118" i="48"/>
  <c r="BW223" i="48"/>
  <c r="CA272" i="48"/>
  <c r="CA256" i="48"/>
  <c r="CA283" i="48"/>
  <c r="CA127" i="48"/>
  <c r="CA244" i="48"/>
  <c r="CA153" i="48"/>
  <c r="CA147" i="48"/>
  <c r="CA287" i="48"/>
  <c r="CA223" i="48"/>
  <c r="CA118" i="48"/>
  <c r="CA143" i="48"/>
  <c r="CA279" i="48"/>
  <c r="CA136" i="48"/>
  <c r="AB242" i="48"/>
  <c r="CH159" i="1"/>
  <c r="AV93" i="1"/>
  <c r="AS40" i="1"/>
  <c r="AS52" i="1"/>
  <c r="E47" i="1"/>
  <c r="E29" i="1"/>
  <c r="E33" i="1"/>
  <c r="E59" i="1"/>
  <c r="BS60" i="2"/>
  <c r="BW60" i="2"/>
  <c r="BW56" i="2" s="1"/>
  <c r="AI25" i="1"/>
  <c r="BT25" i="1" s="1"/>
  <c r="AG28" i="1"/>
  <c r="AM32" i="48"/>
  <c r="BT29" i="48"/>
  <c r="AQ13" i="48"/>
  <c r="AI212" i="48"/>
  <c r="CP88" i="48"/>
  <c r="AY13" i="48"/>
  <c r="S80" i="3"/>
  <c r="S84" i="3" s="1"/>
  <c r="O94" i="1"/>
  <c r="AH79" i="1"/>
  <c r="AU124" i="48"/>
  <c r="BS49" i="3"/>
  <c r="BS148" i="3" s="1"/>
  <c r="AX68" i="3"/>
  <c r="O57" i="1"/>
  <c r="W291" i="48"/>
  <c r="AA44" i="1"/>
  <c r="CF60" i="2"/>
  <c r="G57" i="1"/>
  <c r="AA122" i="1"/>
  <c r="F68" i="1"/>
  <c r="F74" i="1" s="1"/>
  <c r="AG100" i="48"/>
  <c r="CP173" i="1"/>
  <c r="E27" i="1"/>
  <c r="Y85" i="48"/>
  <c r="AQ93" i="1"/>
  <c r="CQ159" i="1"/>
  <c r="AH91" i="1"/>
  <c r="M75" i="1"/>
  <c r="M82" i="1" s="1"/>
  <c r="O252" i="48"/>
  <c r="O254" i="48" s="1"/>
  <c r="AY49" i="48"/>
  <c r="AY124" i="48"/>
  <c r="AP147" i="48"/>
  <c r="AP279" i="48"/>
  <c r="T287" i="48"/>
  <c r="P287" i="48"/>
  <c r="AG87" i="48"/>
  <c r="P52" i="1"/>
  <c r="BD27" i="3"/>
  <c r="BD126" i="3" s="1"/>
  <c r="BC87" i="2"/>
  <c r="BW25" i="3"/>
  <c r="BW124" i="3" s="1"/>
  <c r="CP25" i="3"/>
  <c r="CP124" i="3" s="1"/>
  <c r="AV68" i="3"/>
  <c r="Z69" i="3"/>
  <c r="BW34" i="3"/>
  <c r="CQ82" i="2"/>
  <c r="CQ83" i="2"/>
  <c r="CQ84" i="2" s="1"/>
  <c r="AP97" i="2"/>
  <c r="X70" i="48"/>
  <c r="X79" i="48" s="1"/>
  <c r="X82" i="48" s="1"/>
  <c r="BE153" i="1"/>
  <c r="N127" i="2"/>
  <c r="AJ91" i="1"/>
  <c r="AP86" i="2"/>
  <c r="AT93" i="2"/>
  <c r="AB100" i="48"/>
  <c r="AB32" i="48"/>
  <c r="AB186" i="48"/>
  <c r="BB139" i="3"/>
  <c r="BC139" i="3" s="1"/>
  <c r="X124" i="48"/>
  <c r="V289" i="48"/>
  <c r="V305" i="48" s="1"/>
  <c r="BP137" i="48"/>
  <c r="E96" i="1"/>
  <c r="AK94" i="3"/>
  <c r="Y70" i="1"/>
  <c r="CH167" i="1"/>
  <c r="AL291" i="48"/>
  <c r="E71" i="3"/>
  <c r="X74" i="1"/>
  <c r="AX79" i="1"/>
  <c r="AZ79" i="1"/>
  <c r="BD35" i="2"/>
  <c r="BY35" i="2"/>
  <c r="BR49" i="3"/>
  <c r="BR148" i="3" s="1"/>
  <c r="CO14" i="3"/>
  <c r="AP80" i="3"/>
  <c r="AP81" i="3" s="1"/>
  <c r="G40" i="1"/>
  <c r="W111" i="48"/>
  <c r="W115" i="48" s="1"/>
  <c r="BQ248" i="48"/>
  <c r="Y166" i="1"/>
  <c r="AZ118" i="48"/>
  <c r="AZ127" i="48" s="1"/>
  <c r="AW12" i="48"/>
  <c r="AW124" i="48"/>
  <c r="AP51" i="48"/>
  <c r="D52" i="2"/>
  <c r="D63" i="2" s="1"/>
  <c r="AN86" i="2"/>
  <c r="K52" i="2"/>
  <c r="K63" i="2" s="1"/>
  <c r="CI80" i="2"/>
  <c r="CI93" i="2"/>
  <c r="BY73" i="2"/>
  <c r="BD73" i="2"/>
  <c r="BE73" i="2" s="1"/>
  <c r="BF73" i="2" s="1"/>
  <c r="BG73" i="2" s="1"/>
  <c r="AG49" i="2"/>
  <c r="AG71" i="3"/>
  <c r="BE272" i="48"/>
  <c r="AW265" i="48"/>
  <c r="AO279" i="48"/>
  <c r="AI279" i="48"/>
  <c r="W136" i="48"/>
  <c r="W118" i="48" s="1"/>
  <c r="W127" i="48" s="1"/>
  <c r="Q223" i="48"/>
  <c r="M265" i="48"/>
  <c r="E232" i="48"/>
  <c r="BJ232" i="48"/>
  <c r="AB52" i="1"/>
  <c r="AB40" i="1"/>
  <c r="S59" i="1"/>
  <c r="S29" i="1"/>
  <c r="H84" i="2"/>
  <c r="AD138" i="48"/>
  <c r="AF51" i="48"/>
  <c r="BA244" i="48"/>
  <c r="AW283" i="48"/>
  <c r="AI147" i="48"/>
  <c r="AB136" i="48"/>
  <c r="AB118" i="48" s="1"/>
  <c r="AB127" i="48" s="1"/>
  <c r="X272" i="48"/>
  <c r="J232" i="48"/>
  <c r="F153" i="48"/>
  <c r="AF161" i="48"/>
  <c r="P265" i="48"/>
  <c r="F147" i="48"/>
  <c r="G25" i="3"/>
  <c r="BM25" i="3" s="1"/>
  <c r="BM124" i="3" s="1"/>
  <c r="AY44" i="3"/>
  <c r="CQ44" i="3" s="1"/>
  <c r="CQ143" i="3" s="1"/>
  <c r="AW82" i="2"/>
  <c r="AS92" i="3"/>
  <c r="AS68" i="3"/>
  <c r="AI45" i="3"/>
  <c r="AQ27" i="3"/>
  <c r="BV27" i="3" s="1"/>
  <c r="BV126" i="3" s="1"/>
  <c r="CO27" i="3"/>
  <c r="CO126" i="3" s="1"/>
  <c r="J305" i="48"/>
  <c r="CA265" i="48"/>
  <c r="BW272" i="48"/>
  <c r="AP244" i="48"/>
  <c r="BA256" i="48"/>
  <c r="X147" i="48"/>
  <c r="AF9" i="3"/>
  <c r="AF52" i="2"/>
  <c r="AF63" i="2" s="1"/>
  <c r="AC27" i="2"/>
  <c r="AC90" i="2"/>
  <c r="AV90" i="2"/>
  <c r="AV27" i="2"/>
  <c r="BR76" i="3"/>
  <c r="BN83" i="2"/>
  <c r="BN84" i="2" s="1"/>
  <c r="BR83" i="2"/>
  <c r="BR84" i="2" s="1"/>
  <c r="BV83" i="2"/>
  <c r="T80" i="3"/>
  <c r="T84" i="3" s="1"/>
  <c r="U14" i="3"/>
  <c r="T166" i="1"/>
  <c r="AG14" i="3"/>
  <c r="AF83" i="3"/>
  <c r="AF80" i="3"/>
  <c r="AF81" i="3" s="1"/>
  <c r="K30" i="3"/>
  <c r="BN30" i="3" s="1"/>
  <c r="BN129" i="3" s="1"/>
  <c r="AO123" i="48"/>
  <c r="AO84" i="48" s="1"/>
  <c r="AO119" i="48"/>
  <c r="AO120" i="48"/>
  <c r="AO29" i="48" s="1"/>
  <c r="AS32" i="48" s="1"/>
  <c r="AO121" i="48"/>
  <c r="AO48" i="48" s="1"/>
  <c r="AO122" i="48"/>
  <c r="AO66" i="48" s="1"/>
  <c r="AS119" i="48"/>
  <c r="AS123" i="48"/>
  <c r="AS84" i="48" s="1"/>
  <c r="AS121" i="48"/>
  <c r="AS48" i="48" s="1"/>
  <c r="AT49" i="48" s="1"/>
  <c r="AW30" i="48"/>
  <c r="AW32" i="48"/>
  <c r="BN145" i="48"/>
  <c r="BP245" i="48"/>
  <c r="BP240" i="48"/>
  <c r="BP242" i="48" s="1"/>
  <c r="BO240" i="48"/>
  <c r="BO242" i="48" s="1"/>
  <c r="AE246" i="48"/>
  <c r="AE252" i="48" s="1"/>
  <c r="AE254" i="48" s="1"/>
  <c r="BS234" i="48"/>
  <c r="BS246" i="48" s="1"/>
  <c r="BS252" i="48" s="1"/>
  <c r="AE240" i="48"/>
  <c r="AE242" i="48" s="1"/>
  <c r="AI246" i="48"/>
  <c r="AI252" i="48" s="1"/>
  <c r="AI254" i="48" s="1"/>
  <c r="AI240" i="48"/>
  <c r="AI242" i="48" s="1"/>
  <c r="N252" i="48"/>
  <c r="N254" i="48" s="1"/>
  <c r="AP78" i="1"/>
  <c r="P79" i="1"/>
  <c r="M115" i="1"/>
  <c r="M129" i="1" s="1"/>
  <c r="J96" i="1"/>
  <c r="J79" i="1"/>
  <c r="AH48" i="1"/>
  <c r="Q84" i="3"/>
  <c r="BR69" i="3"/>
  <c r="BM81" i="2"/>
  <c r="BM82" i="2" s="1"/>
  <c r="AT52" i="48"/>
  <c r="AT70" i="48"/>
  <c r="AU104" i="1"/>
  <c r="AU97" i="1"/>
  <c r="L74" i="1"/>
  <c r="L80" i="1" s="1"/>
  <c r="CK54" i="3"/>
  <c r="CK153" i="3" s="1"/>
  <c r="AJ202" i="48"/>
  <c r="AK201" i="48"/>
  <c r="BY33" i="2"/>
  <c r="BC29" i="3"/>
  <c r="AF184" i="48"/>
  <c r="AF177" i="48" s="1"/>
  <c r="AF183" i="48"/>
  <c r="AG186" i="48"/>
  <c r="AG32" i="48"/>
  <c r="AP124" i="48"/>
  <c r="AW49" i="48"/>
  <c r="E80" i="2"/>
  <c r="E93" i="2"/>
  <c r="BP110" i="48"/>
  <c r="BP59" i="2"/>
  <c r="BP248" i="48"/>
  <c r="CK21" i="3"/>
  <c r="CK120" i="3" s="1"/>
  <c r="K54" i="3"/>
  <c r="CG54" i="3" s="1"/>
  <c r="CG153" i="3" s="1"/>
  <c r="X33" i="48"/>
  <c r="X42" i="48" s="1"/>
  <c r="X45" i="48" s="1"/>
  <c r="AX67" i="48"/>
  <c r="BU188" i="48"/>
  <c r="AD66" i="3"/>
  <c r="AD68" i="3" s="1"/>
  <c r="K44" i="3"/>
  <c r="BN44" i="3" s="1"/>
  <c r="BN143" i="3" s="1"/>
  <c r="U77" i="2"/>
  <c r="AR68" i="3"/>
  <c r="AR92" i="3"/>
  <c r="J49" i="3"/>
  <c r="AP34" i="3"/>
  <c r="AO66" i="3"/>
  <c r="AU18" i="3"/>
  <c r="BW18" i="3" s="1"/>
  <c r="BW117" i="3" s="1"/>
  <c r="AV100" i="48"/>
  <c r="AV103" i="48" s="1"/>
  <c r="F65" i="3"/>
  <c r="F79" i="3" s="1"/>
  <c r="F87" i="3" s="1"/>
  <c r="F108" i="3"/>
  <c r="M9" i="3"/>
  <c r="M52" i="2"/>
  <c r="M63" i="2" s="1"/>
  <c r="Q9" i="3"/>
  <c r="Q52" i="2"/>
  <c r="Q63" i="2" s="1"/>
  <c r="U9" i="3"/>
  <c r="U52" i="2"/>
  <c r="U63" i="2" s="1"/>
  <c r="X9" i="3"/>
  <c r="X52" i="2"/>
  <c r="X63" i="2" s="1"/>
  <c r="AH9" i="3"/>
  <c r="AH52" i="2"/>
  <c r="AH63" i="2" s="1"/>
  <c r="BN85" i="2"/>
  <c r="BN86" i="2" s="1"/>
  <c r="BN61" i="3"/>
  <c r="BR160" i="3"/>
  <c r="BR85" i="2"/>
  <c r="BR86" i="2" s="1"/>
  <c r="BU17" i="2"/>
  <c r="BU85" i="2"/>
  <c r="BU86" i="2" s="1"/>
  <c r="BU160" i="3"/>
  <c r="CO53" i="2"/>
  <c r="CL55" i="2"/>
  <c r="CL54" i="2" s="1"/>
  <c r="U27" i="2"/>
  <c r="U49" i="2" s="1"/>
  <c r="U90" i="2"/>
  <c r="Y49" i="2"/>
  <c r="AB27" i="2"/>
  <c r="AB90" i="2"/>
  <c r="AO90" i="2"/>
  <c r="AS49" i="2"/>
  <c r="AS71" i="3"/>
  <c r="BW26" i="2"/>
  <c r="AU27" i="2"/>
  <c r="AU71" i="3" s="1"/>
  <c r="CF47" i="2"/>
  <c r="E49" i="2"/>
  <c r="O49" i="2"/>
  <c r="W47" i="2"/>
  <c r="W49" i="2" s="1"/>
  <c r="W90" i="2"/>
  <c r="AY49" i="2"/>
  <c r="BM47" i="2"/>
  <c r="BM83" i="2"/>
  <c r="BM84" i="2" s="1"/>
  <c r="CJ83" i="2"/>
  <c r="CN83" i="2"/>
  <c r="BG91" i="3"/>
  <c r="BG83" i="3"/>
  <c r="BG84" i="3" s="1"/>
  <c r="BG166" i="1"/>
  <c r="E29" i="3"/>
  <c r="F29" i="3" s="1"/>
  <c r="P41" i="3"/>
  <c r="AF66" i="3"/>
  <c r="AF41" i="3"/>
  <c r="V35" i="3"/>
  <c r="W35" i="3" s="1"/>
  <c r="AR41" i="3"/>
  <c r="AS35" i="3"/>
  <c r="D52" i="3"/>
  <c r="AK44" i="3"/>
  <c r="AJ52" i="3"/>
  <c r="BR46" i="3"/>
  <c r="BR145" i="3" s="1"/>
  <c r="CG47" i="3"/>
  <c r="CG146" i="3" s="1"/>
  <c r="Q54" i="3"/>
  <c r="CH54" i="3" s="1"/>
  <c r="CH153" i="3" s="1"/>
  <c r="AK45" i="3"/>
  <c r="AL45" i="3" s="1"/>
  <c r="AK151" i="3"/>
  <c r="Q151" i="3"/>
  <c r="Q46" i="3"/>
  <c r="Q51" i="3"/>
  <c r="R51" i="3" s="1"/>
  <c r="S51" i="3" s="1"/>
  <c r="Y51" i="3"/>
  <c r="P139" i="48"/>
  <c r="P114" i="48"/>
  <c r="P138" i="48"/>
  <c r="W138" i="48"/>
  <c r="W137" i="48"/>
  <c r="W148" i="48"/>
  <c r="W149" i="48" s="1"/>
  <c r="W151" i="48" s="1"/>
  <c r="W140" i="48"/>
  <c r="Z139" i="48"/>
  <c r="Z123" i="48"/>
  <c r="Z122" i="48"/>
  <c r="AE137" i="48"/>
  <c r="AE140" i="48"/>
  <c r="AE119" i="48"/>
  <c r="AE120" i="48"/>
  <c r="BS120" i="48" s="1"/>
  <c r="BS129" i="48" s="1"/>
  <c r="AE121" i="48"/>
  <c r="AE48" i="48" s="1"/>
  <c r="AI137" i="48"/>
  <c r="AI122" i="48"/>
  <c r="AI66" i="48" s="1"/>
  <c r="AI119" i="48"/>
  <c r="AI123" i="48"/>
  <c r="AI84" i="48" s="1"/>
  <c r="BR165" i="48"/>
  <c r="BR167" i="48" s="1"/>
  <c r="AC199" i="48"/>
  <c r="AC202" i="48" s="1"/>
  <c r="AC204" i="48" s="1"/>
  <c r="BO247" i="48"/>
  <c r="AM240" i="48"/>
  <c r="AM242" i="48" s="1"/>
  <c r="X252" i="48"/>
  <c r="X254" i="48" s="1"/>
  <c r="AC252" i="48"/>
  <c r="AC254" i="48" s="1"/>
  <c r="T159" i="1"/>
  <c r="T73" i="1"/>
  <c r="AC52" i="1"/>
  <c r="AC40" i="1"/>
  <c r="AL167" i="1"/>
  <c r="L29" i="1"/>
  <c r="R35" i="1"/>
  <c r="F32" i="1"/>
  <c r="L32" i="1"/>
  <c r="Q32" i="1"/>
  <c r="AB32" i="1"/>
  <c r="AB78" i="1"/>
  <c r="AE32" i="1"/>
  <c r="AE111" i="48"/>
  <c r="AE95" i="48" s="1"/>
  <c r="AL32" i="1"/>
  <c r="AL111" i="48"/>
  <c r="P48" i="1"/>
  <c r="L47" i="1"/>
  <c r="Q48" i="1"/>
  <c r="U48" i="1"/>
  <c r="Z48" i="1"/>
  <c r="AF48" i="1"/>
  <c r="AJ48" i="1"/>
  <c r="AR48" i="1"/>
  <c r="AV48" i="1"/>
  <c r="O58" i="1"/>
  <c r="O51" i="1"/>
  <c r="O160" i="1"/>
  <c r="M60" i="1"/>
  <c r="I60" i="1"/>
  <c r="W60" i="1"/>
  <c r="W59" i="1"/>
  <c r="AC59" i="1"/>
  <c r="AC75" i="1"/>
  <c r="AO60" i="1"/>
  <c r="AK60" i="1"/>
  <c r="F160" i="1"/>
  <c r="F73" i="1"/>
  <c r="F159" i="1"/>
  <c r="S62" i="1"/>
  <c r="AR73" i="1"/>
  <c r="AR159" i="1"/>
  <c r="AR67" i="1"/>
  <c r="AV62" i="1"/>
  <c r="BX62" i="1" s="1"/>
  <c r="P94" i="1"/>
  <c r="P93" i="1"/>
  <c r="T93" i="1"/>
  <c r="T94" i="1"/>
  <c r="G110" i="1"/>
  <c r="AA108" i="1"/>
  <c r="AA110" i="1"/>
  <c r="AH108" i="1"/>
  <c r="AF173" i="1"/>
  <c r="AP173" i="1"/>
  <c r="CJ82" i="2"/>
  <c r="AV49" i="48"/>
  <c r="AQ60" i="1"/>
  <c r="CJ86" i="2"/>
  <c r="AU87" i="48"/>
  <c r="BS57" i="3"/>
  <c r="BS156" i="3" s="1"/>
  <c r="AW60" i="1"/>
  <c r="AG30" i="48"/>
  <c r="V78" i="1"/>
  <c r="AK80" i="2"/>
  <c r="Z35" i="1"/>
  <c r="AY67" i="48"/>
  <c r="BT139" i="48"/>
  <c r="BT226" i="48" s="1"/>
  <c r="AI138" i="48"/>
  <c r="AI171" i="48" s="1"/>
  <c r="AE139" i="48"/>
  <c r="BS139" i="48" s="1"/>
  <c r="BS226" i="48" s="1"/>
  <c r="AT114" i="48"/>
  <c r="BU30" i="3"/>
  <c r="BU129" i="3" s="1"/>
  <c r="BA88" i="2"/>
  <c r="BA89" i="2" s="1"/>
  <c r="BU82" i="2"/>
  <c r="T160" i="1"/>
  <c r="BE108" i="3"/>
  <c r="BE65" i="3"/>
  <c r="BE79" i="3" s="1"/>
  <c r="BE87" i="3" s="1"/>
  <c r="AK108" i="3"/>
  <c r="S80" i="2"/>
  <c r="S93" i="2"/>
  <c r="Y82" i="2"/>
  <c r="BX84" i="48"/>
  <c r="BD55" i="2"/>
  <c r="N45" i="1"/>
  <c r="Z12" i="48"/>
  <c r="BC144" i="1"/>
  <c r="S33" i="1"/>
  <c r="O159" i="1"/>
  <c r="T67" i="1"/>
  <c r="BP154" i="48"/>
  <c r="BP155" i="48"/>
  <c r="I59" i="1"/>
  <c r="U113" i="1"/>
  <c r="BF40" i="2"/>
  <c r="BG40" i="2" s="1"/>
  <c r="BH40" i="2" s="1"/>
  <c r="BI40" i="2" s="1"/>
  <c r="CH36" i="3"/>
  <c r="CH135" i="3" s="1"/>
  <c r="BZ9" i="3"/>
  <c r="BZ108" i="3" s="1"/>
  <c r="BT80" i="2"/>
  <c r="BY32" i="2"/>
  <c r="U69" i="3"/>
  <c r="BR40" i="3"/>
  <c r="BR139" i="3" s="1"/>
  <c r="BB147" i="3"/>
  <c r="BB148" i="3"/>
  <c r="BC148" i="3" s="1"/>
  <c r="AS42" i="48"/>
  <c r="Y70" i="48"/>
  <c r="Y79" i="48" s="1"/>
  <c r="Y82" i="48" s="1"/>
  <c r="AL103" i="2"/>
  <c r="AM103" i="2" s="1"/>
  <c r="BB127" i="3"/>
  <c r="BC127" i="3" s="1"/>
  <c r="X49" i="2"/>
  <c r="CG46" i="3"/>
  <c r="CG145" i="3" s="1"/>
  <c r="AG124" i="48"/>
  <c r="CP29" i="48"/>
  <c r="CP32" i="48" s="1"/>
  <c r="AR80" i="2"/>
  <c r="AR93" i="2"/>
  <c r="Y90" i="2"/>
  <c r="AK90" i="2"/>
  <c r="BI65" i="3"/>
  <c r="BI79" i="3" s="1"/>
  <c r="BI87" i="3" s="1"/>
  <c r="BI108" i="3"/>
  <c r="BN245" i="48"/>
  <c r="BU56" i="2"/>
  <c r="BN17" i="2"/>
  <c r="BU61" i="3"/>
  <c r="U57" i="3"/>
  <c r="V57" i="3" s="1"/>
  <c r="BV49" i="3"/>
  <c r="BV148" i="3" s="1"/>
  <c r="BR27" i="3"/>
  <c r="BR126" i="3" s="1"/>
  <c r="BY113" i="3"/>
  <c r="AF141" i="48"/>
  <c r="Z148" i="48"/>
  <c r="Z149" i="48" s="1"/>
  <c r="Z151" i="48" s="1"/>
  <c r="P140" i="48"/>
  <c r="AQ111" i="48"/>
  <c r="M51" i="3"/>
  <c r="N51" i="3" s="1"/>
  <c r="BS34" i="3"/>
  <c r="Z37" i="3"/>
  <c r="Y41" i="3"/>
  <c r="P84" i="3"/>
  <c r="CQ39" i="3"/>
  <c r="CQ138" i="3" s="1"/>
  <c r="Q34" i="3"/>
  <c r="Q41" i="3" s="1"/>
  <c r="AP19" i="3"/>
  <c r="AQ26" i="3"/>
  <c r="BV26" i="3" s="1"/>
  <c r="BV125" i="3" s="1"/>
  <c r="AI140" i="48"/>
  <c r="BT140" i="48" s="1"/>
  <c r="BT227" i="48" s="1"/>
  <c r="D8" i="3"/>
  <c r="G9" i="3"/>
  <c r="G52" i="2"/>
  <c r="G63" i="2" s="1"/>
  <c r="AC9" i="3"/>
  <c r="AC52" i="2"/>
  <c r="AC63" i="2" s="1"/>
  <c r="AL9" i="3"/>
  <c r="AL52" i="2"/>
  <c r="AL63" i="2" s="1"/>
  <c r="AO9" i="3"/>
  <c r="AO52" i="2"/>
  <c r="AO63" i="2" s="1"/>
  <c r="AV9" i="3"/>
  <c r="AV52" i="2"/>
  <c r="AV63" i="2" s="1"/>
  <c r="BB9" i="3"/>
  <c r="BB108" i="3" s="1"/>
  <c r="BB52" i="2"/>
  <c r="BB63" i="2" s="1"/>
  <c r="CF27" i="2"/>
  <c r="Z90" i="2"/>
  <c r="Z27" i="2"/>
  <c r="Q90" i="2"/>
  <c r="Q27" i="2"/>
  <c r="Q49" i="2" s="1"/>
  <c r="P27" i="2"/>
  <c r="P49" i="2" s="1"/>
  <c r="P90" i="2"/>
  <c r="AE90" i="2"/>
  <c r="AX27" i="2"/>
  <c r="AX90" i="2"/>
  <c r="BX76" i="3"/>
  <c r="BP83" i="2"/>
  <c r="BX83" i="2"/>
  <c r="BD26" i="2"/>
  <c r="BE26" i="2" s="1"/>
  <c r="BY26" i="2"/>
  <c r="BV47" i="2"/>
  <c r="BV49" i="2" s="1"/>
  <c r="CG37" i="2"/>
  <c r="CG47" i="2" s="1"/>
  <c r="CN37" i="2"/>
  <c r="CN47" i="2" s="1"/>
  <c r="AI115" i="2"/>
  <c r="AI118" i="2" s="1"/>
  <c r="L166" i="1"/>
  <c r="M14" i="3"/>
  <c r="L80" i="3"/>
  <c r="L83" i="3"/>
  <c r="L84" i="3" s="1"/>
  <c r="AC14" i="3"/>
  <c r="AB80" i="3"/>
  <c r="AB81" i="3" s="1"/>
  <c r="W15" i="3"/>
  <c r="BQ15" i="3" s="1"/>
  <c r="BQ114" i="3" s="1"/>
  <c r="CJ15" i="3"/>
  <c r="CJ114" i="3" s="1"/>
  <c r="J20" i="3"/>
  <c r="CF20" i="3"/>
  <c r="CF119" i="3" s="1"/>
  <c r="AD20" i="3"/>
  <c r="AO20" i="3"/>
  <c r="AD24" i="3"/>
  <c r="CK24" i="3"/>
  <c r="CK123" i="3" s="1"/>
  <c r="AX24" i="3"/>
  <c r="W25" i="3"/>
  <c r="CJ25" i="3" s="1"/>
  <c r="CJ124" i="3" s="1"/>
  <c r="AH25" i="3"/>
  <c r="BU29" i="3"/>
  <c r="BU128" i="3" s="1"/>
  <c r="AO37" i="3"/>
  <c r="BJ166" i="1"/>
  <c r="BJ83" i="3"/>
  <c r="BJ84" i="3" s="1"/>
  <c r="K245" i="48"/>
  <c r="K246" i="48"/>
  <c r="K59" i="2"/>
  <c r="K248" i="48"/>
  <c r="K18" i="1"/>
  <c r="L18" i="1"/>
  <c r="K51" i="1"/>
  <c r="K251" i="48"/>
  <c r="K12" i="1"/>
  <c r="K250" i="48"/>
  <c r="AA246" i="48"/>
  <c r="AA59" i="2"/>
  <c r="AA31" i="1"/>
  <c r="AA17" i="1"/>
  <c r="BR17" i="1" s="1"/>
  <c r="AA51" i="1"/>
  <c r="AB12" i="1"/>
  <c r="BR242" i="48"/>
  <c r="AA257" i="48"/>
  <c r="AA251" i="48"/>
  <c r="AE19" i="1"/>
  <c r="AA12" i="1"/>
  <c r="AA259" i="48"/>
  <c r="AA110" i="48"/>
  <c r="BV59" i="2"/>
  <c r="BV53" i="2" s="1"/>
  <c r="BV110" i="48"/>
  <c r="CQ37" i="2"/>
  <c r="CQ47" i="2" s="1"/>
  <c r="O52" i="1"/>
  <c r="BE113" i="3"/>
  <c r="BF113" i="3" s="1"/>
  <c r="BG113" i="3" s="1"/>
  <c r="AH89" i="2"/>
  <c r="CI47" i="3"/>
  <c r="CI146" i="3" s="1"/>
  <c r="Y52" i="3"/>
  <c r="AX65" i="3"/>
  <c r="AX79" i="3" s="1"/>
  <c r="AX87" i="3" s="1"/>
  <c r="AX108" i="3"/>
  <c r="BG108" i="3"/>
  <c r="BG65" i="3"/>
  <c r="BG79" i="3" s="1"/>
  <c r="BG87" i="3" s="1"/>
  <c r="BM17" i="2"/>
  <c r="CP17" i="2"/>
  <c r="CM17" i="2"/>
  <c r="G90" i="2"/>
  <c r="G27" i="2"/>
  <c r="AF90" i="2"/>
  <c r="AM90" i="2"/>
  <c r="AQ90" i="2"/>
  <c r="BP47" i="2"/>
  <c r="BS47" i="2"/>
  <c r="BS49" i="2" s="1"/>
  <c r="CO37" i="2"/>
  <c r="CO47" i="2" s="1"/>
  <c r="CL37" i="2"/>
  <c r="CL47" i="2" s="1"/>
  <c r="CL49" i="2" s="1"/>
  <c r="D49" i="2"/>
  <c r="F49" i="2"/>
  <c r="AD47" i="2"/>
  <c r="AD49" i="2" s="1"/>
  <c r="AD90" i="2"/>
  <c r="AL47" i="2"/>
  <c r="AL49" i="2" s="1"/>
  <c r="CI47" i="2"/>
  <c r="CJ47" i="2"/>
  <c r="CJ49" i="2" s="1"/>
  <c r="AF47" i="2"/>
  <c r="AF49" i="2" s="1"/>
  <c r="AJ47" i="2"/>
  <c r="AJ49" i="2" s="1"/>
  <c r="AS57" i="2"/>
  <c r="AS53" i="2"/>
  <c r="H56" i="2"/>
  <c r="H55" i="2"/>
  <c r="H54" i="2" s="1"/>
  <c r="CP68" i="2"/>
  <c r="CP74" i="2" s="1"/>
  <c r="CP77" i="2" s="1"/>
  <c r="CJ77" i="2"/>
  <c r="CK77" i="2"/>
  <c r="BV76" i="2"/>
  <c r="BV77" i="2" s="1"/>
  <c r="AQ77" i="2"/>
  <c r="AX77" i="2"/>
  <c r="AY115" i="2"/>
  <c r="AY118" i="2" s="1"/>
  <c r="BD166" i="1"/>
  <c r="CR14" i="3"/>
  <c r="I34" i="3"/>
  <c r="H66" i="3"/>
  <c r="H68" i="3" s="1"/>
  <c r="BY134" i="3"/>
  <c r="BY69" i="3"/>
  <c r="AG51" i="3"/>
  <c r="CL51" i="3" s="1"/>
  <c r="CL150" i="3" s="1"/>
  <c r="AW140" i="3"/>
  <c r="Y151" i="3"/>
  <c r="AG151" i="3"/>
  <c r="AR307" i="48"/>
  <c r="AR256" i="48"/>
  <c r="AR136" i="48"/>
  <c r="AR299" i="48"/>
  <c r="AR161" i="48"/>
  <c r="AR232" i="48"/>
  <c r="AV307" i="48"/>
  <c r="AV244" i="48"/>
  <c r="AV279" i="48"/>
  <c r="AV299" i="48"/>
  <c r="AV147" i="48"/>
  <c r="AZ307" i="48"/>
  <c r="AZ299" i="48"/>
  <c r="AZ147" i="48"/>
  <c r="AZ283" i="48"/>
  <c r="AZ143" i="48"/>
  <c r="AZ287" i="48"/>
  <c r="AZ223" i="48"/>
  <c r="BD291" i="48"/>
  <c r="BD299" i="48"/>
  <c r="BD265" i="48"/>
  <c r="BD244" i="48"/>
  <c r="BD153" i="48"/>
  <c r="BD279" i="48"/>
  <c r="BD147" i="48"/>
  <c r="BD136" i="48"/>
  <c r="BM287" i="48"/>
  <c r="BM256" i="48"/>
  <c r="BM161" i="48"/>
  <c r="BM136" i="48"/>
  <c r="BM118" i="48" s="1"/>
  <c r="BM127" i="48" s="1"/>
  <c r="BM265" i="48"/>
  <c r="BM223" i="48"/>
  <c r="BQ287" i="48"/>
  <c r="BQ265" i="48"/>
  <c r="BQ143" i="48"/>
  <c r="BQ272" i="48"/>
  <c r="BQ256" i="48"/>
  <c r="BQ161" i="48"/>
  <c r="BK291" i="48"/>
  <c r="BK283" i="48"/>
  <c r="BK256" i="48"/>
  <c r="BK161" i="48"/>
  <c r="BK136" i="48"/>
  <c r="BH52" i="2"/>
  <c r="BH63" i="2" s="1"/>
  <c r="BH9" i="3"/>
  <c r="BH166" i="1"/>
  <c r="BH91" i="3"/>
  <c r="S249" i="48"/>
  <c r="R276" i="48"/>
  <c r="S246" i="48"/>
  <c r="S247" i="48"/>
  <c r="S59" i="2"/>
  <c r="S31" i="1"/>
  <c r="S51" i="1"/>
  <c r="S22" i="1"/>
  <c r="BT59" i="2"/>
  <c r="BX110" i="48"/>
  <c r="BX111" i="48"/>
  <c r="CM59" i="2"/>
  <c r="CP59" i="2"/>
  <c r="I115" i="1"/>
  <c r="I129" i="1" s="1"/>
  <c r="I68" i="1"/>
  <c r="I74" i="1" s="1"/>
  <c r="AL160" i="1"/>
  <c r="AE206" i="48"/>
  <c r="X40" i="1"/>
  <c r="CJ35" i="3"/>
  <c r="CJ134" i="3" s="1"/>
  <c r="CN17" i="2"/>
  <c r="CN27" i="2" s="1"/>
  <c r="AP27" i="2"/>
  <c r="AP71" i="3" s="1"/>
  <c r="AP90" i="2"/>
  <c r="CM76" i="3"/>
  <c r="S47" i="2"/>
  <c r="S49" i="2" s="1"/>
  <c r="AA47" i="2"/>
  <c r="AN47" i="2"/>
  <c r="AN49" i="2" s="1"/>
  <c r="R47" i="2"/>
  <c r="R49" i="2" s="1"/>
  <c r="CM47" i="2"/>
  <c r="CK47" i="2"/>
  <c r="BN68" i="2"/>
  <c r="BR68" i="2"/>
  <c r="CM68" i="2"/>
  <c r="CM74" i="2" s="1"/>
  <c r="CM77" i="2" s="1"/>
  <c r="R77" i="2"/>
  <c r="V77" i="2"/>
  <c r="CG77" i="2"/>
  <c r="H86" i="2"/>
  <c r="AW86" i="2"/>
  <c r="AU115" i="2"/>
  <c r="AU118" i="2" s="1"/>
  <c r="N16" i="3"/>
  <c r="AG69" i="3"/>
  <c r="AH17" i="3"/>
  <c r="AV140" i="3"/>
  <c r="AV37" i="3"/>
  <c r="AV41" i="3" s="1"/>
  <c r="N151" i="3"/>
  <c r="G307" i="48"/>
  <c r="G272" i="48"/>
  <c r="R307" i="48"/>
  <c r="R299" i="48"/>
  <c r="AC307" i="48"/>
  <c r="AC283" i="48"/>
  <c r="BG307" i="48"/>
  <c r="BG136" i="48"/>
  <c r="BX272" i="48"/>
  <c r="BX153" i="48"/>
  <c r="AK120" i="48"/>
  <c r="AK122" i="48"/>
  <c r="AK66" i="48" s="1"/>
  <c r="AK67" i="48" s="1"/>
  <c r="BU189" i="48"/>
  <c r="F297" i="48"/>
  <c r="F313" i="48" s="1"/>
  <c r="F289" i="48"/>
  <c r="F305" i="48" s="1"/>
  <c r="N297" i="48"/>
  <c r="N313" i="48" s="1"/>
  <c r="N289" i="48"/>
  <c r="N305" i="48" s="1"/>
  <c r="AD289" i="48"/>
  <c r="AD305" i="48" s="1"/>
  <c r="W257" i="48"/>
  <c r="W249" i="48"/>
  <c r="V276" i="48"/>
  <c r="W246" i="48"/>
  <c r="J59" i="1"/>
  <c r="J29" i="1"/>
  <c r="AY40" i="1"/>
  <c r="AY52" i="1"/>
  <c r="BM76" i="3"/>
  <c r="CO76" i="3"/>
  <c r="BT37" i="2"/>
  <c r="AP47" i="2"/>
  <c r="F77" i="2"/>
  <c r="AM115" i="2"/>
  <c r="AM118" i="2" s="1"/>
  <c r="CS14" i="3"/>
  <c r="BF166" i="1"/>
  <c r="E16" i="3"/>
  <c r="F16" i="3" s="1"/>
  <c r="G16" i="3" s="1"/>
  <c r="Q16" i="3"/>
  <c r="L41" i="3"/>
  <c r="H52" i="3"/>
  <c r="AN52" i="3"/>
  <c r="I51" i="3"/>
  <c r="BQ73" i="3"/>
  <c r="BQ76" i="3" s="1"/>
  <c r="BT189" i="48"/>
  <c r="BT190" i="48"/>
  <c r="S242" i="48"/>
  <c r="W242" i="48"/>
  <c r="AA242" i="48"/>
  <c r="AB289" i="48"/>
  <c r="S48" i="1"/>
  <c r="Q73" i="1"/>
  <c r="Q78" i="1" s="1"/>
  <c r="Q160" i="1"/>
  <c r="Q67" i="1"/>
  <c r="CH67" i="1" s="1"/>
  <c r="CH115" i="1" s="1"/>
  <c r="AF58" i="1"/>
  <c r="X47" i="1"/>
  <c r="Y28" i="1"/>
  <c r="Y167" i="1"/>
  <c r="R78" i="1"/>
  <c r="AI78" i="1"/>
  <c r="AO78" i="1"/>
  <c r="BT68" i="2"/>
  <c r="BT74" i="2" s="1"/>
  <c r="BT77" i="2" s="1"/>
  <c r="CL77" i="2"/>
  <c r="AJ77" i="2"/>
  <c r="AS84" i="2"/>
  <c r="AL88" i="2"/>
  <c r="AL89" i="2" s="1"/>
  <c r="AY88" i="2"/>
  <c r="AY89" i="2" s="1"/>
  <c r="AJ115" i="2"/>
  <c r="AJ118" i="2" s="1"/>
  <c r="AR115" i="2"/>
  <c r="AR118" i="2" s="1"/>
  <c r="AZ115" i="2"/>
  <c r="AZ118" i="2" s="1"/>
  <c r="H84" i="3"/>
  <c r="AO18" i="3"/>
  <c r="AP21" i="3"/>
  <c r="AX30" i="3"/>
  <c r="AI140" i="3"/>
  <c r="AL151" i="3"/>
  <c r="AA151" i="3"/>
  <c r="AO151" i="3"/>
  <c r="Z51" i="3"/>
  <c r="BP124" i="48"/>
  <c r="BT191" i="48"/>
  <c r="AL193" i="48"/>
  <c r="BU190" i="48"/>
  <c r="AB199" i="48"/>
  <c r="AI199" i="48"/>
  <c r="BT199" i="48" s="1"/>
  <c r="T252" i="48"/>
  <c r="T254" i="48" s="1"/>
  <c r="BQ288" i="48"/>
  <c r="L289" i="48"/>
  <c r="L305" i="48" s="1"/>
  <c r="BM289" i="48"/>
  <c r="M78" i="1"/>
  <c r="AA60" i="1"/>
  <c r="BQ167" i="1"/>
  <c r="Q47" i="1"/>
  <c r="AR52" i="1"/>
  <c r="AR40" i="1"/>
  <c r="S167" i="1"/>
  <c r="AK62" i="1"/>
  <c r="CM62" i="1" s="1"/>
  <c r="CM73" i="1" s="1"/>
  <c r="CM78" i="1" s="1"/>
  <c r="H94" i="1"/>
  <c r="H93" i="1"/>
  <c r="Y115" i="1"/>
  <c r="Y129" i="1" s="1"/>
  <c r="H78" i="1"/>
  <c r="L78" i="1"/>
  <c r="N59" i="1"/>
  <c r="P47" i="1"/>
  <c r="Y48" i="1"/>
  <c r="W62" i="1"/>
  <c r="W73" i="1" s="1"/>
  <c r="AZ69" i="3"/>
  <c r="AZ52" i="3"/>
  <c r="Z60" i="1"/>
  <c r="CM149" i="1"/>
  <c r="BP148" i="1"/>
  <c r="CS52" i="2"/>
  <c r="CS63" i="2" s="1"/>
  <c r="BA67" i="1"/>
  <c r="BY67" i="1" s="1"/>
  <c r="BY68" i="1" s="1"/>
  <c r="BA57" i="2"/>
  <c r="BC57" i="2" s="1"/>
  <c r="BD57" i="2" s="1"/>
  <c r="BE57" i="2" s="1"/>
  <c r="BF57" i="2" s="1"/>
  <c r="BG57" i="2" s="1"/>
  <c r="BH57" i="2" s="1"/>
  <c r="BI57" i="2" s="1"/>
  <c r="BJ57" i="2" s="1"/>
  <c r="BK57" i="2" s="1"/>
  <c r="J60" i="1"/>
  <c r="BX148" i="1"/>
  <c r="AZ41" i="3"/>
  <c r="BE98" i="2"/>
  <c r="V82" i="1"/>
  <c r="U82" i="1"/>
  <c r="G36" i="1"/>
  <c r="U71" i="1"/>
  <c r="S81" i="3"/>
  <c r="K84" i="3"/>
  <c r="G47" i="1"/>
  <c r="F70" i="1"/>
  <c r="E70" i="1"/>
  <c r="BA34" i="48"/>
  <c r="BA32" i="48"/>
  <c r="AU94" i="3"/>
  <c r="W94" i="1"/>
  <c r="W93" i="1"/>
  <c r="AX91" i="1"/>
  <c r="AX96" i="1"/>
  <c r="AQ15" i="48"/>
  <c r="AM87" i="48"/>
  <c r="AI88" i="48"/>
  <c r="AI95" i="48" s="1"/>
  <c r="AI87" i="48"/>
  <c r="BT84" i="48"/>
  <c r="CQ56" i="2"/>
  <c r="CQ55" i="2"/>
  <c r="CQ54" i="2" s="1"/>
  <c r="BE93" i="2"/>
  <c r="BE80" i="2"/>
  <c r="O93" i="2"/>
  <c r="O80" i="2"/>
  <c r="BA94" i="1"/>
  <c r="BA93" i="1"/>
  <c r="BA94" i="3" s="1"/>
  <c r="AG97" i="1"/>
  <c r="S34" i="1"/>
  <c r="AZ67" i="48"/>
  <c r="AZ71" i="48"/>
  <c r="AZ69" i="48"/>
  <c r="BZ41" i="2"/>
  <c r="BH41" i="2"/>
  <c r="CO33" i="48"/>
  <c r="CN26" i="3"/>
  <c r="CN125" i="3" s="1"/>
  <c r="BU26" i="3"/>
  <c r="BU125" i="3" s="1"/>
  <c r="BA89" i="48"/>
  <c r="BA95" i="48"/>
  <c r="BB96" i="48" s="1"/>
  <c r="G29" i="1"/>
  <c r="Y80" i="1"/>
  <c r="Y34" i="1"/>
  <c r="AR67" i="48"/>
  <c r="BV66" i="48"/>
  <c r="AQ67" i="48"/>
  <c r="CO66" i="48"/>
  <c r="AQ69" i="48"/>
  <c r="AW93" i="2"/>
  <c r="AW80" i="2"/>
  <c r="AT93" i="1"/>
  <c r="AT94" i="1"/>
  <c r="BX80" i="2"/>
  <c r="BX93" i="2"/>
  <c r="O74" i="1"/>
  <c r="O70" i="1"/>
  <c r="CG84" i="2"/>
  <c r="CG82" i="2"/>
  <c r="CG86" i="2"/>
  <c r="AZ89" i="2"/>
  <c r="BH32" i="2"/>
  <c r="BI32" i="2" s="1"/>
  <c r="CA80" i="2"/>
  <c r="CA93" i="2"/>
  <c r="BE35" i="2"/>
  <c r="BS44" i="3"/>
  <c r="AJ204" i="48"/>
  <c r="BY42" i="2"/>
  <c r="BD42" i="2"/>
  <c r="BC51" i="3"/>
  <c r="AF176" i="48"/>
  <c r="AH28" i="1"/>
  <c r="AP94" i="3"/>
  <c r="BM17" i="3"/>
  <c r="BA100" i="48"/>
  <c r="BB101" i="48" s="1"/>
  <c r="CJ84" i="2"/>
  <c r="BT84" i="2"/>
  <c r="BN84" i="3"/>
  <c r="K60" i="1"/>
  <c r="BA87" i="48"/>
  <c r="BR44" i="3"/>
  <c r="BQ28" i="3"/>
  <c r="BQ127" i="3" s="1"/>
  <c r="CJ28" i="3"/>
  <c r="CJ127" i="3" s="1"/>
  <c r="V74" i="1"/>
  <c r="R34" i="1"/>
  <c r="R80" i="1"/>
  <c r="CN160" i="1"/>
  <c r="CP81" i="2"/>
  <c r="AY34" i="48"/>
  <c r="AY32" i="48"/>
  <c r="AY100" i="48"/>
  <c r="AQ49" i="48"/>
  <c r="AR49" i="48"/>
  <c r="AQ51" i="48"/>
  <c r="AQ100" i="48"/>
  <c r="CR73" i="2"/>
  <c r="BZ15" i="2"/>
  <c r="BH15" i="2"/>
  <c r="BM86" i="2"/>
  <c r="BP80" i="2"/>
  <c r="BP93" i="2"/>
  <c r="BA79" i="1"/>
  <c r="BA112" i="48"/>
  <c r="BA96" i="1"/>
  <c r="BZ70" i="2"/>
  <c r="BH70" i="2"/>
  <c r="BI70" i="2" s="1"/>
  <c r="BZ65" i="2"/>
  <c r="BH65" i="2"/>
  <c r="AC33" i="48"/>
  <c r="AC42" i="48" s="1"/>
  <c r="AC88" i="48"/>
  <c r="AC95" i="48" s="1"/>
  <c r="AC16" i="48"/>
  <c r="AC24" i="48" s="1"/>
  <c r="AC101" i="48"/>
  <c r="AC114" i="48"/>
  <c r="AC185" i="48"/>
  <c r="AC70" i="48"/>
  <c r="AC79" i="48" s="1"/>
  <c r="AC103" i="48"/>
  <c r="AH98" i="48"/>
  <c r="BV84" i="2"/>
  <c r="BV82" i="2"/>
  <c r="BV86" i="2"/>
  <c r="AZ17" i="48"/>
  <c r="BZ40" i="2"/>
  <c r="BD127" i="3"/>
  <c r="BU133" i="3"/>
  <c r="BU66" i="3"/>
  <c r="AE13" i="3"/>
  <c r="BS13" i="3" s="1"/>
  <c r="BO17" i="3"/>
  <c r="CH17" i="3"/>
  <c r="AM202" i="48"/>
  <c r="AU13" i="48"/>
  <c r="AV13" i="48"/>
  <c r="CP12" i="48"/>
  <c r="AW69" i="48"/>
  <c r="AS69" i="48"/>
  <c r="AS67" i="48"/>
  <c r="AS79" i="48"/>
  <c r="BW66" i="48"/>
  <c r="AT67" i="48"/>
  <c r="CQ87" i="48"/>
  <c r="AQ70" i="48"/>
  <c r="BT82" i="2"/>
  <c r="BA85" i="48"/>
  <c r="T34" i="1"/>
  <c r="AU51" i="48"/>
  <c r="AU52" i="48"/>
  <c r="AU61" i="48" s="1"/>
  <c r="CN19" i="3"/>
  <c r="CN118" i="3" s="1"/>
  <c r="AB33" i="1"/>
  <c r="AB27" i="1"/>
  <c r="BA69" i="48"/>
  <c r="BA71" i="48"/>
  <c r="BA67" i="48"/>
  <c r="CI60" i="2"/>
  <c r="CH60" i="2"/>
  <c r="U74" i="1"/>
  <c r="Y80" i="48"/>
  <c r="AZ36" i="48"/>
  <c r="AZ35" i="48"/>
  <c r="CR67" i="2"/>
  <c r="BF67" i="2"/>
  <c r="I114" i="1"/>
  <c r="AZ85" i="48"/>
  <c r="AZ87" i="48"/>
  <c r="AZ95" i="48"/>
  <c r="AZ89" i="48"/>
  <c r="BZ71" i="2"/>
  <c r="BH71" i="2"/>
  <c r="BI71" i="2" s="1"/>
  <c r="BE22" i="2"/>
  <c r="BD40" i="3"/>
  <c r="AZ74" i="1"/>
  <c r="CR36" i="2"/>
  <c r="BF36" i="2"/>
  <c r="BG36" i="2" s="1"/>
  <c r="BT120" i="48"/>
  <c r="BX66" i="48"/>
  <c r="AE177" i="48"/>
  <c r="AE178" i="48" s="1"/>
  <c r="AE179" i="48" s="1"/>
  <c r="O114" i="48"/>
  <c r="O139" i="48"/>
  <c r="BO139" i="48" s="1"/>
  <c r="AN32" i="48"/>
  <c r="AN30" i="48"/>
  <c r="AQ30" i="48"/>
  <c r="AU69" i="48"/>
  <c r="AV67" i="48"/>
  <c r="BE25" i="2"/>
  <c r="BW66" i="3"/>
  <c r="BQ24" i="3"/>
  <c r="BQ123" i="3" s="1"/>
  <c r="BN166" i="1"/>
  <c r="J17" i="3"/>
  <c r="CJ154" i="1"/>
  <c r="AM49" i="48"/>
  <c r="BA49" i="48"/>
  <c r="AF32" i="48"/>
  <c r="BW29" i="3"/>
  <c r="BW128" i="3" s="1"/>
  <c r="CR21" i="2"/>
  <c r="BA86" i="2"/>
  <c r="G94" i="1"/>
  <c r="Y52" i="48"/>
  <c r="Y61" i="48" s="1"/>
  <c r="AB16" i="48"/>
  <c r="AB24" i="48" s="1"/>
  <c r="AB70" i="48"/>
  <c r="AB79" i="48" s="1"/>
  <c r="AB185" i="48"/>
  <c r="N11" i="3"/>
  <c r="Y114" i="48"/>
  <c r="Y75" i="48" s="1"/>
  <c r="Y76" i="48" s="1"/>
  <c r="Y88" i="48"/>
  <c r="Y95" i="48" s="1"/>
  <c r="Y93" i="48"/>
  <c r="Y16" i="48"/>
  <c r="Y24" i="48" s="1"/>
  <c r="AU93" i="2"/>
  <c r="H65" i="3"/>
  <c r="H79" i="3" s="1"/>
  <c r="H87" i="3" s="1"/>
  <c r="AW108" i="3"/>
  <c r="AF204" i="48"/>
  <c r="Z30" i="48"/>
  <c r="AR58" i="1"/>
  <c r="AT16" i="48"/>
  <c r="AG51" i="48"/>
  <c r="BZ65" i="3"/>
  <c r="BZ79" i="3" s="1"/>
  <c r="BZ87" i="3" s="1"/>
  <c r="BT201" i="48"/>
  <c r="CL81" i="2"/>
  <c r="D81" i="3"/>
  <c r="BM49" i="3"/>
  <c r="BM148" i="3" s="1"/>
  <c r="CL44" i="3"/>
  <c r="BR15" i="3"/>
  <c r="BR114" i="3" s="1"/>
  <c r="W17" i="3"/>
  <c r="AU30" i="48"/>
  <c r="AL49" i="48"/>
  <c r="BQ21" i="3"/>
  <c r="BQ120" i="3" s="1"/>
  <c r="BV15" i="3"/>
  <c r="BV114" i="3" s="1"/>
  <c r="AI202" i="48"/>
  <c r="BT202" i="48" s="1"/>
  <c r="AF212" i="48"/>
  <c r="AO91" i="3"/>
  <c r="AJ211" i="48"/>
  <c r="AU118" i="48"/>
  <c r="AU127" i="48" s="1"/>
  <c r="AU170" i="48"/>
  <c r="AU51" i="3"/>
  <c r="BW51" i="3" s="1"/>
  <c r="BW150" i="3" s="1"/>
  <c r="W49" i="3"/>
  <c r="BQ49" i="3" s="1"/>
  <c r="BQ148" i="3" s="1"/>
  <c r="AQ44" i="3"/>
  <c r="CO44" i="3" s="1"/>
  <c r="AA19" i="3"/>
  <c r="CK19" i="3" s="1"/>
  <c r="CK118" i="3" s="1"/>
  <c r="S38" i="3"/>
  <c r="BP38" i="3"/>
  <c r="BP137" i="3" s="1"/>
  <c r="CI38" i="3"/>
  <c r="CI137" i="3" s="1"/>
  <c r="W13" i="3"/>
  <c r="CJ13" i="3" s="1"/>
  <c r="CJ112" i="3" s="1"/>
  <c r="V65" i="3"/>
  <c r="V79" i="3" s="1"/>
  <c r="V87" i="3" s="1"/>
  <c r="V108" i="3"/>
  <c r="AJ108" i="3"/>
  <c r="AJ65" i="3"/>
  <c r="AJ79" i="3" s="1"/>
  <c r="AJ87" i="3" s="1"/>
  <c r="AS65" i="3"/>
  <c r="AS79" i="3" s="1"/>
  <c r="AS87" i="3" s="1"/>
  <c r="AS108" i="3"/>
  <c r="BU65" i="3"/>
  <c r="BU79" i="3" s="1"/>
  <c r="BU87" i="3" s="1"/>
  <c r="BU108" i="3"/>
  <c r="BX108" i="3"/>
  <c r="BX65" i="3"/>
  <c r="BX79" i="3" s="1"/>
  <c r="BX87" i="3" s="1"/>
  <c r="BU76" i="3"/>
  <c r="BX90" i="2"/>
  <c r="BX47" i="2"/>
  <c r="BX49" i="2" s="1"/>
  <c r="AP49" i="2"/>
  <c r="CH77" i="2"/>
  <c r="N15" i="3"/>
  <c r="CN15" i="3"/>
  <c r="CN114" i="3" s="1"/>
  <c r="BU15" i="3"/>
  <c r="BU114" i="3" s="1"/>
  <c r="O16" i="3"/>
  <c r="CH16" i="3" s="1"/>
  <c r="CH115" i="3" s="1"/>
  <c r="R18" i="3"/>
  <c r="AE18" i="3"/>
  <c r="CL18" i="3" s="1"/>
  <c r="CL117" i="3" s="1"/>
  <c r="BS18" i="3"/>
  <c r="BS117" i="3" s="1"/>
  <c r="O20" i="3"/>
  <c r="BO20" i="3" s="1"/>
  <c r="BO119" i="3" s="1"/>
  <c r="AU20" i="3"/>
  <c r="G21" i="3"/>
  <c r="BM21" i="3" s="1"/>
  <c r="BM120" i="3" s="1"/>
  <c r="S23" i="3"/>
  <c r="CI23" i="3" s="1"/>
  <c r="CI122" i="3" s="1"/>
  <c r="Z23" i="3"/>
  <c r="AL23" i="3"/>
  <c r="AQ24" i="3"/>
  <c r="CO24" i="3" s="1"/>
  <c r="CO123" i="3" s="1"/>
  <c r="S26" i="3"/>
  <c r="BP26" i="3" s="1"/>
  <c r="BP125" i="3" s="1"/>
  <c r="F27" i="3"/>
  <c r="AM27" i="3"/>
  <c r="CN27" i="3" s="1"/>
  <c r="CN126" i="3" s="1"/>
  <c r="AQ28" i="3"/>
  <c r="AE29" i="3"/>
  <c r="BS29" i="3" s="1"/>
  <c r="BS128" i="3" s="1"/>
  <c r="CL29" i="3"/>
  <c r="CL128" i="3" s="1"/>
  <c r="S30" i="3"/>
  <c r="BP30" i="3" s="1"/>
  <c r="BP129" i="3" s="1"/>
  <c r="K35" i="3"/>
  <c r="CG35" i="3" s="1"/>
  <c r="AH35" i="3"/>
  <c r="K36" i="3"/>
  <c r="W36" i="3"/>
  <c r="BQ36" i="3" s="1"/>
  <c r="BQ135" i="3" s="1"/>
  <c r="V37" i="3"/>
  <c r="V41" i="3" s="1"/>
  <c r="O38" i="3"/>
  <c r="BO38" i="3" s="1"/>
  <c r="BO137" i="3" s="1"/>
  <c r="CH38" i="3"/>
  <c r="CH137" i="3" s="1"/>
  <c r="AM38" i="3"/>
  <c r="CN38" i="3" s="1"/>
  <c r="CN137" i="3" s="1"/>
  <c r="AT38" i="3"/>
  <c r="AI40" i="3"/>
  <c r="BT40" i="3" s="1"/>
  <c r="BT139" i="3" s="1"/>
  <c r="AT40" i="3"/>
  <c r="V45" i="3"/>
  <c r="AU45" i="3"/>
  <c r="BW45" i="3" s="1"/>
  <c r="AA47" i="3"/>
  <c r="AL47" i="3"/>
  <c r="S48" i="3"/>
  <c r="CI48" i="3" s="1"/>
  <c r="CI147" i="3" s="1"/>
  <c r="S49" i="3"/>
  <c r="BP49" i="3" s="1"/>
  <c r="BP148" i="3" s="1"/>
  <c r="CI49" i="3"/>
  <c r="CI148" i="3" s="1"/>
  <c r="J50" i="3"/>
  <c r="I52" i="3"/>
  <c r="Z50" i="3"/>
  <c r="AQ50" i="3"/>
  <c r="CO50" i="3" s="1"/>
  <c r="CO149" i="3" s="1"/>
  <c r="AH51" i="3"/>
  <c r="AM54" i="3"/>
  <c r="CN54" i="3" s="1"/>
  <c r="CN153" i="3" s="1"/>
  <c r="AU57" i="3"/>
  <c r="CP57" i="3" s="1"/>
  <c r="AA16" i="3"/>
  <c r="BR16" i="3" s="1"/>
  <c r="BR115" i="3" s="1"/>
  <c r="AH21" i="3"/>
  <c r="AE30" i="3"/>
  <c r="BS30" i="3" s="1"/>
  <c r="BS129" i="3" s="1"/>
  <c r="AW42" i="48"/>
  <c r="AB305" i="48"/>
  <c r="P112" i="48"/>
  <c r="AC112" i="48"/>
  <c r="AT78" i="1"/>
  <c r="CQ66" i="48"/>
  <c r="AH112" i="48"/>
  <c r="O148" i="48"/>
  <c r="O149" i="48" s="1"/>
  <c r="O151" i="48" s="1"/>
  <c r="O137" i="48"/>
  <c r="O123" i="1"/>
  <c r="AO30" i="48"/>
  <c r="BT123" i="48"/>
  <c r="BT132" i="48" s="1"/>
  <c r="AU32" i="48"/>
  <c r="AR30" i="48"/>
  <c r="AQ124" i="48"/>
  <c r="AY69" i="48"/>
  <c r="AY71" i="48"/>
  <c r="BN113" i="3"/>
  <c r="AZ30" i="48"/>
  <c r="AF100" i="48"/>
  <c r="CQ61" i="3"/>
  <c r="CQ17" i="2"/>
  <c r="AB33" i="48"/>
  <c r="AB42" i="48" s="1"/>
  <c r="AK212" i="48"/>
  <c r="AB103" i="48"/>
  <c r="BD39" i="2"/>
  <c r="BQ81" i="2"/>
  <c r="BM16" i="3"/>
  <c r="BM115" i="3" s="1"/>
  <c r="BM34" i="3"/>
  <c r="CF16" i="3"/>
  <c r="CF115" i="3" s="1"/>
  <c r="BN247" i="48"/>
  <c r="I166" i="1"/>
  <c r="I83" i="3"/>
  <c r="I84" i="3" s="1"/>
  <c r="CN51" i="3"/>
  <c r="CN150" i="3" s="1"/>
  <c r="BU51" i="3"/>
  <c r="BU150" i="3" s="1"/>
  <c r="AE38" i="3"/>
  <c r="CL38" i="3" s="1"/>
  <c r="CL137" i="3" s="1"/>
  <c r="CM45" i="3"/>
  <c r="CM144" i="3" s="1"/>
  <c r="BT45" i="3"/>
  <c r="BT144" i="3" s="1"/>
  <c r="AA34" i="3"/>
  <c r="Z66" i="3"/>
  <c r="Z68" i="3" s="1"/>
  <c r="S13" i="3"/>
  <c r="AN108" i="3"/>
  <c r="AN65" i="3"/>
  <c r="AN79" i="3" s="1"/>
  <c r="AN87" i="3" s="1"/>
  <c r="AY108" i="3"/>
  <c r="AY65" i="3"/>
  <c r="AY79" i="3" s="1"/>
  <c r="AY87" i="3" s="1"/>
  <c r="BB65" i="3"/>
  <c r="BB79" i="3" s="1"/>
  <c r="BB87" i="3" s="1"/>
  <c r="BM108" i="3"/>
  <c r="BM65" i="3"/>
  <c r="BM79" i="3" s="1"/>
  <c r="BM87" i="3" s="1"/>
  <c r="BQ65" i="3"/>
  <c r="BQ79" i="3" s="1"/>
  <c r="BQ87" i="3" s="1"/>
  <c r="BQ108" i="3"/>
  <c r="CN90" i="2"/>
  <c r="AA90" i="2"/>
  <c r="AA27" i="2"/>
  <c r="BN76" i="3"/>
  <c r="BV76" i="3"/>
  <c r="CL76" i="3"/>
  <c r="CP76" i="3"/>
  <c r="CI77" i="2"/>
  <c r="AL96" i="2"/>
  <c r="BU104" i="2"/>
  <c r="AN104" i="2"/>
  <c r="AO104" i="2" s="1"/>
  <c r="AP104" i="2" s="1"/>
  <c r="AQ104" i="2" s="1"/>
  <c r="R15" i="3"/>
  <c r="AT16" i="3"/>
  <c r="AD17" i="3"/>
  <c r="AC69" i="3"/>
  <c r="J18" i="3"/>
  <c r="V18" i="3"/>
  <c r="AP18" i="3"/>
  <c r="R19" i="3"/>
  <c r="AA20" i="3"/>
  <c r="F23" i="3"/>
  <c r="AD23" i="3"/>
  <c r="AP23" i="3"/>
  <c r="F24" i="3"/>
  <c r="O25" i="3"/>
  <c r="CH25" i="3" s="1"/>
  <c r="CH124" i="3" s="1"/>
  <c r="AT26" i="3"/>
  <c r="J27" i="3"/>
  <c r="W27" i="3"/>
  <c r="BQ27" i="3" s="1"/>
  <c r="BQ126" i="3" s="1"/>
  <c r="J28" i="3"/>
  <c r="AA28" i="3"/>
  <c r="CK28" i="3" s="1"/>
  <c r="CK127" i="3" s="1"/>
  <c r="BR28" i="3"/>
  <c r="BR127" i="3" s="1"/>
  <c r="O29" i="3"/>
  <c r="CH29" i="3" s="1"/>
  <c r="CH128" i="3" s="1"/>
  <c r="V29" i="3"/>
  <c r="W30" i="3"/>
  <c r="BQ30" i="3" s="1"/>
  <c r="BQ129" i="3" s="1"/>
  <c r="BV30" i="3"/>
  <c r="BV129" i="3" s="1"/>
  <c r="AQ30" i="3"/>
  <c r="CO30" i="3"/>
  <c r="CO129" i="3" s="1"/>
  <c r="AU36" i="3"/>
  <c r="BW36" i="3" s="1"/>
  <c r="BW135" i="3" s="1"/>
  <c r="O37" i="3"/>
  <c r="Z38" i="3"/>
  <c r="AX40" i="3"/>
  <c r="AH44" i="3"/>
  <c r="AG52" i="3"/>
  <c r="N45" i="3"/>
  <c r="M52" i="3"/>
  <c r="AA45" i="3"/>
  <c r="BR45" i="3" s="1"/>
  <c r="BR144" i="3" s="1"/>
  <c r="CK45" i="3"/>
  <c r="AM45" i="3"/>
  <c r="CN45" i="3" s="1"/>
  <c r="CN144" i="3" s="1"/>
  <c r="W46" i="3"/>
  <c r="BQ46" i="3" s="1"/>
  <c r="BQ145" i="3" s="1"/>
  <c r="AD46" i="3"/>
  <c r="AU46" i="3"/>
  <c r="BW46" i="3" s="1"/>
  <c r="BW145" i="3" s="1"/>
  <c r="F48" i="3"/>
  <c r="AT49" i="3"/>
  <c r="N50" i="3"/>
  <c r="AD50" i="3"/>
  <c r="F51" i="3"/>
  <c r="R57" i="3"/>
  <c r="AI57" i="3"/>
  <c r="CM57" i="3" s="1"/>
  <c r="AA51" i="3"/>
  <c r="CK51" i="3" s="1"/>
  <c r="CK150" i="3" s="1"/>
  <c r="AH74" i="1"/>
  <c r="AM112" i="48"/>
  <c r="AE29" i="48"/>
  <c r="AE171" i="48"/>
  <c r="AH96" i="1"/>
  <c r="BU50" i="3"/>
  <c r="BU149" i="3" s="1"/>
  <c r="CQ160" i="1"/>
  <c r="AF154" i="1"/>
  <c r="AB52" i="48"/>
  <c r="AB61" i="48" s="1"/>
  <c r="Y33" i="48"/>
  <c r="Y42" i="48" s="1"/>
  <c r="AG93" i="2"/>
  <c r="BY39" i="2"/>
  <c r="AC52" i="48"/>
  <c r="AC61" i="48" s="1"/>
  <c r="BY81" i="2"/>
  <c r="AC49" i="48"/>
  <c r="AJ93" i="2"/>
  <c r="BQ247" i="48"/>
  <c r="BQ154" i="48"/>
  <c r="BW90" i="2"/>
  <c r="BW27" i="2"/>
  <c r="BW71" i="3" s="1"/>
  <c r="BQ27" i="2"/>
  <c r="BQ90" i="2"/>
  <c r="CK35" i="3"/>
  <c r="BN54" i="3"/>
  <c r="BN153" i="3" s="1"/>
  <c r="O44" i="3"/>
  <c r="N66" i="3"/>
  <c r="O34" i="3"/>
  <c r="AE47" i="3"/>
  <c r="BS47" i="3" s="1"/>
  <c r="BS146" i="3" s="1"/>
  <c r="CL47" i="3"/>
  <c r="CL146" i="3" s="1"/>
  <c r="AI38" i="3"/>
  <c r="BT38" i="3" s="1"/>
  <c r="BT137" i="3" s="1"/>
  <c r="K13" i="3"/>
  <c r="CG13" i="3" s="1"/>
  <c r="CG112" i="3" s="1"/>
  <c r="CK27" i="2"/>
  <c r="CK71" i="3" s="1"/>
  <c r="CK90" i="2"/>
  <c r="BW76" i="3"/>
  <c r="CF77" i="2"/>
  <c r="AI98" i="2"/>
  <c r="AI109" i="2"/>
  <c r="N13" i="3"/>
  <c r="AG166" i="1"/>
  <c r="AE15" i="3"/>
  <c r="BS15" i="3" s="1"/>
  <c r="BS114" i="3" s="1"/>
  <c r="AH16" i="3"/>
  <c r="AY16" i="3"/>
  <c r="CQ16" i="3" s="1"/>
  <c r="CQ115" i="3" s="1"/>
  <c r="AA18" i="3"/>
  <c r="CK18" i="3" s="1"/>
  <c r="CK117" i="3" s="1"/>
  <c r="BR18" i="3"/>
  <c r="BR117" i="3" s="1"/>
  <c r="AH18" i="3"/>
  <c r="W19" i="3"/>
  <c r="CJ19" i="3" s="1"/>
  <c r="CJ118" i="3" s="1"/>
  <c r="BQ19" i="3"/>
  <c r="BQ118" i="3" s="1"/>
  <c r="BW19" i="3"/>
  <c r="BW118" i="3" s="1"/>
  <c r="K20" i="3"/>
  <c r="BN20" i="3" s="1"/>
  <c r="BN119" i="3" s="1"/>
  <c r="AY20" i="3"/>
  <c r="O21" i="3"/>
  <c r="BO21" i="3" s="1"/>
  <c r="BO120" i="3" s="1"/>
  <c r="AT21" i="3"/>
  <c r="J23" i="3"/>
  <c r="W23" i="3"/>
  <c r="CJ23" i="3" s="1"/>
  <c r="CJ122" i="3" s="1"/>
  <c r="K24" i="3"/>
  <c r="CG24" i="3" s="1"/>
  <c r="CG123" i="3" s="1"/>
  <c r="CK26" i="3"/>
  <c r="CK125" i="3" s="1"/>
  <c r="AD26" i="3"/>
  <c r="AY26" i="3"/>
  <c r="CQ26" i="3" s="1"/>
  <c r="CQ125" i="3" s="1"/>
  <c r="N27" i="3"/>
  <c r="AX27" i="3"/>
  <c r="N28" i="3"/>
  <c r="AA29" i="3"/>
  <c r="BR29" i="3" s="1"/>
  <c r="BR128" i="3" s="1"/>
  <c r="AP29" i="3"/>
  <c r="CN29" i="3"/>
  <c r="CN128" i="3" s="1"/>
  <c r="AH30" i="3"/>
  <c r="AA36" i="3"/>
  <c r="BR36" i="3" s="1"/>
  <c r="BR135" i="3" s="1"/>
  <c r="AL36" i="3"/>
  <c r="AK41" i="3"/>
  <c r="AQ38" i="3"/>
  <c r="BV38" i="3" s="1"/>
  <c r="BV137" i="3" s="1"/>
  <c r="CO38" i="3"/>
  <c r="CO137" i="3" s="1"/>
  <c r="G39" i="3"/>
  <c r="BM39" i="3" s="1"/>
  <c r="BM138" i="3" s="1"/>
  <c r="W39" i="3"/>
  <c r="CJ39" i="3" s="1"/>
  <c r="CJ138" i="3" s="1"/>
  <c r="AI39" i="3"/>
  <c r="BT39" i="3" s="1"/>
  <c r="BT138" i="3" s="1"/>
  <c r="R40" i="3"/>
  <c r="AL40" i="3"/>
  <c r="AL44" i="3"/>
  <c r="AK52" i="3"/>
  <c r="F45" i="3"/>
  <c r="S45" i="3"/>
  <c r="AX45" i="3"/>
  <c r="O46" i="3"/>
  <c r="W48" i="3"/>
  <c r="BQ48" i="3" s="1"/>
  <c r="BQ147" i="3" s="1"/>
  <c r="AH48" i="3"/>
  <c r="AY48" i="3"/>
  <c r="CQ48" i="3" s="1"/>
  <c r="CQ147" i="3" s="1"/>
  <c r="O49" i="3"/>
  <c r="BO49" i="3" s="1"/>
  <c r="BO148" i="3" s="1"/>
  <c r="CH49" i="3"/>
  <c r="CH148" i="3" s="1"/>
  <c r="AX49" i="3"/>
  <c r="AU50" i="3"/>
  <c r="BW50" i="3" s="1"/>
  <c r="BW149" i="3" s="1"/>
  <c r="J51" i="3"/>
  <c r="R54" i="3"/>
  <c r="AI54" i="3"/>
  <c r="BT54" i="3" s="1"/>
  <c r="BT153" i="3" s="1"/>
  <c r="CM54" i="3"/>
  <c r="CM153" i="3" s="1"/>
  <c r="F57" i="3"/>
  <c r="AM57" i="3"/>
  <c r="CN57" i="3" s="1"/>
  <c r="AY57" i="3"/>
  <c r="CQ57" i="3"/>
  <c r="U51" i="3"/>
  <c r="T52" i="3"/>
  <c r="R141" i="48"/>
  <c r="AC206" i="48"/>
  <c r="BO289" i="48"/>
  <c r="BA170" i="48"/>
  <c r="BA118" i="48"/>
  <c r="BA127" i="48" s="1"/>
  <c r="AA32" i="1"/>
  <c r="AQ54" i="3"/>
  <c r="CO54" i="3" s="1"/>
  <c r="CO153" i="3" s="1"/>
  <c r="BQ44" i="3"/>
  <c r="AQ40" i="3"/>
  <c r="CO40" i="3" s="1"/>
  <c r="CO139" i="3" s="1"/>
  <c r="AQ39" i="3"/>
  <c r="BV39" i="3" s="1"/>
  <c r="BV138" i="3" s="1"/>
  <c r="W34" i="3"/>
  <c r="CJ34" i="3" s="1"/>
  <c r="V66" i="3"/>
  <c r="AY35" i="3"/>
  <c r="CQ35" i="3" s="1"/>
  <c r="K21" i="3"/>
  <c r="BN21" i="3" s="1"/>
  <c r="BN120" i="3" s="1"/>
  <c r="L108" i="3"/>
  <c r="L65" i="3"/>
  <c r="L79" i="3" s="1"/>
  <c r="L87" i="3" s="1"/>
  <c r="X108" i="3"/>
  <c r="X65" i="3"/>
  <c r="X79" i="3" s="1"/>
  <c r="X87" i="3" s="1"/>
  <c r="BO108" i="3"/>
  <c r="BO65" i="3"/>
  <c r="BO79" i="3" s="1"/>
  <c r="BO87" i="3" s="1"/>
  <c r="V90" i="2"/>
  <c r="V27" i="2"/>
  <c r="V49" i="2" s="1"/>
  <c r="AX71" i="3"/>
  <c r="AX49" i="2"/>
  <c r="CJ76" i="3"/>
  <c r="CN76" i="3"/>
  <c r="CO77" i="2"/>
  <c r="AK91" i="3"/>
  <c r="AK80" i="3"/>
  <c r="AK81" i="3" s="1"/>
  <c r="AK166" i="1"/>
  <c r="AK83" i="3"/>
  <c r="AK84" i="3" s="1"/>
  <c r="AL14" i="3"/>
  <c r="AH15" i="3"/>
  <c r="J16" i="3"/>
  <c r="AX17" i="3"/>
  <c r="AW69" i="3"/>
  <c r="AM18" i="3"/>
  <c r="CN18" i="3" s="1"/>
  <c r="CN117" i="3" s="1"/>
  <c r="O19" i="3"/>
  <c r="CH19" i="3" s="1"/>
  <c r="CH118" i="3" s="1"/>
  <c r="AH19" i="3"/>
  <c r="CN21" i="3"/>
  <c r="CN120" i="3" s="1"/>
  <c r="AM21" i="3"/>
  <c r="BU21" i="3" s="1"/>
  <c r="BU120" i="3" s="1"/>
  <c r="AY21" i="3"/>
  <c r="CQ21" i="3" s="1"/>
  <c r="CQ120" i="3" s="1"/>
  <c r="AY23" i="3"/>
  <c r="AE24" i="3"/>
  <c r="CL24" i="3" s="1"/>
  <c r="CL123" i="3" s="1"/>
  <c r="AL24" i="3"/>
  <c r="N26" i="3"/>
  <c r="CG26" i="3"/>
  <c r="CG125" i="3" s="1"/>
  <c r="AI26" i="3"/>
  <c r="BT26" i="3" s="1"/>
  <c r="BT125" i="3" s="1"/>
  <c r="CM26" i="3"/>
  <c r="CM125" i="3" s="1"/>
  <c r="S27" i="3"/>
  <c r="BP27" i="3" s="1"/>
  <c r="BP126" i="3" s="1"/>
  <c r="AH27" i="3"/>
  <c r="G28" i="3"/>
  <c r="R28" i="3"/>
  <c r="AL28" i="3"/>
  <c r="N30" i="3"/>
  <c r="CG30" i="3"/>
  <c r="CG129" i="3" s="1"/>
  <c r="Z30" i="3"/>
  <c r="AQ36" i="3"/>
  <c r="CO36" i="3" s="1"/>
  <c r="F37" i="3"/>
  <c r="E41" i="3"/>
  <c r="CM37" i="3"/>
  <c r="CM136" i="3" s="1"/>
  <c r="AI37" i="3"/>
  <c r="BT37" i="3" s="1"/>
  <c r="BT136" i="3" s="1"/>
  <c r="W38" i="3"/>
  <c r="BQ38" i="3" s="1"/>
  <c r="BQ137" i="3" s="1"/>
  <c r="CJ38" i="3"/>
  <c r="CJ137" i="3" s="1"/>
  <c r="J39" i="3"/>
  <c r="F40" i="3"/>
  <c r="W40" i="3"/>
  <c r="BQ40" i="3" s="1"/>
  <c r="BQ139" i="3" s="1"/>
  <c r="CJ40" i="3"/>
  <c r="CJ139" i="3" s="1"/>
  <c r="K45" i="3"/>
  <c r="AD45" i="3"/>
  <c r="AP45" i="3"/>
  <c r="AL46" i="3"/>
  <c r="F47" i="3"/>
  <c r="V47" i="3"/>
  <c r="AL48" i="3"/>
  <c r="F54" i="3"/>
  <c r="V54" i="3"/>
  <c r="AQ57" i="3"/>
  <c r="CO57" i="3" s="1"/>
  <c r="BW167" i="1"/>
  <c r="BO47" i="3"/>
  <c r="BO146" i="3" s="1"/>
  <c r="CL34" i="3"/>
  <c r="AK68" i="3"/>
  <c r="CP18" i="3"/>
  <c r="CP117" i="3" s="1"/>
  <c r="BT24" i="3"/>
  <c r="CQ36" i="3"/>
  <c r="CQ135" i="3" s="1"/>
  <c r="BW24" i="3"/>
  <c r="BQ13" i="3"/>
  <c r="CF36" i="3"/>
  <c r="CF135" i="3" s="1"/>
  <c r="AG66" i="3"/>
  <c r="AJ68" i="3"/>
  <c r="AY38" i="3"/>
  <c r="BX38" i="3" s="1"/>
  <c r="BX137" i="3" s="1"/>
  <c r="U66" i="3"/>
  <c r="U68" i="3" s="1"/>
  <c r="BW28" i="3"/>
  <c r="BW127" i="3" s="1"/>
  <c r="AT54" i="3"/>
  <c r="AD35" i="3"/>
  <c r="BR15" i="2"/>
  <c r="BR17" i="2" s="1"/>
  <c r="CI15" i="2"/>
  <c r="CI17" i="2" s="1"/>
  <c r="R20" i="3"/>
  <c r="AO47" i="3"/>
  <c r="AV51" i="3"/>
  <c r="AH187" i="48"/>
  <c r="CF159" i="1"/>
  <c r="Z68" i="1"/>
  <c r="D115" i="1"/>
  <c r="D129" i="1" s="1"/>
  <c r="AL159" i="1"/>
  <c r="AM40" i="1"/>
  <c r="Q28" i="1"/>
  <c r="Y45" i="1"/>
  <c r="Y59" i="1"/>
  <c r="AT52" i="1"/>
  <c r="E52" i="1"/>
  <c r="E40" i="1"/>
  <c r="AC26" i="1"/>
  <c r="AC28" i="1"/>
  <c r="AF32" i="1"/>
  <c r="AF78" i="1"/>
  <c r="Y57" i="1"/>
  <c r="AS160" i="1"/>
  <c r="AS73" i="1"/>
  <c r="AW160" i="1"/>
  <c r="AW73" i="1"/>
  <c r="AW78" i="1" s="1"/>
  <c r="BU25" i="3"/>
  <c r="BU124" i="3" s="1"/>
  <c r="M41" i="3"/>
  <c r="AH34" i="3"/>
  <c r="BX54" i="3"/>
  <c r="BX153" i="3" s="1"/>
  <c r="BU39" i="3"/>
  <c r="BU138" i="3" s="1"/>
  <c r="BN19" i="3"/>
  <c r="BN118" i="3" s="1"/>
  <c r="AW27" i="2"/>
  <c r="R55" i="2"/>
  <c r="R54" i="2" s="1"/>
  <c r="Q57" i="2"/>
  <c r="AW14" i="3"/>
  <c r="X52" i="3"/>
  <c r="K291" i="48"/>
  <c r="AM291" i="48"/>
  <c r="CA14" i="3"/>
  <c r="AE40" i="1"/>
  <c r="AL67" i="1"/>
  <c r="L35" i="1"/>
  <c r="L45" i="1"/>
  <c r="W26" i="1"/>
  <c r="N29" i="1"/>
  <c r="BQ25" i="3"/>
  <c r="BQ124" i="3" s="1"/>
  <c r="AG41" i="3"/>
  <c r="U41" i="3"/>
  <c r="BX29" i="3"/>
  <c r="BX128" i="3" s="1"/>
  <c r="CH16" i="2"/>
  <c r="M56" i="2"/>
  <c r="AR47" i="3"/>
  <c r="AT159" i="1"/>
  <c r="AT67" i="1"/>
  <c r="AD159" i="1"/>
  <c r="X28" i="1"/>
  <c r="X26" i="1"/>
  <c r="X167" i="1"/>
  <c r="AX167" i="1"/>
  <c r="AK32" i="1"/>
  <c r="AC57" i="1"/>
  <c r="M59" i="1"/>
  <c r="AN160" i="1"/>
  <c r="AN67" i="1"/>
  <c r="AA28" i="1"/>
  <c r="AT167" i="1"/>
  <c r="AN48" i="1"/>
  <c r="AG68" i="1"/>
  <c r="AE78" i="1"/>
  <c r="CI153" i="1"/>
  <c r="AQ62" i="1"/>
  <c r="BV62" i="1" s="1"/>
  <c r="AH110" i="1"/>
  <c r="BR151" i="1"/>
  <c r="BD81" i="2"/>
  <c r="BE148" i="1"/>
  <c r="BD147" i="1"/>
  <c r="BY144" i="1"/>
  <c r="AO16" i="1"/>
  <c r="AO15" i="1"/>
  <c r="AT16" i="1"/>
  <c r="AT15" i="1"/>
  <c r="AY16" i="1"/>
  <c r="AY15" i="1"/>
  <c r="AZ15" i="1"/>
  <c r="AZ16" i="1"/>
  <c r="AV16" i="1"/>
  <c r="AV15" i="1"/>
  <c r="AX16" i="1"/>
  <c r="AX15" i="1"/>
  <c r="AU15" i="1"/>
  <c r="AU16" i="1"/>
  <c r="AR15" i="1"/>
  <c r="AR16" i="1"/>
  <c r="AW15" i="1"/>
  <c r="AW16" i="1"/>
  <c r="BA15" i="1"/>
  <c r="BA16" i="1"/>
  <c r="AN16" i="1"/>
  <c r="AN15" i="1"/>
  <c r="AP16" i="1"/>
  <c r="AP15" i="1"/>
  <c r="AQ15" i="1"/>
  <c r="AS15" i="1"/>
  <c r="AS16" i="1"/>
  <c r="BT89" i="1" l="1"/>
  <c r="AO94" i="3"/>
  <c r="CF84" i="2"/>
  <c r="CF82" i="2"/>
  <c r="CN81" i="2"/>
  <c r="CN84" i="2" s="1"/>
  <c r="CN89" i="1"/>
  <c r="CQ16" i="1"/>
  <c r="CO16" i="1"/>
  <c r="AI124" i="48"/>
  <c r="BB32" i="48"/>
  <c r="BB36" i="48"/>
  <c r="BS240" i="48"/>
  <c r="BS242" i="48" s="1"/>
  <c r="BP139" i="48"/>
  <c r="BY91" i="3"/>
  <c r="BP21" i="3"/>
  <c r="BP120" i="3" s="1"/>
  <c r="S21" i="3"/>
  <c r="CI21" i="3"/>
  <c r="CI120" i="3" s="1"/>
  <c r="CO51" i="3"/>
  <c r="CO150" i="3" s="1"/>
  <c r="BV51" i="3"/>
  <c r="BV150" i="3" s="1"/>
  <c r="BS16" i="3"/>
  <c r="BS115" i="3" s="1"/>
  <c r="CL16" i="3"/>
  <c r="CL115" i="3" s="1"/>
  <c r="AH13" i="3"/>
  <c r="BY166" i="1"/>
  <c r="BY83" i="3"/>
  <c r="AH49" i="3"/>
  <c r="BB72" i="3"/>
  <c r="BC72" i="3" s="1"/>
  <c r="CQ72" i="3"/>
  <c r="CQ73" i="3" s="1"/>
  <c r="CQ76" i="3" s="1"/>
  <c r="BS51" i="3"/>
  <c r="BS150" i="3" s="1"/>
  <c r="CI27" i="3"/>
  <c r="CI126" i="3" s="1"/>
  <c r="BU18" i="3"/>
  <c r="BU117" i="3" s="1"/>
  <c r="BV54" i="3"/>
  <c r="BV153" i="3" s="1"/>
  <c r="CG20" i="3"/>
  <c r="CG119" i="3" s="1"/>
  <c r="CK16" i="3"/>
  <c r="CK115" i="3" s="1"/>
  <c r="BV50" i="3"/>
  <c r="BV149" i="3" s="1"/>
  <c r="BP48" i="3"/>
  <c r="BP147" i="3" s="1"/>
  <c r="CP45" i="3"/>
  <c r="CI30" i="3"/>
  <c r="CI129" i="3" s="1"/>
  <c r="BP23" i="3"/>
  <c r="BP122" i="3" s="1"/>
  <c r="CH20" i="3"/>
  <c r="CH119" i="3" s="1"/>
  <c r="V69" i="3"/>
  <c r="AF84" i="3"/>
  <c r="BS25" i="3"/>
  <c r="BS124" i="3" s="1"/>
  <c r="CJ26" i="3"/>
  <c r="CJ125" i="3" s="1"/>
  <c r="BW48" i="3"/>
  <c r="BW147" i="3" s="1"/>
  <c r="CP13" i="3"/>
  <c r="CP112" i="3" s="1"/>
  <c r="CK39" i="3"/>
  <c r="CK138" i="3" s="1"/>
  <c r="BS39" i="3"/>
  <c r="BS138" i="3" s="1"/>
  <c r="CJ16" i="3"/>
  <c r="CJ115" i="3" s="1"/>
  <c r="E80" i="3"/>
  <c r="E81" i="3" s="1"/>
  <c r="E166" i="1"/>
  <c r="E83" i="3"/>
  <c r="E84" i="3" s="1"/>
  <c r="F14" i="3"/>
  <c r="X81" i="3"/>
  <c r="X84" i="3"/>
  <c r="CL49" i="3"/>
  <c r="CL148" i="3" s="1"/>
  <c r="AV84" i="3"/>
  <c r="CR33" i="2"/>
  <c r="BY40" i="3"/>
  <c r="BY139" i="3" s="1"/>
  <c r="BE40" i="3"/>
  <c r="CR40" i="3" s="1"/>
  <c r="CR139" i="3" s="1"/>
  <c r="BB52" i="3"/>
  <c r="BE88" i="1"/>
  <c r="BE12" i="2"/>
  <c r="BE114" i="2"/>
  <c r="CS21" i="2"/>
  <c r="BJ21" i="2"/>
  <c r="BK21" i="2" s="1"/>
  <c r="CA21" i="2" s="1"/>
  <c r="CK154" i="1"/>
  <c r="BQ154" i="1"/>
  <c r="BD54" i="2"/>
  <c r="BE55" i="2"/>
  <c r="BP62" i="1"/>
  <c r="S67" i="1"/>
  <c r="CI67" i="1" s="1"/>
  <c r="K35" i="1"/>
  <c r="AG104" i="1"/>
  <c r="AH124" i="48"/>
  <c r="BQ91" i="1"/>
  <c r="BQ94" i="1" s="1"/>
  <c r="CJ56" i="1"/>
  <c r="CJ57" i="1" s="1"/>
  <c r="AB29" i="1"/>
  <c r="BX89" i="1"/>
  <c r="BV89" i="1"/>
  <c r="AG154" i="1"/>
  <c r="AH154" i="1" s="1"/>
  <c r="AV73" i="1"/>
  <c r="AV78" i="1" s="1"/>
  <c r="AV96" i="1" s="1"/>
  <c r="AE141" i="48"/>
  <c r="AB203" i="48"/>
  <c r="AQ79" i="48"/>
  <c r="Y114" i="1"/>
  <c r="AG113" i="1"/>
  <c r="M112" i="48"/>
  <c r="CN56" i="2"/>
  <c r="AB35" i="1"/>
  <c r="AZ96" i="1"/>
  <c r="AZ97" i="1" s="1"/>
  <c r="O108" i="3"/>
  <c r="O65" i="3"/>
  <c r="O79" i="3" s="1"/>
  <c r="O87" i="3" s="1"/>
  <c r="AP88" i="48"/>
  <c r="AP95" i="48" s="1"/>
  <c r="AT103" i="48"/>
  <c r="BT159" i="1"/>
  <c r="G123" i="1"/>
  <c r="CQ12" i="48"/>
  <c r="BA18" i="48"/>
  <c r="AZ100" i="48"/>
  <c r="AZ15" i="48"/>
  <c r="AZ13" i="48"/>
  <c r="P96" i="1"/>
  <c r="P113" i="1" s="1"/>
  <c r="CI86" i="2"/>
  <c r="CI84" i="2"/>
  <c r="CH160" i="1"/>
  <c r="BQ13" i="1"/>
  <c r="BQ51" i="1"/>
  <c r="BQ251" i="48"/>
  <c r="BQ249" i="48"/>
  <c r="BQ59" i="2"/>
  <c r="BQ155" i="48"/>
  <c r="BQ157" i="48" s="1"/>
  <c r="BQ159" i="48" s="1"/>
  <c r="BQ250" i="48"/>
  <c r="BQ242" i="48"/>
  <c r="BO13" i="1"/>
  <c r="BO249" i="48"/>
  <c r="BO250" i="48"/>
  <c r="BO110" i="48"/>
  <c r="BO148" i="48" s="1"/>
  <c r="BO149" i="48" s="1"/>
  <c r="BO151" i="48" s="1"/>
  <c r="BO245" i="48"/>
  <c r="BO248" i="48"/>
  <c r="BO246" i="48"/>
  <c r="BO251" i="48"/>
  <c r="BO263" i="48"/>
  <c r="BM110" i="48"/>
  <c r="BM59" i="2"/>
  <c r="CL13" i="1"/>
  <c r="CK13" i="1"/>
  <c r="CK110" i="48"/>
  <c r="CK59" i="2"/>
  <c r="CJ13" i="1"/>
  <c r="CI13" i="1"/>
  <c r="CI51" i="1"/>
  <c r="CI39" i="1"/>
  <c r="CI59" i="2"/>
  <c r="CH13" i="1"/>
  <c r="CG13" i="1"/>
  <c r="AY55" i="48"/>
  <c r="AY54" i="48"/>
  <c r="AH181" i="48"/>
  <c r="BP140" i="48"/>
  <c r="BT171" i="48"/>
  <c r="BQ140" i="48"/>
  <c r="BO86" i="2"/>
  <c r="AU88" i="48"/>
  <c r="AK68" i="48"/>
  <c r="AU33" i="48"/>
  <c r="AU42" i="48" s="1"/>
  <c r="AU45" i="48" s="1"/>
  <c r="CF68" i="1"/>
  <c r="CF70" i="1" s="1"/>
  <c r="CJ51" i="1"/>
  <c r="CJ59" i="2"/>
  <c r="CH59" i="2"/>
  <c r="CH53" i="2" s="1"/>
  <c r="CF59" i="2"/>
  <c r="BR13" i="1"/>
  <c r="BS13" i="1"/>
  <c r="BP13" i="1"/>
  <c r="BP39" i="1"/>
  <c r="BP51" i="1"/>
  <c r="BP156" i="48"/>
  <c r="BP247" i="48"/>
  <c r="BP249" i="48"/>
  <c r="BP251" i="48"/>
  <c r="BP250" i="48"/>
  <c r="BP246" i="48"/>
  <c r="BP263" i="48"/>
  <c r="BN13" i="1"/>
  <c r="BN249" i="48"/>
  <c r="BN59" i="2"/>
  <c r="BN242" i="48"/>
  <c r="BN159" i="48"/>
  <c r="BN246" i="48"/>
  <c r="BN250" i="48"/>
  <c r="BN251" i="48"/>
  <c r="BN110" i="48"/>
  <c r="BN148" i="48" s="1"/>
  <c r="BN149" i="48" s="1"/>
  <c r="BN151" i="48" s="1"/>
  <c r="CR16" i="1"/>
  <c r="CP16" i="1"/>
  <c r="BV73" i="1"/>
  <c r="BV78" i="1" s="1"/>
  <c r="CI115" i="1"/>
  <c r="BR19" i="1"/>
  <c r="BP73" i="1"/>
  <c r="CM79" i="1"/>
  <c r="BT26" i="1"/>
  <c r="BT28" i="1"/>
  <c r="CN67" i="1"/>
  <c r="CN68" i="1" s="1"/>
  <c r="CN70" i="1" s="1"/>
  <c r="AA57" i="1"/>
  <c r="AA45" i="1"/>
  <c r="BX73" i="1"/>
  <c r="BX78" i="1" s="1"/>
  <c r="BV56" i="1"/>
  <c r="BV58" i="1"/>
  <c r="CK110" i="1"/>
  <c r="CK108" i="1"/>
  <c r="CI108" i="1"/>
  <c r="CI110" i="1"/>
  <c r="CG110" i="1"/>
  <c r="CG108" i="1"/>
  <c r="CH93" i="1"/>
  <c r="CH94" i="1"/>
  <c r="CG85" i="1"/>
  <c r="CG91" i="1" s="1"/>
  <c r="K91" i="1"/>
  <c r="BM85" i="1"/>
  <c r="AT69" i="1"/>
  <c r="AS70" i="1"/>
  <c r="CO62" i="1"/>
  <c r="CO73" i="1" s="1"/>
  <c r="CO78" i="1" s="1"/>
  <c r="BO167" i="1"/>
  <c r="Z78" i="1"/>
  <c r="CI62" i="1"/>
  <c r="CI73" i="1" s="1"/>
  <c r="CP56" i="1"/>
  <c r="CP58" i="1"/>
  <c r="AZ60" i="1"/>
  <c r="CL56" i="1"/>
  <c r="CL58" i="1"/>
  <c r="BR51" i="1"/>
  <c r="BR56" i="1"/>
  <c r="BR57" i="1" s="1"/>
  <c r="BR58" i="1"/>
  <c r="BR59" i="1" s="1"/>
  <c r="BR52" i="1"/>
  <c r="CH51" i="1"/>
  <c r="CH56" i="1"/>
  <c r="CH57" i="1" s="1"/>
  <c r="CH58" i="1"/>
  <c r="CH59" i="1" s="1"/>
  <c r="BN51" i="1"/>
  <c r="BN56" i="1"/>
  <c r="BN57" i="1" s="1"/>
  <c r="BN58" i="1"/>
  <c r="BN59" i="1" s="1"/>
  <c r="CF51" i="1"/>
  <c r="CF56" i="1"/>
  <c r="CF57" i="1" s="1"/>
  <c r="CF58" i="1"/>
  <c r="CF59" i="1" s="1"/>
  <c r="BR39" i="1"/>
  <c r="BR44" i="1"/>
  <c r="BR46" i="1"/>
  <c r="BR73" i="1"/>
  <c r="BR40" i="1"/>
  <c r="CJ39" i="1"/>
  <c r="CJ44" i="1"/>
  <c r="CJ46" i="1"/>
  <c r="CL26" i="1"/>
  <c r="CL28" i="1"/>
  <c r="BP122" i="1"/>
  <c r="BP123" i="1" s="1"/>
  <c r="CK22" i="1"/>
  <c r="CK28" i="1"/>
  <c r="CK26" i="1"/>
  <c r="CK31" i="1"/>
  <c r="CJ22" i="1"/>
  <c r="CJ31" i="1"/>
  <c r="CJ28" i="1"/>
  <c r="CJ29" i="1" s="1"/>
  <c r="CJ26" i="1"/>
  <c r="CJ27" i="1" s="1"/>
  <c r="CH22" i="1"/>
  <c r="CH28" i="1"/>
  <c r="CH29" i="1" s="1"/>
  <c r="CH31" i="1"/>
  <c r="CH26" i="1"/>
  <c r="CH27" i="1" s="1"/>
  <c r="O56" i="2"/>
  <c r="O55" i="2"/>
  <c r="O54" i="2" s="1"/>
  <c r="BN22" i="1"/>
  <c r="BN28" i="1"/>
  <c r="BN31" i="1"/>
  <c r="BN26" i="1"/>
  <c r="BM22" i="1"/>
  <c r="BM31" i="1"/>
  <c r="BM26" i="1"/>
  <c r="BM27" i="1" s="1"/>
  <c r="BM28" i="1"/>
  <c r="BM29" i="1" s="1"/>
  <c r="D36" i="1"/>
  <c r="BQ19" i="1"/>
  <c r="BQ52" i="1" s="1"/>
  <c r="BQ59" i="1"/>
  <c r="BO19" i="1"/>
  <c r="BU62" i="1"/>
  <c r="BU73" i="1" s="1"/>
  <c r="BU78" i="1" s="1"/>
  <c r="CP62" i="1"/>
  <c r="BO68" i="1"/>
  <c r="BO70" i="1" s="1"/>
  <c r="BO71" i="1" s="1"/>
  <c r="BO115" i="1"/>
  <c r="D74" i="1"/>
  <c r="D70" i="1"/>
  <c r="AX74" i="1"/>
  <c r="AF17" i="1"/>
  <c r="AF59" i="1" s="1"/>
  <c r="AF115" i="1"/>
  <c r="AF129" i="1" s="1"/>
  <c r="AG11" i="1"/>
  <c r="CQ58" i="1"/>
  <c r="CQ56" i="1"/>
  <c r="CJ110" i="1"/>
  <c r="CJ108" i="1"/>
  <c r="CH108" i="1"/>
  <c r="CH110" i="1"/>
  <c r="CF108" i="1"/>
  <c r="CF110" i="1"/>
  <c r="CK85" i="1"/>
  <c r="CK91" i="1" s="1"/>
  <c r="AA91" i="1"/>
  <c r="BQ93" i="1"/>
  <c r="BP94" i="1"/>
  <c r="BP93" i="1"/>
  <c r="BW85" i="1"/>
  <c r="BW96" i="1" s="1"/>
  <c r="BW89" i="1"/>
  <c r="BU85" i="1"/>
  <c r="BU89" i="1"/>
  <c r="BS85" i="1"/>
  <c r="BS89" i="1"/>
  <c r="BW87" i="1"/>
  <c r="CN85" i="1"/>
  <c r="CN87" i="1"/>
  <c r="BU87" i="1"/>
  <c r="BT85" i="1"/>
  <c r="BT91" i="1" s="1"/>
  <c r="BT87" i="1"/>
  <c r="AO70" i="1"/>
  <c r="AP69" i="1"/>
  <c r="CL69" i="1"/>
  <c r="CL125" i="1" s="1"/>
  <c r="CL127" i="1" s="1"/>
  <c r="CL116" i="1" s="1"/>
  <c r="CQ79" i="1"/>
  <c r="BS79" i="1"/>
  <c r="BS96" i="1"/>
  <c r="BN62" i="1"/>
  <c r="CM58" i="1"/>
  <c r="CM56" i="1"/>
  <c r="BQ57" i="1"/>
  <c r="CI45" i="1"/>
  <c r="CH39" i="1"/>
  <c r="CH46" i="1"/>
  <c r="CH44" i="1"/>
  <c r="CH73" i="1"/>
  <c r="BN39" i="1"/>
  <c r="BN46" i="1"/>
  <c r="BN44" i="1"/>
  <c r="BN73" i="1"/>
  <c r="BM39" i="1"/>
  <c r="BM73" i="1"/>
  <c r="BM44" i="1"/>
  <c r="BM46" i="1"/>
  <c r="BS28" i="1"/>
  <c r="BS29" i="1" s="1"/>
  <c r="BS26" i="1"/>
  <c r="BS27" i="1" s="1"/>
  <c r="BP22" i="1"/>
  <c r="BP28" i="1"/>
  <c r="BP29" i="1" s="1"/>
  <c r="BP31" i="1"/>
  <c r="BP26" i="1"/>
  <c r="BP27" i="1" s="1"/>
  <c r="BP60" i="2"/>
  <c r="CK122" i="1"/>
  <c r="CK123" i="1" s="1"/>
  <c r="BQ122" i="1"/>
  <c r="BQ123" i="1" s="1"/>
  <c r="BO122" i="1"/>
  <c r="CG122" i="1"/>
  <c r="CG123" i="1" s="1"/>
  <c r="BM122" i="1"/>
  <c r="BM123" i="1" s="1"/>
  <c r="CK17" i="1"/>
  <c r="BP19" i="1"/>
  <c r="BP35" i="1"/>
  <c r="BP36" i="1" s="1"/>
  <c r="BP59" i="1"/>
  <c r="BP47" i="1"/>
  <c r="BN19" i="1"/>
  <c r="BN52" i="1" s="1"/>
  <c r="BN33" i="1"/>
  <c r="BN35" i="1"/>
  <c r="BN36" i="1" s="1"/>
  <c r="CL70" i="1"/>
  <c r="BR67" i="1"/>
  <c r="BR115" i="1" s="1"/>
  <c r="H74" i="1"/>
  <c r="H70" i="1"/>
  <c r="BP67" i="1"/>
  <c r="BP115" i="1" s="1"/>
  <c r="AB70" i="1"/>
  <c r="AJ68" i="1"/>
  <c r="BS115" i="1"/>
  <c r="BS19" i="1"/>
  <c r="BS52" i="1" s="1"/>
  <c r="D130" i="1"/>
  <c r="BW67" i="1"/>
  <c r="BW68" i="1" s="1"/>
  <c r="BR108" i="1"/>
  <c r="BR110" i="1"/>
  <c r="BP108" i="1"/>
  <c r="BP110" i="1"/>
  <c r="BN108" i="1"/>
  <c r="BN110" i="1"/>
  <c r="BO85" i="1"/>
  <c r="BN85" i="1"/>
  <c r="CF85" i="1"/>
  <c r="CF91" i="1" s="1"/>
  <c r="CF93" i="1" s="1"/>
  <c r="CL85" i="1"/>
  <c r="CL91" i="1" s="1"/>
  <c r="CL87" i="1"/>
  <c r="BW79" i="1"/>
  <c r="BR68" i="1"/>
  <c r="BR70" i="1" s="1"/>
  <c r="BR71" i="1" s="1"/>
  <c r="CH68" i="1"/>
  <c r="CH70" i="1" s="1"/>
  <c r="CH71" i="1" s="1"/>
  <c r="BX56" i="1"/>
  <c r="BX58" i="1"/>
  <c r="CN55" i="1"/>
  <c r="BS56" i="1"/>
  <c r="BS57" i="1" s="1"/>
  <c r="BS58" i="1"/>
  <c r="BS59" i="1" s="1"/>
  <c r="CK51" i="1"/>
  <c r="CK56" i="1"/>
  <c r="CK58" i="1"/>
  <c r="BO51" i="1"/>
  <c r="BO52" i="1"/>
  <c r="BO56" i="1"/>
  <c r="BO57" i="1" s="1"/>
  <c r="BO58" i="1"/>
  <c r="BO59" i="1" s="1"/>
  <c r="BP52" i="1"/>
  <c r="CG51" i="1"/>
  <c r="CG56" i="1"/>
  <c r="CG57" i="1" s="1"/>
  <c r="CG58" i="1"/>
  <c r="BM51" i="1"/>
  <c r="BM56" i="1"/>
  <c r="BM58" i="1"/>
  <c r="BM59" i="1" s="1"/>
  <c r="CK39" i="1"/>
  <c r="CK44" i="1"/>
  <c r="CK46" i="1"/>
  <c r="CK73" i="1"/>
  <c r="BQ39" i="1"/>
  <c r="BQ40" i="1"/>
  <c r="BQ44" i="1"/>
  <c r="BQ46" i="1"/>
  <c r="AE35" i="1"/>
  <c r="AE29" i="1"/>
  <c r="CI122" i="1"/>
  <c r="CI123" i="1" s="1"/>
  <c r="BR22" i="1"/>
  <c r="BR28" i="1"/>
  <c r="BR29" i="1" s="1"/>
  <c r="BR31" i="1"/>
  <c r="BR26" i="1"/>
  <c r="BR27" i="1" s="1"/>
  <c r="BQ22" i="1"/>
  <c r="BQ26" i="1"/>
  <c r="BQ27" i="1" s="1"/>
  <c r="BQ31" i="1"/>
  <c r="BQ28" i="1"/>
  <c r="BQ29" i="1" s="1"/>
  <c r="BO26" i="1"/>
  <c r="BO22" i="1"/>
  <c r="BO28" i="1"/>
  <c r="BO35" i="1" s="1"/>
  <c r="BO31" i="1"/>
  <c r="BO60" i="2"/>
  <c r="CG22" i="1"/>
  <c r="CG28" i="1"/>
  <c r="CG29" i="1" s="1"/>
  <c r="CG26" i="1"/>
  <c r="CG33" i="1" s="1"/>
  <c r="CG34" i="1" s="1"/>
  <c r="CG31" i="1"/>
  <c r="CF22" i="1"/>
  <c r="CF31" i="1"/>
  <c r="CF28" i="1"/>
  <c r="CF29" i="1" s="1"/>
  <c r="CF26" i="1"/>
  <c r="CF27" i="1" s="1"/>
  <c r="CF33" i="1"/>
  <c r="CF35" i="1"/>
  <c r="CF36" i="1" s="1"/>
  <c r="BM35" i="1"/>
  <c r="BM36" i="1" s="1"/>
  <c r="CJ19" i="1"/>
  <c r="CJ33" i="1"/>
  <c r="CJ34" i="1" s="1"/>
  <c r="CJ59" i="1"/>
  <c r="CH19" i="1"/>
  <c r="CH33" i="1"/>
  <c r="CH34" i="1" s="1"/>
  <c r="CH35" i="1"/>
  <c r="CH36" i="1" s="1"/>
  <c r="AJ78" i="1"/>
  <c r="BM68" i="1"/>
  <c r="BM70" i="1" s="1"/>
  <c r="BM71" i="1" s="1"/>
  <c r="BM115" i="1"/>
  <c r="CQ67" i="1"/>
  <c r="CQ68" i="1" s="1"/>
  <c r="BQ110" i="1"/>
  <c r="BQ108" i="1"/>
  <c r="BO108" i="1"/>
  <c r="BO110" i="1"/>
  <c r="BM110" i="1"/>
  <c r="BM108" i="1"/>
  <c r="BR93" i="1"/>
  <c r="BR94" i="1"/>
  <c r="CJ85" i="1"/>
  <c r="CI85" i="1"/>
  <c r="CQ85" i="1"/>
  <c r="CQ91" i="1" s="1"/>
  <c r="CQ89" i="1"/>
  <c r="CO85" i="1"/>
  <c r="CO91" i="1" s="1"/>
  <c r="CO89" i="1"/>
  <c r="CM85" i="1"/>
  <c r="CM91" i="1" s="1"/>
  <c r="CM89" i="1"/>
  <c r="BX85" i="1"/>
  <c r="BX87" i="1"/>
  <c r="CP85" i="1"/>
  <c r="CP91" i="1" s="1"/>
  <c r="CP87" i="1"/>
  <c r="AR91" i="1"/>
  <c r="BV85" i="1"/>
  <c r="BV91" i="1" s="1"/>
  <c r="BV87" i="1"/>
  <c r="AL91" i="1"/>
  <c r="BT68" i="1"/>
  <c r="BT73" i="1"/>
  <c r="BN167" i="1"/>
  <c r="CJ62" i="1"/>
  <c r="CF71" i="1"/>
  <c r="CO56" i="1"/>
  <c r="CO58" i="1"/>
  <c r="AJ56" i="1"/>
  <c r="BS44" i="1"/>
  <c r="BS46" i="1"/>
  <c r="BP45" i="1"/>
  <c r="BO39" i="1"/>
  <c r="BO40" i="1"/>
  <c r="BO73" i="1"/>
  <c r="BO46" i="1"/>
  <c r="BP40" i="1"/>
  <c r="BO44" i="1"/>
  <c r="CG39" i="1"/>
  <c r="CG44" i="1"/>
  <c r="CG46" i="1"/>
  <c r="CG73" i="1"/>
  <c r="K47" i="1"/>
  <c r="O48" i="1"/>
  <c r="CF39" i="1"/>
  <c r="CF44" i="1"/>
  <c r="CF46" i="1"/>
  <c r="CF73" i="1"/>
  <c r="CK125" i="1"/>
  <c r="CK127" i="1" s="1"/>
  <c r="CK116" i="1" s="1"/>
  <c r="CI26" i="1"/>
  <c r="CI27" i="1" s="1"/>
  <c r="CI28" i="1"/>
  <c r="CI29" i="1" s="1"/>
  <c r="CI22" i="1"/>
  <c r="CI31" i="1"/>
  <c r="BR122" i="1"/>
  <c r="BR123" i="1" s="1"/>
  <c r="CJ122" i="1"/>
  <c r="CJ123" i="1" s="1"/>
  <c r="CH122" i="1"/>
  <c r="CH123" i="1" s="1"/>
  <c r="BN122" i="1"/>
  <c r="BN123" i="1" s="1"/>
  <c r="CF122" i="1"/>
  <c r="CF123" i="1" s="1"/>
  <c r="CI19" i="1"/>
  <c r="CI33" i="1"/>
  <c r="CI34" i="1" s="1"/>
  <c r="CI35" i="1"/>
  <c r="CI36" i="1" s="1"/>
  <c r="CI47" i="1"/>
  <c r="CI59" i="1"/>
  <c r="CG19" i="1"/>
  <c r="CL79" i="1"/>
  <c r="CL96" i="1"/>
  <c r="CN79" i="1"/>
  <c r="CN96" i="1"/>
  <c r="X70" i="1"/>
  <c r="P70" i="1"/>
  <c r="P74" i="1"/>
  <c r="BS68" i="1"/>
  <c r="BS70" i="1" s="1"/>
  <c r="BS71" i="1" s="1"/>
  <c r="BQ62" i="1"/>
  <c r="BQ73" i="1" s="1"/>
  <c r="CK115" i="1"/>
  <c r="BW74" i="1"/>
  <c r="AN93" i="1"/>
  <c r="AN94" i="1"/>
  <c r="AH26" i="1"/>
  <c r="K252" i="48"/>
  <c r="K254" i="48" s="1"/>
  <c r="BW55" i="2"/>
  <c r="BW54" i="2" s="1"/>
  <c r="AW93" i="1"/>
  <c r="AW94" i="1"/>
  <c r="E79" i="1"/>
  <c r="E112" i="48"/>
  <c r="AD70" i="1"/>
  <c r="AQ94" i="1"/>
  <c r="S36" i="1"/>
  <c r="AG31" i="48"/>
  <c r="AI91" i="1"/>
  <c r="K57" i="1"/>
  <c r="X96" i="1"/>
  <c r="X79" i="1"/>
  <c r="X112" i="48"/>
  <c r="AE81" i="1"/>
  <c r="N70" i="1"/>
  <c r="N74" i="1"/>
  <c r="AC13" i="48"/>
  <c r="AB15" i="48"/>
  <c r="BM28" i="3"/>
  <c r="BM127" i="3" s="1"/>
  <c r="CF28" i="3"/>
  <c r="CF127" i="3" s="1"/>
  <c r="CQ23" i="3"/>
  <c r="CQ122" i="3" s="1"/>
  <c r="BX23" i="3"/>
  <c r="BX35" i="3"/>
  <c r="BR19" i="3"/>
  <c r="BR118" i="3" s="1"/>
  <c r="CI45" i="3"/>
  <c r="BP45" i="3"/>
  <c r="BP144" i="3" s="1"/>
  <c r="AL41" i="3"/>
  <c r="CK20" i="3"/>
  <c r="CK119" i="3" s="1"/>
  <c r="BR20" i="3"/>
  <c r="BR119" i="3" s="1"/>
  <c r="CK47" i="3"/>
  <c r="CK146" i="3" s="1"/>
  <c r="BR47" i="3"/>
  <c r="BR146" i="3" s="1"/>
  <c r="CO28" i="3"/>
  <c r="CO127" i="3" s="1"/>
  <c r="BV28" i="3"/>
  <c r="BV127" i="3" s="1"/>
  <c r="CH37" i="3"/>
  <c r="CH136" i="3" s="1"/>
  <c r="BO37" i="3"/>
  <c r="BO136" i="3" s="1"/>
  <c r="CG36" i="3"/>
  <c r="CG135" i="3" s="1"/>
  <c r="BN36" i="3"/>
  <c r="BN135" i="3" s="1"/>
  <c r="CH46" i="3"/>
  <c r="CH145" i="3" s="1"/>
  <c r="BO46" i="3"/>
  <c r="BO145" i="3" s="1"/>
  <c r="BX20" i="3"/>
  <c r="BX119" i="3" s="1"/>
  <c r="CQ20" i="3"/>
  <c r="CQ119" i="3" s="1"/>
  <c r="BP13" i="3"/>
  <c r="BP112" i="3" s="1"/>
  <c r="CI13" i="3"/>
  <c r="CI112" i="3" s="1"/>
  <c r="BW20" i="3"/>
  <c r="BW119" i="3" s="1"/>
  <c r="CP20" i="3"/>
  <c r="CP119" i="3" s="1"/>
  <c r="BT194" i="48"/>
  <c r="BT195" i="48" s="1"/>
  <c r="Q112" i="48"/>
  <c r="Q79" i="1"/>
  <c r="Q96" i="1"/>
  <c r="AK29" i="48"/>
  <c r="AK124" i="48"/>
  <c r="BH93" i="2"/>
  <c r="BH80" i="2"/>
  <c r="CP90" i="2"/>
  <c r="CP27" i="2"/>
  <c r="CP71" i="3" s="1"/>
  <c r="CG59" i="2"/>
  <c r="L40" i="1"/>
  <c r="L52" i="1"/>
  <c r="AP37" i="3"/>
  <c r="CN37" i="3"/>
  <c r="CN136" i="3" s="1"/>
  <c r="AY24" i="3"/>
  <c r="CQ24" i="3" s="1"/>
  <c r="CQ123" i="3" s="1"/>
  <c r="BX24" i="3"/>
  <c r="BX123" i="3" s="1"/>
  <c r="BB93" i="2"/>
  <c r="BB80" i="2"/>
  <c r="AO93" i="2"/>
  <c r="AO80" i="2"/>
  <c r="AC80" i="2"/>
  <c r="AC93" i="2"/>
  <c r="AA37" i="3"/>
  <c r="BR37" i="3" s="1"/>
  <c r="BR136" i="3" s="1"/>
  <c r="CK37" i="3"/>
  <c r="CK136" i="3" s="1"/>
  <c r="BN111" i="48"/>
  <c r="V112" i="48"/>
  <c r="V79" i="1"/>
  <c r="V96" i="1"/>
  <c r="BP111" i="48"/>
  <c r="BP115" i="48" s="1"/>
  <c r="O59" i="1"/>
  <c r="O60" i="1"/>
  <c r="AH80" i="2"/>
  <c r="AH93" i="2"/>
  <c r="U80" i="2"/>
  <c r="U93" i="2"/>
  <c r="M93" i="2"/>
  <c r="M80" i="2"/>
  <c r="AV88" i="48"/>
  <c r="AV114" i="48"/>
  <c r="AV101" i="48"/>
  <c r="AO68" i="3"/>
  <c r="AO92" i="3"/>
  <c r="BP114" i="48"/>
  <c r="BP148" i="48"/>
  <c r="BP149" i="48" s="1"/>
  <c r="BP151" i="48" s="1"/>
  <c r="AO12" i="48"/>
  <c r="AO124" i="48"/>
  <c r="K93" i="2"/>
  <c r="K80" i="2"/>
  <c r="CO113" i="3"/>
  <c r="CO91" i="3"/>
  <c r="CO83" i="3"/>
  <c r="CO81" i="3" s="1"/>
  <c r="CO80" i="3" s="1"/>
  <c r="CO84" i="3" s="1"/>
  <c r="CO166" i="1"/>
  <c r="AJ94" i="1"/>
  <c r="AG114" i="48"/>
  <c r="AG16" i="48"/>
  <c r="AG24" i="48" s="1"/>
  <c r="AG27" i="48" s="1"/>
  <c r="AG33" i="48"/>
  <c r="AG42" i="48" s="1"/>
  <c r="AG44" i="48" s="1"/>
  <c r="AG185" i="48"/>
  <c r="AG70" i="48"/>
  <c r="AG79" i="48" s="1"/>
  <c r="AG82" i="48" s="1"/>
  <c r="AG103" i="48"/>
  <c r="AV94" i="3"/>
  <c r="R34" i="3"/>
  <c r="CI167" i="1"/>
  <c r="AQ21" i="3"/>
  <c r="CO21" i="3" s="1"/>
  <c r="CO120" i="3" s="1"/>
  <c r="AO79" i="1"/>
  <c r="AO112" i="48"/>
  <c r="AO96" i="1"/>
  <c r="BR167" i="1"/>
  <c r="AF60" i="1"/>
  <c r="AF75" i="1"/>
  <c r="AJ60" i="1"/>
  <c r="R16" i="3"/>
  <c r="BR74" i="2"/>
  <c r="BR77" i="2" s="1"/>
  <c r="S111" i="48"/>
  <c r="S115" i="48" s="1"/>
  <c r="S32" i="1"/>
  <c r="BK118" i="48"/>
  <c r="BK127" i="48" s="1"/>
  <c r="BK170" i="48"/>
  <c r="BD170" i="48"/>
  <c r="BD118" i="48"/>
  <c r="BD127" i="48" s="1"/>
  <c r="AW37" i="3"/>
  <c r="BP49" i="2"/>
  <c r="W57" i="3"/>
  <c r="CJ57" i="3"/>
  <c r="CJ156" i="3" s="1"/>
  <c r="CP33" i="48"/>
  <c r="I80" i="1"/>
  <c r="AB96" i="1"/>
  <c r="AB112" i="48"/>
  <c r="AB79" i="1"/>
  <c r="AI12" i="48"/>
  <c r="BT119" i="48"/>
  <c r="BT128" i="48" s="1"/>
  <c r="Z66" i="48"/>
  <c r="Z124" i="48"/>
  <c r="R46" i="3"/>
  <c r="BQ57" i="3"/>
  <c r="BQ156" i="3" s="1"/>
  <c r="AT35" i="3"/>
  <c r="AS69" i="3"/>
  <c r="AS41" i="3"/>
  <c r="AF92" i="3"/>
  <c r="AF68" i="3"/>
  <c r="G29" i="3"/>
  <c r="BM29" i="3" s="1"/>
  <c r="BM128" i="3" s="1"/>
  <c r="BM49" i="2"/>
  <c r="AH65" i="3"/>
  <c r="AH79" i="3" s="1"/>
  <c r="AH87" i="3" s="1"/>
  <c r="AH108" i="3"/>
  <c r="U65" i="3"/>
  <c r="U79" i="3" s="1"/>
  <c r="U87" i="3" s="1"/>
  <c r="U108" i="3"/>
  <c r="M65" i="3"/>
  <c r="M79" i="3" s="1"/>
  <c r="M87" i="3" s="1"/>
  <c r="M108" i="3"/>
  <c r="AO69" i="48"/>
  <c r="AO67" i="48"/>
  <c r="BA68" i="48" s="1"/>
  <c r="AP67" i="48"/>
  <c r="AO85" i="48"/>
  <c r="AS86" i="48" s="1"/>
  <c r="BV84" i="48"/>
  <c r="AO87" i="48"/>
  <c r="AP85" i="48"/>
  <c r="U83" i="3"/>
  <c r="U80" i="3"/>
  <c r="V14" i="3"/>
  <c r="U166" i="1"/>
  <c r="CI14" i="3"/>
  <c r="E97" i="1"/>
  <c r="E104" i="1"/>
  <c r="E113" i="1"/>
  <c r="AB88" i="48"/>
  <c r="AB95" i="48" s="1"/>
  <c r="AB114" i="48"/>
  <c r="AG88" i="48"/>
  <c r="AG95" i="48" s="1"/>
  <c r="AG98" i="48" s="1"/>
  <c r="BW111" i="48"/>
  <c r="BS56" i="2"/>
  <c r="BS55" i="2"/>
  <c r="BS54" i="2" s="1"/>
  <c r="CP27" i="3"/>
  <c r="CP126" i="3" s="1"/>
  <c r="AU27" i="3"/>
  <c r="BW27" i="3"/>
  <c r="BW126" i="3" s="1"/>
  <c r="BP27" i="2"/>
  <c r="BP71" i="3" s="1"/>
  <c r="BP90" i="2"/>
  <c r="AP65" i="3"/>
  <c r="AP79" i="3" s="1"/>
  <c r="AP87" i="3" s="1"/>
  <c r="AP108" i="3"/>
  <c r="AX32" i="48"/>
  <c r="AX42" i="48"/>
  <c r="AX43" i="48" s="1"/>
  <c r="AX30" i="48"/>
  <c r="AX100" i="48"/>
  <c r="BB103" i="48" s="1"/>
  <c r="CQ29" i="48"/>
  <c r="BX29" i="48"/>
  <c r="AY30" i="48"/>
  <c r="AR33" i="48"/>
  <c r="AR42" i="48" s="1"/>
  <c r="AS43" i="48" s="1"/>
  <c r="AR114" i="48"/>
  <c r="AR52" i="48"/>
  <c r="AR61" i="48" s="1"/>
  <c r="AR70" i="48"/>
  <c r="AR79" i="48" s="1"/>
  <c r="AR88" i="48"/>
  <c r="AR95" i="48" s="1"/>
  <c r="AR16" i="48"/>
  <c r="AR24" i="48" s="1"/>
  <c r="CK159" i="1"/>
  <c r="S57" i="2"/>
  <c r="S53" i="2"/>
  <c r="CP50" i="3"/>
  <c r="CP149" i="3" s="1"/>
  <c r="CJ48" i="3"/>
  <c r="CJ147" i="3" s="1"/>
  <c r="AV33" i="48"/>
  <c r="AV42" i="48" s="1"/>
  <c r="AV52" i="48"/>
  <c r="AV61" i="48" s="1"/>
  <c r="AW62" i="48" s="1"/>
  <c r="AV16" i="48"/>
  <c r="AJ93" i="1"/>
  <c r="AQ97" i="2"/>
  <c r="BA68" i="1"/>
  <c r="H96" i="1"/>
  <c r="H79" i="1"/>
  <c r="H112" i="48"/>
  <c r="M79" i="1"/>
  <c r="M96" i="1"/>
  <c r="AB206" i="48"/>
  <c r="AB202" i="48"/>
  <c r="BS202" i="48" s="1"/>
  <c r="BS199" i="48"/>
  <c r="AI112" i="48"/>
  <c r="AI79" i="1"/>
  <c r="AI96" i="1"/>
  <c r="Y35" i="1"/>
  <c r="Y29" i="1"/>
  <c r="Q68" i="1"/>
  <c r="Q115" i="1"/>
  <c r="Q129" i="1" s="1"/>
  <c r="AA252" i="48"/>
  <c r="AA254" i="48" s="1"/>
  <c r="AI25" i="3"/>
  <c r="CM25" i="3" s="1"/>
  <c r="CM124" i="3" s="1"/>
  <c r="BT25" i="3"/>
  <c r="BT124" i="3" s="1"/>
  <c r="CO26" i="3"/>
  <c r="CO125" i="3" s="1"/>
  <c r="BC147" i="3"/>
  <c r="BB151" i="3"/>
  <c r="T68" i="1"/>
  <c r="T115" i="1"/>
  <c r="T129" i="1" s="1"/>
  <c r="BC149" i="1"/>
  <c r="BC145" i="1"/>
  <c r="BY145" i="1" s="1"/>
  <c r="AV160" i="1"/>
  <c r="AV67" i="1"/>
  <c r="BX67" i="1" s="1"/>
  <c r="BX68" i="1" s="1"/>
  <c r="AV159" i="1"/>
  <c r="AR78" i="1"/>
  <c r="AJ67" i="48"/>
  <c r="AM69" i="48"/>
  <c r="AI69" i="48"/>
  <c r="AE12" i="48"/>
  <c r="AE124" i="48"/>
  <c r="Z84" i="48"/>
  <c r="W141" i="48"/>
  <c r="BQ137" i="48"/>
  <c r="K49" i="3"/>
  <c r="CG49" i="3" s="1"/>
  <c r="CG148" i="3" s="1"/>
  <c r="AK202" i="48"/>
  <c r="BU201" i="48"/>
  <c r="P104" i="1"/>
  <c r="P97" i="1"/>
  <c r="AS49" i="48"/>
  <c r="AS51" i="48"/>
  <c r="BW48" i="48"/>
  <c r="BX51" i="48" s="1"/>
  <c r="CO48" i="48"/>
  <c r="AS61" i="48"/>
  <c r="AW51" i="48"/>
  <c r="AO49" i="48"/>
  <c r="AO100" i="48"/>
  <c r="AO51" i="48"/>
  <c r="AP49" i="48"/>
  <c r="BV48" i="48"/>
  <c r="AC71" i="3"/>
  <c r="AC49" i="2"/>
  <c r="AG52" i="48"/>
  <c r="AG61" i="48" s="1"/>
  <c r="BX44" i="3"/>
  <c r="BX143" i="3" s="1"/>
  <c r="Y75" i="1"/>
  <c r="Y71" i="1"/>
  <c r="AQ94" i="3"/>
  <c r="AK86" i="48"/>
  <c r="AG86" i="48"/>
  <c r="CG27" i="2"/>
  <c r="CG49" i="2" s="1"/>
  <c r="CG90" i="2"/>
  <c r="AN56" i="1"/>
  <c r="AM74" i="1"/>
  <c r="AD97" i="1"/>
  <c r="AD104" i="1"/>
  <c r="AD113" i="1"/>
  <c r="AR170" i="48"/>
  <c r="AR118" i="48"/>
  <c r="AR127" i="48" s="1"/>
  <c r="CR83" i="3"/>
  <c r="CR91" i="3"/>
  <c r="CR166" i="1"/>
  <c r="CR113" i="3"/>
  <c r="Q66" i="3"/>
  <c r="Q68" i="3" s="1"/>
  <c r="BO19" i="3"/>
  <c r="BO118" i="3" s="1"/>
  <c r="BW49" i="2"/>
  <c r="BR51" i="3"/>
  <c r="BR150" i="3" s="1"/>
  <c r="CF21" i="3"/>
  <c r="CF120" i="3" s="1"/>
  <c r="CJ49" i="3"/>
  <c r="CJ148" i="3" s="1"/>
  <c r="AV70" i="48"/>
  <c r="W252" i="48"/>
  <c r="W254" i="48" s="1"/>
  <c r="CM90" i="2"/>
  <c r="CM27" i="2"/>
  <c r="CM71" i="3" s="1"/>
  <c r="AD80" i="1"/>
  <c r="S60" i="1"/>
  <c r="AB260" i="48"/>
  <c r="AA260" i="48"/>
  <c r="AP20" i="3"/>
  <c r="AQ20" i="3" s="1"/>
  <c r="CO20" i="3" s="1"/>
  <c r="CO119" i="3" s="1"/>
  <c r="CN20" i="3"/>
  <c r="CN119" i="3" s="1"/>
  <c r="BV20" i="3"/>
  <c r="BV119" i="3" s="1"/>
  <c r="AD14" i="3"/>
  <c r="AC166" i="1"/>
  <c r="AC83" i="3"/>
  <c r="AC84" i="3" s="1"/>
  <c r="AC80" i="3"/>
  <c r="AC81" i="3" s="1"/>
  <c r="AV108" i="3"/>
  <c r="AV65" i="3"/>
  <c r="AV79" i="3" s="1"/>
  <c r="AV87" i="3" s="1"/>
  <c r="AL65" i="3"/>
  <c r="AL79" i="3" s="1"/>
  <c r="AL87" i="3" s="1"/>
  <c r="AL108" i="3"/>
  <c r="G65" i="3"/>
  <c r="G79" i="3" s="1"/>
  <c r="G87" i="3" s="1"/>
  <c r="G108" i="3"/>
  <c r="R82" i="1"/>
  <c r="R36" i="1"/>
  <c r="T78" i="1"/>
  <c r="AI206" i="48"/>
  <c r="AO41" i="3"/>
  <c r="CG44" i="3"/>
  <c r="CG143" i="3" s="1"/>
  <c r="AP112" i="48"/>
  <c r="AP96" i="1"/>
  <c r="AP79" i="1"/>
  <c r="AG80" i="3"/>
  <c r="AG81" i="3" s="1"/>
  <c r="AG91" i="3"/>
  <c r="AG83" i="3"/>
  <c r="AH14" i="3"/>
  <c r="AD177" i="48"/>
  <c r="AD171" i="48"/>
  <c r="BS171" i="48" s="1"/>
  <c r="BS138" i="48"/>
  <c r="BS225" i="48" s="1"/>
  <c r="D93" i="2"/>
  <c r="D80" i="2"/>
  <c r="AZ113" i="1"/>
  <c r="AH94" i="1"/>
  <c r="AH93" i="1"/>
  <c r="W78" i="1"/>
  <c r="G75" i="1"/>
  <c r="K48" i="1"/>
  <c r="AL69" i="3"/>
  <c r="AM17" i="3"/>
  <c r="AM69" i="3" s="1"/>
  <c r="CN17" i="3"/>
  <c r="BU17" i="3"/>
  <c r="BU116" i="3" s="1"/>
  <c r="AB60" i="1"/>
  <c r="AB59" i="1"/>
  <c r="S57" i="1"/>
  <c r="BP51" i="3"/>
  <c r="BP150" i="3" s="1"/>
  <c r="G44" i="3"/>
  <c r="BM44" i="3" s="1"/>
  <c r="BM143" i="3" s="1"/>
  <c r="CF44" i="3"/>
  <c r="CF143" i="3" s="1"/>
  <c r="AR84" i="3"/>
  <c r="X101" i="48"/>
  <c r="X114" i="48"/>
  <c r="X103" i="48"/>
  <c r="X16" i="48"/>
  <c r="X24" i="48" s="1"/>
  <c r="X27" i="48" s="1"/>
  <c r="CJ100" i="48"/>
  <c r="X52" i="48"/>
  <c r="X61" i="48" s="1"/>
  <c r="X88" i="48"/>
  <c r="X95" i="48" s="1"/>
  <c r="Y96" i="48" s="1"/>
  <c r="AM94" i="1"/>
  <c r="AM93" i="1"/>
  <c r="BM111" i="48"/>
  <c r="K67" i="1"/>
  <c r="K73" i="1"/>
  <c r="K159" i="1"/>
  <c r="K160" i="1"/>
  <c r="W36" i="1"/>
  <c r="S50" i="3"/>
  <c r="CI50" i="3" s="1"/>
  <c r="CI149" i="3" s="1"/>
  <c r="BP50" i="3"/>
  <c r="BP149" i="3" s="1"/>
  <c r="BQ53" i="2"/>
  <c r="BQ57" i="2"/>
  <c r="Z80" i="2"/>
  <c r="Z93" i="2"/>
  <c r="Z83" i="3"/>
  <c r="Z84" i="3" s="1"/>
  <c r="Z166" i="1"/>
  <c r="Z80" i="3"/>
  <c r="Z81" i="3" s="1"/>
  <c r="AA14" i="3"/>
  <c r="CK14" i="3" s="1"/>
  <c r="BX81" i="2"/>
  <c r="CS80" i="2"/>
  <c r="CS93" i="2"/>
  <c r="R79" i="1"/>
  <c r="R96" i="1"/>
  <c r="R112" i="48"/>
  <c r="AK14" i="48"/>
  <c r="W261" i="48"/>
  <c r="W263" i="48" s="1"/>
  <c r="BQ257" i="48"/>
  <c r="BQ261" i="48" s="1"/>
  <c r="BQ263" i="48" s="1"/>
  <c r="BN74" i="2"/>
  <c r="BN77" i="2" s="1"/>
  <c r="I70" i="1"/>
  <c r="BT53" i="2"/>
  <c r="BT57" i="2"/>
  <c r="S252" i="48"/>
  <c r="S254" i="48" s="1"/>
  <c r="G71" i="3"/>
  <c r="G49" i="2"/>
  <c r="BM90" i="2"/>
  <c r="BM27" i="2"/>
  <c r="BM71" i="3" s="1"/>
  <c r="AA258" i="48"/>
  <c r="AA261" i="48" s="1"/>
  <c r="AA263" i="48" s="1"/>
  <c r="AE255" i="48"/>
  <c r="AB258" i="48"/>
  <c r="AB261" i="48" s="1"/>
  <c r="AB263" i="48" s="1"/>
  <c r="AA59" i="1"/>
  <c r="AA27" i="1"/>
  <c r="AA33" i="1"/>
  <c r="AA47" i="1"/>
  <c r="AA57" i="2"/>
  <c r="AA53" i="2"/>
  <c r="K40" i="1"/>
  <c r="K52" i="1"/>
  <c r="K57" i="2"/>
  <c r="K53" i="2"/>
  <c r="AE20" i="3"/>
  <c r="BS20" i="3" s="1"/>
  <c r="BS119" i="3" s="1"/>
  <c r="Z71" i="3"/>
  <c r="Z49" i="2"/>
  <c r="AO108" i="3"/>
  <c r="AO65" i="3"/>
  <c r="AO79" i="3" s="1"/>
  <c r="AO87" i="3" s="1"/>
  <c r="AC65" i="3"/>
  <c r="AC79" i="3" s="1"/>
  <c r="AC87" i="3" s="1"/>
  <c r="AC108" i="3"/>
  <c r="BS66" i="3"/>
  <c r="BS133" i="3"/>
  <c r="AN103" i="2"/>
  <c r="BU103" i="2"/>
  <c r="AM108" i="2"/>
  <c r="Z13" i="48"/>
  <c r="BB126" i="3"/>
  <c r="BC126" i="3" s="1"/>
  <c r="BY27" i="3"/>
  <c r="BY126" i="3" s="1"/>
  <c r="Z36" i="1"/>
  <c r="AK31" i="48"/>
  <c r="AR68" i="1"/>
  <c r="S73" i="1"/>
  <c r="S160" i="1"/>
  <c r="S159" i="1"/>
  <c r="BM160" i="1"/>
  <c r="AE98" i="48"/>
  <c r="AI141" i="48"/>
  <c r="Z141" i="48"/>
  <c r="X93" i="2"/>
  <c r="X80" i="2"/>
  <c r="Q80" i="2"/>
  <c r="Q93" i="2"/>
  <c r="AQ34" i="3"/>
  <c r="AQ66" i="3" s="1"/>
  <c r="AP66" i="3"/>
  <c r="AS85" i="48"/>
  <c r="AS87" i="48"/>
  <c r="AT85" i="48"/>
  <c r="AW87" i="48"/>
  <c r="BW84" i="48"/>
  <c r="CO84" i="48"/>
  <c r="AV71" i="3"/>
  <c r="AV49" i="2"/>
  <c r="AF80" i="2"/>
  <c r="AF93" i="2"/>
  <c r="AB84" i="3"/>
  <c r="BF153" i="1"/>
  <c r="CR153" i="1"/>
  <c r="F80" i="1"/>
  <c r="CF55" i="2"/>
  <c r="CF54" i="2" s="1"/>
  <c r="CF56" i="2"/>
  <c r="BP167" i="1"/>
  <c r="BS111" i="48"/>
  <c r="N48" i="3"/>
  <c r="O48" i="3" s="1"/>
  <c r="CH48" i="3" s="1"/>
  <c r="CH147" i="3" s="1"/>
  <c r="CG48" i="3"/>
  <c r="CG147" i="3" s="1"/>
  <c r="BO48" i="3"/>
  <c r="BO147" i="3" s="1"/>
  <c r="AD40" i="3"/>
  <c r="AE40" i="3" s="1"/>
  <c r="CL40" i="3" s="1"/>
  <c r="CL139" i="3" s="1"/>
  <c r="BS40" i="3"/>
  <c r="BS139" i="3" s="1"/>
  <c r="CO90" i="2"/>
  <c r="CO27" i="2"/>
  <c r="CO71" i="3" s="1"/>
  <c r="BV57" i="2"/>
  <c r="BR108" i="3"/>
  <c r="BR65" i="3"/>
  <c r="BR79" i="3" s="1"/>
  <c r="BR87" i="3" s="1"/>
  <c r="AQ166" i="1"/>
  <c r="AQ83" i="3"/>
  <c r="AQ91" i="3"/>
  <c r="AQ80" i="3"/>
  <c r="AQ81" i="3" s="1"/>
  <c r="BV14" i="3"/>
  <c r="BJ118" i="48"/>
  <c r="BJ127" i="48" s="1"/>
  <c r="BJ170" i="48"/>
  <c r="AD141" i="48"/>
  <c r="BS137" i="48"/>
  <c r="AM67" i="48"/>
  <c r="CN66" i="48"/>
  <c r="AL67" i="48"/>
  <c r="AP69" i="48"/>
  <c r="BS211" i="48"/>
  <c r="AH211" i="48"/>
  <c r="AD213" i="48"/>
  <c r="AD12" i="48"/>
  <c r="AD124" i="48"/>
  <c r="BS119" i="48"/>
  <c r="BV112" i="3"/>
  <c r="BT138" i="48"/>
  <c r="BT225" i="48" s="1"/>
  <c r="AA13" i="3"/>
  <c r="CK13" i="3"/>
  <c r="CK112" i="3" s="1"/>
  <c r="BR13" i="3"/>
  <c r="AJ15" i="48"/>
  <c r="AK13" i="48"/>
  <c r="AN15" i="48"/>
  <c r="AJ100" i="48"/>
  <c r="BP81" i="2"/>
  <c r="BP84" i="2" s="1"/>
  <c r="W67" i="1"/>
  <c r="CJ67" i="1" s="1"/>
  <c r="CJ115" i="1" s="1"/>
  <c r="W160" i="1"/>
  <c r="W159" i="1"/>
  <c r="L96" i="1"/>
  <c r="L79" i="1"/>
  <c r="L112" i="48"/>
  <c r="BN173" i="1"/>
  <c r="AK67" i="1"/>
  <c r="CM67" i="1" s="1"/>
  <c r="CM68" i="1" s="1"/>
  <c r="AK73" i="1"/>
  <c r="AK159" i="1"/>
  <c r="AK160" i="1"/>
  <c r="AL202" i="48"/>
  <c r="BU193" i="48"/>
  <c r="AY30" i="3"/>
  <c r="BX30" i="3"/>
  <c r="BX129" i="3" s="1"/>
  <c r="CQ30" i="3"/>
  <c r="CQ129" i="3" s="1"/>
  <c r="CS83" i="3"/>
  <c r="CS91" i="3"/>
  <c r="CS113" i="3"/>
  <c r="BT47" i="2"/>
  <c r="BT49" i="2" s="1"/>
  <c r="BT90" i="2"/>
  <c r="AK69" i="48"/>
  <c r="BU66" i="48"/>
  <c r="BG118" i="48"/>
  <c r="BG127" i="48" s="1"/>
  <c r="BG170" i="48"/>
  <c r="O51" i="3"/>
  <c r="CH51" i="3"/>
  <c r="CH150" i="3" s="1"/>
  <c r="AI17" i="3"/>
  <c r="BT17" i="3" s="1"/>
  <c r="BT116" i="3" s="1"/>
  <c r="CP53" i="2"/>
  <c r="CP57" i="2"/>
  <c r="CM53" i="2"/>
  <c r="CM57" i="2"/>
  <c r="BH108" i="3"/>
  <c r="BH65" i="3"/>
  <c r="BH79" i="3" s="1"/>
  <c r="BH87" i="3" s="1"/>
  <c r="J34" i="3"/>
  <c r="I66" i="3"/>
  <c r="I68" i="3" s="1"/>
  <c r="I41" i="3"/>
  <c r="CQ173" i="1"/>
  <c r="AA121" i="48"/>
  <c r="AA137" i="48"/>
  <c r="AA57" i="48"/>
  <c r="AA123" i="48"/>
  <c r="AA84" i="48" s="1"/>
  <c r="AA138" i="48"/>
  <c r="BR138" i="48" s="1"/>
  <c r="AA120" i="48"/>
  <c r="AA139" i="48"/>
  <c r="BR139" i="48" s="1"/>
  <c r="AA140" i="48"/>
  <c r="BR140" i="48" s="1"/>
  <c r="AA119" i="48"/>
  <c r="AA38" i="48"/>
  <c r="AA148" i="48"/>
  <c r="AA149" i="48" s="1"/>
  <c r="AA122" i="48"/>
  <c r="AA66" i="48" s="1"/>
  <c r="BR245" i="48"/>
  <c r="BR249" i="48"/>
  <c r="BR246" i="48"/>
  <c r="BR156" i="48"/>
  <c r="BR250" i="48"/>
  <c r="BR251" i="48"/>
  <c r="BR247" i="48"/>
  <c r="BR154" i="48"/>
  <c r="BR59" i="2"/>
  <c r="BR110" i="48"/>
  <c r="AA111" i="48"/>
  <c r="N14" i="3"/>
  <c r="M80" i="3"/>
  <c r="M166" i="1"/>
  <c r="CG14" i="3"/>
  <c r="M83" i="3"/>
  <c r="M84" i="3" s="1"/>
  <c r="CR26" i="2"/>
  <c r="BF26" i="2"/>
  <c r="BG26" i="2" s="1"/>
  <c r="AV93" i="2"/>
  <c r="AV80" i="2"/>
  <c r="AL80" i="2"/>
  <c r="AL93" i="2"/>
  <c r="G80" i="2"/>
  <c r="G93" i="2"/>
  <c r="AQ19" i="3"/>
  <c r="BV19" i="3" s="1"/>
  <c r="BV118" i="3" s="1"/>
  <c r="CO19" i="3"/>
  <c r="CO118" i="3" s="1"/>
  <c r="BO51" i="3"/>
  <c r="BO150" i="3" s="1"/>
  <c r="BN90" i="2"/>
  <c r="BN27" i="2"/>
  <c r="U130" i="1"/>
  <c r="U114" i="1"/>
  <c r="BP157" i="48"/>
  <c r="BP159" i="48" s="1"/>
  <c r="AL108" i="2"/>
  <c r="BU108" i="2" s="1"/>
  <c r="BX88" i="48"/>
  <c r="BX87" i="48"/>
  <c r="AB36" i="1"/>
  <c r="BW159" i="1"/>
  <c r="F78" i="1"/>
  <c r="BO159" i="1"/>
  <c r="BO160" i="1"/>
  <c r="BR248" i="48"/>
  <c r="BR155" i="48"/>
  <c r="AJ85" i="48"/>
  <c r="BD86" i="48" s="1"/>
  <c r="AI85" i="48"/>
  <c r="AE52" i="48"/>
  <c r="AE61" i="48" s="1"/>
  <c r="AF49" i="48"/>
  <c r="AI51" i="48"/>
  <c r="BP138" i="48"/>
  <c r="BP141" i="48" s="1"/>
  <c r="P141" i="48"/>
  <c r="BQ35" i="3"/>
  <c r="BQ134" i="3" s="1"/>
  <c r="CF49" i="2"/>
  <c r="AB71" i="3"/>
  <c r="AB49" i="2"/>
  <c r="BU27" i="2"/>
  <c r="BU90" i="2"/>
  <c r="Q108" i="3"/>
  <c r="Q65" i="3"/>
  <c r="Q79" i="3" s="1"/>
  <c r="Q87" i="3" s="1"/>
  <c r="BP53" i="2"/>
  <c r="BP57" i="2"/>
  <c r="BY29" i="3"/>
  <c r="BY128" i="3" s="1"/>
  <c r="BC128" i="3"/>
  <c r="CR29" i="3"/>
  <c r="CR128" i="3" s="1"/>
  <c r="J113" i="1"/>
  <c r="J104" i="1"/>
  <c r="J97" i="1"/>
  <c r="BO252" i="48"/>
  <c r="BO254" i="48" s="1"/>
  <c r="AS12" i="48"/>
  <c r="AS124" i="48"/>
  <c r="BV29" i="48"/>
  <c r="AP30" i="48"/>
  <c r="AF108" i="3"/>
  <c r="AF65" i="3"/>
  <c r="AF79" i="3" s="1"/>
  <c r="AF87" i="3" s="1"/>
  <c r="AX13" i="48"/>
  <c r="AW13" i="48"/>
  <c r="BA15" i="48"/>
  <c r="AW100" i="48"/>
  <c r="CP100" i="48" s="1"/>
  <c r="BX12" i="48"/>
  <c r="BA19" i="48"/>
  <c r="AW15" i="48"/>
  <c r="CF34" i="3"/>
  <c r="BW133" i="3"/>
  <c r="AA123" i="1"/>
  <c r="AI125" i="1"/>
  <c r="AI127" i="1" s="1"/>
  <c r="AI116" i="1" s="1"/>
  <c r="AJ25" i="1"/>
  <c r="AI26" i="1"/>
  <c r="AI28" i="1"/>
  <c r="BW160" i="1"/>
  <c r="E80" i="1"/>
  <c r="E34" i="1"/>
  <c r="AL16" i="3"/>
  <c r="R44" i="3"/>
  <c r="Q52" i="3"/>
  <c r="F38" i="3"/>
  <c r="CF25" i="3"/>
  <c r="CF124" i="3" s="1"/>
  <c r="CR43" i="2"/>
  <c r="BF43" i="2"/>
  <c r="BG43" i="2" s="1"/>
  <c r="CL90" i="2"/>
  <c r="AW24" i="48"/>
  <c r="BU167" i="1"/>
  <c r="BE118" i="48"/>
  <c r="BE127" i="48" s="1"/>
  <c r="BE170" i="48"/>
  <c r="AS170" i="48"/>
  <c r="AS118" i="48"/>
  <c r="AS127" i="48" s="1"/>
  <c r="AY47" i="3"/>
  <c r="BX47" i="3" s="1"/>
  <c r="BX146" i="3" s="1"/>
  <c r="BY30" i="3"/>
  <c r="BY129" i="3" s="1"/>
  <c r="BC129" i="3"/>
  <c r="AM92" i="3"/>
  <c r="AM68" i="3"/>
  <c r="S45" i="1"/>
  <c r="AL112" i="48"/>
  <c r="AL96" i="1"/>
  <c r="AL79" i="1"/>
  <c r="BU199" i="48"/>
  <c r="AJ206" i="48"/>
  <c r="AA115" i="1"/>
  <c r="AA129" i="1" s="1"/>
  <c r="BR129" i="1" s="1"/>
  <c r="AA68" i="1"/>
  <c r="Z100" i="48"/>
  <c r="Z16" i="48" s="1"/>
  <c r="Z24" i="48" s="1"/>
  <c r="Z27" i="48" s="1"/>
  <c r="CM84" i="48"/>
  <c r="AC41" i="3"/>
  <c r="G30" i="3"/>
  <c r="BM30" i="3" s="1"/>
  <c r="BM129" i="3" s="1"/>
  <c r="AI23" i="3"/>
  <c r="BT23" i="3" s="1"/>
  <c r="BT122" i="3" s="1"/>
  <c r="AS166" i="1"/>
  <c r="AT14" i="3"/>
  <c r="AS91" i="3"/>
  <c r="AS83" i="3"/>
  <c r="AS80" i="3"/>
  <c r="AS81" i="3" s="1"/>
  <c r="BR80" i="2"/>
  <c r="BR93" i="2"/>
  <c r="BY64" i="2"/>
  <c r="BD64" i="2"/>
  <c r="BC68" i="2"/>
  <c r="BY66" i="2"/>
  <c r="BC21" i="3"/>
  <c r="BY21" i="3" s="1"/>
  <c r="BY120" i="3" s="1"/>
  <c r="BD66" i="2"/>
  <c r="AI259" i="48"/>
  <c r="AI260" i="48" s="1"/>
  <c r="AH260" i="48"/>
  <c r="BG29" i="3"/>
  <c r="BH33" i="2"/>
  <c r="BZ33" i="2"/>
  <c r="BM56" i="2"/>
  <c r="BM55" i="2"/>
  <c r="BM54" i="2" s="1"/>
  <c r="CQ51" i="48"/>
  <c r="CQ52" i="48"/>
  <c r="AB93" i="1"/>
  <c r="AB94" i="1"/>
  <c r="V93" i="1"/>
  <c r="AF127" i="1"/>
  <c r="AF116" i="1" s="1"/>
  <c r="AB74" i="1"/>
  <c r="AB45" i="1"/>
  <c r="W45" i="1"/>
  <c r="G45" i="1"/>
  <c r="G74" i="1"/>
  <c r="BM159" i="1"/>
  <c r="CM167" i="1"/>
  <c r="Q33" i="1"/>
  <c r="Q27" i="1"/>
  <c r="K27" i="1"/>
  <c r="K33" i="1"/>
  <c r="K56" i="2"/>
  <c r="K55" i="2"/>
  <c r="K54" i="2" s="1"/>
  <c r="BZ91" i="3"/>
  <c r="BZ166" i="1"/>
  <c r="BZ113" i="3"/>
  <c r="BZ83" i="3"/>
  <c r="AR51" i="48"/>
  <c r="AN51" i="48"/>
  <c r="AN100" i="48"/>
  <c r="AP114" i="48"/>
  <c r="AP33" i="48"/>
  <c r="AP42" i="48" s="1"/>
  <c r="AP16" i="48"/>
  <c r="AP24" i="48" s="1"/>
  <c r="AP52" i="48"/>
  <c r="AP61" i="48" s="1"/>
  <c r="AP70" i="48"/>
  <c r="AP79" i="48" s="1"/>
  <c r="AF93" i="1"/>
  <c r="AF94" i="1"/>
  <c r="CN48" i="48"/>
  <c r="AM100" i="48"/>
  <c r="AM52" i="48" s="1"/>
  <c r="AM51" i="48"/>
  <c r="BP83" i="3"/>
  <c r="BP81" i="3" s="1"/>
  <c r="BP80" i="3" s="1"/>
  <c r="BP84" i="3" s="1"/>
  <c r="BP166" i="1"/>
  <c r="BP113" i="3"/>
  <c r="AY18" i="48"/>
  <c r="AY19" i="48"/>
  <c r="J83" i="1"/>
  <c r="J100" i="1"/>
  <c r="J165" i="1"/>
  <c r="AI36" i="3"/>
  <c r="BT36" i="3" s="1"/>
  <c r="BT135" i="3" s="1"/>
  <c r="AH15" i="48"/>
  <c r="AH13" i="48"/>
  <c r="AH16" i="48"/>
  <c r="AH24" i="48" s="1"/>
  <c r="AH25" i="48" s="1"/>
  <c r="CR24" i="2"/>
  <c r="BF24" i="2"/>
  <c r="BG24" i="2" s="1"/>
  <c r="S123" i="1"/>
  <c r="AS94" i="3"/>
  <c r="AL12" i="48"/>
  <c r="BU12" i="48" s="1"/>
  <c r="AL124" i="48"/>
  <c r="AP32" i="48"/>
  <c r="AL32" i="48"/>
  <c r="AL30" i="48"/>
  <c r="CN29" i="48"/>
  <c r="AM30" i="48"/>
  <c r="AL87" i="48"/>
  <c r="AL85" i="48"/>
  <c r="CN84" i="48"/>
  <c r="AM85" i="48"/>
  <c r="AD48" i="48"/>
  <c r="BS121" i="48"/>
  <c r="BS130" i="48" s="1"/>
  <c r="BS140" i="48"/>
  <c r="BS227" i="48" s="1"/>
  <c r="AU37" i="3"/>
  <c r="BW37" i="3" s="1"/>
  <c r="BW136" i="3" s="1"/>
  <c r="CP37" i="3"/>
  <c r="CP136" i="3" s="1"/>
  <c r="BC167" i="1"/>
  <c r="AA78" i="1"/>
  <c r="AH48" i="48"/>
  <c r="BT121" i="48"/>
  <c r="BT130" i="48" s="1"/>
  <c r="BQ138" i="48"/>
  <c r="Z65" i="3"/>
  <c r="Z79" i="3" s="1"/>
  <c r="Z87" i="3" s="1"/>
  <c r="Z108" i="3"/>
  <c r="CP34" i="3"/>
  <c r="AU66" i="3"/>
  <c r="AN58" i="1"/>
  <c r="AF15" i="48"/>
  <c r="BO111" i="48"/>
  <c r="BB120" i="3"/>
  <c r="BC120" i="3" s="1"/>
  <c r="CN133" i="3"/>
  <c r="CN66" i="3"/>
  <c r="AM113" i="1"/>
  <c r="AM97" i="1"/>
  <c r="AM104" i="1"/>
  <c r="AY113" i="1"/>
  <c r="AY114" i="1" s="1"/>
  <c r="AY104" i="1"/>
  <c r="AY97" i="1"/>
  <c r="AE109" i="1"/>
  <c r="AE117" i="1"/>
  <c r="AE99" i="1"/>
  <c r="AX62" i="48"/>
  <c r="AU96" i="48"/>
  <c r="AN112" i="48"/>
  <c r="AN79" i="1"/>
  <c r="AN96" i="1"/>
  <c r="W55" i="2"/>
  <c r="W54" i="2" s="1"/>
  <c r="W56" i="2"/>
  <c r="K29" i="1"/>
  <c r="AW170" i="48"/>
  <c r="AW118" i="48"/>
  <c r="AW127" i="48" s="1"/>
  <c r="AI47" i="3"/>
  <c r="BT47" i="3" s="1"/>
  <c r="BT146" i="3" s="1"/>
  <c r="S141" i="48"/>
  <c r="S39" i="3"/>
  <c r="CI39" i="3" s="1"/>
  <c r="CI138" i="3" s="1"/>
  <c r="BO49" i="2"/>
  <c r="AP84" i="3"/>
  <c r="BE34" i="2"/>
  <c r="BD30" i="3"/>
  <c r="BD129" i="3" s="1"/>
  <c r="BN55" i="2"/>
  <c r="BN54" i="2" s="1"/>
  <c r="BN56" i="2"/>
  <c r="D72" i="3"/>
  <c r="D73" i="3" s="1"/>
  <c r="D76" i="3" s="1"/>
  <c r="D71" i="3"/>
  <c r="AD84" i="48"/>
  <c r="BS123" i="48"/>
  <c r="BS132" i="48" s="1"/>
  <c r="AD186" i="48"/>
  <c r="AD32" i="48"/>
  <c r="AD30" i="48"/>
  <c r="AD66" i="48"/>
  <c r="BS122" i="48"/>
  <c r="BS131" i="48" s="1"/>
  <c r="AK102" i="2"/>
  <c r="AJ107" i="2"/>
  <c r="CF50" i="3"/>
  <c r="CF149" i="3" s="1"/>
  <c r="BA13" i="48"/>
  <c r="AB57" i="1"/>
  <c r="G113" i="1"/>
  <c r="G104" i="1"/>
  <c r="AH141" i="48"/>
  <c r="BT137" i="48"/>
  <c r="AH32" i="48"/>
  <c r="AH30" i="48"/>
  <c r="AH33" i="48"/>
  <c r="AH42" i="48" s="1"/>
  <c r="AI43" i="48" s="1"/>
  <c r="AY13" i="3"/>
  <c r="BX13" i="3" s="1"/>
  <c r="AT71" i="3"/>
  <c r="AT73" i="3"/>
  <c r="AT76" i="3" s="1"/>
  <c r="BE48" i="3"/>
  <c r="BF48" i="3" s="1"/>
  <c r="BD147" i="3"/>
  <c r="CS31" i="2"/>
  <c r="BJ31" i="2"/>
  <c r="BK31" i="2" s="1"/>
  <c r="CA31" i="2" s="1"/>
  <c r="AM75" i="1"/>
  <c r="AM60" i="1"/>
  <c r="J109" i="1"/>
  <c r="J99" i="1"/>
  <c r="J117" i="1"/>
  <c r="AL49" i="3"/>
  <c r="AP35" i="3"/>
  <c r="AO69" i="3"/>
  <c r="CN35" i="3"/>
  <c r="CN134" i="3" s="1"/>
  <c r="R35" i="3"/>
  <c r="Q69" i="3"/>
  <c r="F35" i="3"/>
  <c r="E69" i="3"/>
  <c r="S25" i="3"/>
  <c r="BP25" i="3" s="1"/>
  <c r="BP124" i="3" s="1"/>
  <c r="CI25" i="3"/>
  <c r="CI124" i="3" s="1"/>
  <c r="BO27" i="2"/>
  <c r="BO71" i="3" s="1"/>
  <c r="BO90" i="2"/>
  <c r="AP80" i="2"/>
  <c r="AP93" i="2"/>
  <c r="W20" i="3"/>
  <c r="BQ20" i="3" s="1"/>
  <c r="BQ119" i="3" s="1"/>
  <c r="CJ20" i="3"/>
  <c r="CJ119" i="3" s="1"/>
  <c r="BO57" i="2"/>
  <c r="BO53" i="2"/>
  <c r="AL92" i="3"/>
  <c r="AF71" i="1"/>
  <c r="K123" i="1"/>
  <c r="AM13" i="3"/>
  <c r="E93" i="1"/>
  <c r="E94" i="1"/>
  <c r="AH69" i="1"/>
  <c r="CM69" i="1" s="1"/>
  <c r="AG125" i="1"/>
  <c r="AG127" i="1" s="1"/>
  <c r="AG116" i="1" s="1"/>
  <c r="AB48" i="1"/>
  <c r="AB47" i="1"/>
  <c r="CF160" i="1"/>
  <c r="AT64" i="48"/>
  <c r="AT61" i="48" s="1"/>
  <c r="AT98" i="48"/>
  <c r="AT45" i="48"/>
  <c r="AT42" i="48" s="1"/>
  <c r="AT27" i="48"/>
  <c r="AT24" i="48" s="1"/>
  <c r="AT82" i="48"/>
  <c r="AT79" i="48" s="1"/>
  <c r="W29" i="1"/>
  <c r="AU49" i="2"/>
  <c r="BQ148" i="48"/>
  <c r="BQ149" i="48" s="1"/>
  <c r="BQ151" i="48" s="1"/>
  <c r="BQ114" i="48"/>
  <c r="AC114" i="1"/>
  <c r="AC130" i="1"/>
  <c r="AO86" i="48"/>
  <c r="G93" i="1"/>
  <c r="CQ92" i="3"/>
  <c r="CQ68" i="3"/>
  <c r="CH35" i="3"/>
  <c r="CH134" i="3" s="1"/>
  <c r="CP70" i="48"/>
  <c r="BA55" i="48"/>
  <c r="BA54" i="48"/>
  <c r="M80" i="1"/>
  <c r="K37" i="3"/>
  <c r="BN37" i="3" s="1"/>
  <c r="BN136" i="3" s="1"/>
  <c r="Y57" i="48"/>
  <c r="Y58" i="48" s="1"/>
  <c r="Y101" i="48"/>
  <c r="Y21" i="48"/>
  <c r="Y22" i="48" s="1"/>
  <c r="Y103" i="48"/>
  <c r="BF20" i="2"/>
  <c r="CR20" i="2"/>
  <c r="BE28" i="3"/>
  <c r="CR28" i="3" s="1"/>
  <c r="CR127" i="3" s="1"/>
  <c r="AG93" i="1"/>
  <c r="AG94" i="1"/>
  <c r="G27" i="1"/>
  <c r="G33" i="1"/>
  <c r="BS194" i="48"/>
  <c r="BS195" i="48" s="1"/>
  <c r="AL141" i="48"/>
  <c r="AP87" i="48"/>
  <c r="BR159" i="1"/>
  <c r="AH66" i="48"/>
  <c r="AI67" i="48" s="1"/>
  <c r="AY68" i="48" s="1"/>
  <c r="BT122" i="48"/>
  <c r="BT131" i="48" s="1"/>
  <c r="AH203" i="48"/>
  <c r="AH204" i="48" s="1"/>
  <c r="AI182" i="48"/>
  <c r="AH186" i="48"/>
  <c r="AH188" i="48"/>
  <c r="AF180" i="48"/>
  <c r="AH156" i="48"/>
  <c r="V141" i="48"/>
  <c r="N141" i="48"/>
  <c r="AT92" i="3"/>
  <c r="AT68" i="3"/>
  <c r="O79" i="1"/>
  <c r="O112" i="48"/>
  <c r="O96" i="1"/>
  <c r="CG56" i="2"/>
  <c r="CG55" i="2"/>
  <c r="CG54" i="2" s="1"/>
  <c r="BC19" i="48"/>
  <c r="BD17" i="48"/>
  <c r="BD19" i="48" s="1"/>
  <c r="BC12" i="48"/>
  <c r="BR55" i="2"/>
  <c r="BR54" i="2" s="1"/>
  <c r="BR56" i="2"/>
  <c r="CO143" i="3"/>
  <c r="CG134" i="3"/>
  <c r="BR27" i="2"/>
  <c r="BR90" i="2"/>
  <c r="CO135" i="3"/>
  <c r="CO173" i="1"/>
  <c r="AE79" i="1"/>
  <c r="AE112" i="48"/>
  <c r="AE96" i="1"/>
  <c r="AN68" i="1"/>
  <c r="AT68" i="1"/>
  <c r="AS47" i="3"/>
  <c r="AR52" i="3"/>
  <c r="CJ60" i="2"/>
  <c r="AC29" i="1"/>
  <c r="AC35" i="1"/>
  <c r="BV167" i="1"/>
  <c r="Q29" i="1"/>
  <c r="Q35" i="1"/>
  <c r="BS160" i="1"/>
  <c r="BS159" i="1"/>
  <c r="Z70" i="1"/>
  <c r="Z74" i="1"/>
  <c r="BN13" i="3"/>
  <c r="BN112" i="3" s="1"/>
  <c r="AG68" i="3"/>
  <c r="AG92" i="3"/>
  <c r="BW123" i="3"/>
  <c r="BT123" i="3"/>
  <c r="G54" i="3"/>
  <c r="CF54" i="3" s="1"/>
  <c r="CF153" i="3" s="1"/>
  <c r="W47" i="3"/>
  <c r="CJ47" i="3" s="1"/>
  <c r="CJ146" i="3" s="1"/>
  <c r="AM46" i="3"/>
  <c r="CN46" i="3" s="1"/>
  <c r="CN145" i="3" s="1"/>
  <c r="AA30" i="3"/>
  <c r="CK30" i="3" s="1"/>
  <c r="CK129" i="3" s="1"/>
  <c r="BS24" i="3"/>
  <c r="BS123" i="3" s="1"/>
  <c r="BX21" i="3"/>
  <c r="BX120" i="3" s="1"/>
  <c r="AI15" i="3"/>
  <c r="CM15" i="3" s="1"/>
  <c r="CM114" i="3" s="1"/>
  <c r="CQ134" i="3"/>
  <c r="G57" i="3"/>
  <c r="BM57" i="3" s="1"/>
  <c r="BM156" i="3" s="1"/>
  <c r="AY49" i="3"/>
  <c r="BX49" i="3" s="1"/>
  <c r="BX148" i="3" s="1"/>
  <c r="BX48" i="3"/>
  <c r="BX147" i="3" s="1"/>
  <c r="G45" i="3"/>
  <c r="CF45" i="3" s="1"/>
  <c r="F52" i="3"/>
  <c r="AM40" i="3"/>
  <c r="BU40" i="3" s="1"/>
  <c r="BU139" i="3" s="1"/>
  <c r="CM39" i="3"/>
  <c r="CM138" i="3" s="1"/>
  <c r="CF39" i="3"/>
  <c r="CF138" i="3" s="1"/>
  <c r="CK36" i="3"/>
  <c r="CK135" i="3" s="1"/>
  <c r="AE26" i="3"/>
  <c r="CL26" i="3" s="1"/>
  <c r="CL125" i="3" s="1"/>
  <c r="BN24" i="3"/>
  <c r="BN123" i="3" s="1"/>
  <c r="CH21" i="3"/>
  <c r="CH120" i="3" s="1"/>
  <c r="AI18" i="3"/>
  <c r="CM18" i="3" s="1"/>
  <c r="CM117" i="3" s="1"/>
  <c r="BX16" i="3"/>
  <c r="BX115" i="3" s="1"/>
  <c r="CL15" i="3"/>
  <c r="CL114" i="3" s="1"/>
  <c r="O66" i="3"/>
  <c r="O68" i="3" s="1"/>
  <c r="CH34" i="3"/>
  <c r="O41" i="3"/>
  <c r="CH44" i="3"/>
  <c r="BO44" i="3"/>
  <c r="AH97" i="1"/>
  <c r="AH113" i="1"/>
  <c r="AH104" i="1"/>
  <c r="CP46" i="3"/>
  <c r="CP145" i="3" s="1"/>
  <c r="CJ46" i="3"/>
  <c r="CJ145" i="3" s="1"/>
  <c r="BU45" i="3"/>
  <c r="BU144" i="3" s="1"/>
  <c r="AY40" i="3"/>
  <c r="BX40" i="3" s="1"/>
  <c r="BX139" i="3" s="1"/>
  <c r="CP36" i="3"/>
  <c r="CP135" i="3" s="1"/>
  <c r="CJ30" i="3"/>
  <c r="CJ129" i="3" s="1"/>
  <c r="CJ27" i="3"/>
  <c r="CJ126" i="3" s="1"/>
  <c r="AE23" i="3"/>
  <c r="BS23" i="3" s="1"/>
  <c r="S19" i="3"/>
  <c r="BP19" i="3" s="1"/>
  <c r="BP118" i="3" s="1"/>
  <c r="AD69" i="3"/>
  <c r="AE17" i="3"/>
  <c r="CL17" i="3" s="1"/>
  <c r="AM96" i="2"/>
  <c r="BS38" i="3"/>
  <c r="BS137" i="3" s="1"/>
  <c r="BM57" i="2"/>
  <c r="BM53" i="2"/>
  <c r="CQ90" i="2"/>
  <c r="CQ27" i="2"/>
  <c r="BD31" i="48"/>
  <c r="O141" i="48"/>
  <c r="BO137" i="48"/>
  <c r="BO141" i="48" s="1"/>
  <c r="CL30" i="3"/>
  <c r="CL129" i="3" s="1"/>
  <c r="K16" i="3"/>
  <c r="BN16" i="3" s="1"/>
  <c r="BN115" i="3" s="1"/>
  <c r="BU54" i="3"/>
  <c r="BU153" i="3" s="1"/>
  <c r="AM47" i="3"/>
  <c r="BU47" i="3" s="1"/>
  <c r="BU146" i="3" s="1"/>
  <c r="W45" i="3"/>
  <c r="CM40" i="3"/>
  <c r="CM139" i="3" s="1"/>
  <c r="BU38" i="3"/>
  <c r="BU137" i="3" s="1"/>
  <c r="CJ36" i="3"/>
  <c r="CJ135" i="3" s="1"/>
  <c r="BU27" i="3"/>
  <c r="BU126" i="3" s="1"/>
  <c r="CI26" i="3"/>
  <c r="CI125" i="3" s="1"/>
  <c r="BV24" i="3"/>
  <c r="BV123" i="3" s="1"/>
  <c r="AA23" i="3"/>
  <c r="BR23" i="3" s="1"/>
  <c r="BO16" i="3"/>
  <c r="BO115" i="3" s="1"/>
  <c r="O15" i="3"/>
  <c r="BO15" i="3" s="1"/>
  <c r="BO114" i="3" s="1"/>
  <c r="CK49" i="2"/>
  <c r="AY31" i="48"/>
  <c r="AV60" i="1"/>
  <c r="AB26" i="48"/>
  <c r="AB27" i="48"/>
  <c r="BT129" i="48"/>
  <c r="AB215" i="48"/>
  <c r="AB204" i="48"/>
  <c r="BZ36" i="2"/>
  <c r="BH36" i="2"/>
  <c r="BI36" i="2" s="1"/>
  <c r="BG67" i="2"/>
  <c r="CH116" i="3"/>
  <c r="BS112" i="3"/>
  <c r="AC96" i="48"/>
  <c r="AC98" i="48"/>
  <c r="AC97" i="48"/>
  <c r="BJ70" i="2"/>
  <c r="BK70" i="2" s="1"/>
  <c r="CA70" i="2" s="1"/>
  <c r="CS70" i="2"/>
  <c r="BI15" i="2"/>
  <c r="BH73" i="2"/>
  <c r="BI73" i="2" s="1"/>
  <c r="BZ73" i="2"/>
  <c r="AQ103" i="48"/>
  <c r="AQ52" i="48"/>
  <c r="AQ61" i="48" s="1"/>
  <c r="AQ88" i="48"/>
  <c r="AR101" i="48"/>
  <c r="AQ101" i="48"/>
  <c r="AQ33" i="48"/>
  <c r="AQ42" i="48" s="1"/>
  <c r="AQ114" i="48"/>
  <c r="AQ16" i="48"/>
  <c r="AQ24" i="48" s="1"/>
  <c r="AU103" i="48"/>
  <c r="BC31" i="48"/>
  <c r="CP86" i="2"/>
  <c r="CP84" i="2"/>
  <c r="CP82" i="2"/>
  <c r="R81" i="1"/>
  <c r="R98" i="1"/>
  <c r="V80" i="1"/>
  <c r="BA52" i="48"/>
  <c r="BA61" i="48" s="1"/>
  <c r="BA88" i="48"/>
  <c r="BA114" i="48"/>
  <c r="BA103" i="48"/>
  <c r="BA16" i="48"/>
  <c r="BA24" i="48" s="1"/>
  <c r="BA70" i="48"/>
  <c r="BA79" i="48" s="1"/>
  <c r="BA33" i="48"/>
  <c r="BA42" i="48" s="1"/>
  <c r="CN116" i="3"/>
  <c r="AW50" i="48"/>
  <c r="BE42" i="2"/>
  <c r="BD51" i="3"/>
  <c r="CR35" i="2"/>
  <c r="BF35" i="2"/>
  <c r="AT94" i="3"/>
  <c r="BV69" i="48"/>
  <c r="BI41" i="2"/>
  <c r="AI97" i="48"/>
  <c r="AI98" i="48"/>
  <c r="AI96" i="48"/>
  <c r="U165" i="1"/>
  <c r="U83" i="1"/>
  <c r="U100" i="1"/>
  <c r="AG70" i="1"/>
  <c r="AG74" i="1"/>
  <c r="AA35" i="1"/>
  <c r="AA29" i="1"/>
  <c r="X27" i="1"/>
  <c r="BX134" i="3"/>
  <c r="CA83" i="3"/>
  <c r="CA166" i="1"/>
  <c r="CA113" i="3"/>
  <c r="CA91" i="3"/>
  <c r="AW49" i="2"/>
  <c r="AW71" i="3"/>
  <c r="AH66" i="3"/>
  <c r="AI34" i="3"/>
  <c r="BT34" i="3" s="1"/>
  <c r="AH41" i="3"/>
  <c r="AW112" i="48"/>
  <c r="AW79" i="1"/>
  <c r="AW96" i="1"/>
  <c r="AC33" i="1"/>
  <c r="AC27" i="1"/>
  <c r="AP47" i="3"/>
  <c r="AE35" i="3"/>
  <c r="AE41" i="3" s="1"/>
  <c r="BS35" i="3"/>
  <c r="AD41" i="3"/>
  <c r="CL66" i="3"/>
  <c r="CL133" i="3"/>
  <c r="W54" i="3"/>
  <c r="CJ54" i="3" s="1"/>
  <c r="CJ153" i="3" s="1"/>
  <c r="AO52" i="3"/>
  <c r="AE45" i="3"/>
  <c r="BS45" i="3" s="1"/>
  <c r="AD52" i="3"/>
  <c r="G40" i="3"/>
  <c r="BM40" i="3" s="1"/>
  <c r="BM139" i="3" s="1"/>
  <c r="BV36" i="3"/>
  <c r="AM28" i="3"/>
  <c r="BU28" i="3" s="1"/>
  <c r="BU127" i="3" s="1"/>
  <c r="CN28" i="3"/>
  <c r="CN127" i="3" s="1"/>
  <c r="O26" i="3"/>
  <c r="CH26" i="3" s="1"/>
  <c r="CH125" i="3" s="1"/>
  <c r="AX69" i="3"/>
  <c r="AY17" i="3"/>
  <c r="AY69" i="3" s="1"/>
  <c r="CJ133" i="3"/>
  <c r="CJ66" i="3"/>
  <c r="CJ68" i="3" s="1"/>
  <c r="S54" i="3"/>
  <c r="BP54" i="3" s="1"/>
  <c r="BP153" i="3" s="1"/>
  <c r="CI144" i="3"/>
  <c r="AQ29" i="3"/>
  <c r="CO29" i="3" s="1"/>
  <c r="CO128" i="3" s="1"/>
  <c r="O28" i="3"/>
  <c r="BO28" i="3" s="1"/>
  <c r="BO127" i="3" s="1"/>
  <c r="O27" i="3"/>
  <c r="CH27" i="3" s="1"/>
  <c r="CH126" i="3" s="1"/>
  <c r="K23" i="3"/>
  <c r="BN23" i="3" s="1"/>
  <c r="BN122" i="3" s="1"/>
  <c r="CG23" i="3"/>
  <c r="CG122" i="3" s="1"/>
  <c r="O13" i="3"/>
  <c r="N68" i="3"/>
  <c r="N70" i="3"/>
  <c r="BQ49" i="2"/>
  <c r="BQ71" i="3"/>
  <c r="G51" i="3"/>
  <c r="CF51" i="3" s="1"/>
  <c r="CF150" i="3" s="1"/>
  <c r="O50" i="3"/>
  <c r="BO50" i="3" s="1"/>
  <c r="BO149" i="3" s="1"/>
  <c r="K28" i="3"/>
  <c r="CG28" i="3" s="1"/>
  <c r="CG127" i="3" s="1"/>
  <c r="AU26" i="3"/>
  <c r="BW26" i="3" s="1"/>
  <c r="CP26" i="3"/>
  <c r="CP125" i="3" s="1"/>
  <c r="G24" i="3"/>
  <c r="BM24" i="3" s="1"/>
  <c r="BM123" i="3" s="1"/>
  <c r="K18" i="3"/>
  <c r="CG18" i="3" s="1"/>
  <c r="CG117" i="3" s="1"/>
  <c r="AR104" i="2"/>
  <c r="AS104" i="2" s="1"/>
  <c r="AT104" i="2" s="1"/>
  <c r="AU104" i="2" s="1"/>
  <c r="BV104" i="2"/>
  <c r="CN71" i="3"/>
  <c r="CN49" i="2"/>
  <c r="AA66" i="3"/>
  <c r="AA68" i="3" s="1"/>
  <c r="CK34" i="3"/>
  <c r="BM133" i="3"/>
  <c r="BM66" i="3"/>
  <c r="BM68" i="3" s="1"/>
  <c r="BQ82" i="2"/>
  <c r="BQ84" i="2"/>
  <c r="BQ86" i="2"/>
  <c r="BF55" i="2"/>
  <c r="BE54" i="2"/>
  <c r="BE39" i="2"/>
  <c r="BF88" i="1" s="1"/>
  <c r="BD87" i="2"/>
  <c r="AY72" i="48"/>
  <c r="AY73" i="48"/>
  <c r="CQ69" i="48"/>
  <c r="CQ70" i="48"/>
  <c r="AW43" i="48"/>
  <c r="AW44" i="48"/>
  <c r="AI21" i="3"/>
  <c r="BT21" i="3" s="1"/>
  <c r="BT120" i="3" s="1"/>
  <c r="AA50" i="3"/>
  <c r="AA52" i="3" s="1"/>
  <c r="K50" i="3"/>
  <c r="CG50" i="3"/>
  <c r="CG149" i="3" s="1"/>
  <c r="J52" i="3"/>
  <c r="BW144" i="3"/>
  <c r="AM23" i="3"/>
  <c r="CN23" i="3" s="1"/>
  <c r="CN122" i="3" s="1"/>
  <c r="CJ17" i="3"/>
  <c r="W69" i="3"/>
  <c r="BQ17" i="3"/>
  <c r="AV63" i="48"/>
  <c r="N31" i="3"/>
  <c r="N88" i="3" s="1"/>
  <c r="N102" i="3" s="1"/>
  <c r="BW92" i="3"/>
  <c r="BW68" i="3"/>
  <c r="BD139" i="3"/>
  <c r="BE139" i="3" s="1"/>
  <c r="AZ90" i="48"/>
  <c r="AZ91" i="48"/>
  <c r="U80" i="1"/>
  <c r="CH56" i="2"/>
  <c r="CH55" i="2"/>
  <c r="CH54" i="2" s="1"/>
  <c r="AB34" i="1"/>
  <c r="AU62" i="48"/>
  <c r="AU63" i="48"/>
  <c r="AU105" i="48"/>
  <c r="AU64" i="48"/>
  <c r="AQ82" i="48"/>
  <c r="AR80" i="48"/>
  <c r="AU81" i="48"/>
  <c r="BO116" i="3"/>
  <c r="BO69" i="3"/>
  <c r="AC45" i="48"/>
  <c r="AC44" i="48"/>
  <c r="AC43" i="48"/>
  <c r="BV51" i="48"/>
  <c r="CQ32" i="48"/>
  <c r="CQ33" i="48"/>
  <c r="AY52" i="48"/>
  <c r="AY61" i="48" s="1"/>
  <c r="AY16" i="48"/>
  <c r="AY24" i="48" s="1"/>
  <c r="AY114" i="48"/>
  <c r="AY70" i="48"/>
  <c r="AY79" i="48" s="1"/>
  <c r="AY103" i="48"/>
  <c r="AY88" i="48"/>
  <c r="AY33" i="48"/>
  <c r="AY42" i="48" s="1"/>
  <c r="AY101" i="48"/>
  <c r="BM116" i="3"/>
  <c r="M83" i="1"/>
  <c r="M165" i="1"/>
  <c r="M100" i="1"/>
  <c r="BA96" i="48"/>
  <c r="F75" i="1"/>
  <c r="F71" i="1"/>
  <c r="AR97" i="2"/>
  <c r="BV97" i="2"/>
  <c r="BY149" i="1"/>
  <c r="AH173" i="1"/>
  <c r="CK60" i="2"/>
  <c r="CK160" i="1"/>
  <c r="X29" i="1"/>
  <c r="X35" i="1"/>
  <c r="CH17" i="2"/>
  <c r="BQ60" i="2"/>
  <c r="L36" i="1"/>
  <c r="L82" i="1"/>
  <c r="AW91" i="3"/>
  <c r="AW166" i="1"/>
  <c r="AW83" i="3"/>
  <c r="AW80" i="3"/>
  <c r="AW81" i="3" s="1"/>
  <c r="AX14" i="3"/>
  <c r="R66" i="3"/>
  <c r="S34" i="3"/>
  <c r="R41" i="3"/>
  <c r="AF112" i="48"/>
  <c r="AF96" i="1"/>
  <c r="AF79" i="1"/>
  <c r="BS167" i="1"/>
  <c r="BX167" i="1"/>
  <c r="S115" i="1"/>
  <c r="S129" i="1" s="1"/>
  <c r="S68" i="1"/>
  <c r="S20" i="3"/>
  <c r="BP20" i="3" s="1"/>
  <c r="BP119" i="3" s="1"/>
  <c r="AU54" i="3"/>
  <c r="BW54" i="3" s="1"/>
  <c r="BW153" i="3" s="1"/>
  <c r="BQ54" i="3"/>
  <c r="BQ153" i="3" s="1"/>
  <c r="AM48" i="3"/>
  <c r="BU48" i="3" s="1"/>
  <c r="BU147" i="3" s="1"/>
  <c r="G47" i="3"/>
  <c r="BM47" i="3" s="1"/>
  <c r="BM146" i="3" s="1"/>
  <c r="BN45" i="3"/>
  <c r="K39" i="3"/>
  <c r="BN39" i="3" s="1"/>
  <c r="BN138" i="3" s="1"/>
  <c r="J41" i="3"/>
  <c r="AI19" i="3"/>
  <c r="BT19" i="3" s="1"/>
  <c r="BT118" i="3" s="1"/>
  <c r="CG21" i="3"/>
  <c r="CG120" i="3" s="1"/>
  <c r="BQ34" i="3"/>
  <c r="W66" i="3"/>
  <c r="W68" i="3" s="1"/>
  <c r="BV40" i="3"/>
  <c r="BV139" i="3" s="1"/>
  <c r="V51" i="3"/>
  <c r="CI51" i="3"/>
  <c r="CI150" i="3" s="1"/>
  <c r="AY45" i="3"/>
  <c r="CQ45" i="3" s="1"/>
  <c r="AM44" i="3"/>
  <c r="CN44" i="3" s="1"/>
  <c r="AL52" i="3"/>
  <c r="BU44" i="3"/>
  <c r="S40" i="3"/>
  <c r="BP40" i="3" s="1"/>
  <c r="BP139" i="3" s="1"/>
  <c r="BQ39" i="3"/>
  <c r="BQ138" i="3" s="1"/>
  <c r="AM36" i="3"/>
  <c r="AM41" i="3" s="1"/>
  <c r="AI30" i="3"/>
  <c r="BT30" i="3" s="1"/>
  <c r="BT129" i="3" s="1"/>
  <c r="CK29" i="3"/>
  <c r="CK128" i="3" s="1"/>
  <c r="BX26" i="3"/>
  <c r="BX125" i="3" s="1"/>
  <c r="BS26" i="3"/>
  <c r="BS125" i="3" s="1"/>
  <c r="BQ23" i="3"/>
  <c r="BT109" i="2"/>
  <c r="AI110" i="2"/>
  <c r="BT110" i="2" s="1"/>
  <c r="CQ38" i="3"/>
  <c r="CQ137" i="3" s="1"/>
  <c r="BO34" i="3"/>
  <c r="AV45" i="48"/>
  <c r="AV43" i="48"/>
  <c r="Y45" i="48"/>
  <c r="Y43" i="48"/>
  <c r="AE33" i="48"/>
  <c r="AE42" i="48" s="1"/>
  <c r="AE186" i="48"/>
  <c r="AF30" i="48"/>
  <c r="CL29" i="48"/>
  <c r="AI32" i="48"/>
  <c r="AE30" i="48"/>
  <c r="BS29" i="48"/>
  <c r="AE46" i="3"/>
  <c r="BS46" i="3" s="1"/>
  <c r="BS145" i="3" s="1"/>
  <c r="AI44" i="3"/>
  <c r="CM44" i="3"/>
  <c r="AH52" i="3"/>
  <c r="AA38" i="3"/>
  <c r="BR38" i="3" s="1"/>
  <c r="BR137" i="3" s="1"/>
  <c r="Z41" i="3"/>
  <c r="BO29" i="3"/>
  <c r="BO128" i="3" s="1"/>
  <c r="BO25" i="3"/>
  <c r="BO124" i="3" s="1"/>
  <c r="AQ23" i="3"/>
  <c r="BV23" i="3" s="1"/>
  <c r="AQ18" i="3"/>
  <c r="BV18" i="3" s="1"/>
  <c r="BV117" i="3" s="1"/>
  <c r="BN18" i="3"/>
  <c r="BN117" i="3" s="1"/>
  <c r="AU16" i="3"/>
  <c r="BW16" i="3" s="1"/>
  <c r="BW115" i="3" s="1"/>
  <c r="P114" i="1"/>
  <c r="P130" i="1"/>
  <c r="AI51" i="3"/>
  <c r="BT51" i="3" s="1"/>
  <c r="BT150" i="3" s="1"/>
  <c r="CM51" i="3"/>
  <c r="CM150" i="3" s="1"/>
  <c r="AU40" i="3"/>
  <c r="BW40" i="3" s="1"/>
  <c r="BW139" i="3" s="1"/>
  <c r="W37" i="3"/>
  <c r="BQ37" i="3" s="1"/>
  <c r="BQ136" i="3" s="1"/>
  <c r="AI35" i="3"/>
  <c r="CM35" i="3" s="1"/>
  <c r="AH69" i="3"/>
  <c r="G27" i="3"/>
  <c r="BM27" i="3" s="1"/>
  <c r="BM126" i="3" s="1"/>
  <c r="BU23" i="3"/>
  <c r="AO68" i="48"/>
  <c r="CL143" i="3"/>
  <c r="AP31" i="48"/>
  <c r="Y62" i="48"/>
  <c r="Y64" i="48"/>
  <c r="Y105" i="48"/>
  <c r="K17" i="3"/>
  <c r="K69" i="3" s="1"/>
  <c r="J69" i="3"/>
  <c r="CR25" i="2"/>
  <c r="BF25" i="2"/>
  <c r="BE27" i="3"/>
  <c r="BX69" i="48"/>
  <c r="CR22" i="2"/>
  <c r="BF22" i="2"/>
  <c r="BA72" i="48"/>
  <c r="BA73" i="48"/>
  <c r="AZ101" i="48"/>
  <c r="BW69" i="48"/>
  <c r="CP16" i="48"/>
  <c r="CL13" i="3"/>
  <c r="CL112" i="3" s="1"/>
  <c r="CS40" i="2"/>
  <c r="BJ40" i="2"/>
  <c r="BK40" i="2" s="1"/>
  <c r="CA40" i="2" s="1"/>
  <c r="L81" i="1"/>
  <c r="L98" i="1"/>
  <c r="AC82" i="48"/>
  <c r="AC80" i="48"/>
  <c r="AC81" i="48"/>
  <c r="BI65" i="2"/>
  <c r="BA113" i="1"/>
  <c r="BA97" i="1"/>
  <c r="BA104" i="1"/>
  <c r="BA105" i="1" s="1"/>
  <c r="BS143" i="3"/>
  <c r="CS32" i="2"/>
  <c r="BJ32" i="2"/>
  <c r="BK32" i="2" s="1"/>
  <c r="CA32" i="2" s="1"/>
  <c r="O75" i="1"/>
  <c r="O71" i="1"/>
  <c r="CO70" i="48"/>
  <c r="CP69" i="48"/>
  <c r="CO69" i="48"/>
  <c r="Y81" i="1"/>
  <c r="Y98" i="1"/>
  <c r="BA91" i="48"/>
  <c r="BA90" i="48"/>
  <c r="AG114" i="1"/>
  <c r="AG130" i="1"/>
  <c r="BU87" i="48"/>
  <c r="BT88" i="48"/>
  <c r="AX104" i="1"/>
  <c r="AX113" i="1"/>
  <c r="AX97" i="1"/>
  <c r="E75" i="1"/>
  <c r="E71" i="1"/>
  <c r="BF98" i="2"/>
  <c r="AQ67" i="1"/>
  <c r="AQ73" i="1"/>
  <c r="AQ160" i="1"/>
  <c r="AQ159" i="1"/>
  <c r="AQ68" i="1"/>
  <c r="CP167" i="1"/>
  <c r="X33" i="1"/>
  <c r="CQ167" i="1"/>
  <c r="W27" i="1"/>
  <c r="W33" i="1"/>
  <c r="AL68" i="1"/>
  <c r="AS78" i="1"/>
  <c r="CK167" i="1"/>
  <c r="AV79" i="1"/>
  <c r="AW51" i="3"/>
  <c r="CP51" i="3" s="1"/>
  <c r="CP150" i="3" s="1"/>
  <c r="AV52" i="3"/>
  <c r="CI90" i="2"/>
  <c r="CI27" i="2"/>
  <c r="CI49" i="2" s="1"/>
  <c r="BQ112" i="3"/>
  <c r="BM54" i="3"/>
  <c r="BM153" i="3" s="1"/>
  <c r="BQ47" i="3"/>
  <c r="BQ146" i="3" s="1"/>
  <c r="BU46" i="3"/>
  <c r="BU145" i="3" s="1"/>
  <c r="AQ45" i="3"/>
  <c r="BV45" i="3" s="1"/>
  <c r="BV144" i="3" s="1"/>
  <c r="AP52" i="3"/>
  <c r="CG45" i="3"/>
  <c r="G37" i="3"/>
  <c r="BM37" i="3" s="1"/>
  <c r="BM136" i="3" s="1"/>
  <c r="BR30" i="3"/>
  <c r="BR129" i="3" s="1"/>
  <c r="O30" i="3"/>
  <c r="BO30" i="3" s="1"/>
  <c r="BO129" i="3" s="1"/>
  <c r="S28" i="3"/>
  <c r="CI28" i="3" s="1"/>
  <c r="CI127" i="3" s="1"/>
  <c r="AI27" i="3"/>
  <c r="BT27" i="3" s="1"/>
  <c r="BT126" i="3" s="1"/>
  <c r="CM27" i="3"/>
  <c r="CM126" i="3" s="1"/>
  <c r="BO26" i="3"/>
  <c r="BO125" i="3" s="1"/>
  <c r="AM24" i="3"/>
  <c r="BU24" i="3" s="1"/>
  <c r="BU123" i="3" s="1"/>
  <c r="BX122" i="3"/>
  <c r="CG16" i="3"/>
  <c r="CG115" i="3" s="1"/>
  <c r="AL83" i="3"/>
  <c r="AM14" i="3"/>
  <c r="BU14" i="3" s="1"/>
  <c r="AL80" i="3"/>
  <c r="AL81" i="3" s="1"/>
  <c r="AL166" i="1"/>
  <c r="AL91" i="3"/>
  <c r="CN14" i="3"/>
  <c r="V68" i="3"/>
  <c r="V70" i="3"/>
  <c r="CO39" i="3"/>
  <c r="CO138" i="3" s="1"/>
  <c r="BQ143" i="3"/>
  <c r="K51" i="3"/>
  <c r="CG51" i="3" s="1"/>
  <c r="CG150" i="3" s="1"/>
  <c r="AI48" i="3"/>
  <c r="CM48" i="3" s="1"/>
  <c r="CM147" i="3" s="1"/>
  <c r="F41" i="3"/>
  <c r="AY27" i="3"/>
  <c r="BX27" i="3" s="1"/>
  <c r="CQ27" i="3"/>
  <c r="CQ126" i="3" s="1"/>
  <c r="AU21" i="3"/>
  <c r="CP21" i="3" s="1"/>
  <c r="CP120" i="3" s="1"/>
  <c r="AI16" i="3"/>
  <c r="BT16" i="3" s="1"/>
  <c r="BT115" i="3" s="1"/>
  <c r="AJ98" i="2"/>
  <c r="AI99" i="2"/>
  <c r="BT99" i="2" s="1"/>
  <c r="BT98" i="2"/>
  <c r="AJ109" i="2"/>
  <c r="CM38" i="3"/>
  <c r="CM137" i="3" s="1"/>
  <c r="N52" i="3"/>
  <c r="N58" i="3" s="1"/>
  <c r="CK134" i="3"/>
  <c r="CK69" i="3"/>
  <c r="AK50" i="48"/>
  <c r="AG50" i="48"/>
  <c r="AO50" i="48"/>
  <c r="AC64" i="48"/>
  <c r="AC62" i="48"/>
  <c r="AC63" i="48"/>
  <c r="AC105" i="48"/>
  <c r="AB64" i="48"/>
  <c r="AB105" i="48"/>
  <c r="S57" i="3"/>
  <c r="BP57" i="3" s="1"/>
  <c r="BP156" i="3" s="1"/>
  <c r="AE50" i="3"/>
  <c r="BS50" i="3" s="1"/>
  <c r="BS149" i="3" s="1"/>
  <c r="AU49" i="3"/>
  <c r="BW49" i="3" s="1"/>
  <c r="BW148" i="3" s="1"/>
  <c r="G48" i="3"/>
  <c r="CF48" i="3" s="1"/>
  <c r="CF147" i="3" s="1"/>
  <c r="CK144" i="3"/>
  <c r="O45" i="3"/>
  <c r="BO45" i="3" s="1"/>
  <c r="BO144" i="3" s="1"/>
  <c r="W29" i="3"/>
  <c r="BQ29" i="3" s="1"/>
  <c r="BQ128" i="3" s="1"/>
  <c r="K27" i="3"/>
  <c r="BN27" i="3" s="1"/>
  <c r="BN126" i="3" s="1"/>
  <c r="G23" i="3"/>
  <c r="BM23" i="3" s="1"/>
  <c r="BM122" i="3" s="1"/>
  <c r="W18" i="3"/>
  <c r="CJ18" i="3" s="1"/>
  <c r="CJ117" i="3" s="1"/>
  <c r="S15" i="3"/>
  <c r="BP15" i="3" s="1"/>
  <c r="BP114" i="3" s="1"/>
  <c r="AA71" i="3"/>
  <c r="AA49" i="2"/>
  <c r="BR34" i="3"/>
  <c r="AB45" i="48"/>
  <c r="AB44" i="48"/>
  <c r="AF33" i="48"/>
  <c r="AF42" i="48" s="1"/>
  <c r="AF16" i="48"/>
  <c r="AF24" i="48" s="1"/>
  <c r="AF88" i="48"/>
  <c r="AF95" i="48" s="1"/>
  <c r="AF52" i="48"/>
  <c r="AF61" i="48" s="1"/>
  <c r="AF185" i="48"/>
  <c r="AF70" i="48"/>
  <c r="AF79" i="48" s="1"/>
  <c r="AF103" i="48"/>
  <c r="AG101" i="48"/>
  <c r="AF114" i="48"/>
  <c r="AZ31" i="48"/>
  <c r="AT112" i="48"/>
  <c r="AT96" i="1"/>
  <c r="AT79" i="1"/>
  <c r="CP144" i="3"/>
  <c r="U52" i="3"/>
  <c r="AU38" i="3"/>
  <c r="CP38" i="3" s="1"/>
  <c r="CP137" i="3" s="1"/>
  <c r="BN35" i="3"/>
  <c r="S18" i="3"/>
  <c r="BP18" i="3" s="1"/>
  <c r="BP117" i="3" s="1"/>
  <c r="CI18" i="3"/>
  <c r="CI117" i="3" s="1"/>
  <c r="BV44" i="3"/>
  <c r="AJ171" i="48"/>
  <c r="AJ212" i="48"/>
  <c r="AJ213" i="48"/>
  <c r="AJ183" i="48" s="1"/>
  <c r="AJ184" i="48" s="1"/>
  <c r="CL86" i="2"/>
  <c r="CL82" i="2"/>
  <c r="CL84" i="2"/>
  <c r="BO173" i="1"/>
  <c r="Y27" i="48"/>
  <c r="Y25" i="48"/>
  <c r="Y97" i="48"/>
  <c r="Y98" i="48"/>
  <c r="AB81" i="48"/>
  <c r="AB82" i="48"/>
  <c r="CS71" i="2"/>
  <c r="BJ71" i="2"/>
  <c r="BK71" i="2" s="1"/>
  <c r="CA71" i="2" s="1"/>
  <c r="AZ96" i="48"/>
  <c r="I127" i="2"/>
  <c r="I135" i="1"/>
  <c r="I131" i="1"/>
  <c r="CI56" i="2"/>
  <c r="CI55" i="2"/>
  <c r="CI54" i="2" s="1"/>
  <c r="AT80" i="48"/>
  <c r="AW81" i="48"/>
  <c r="BU68" i="3"/>
  <c r="BU92" i="3"/>
  <c r="AZ19" i="48"/>
  <c r="AZ18" i="48"/>
  <c r="AC26" i="48"/>
  <c r="AC25" i="48"/>
  <c r="AC27" i="48"/>
  <c r="AG26" i="48"/>
  <c r="Z52" i="3"/>
  <c r="AZ50" i="48"/>
  <c r="BD50" i="48"/>
  <c r="AY35" i="48"/>
  <c r="AY36" i="48"/>
  <c r="BR143" i="3"/>
  <c r="BY51" i="3"/>
  <c r="BC52" i="3"/>
  <c r="BC150" i="3"/>
  <c r="AZ114" i="1"/>
  <c r="Y135" i="1"/>
  <c r="Y127" i="2"/>
  <c r="Y131" i="1"/>
  <c r="O80" i="1"/>
  <c r="AZ72" i="48"/>
  <c r="AZ73" i="48"/>
  <c r="AX94" i="1"/>
  <c r="AX93" i="1"/>
  <c r="BA35" i="48"/>
  <c r="BA36" i="48"/>
  <c r="V83" i="1"/>
  <c r="V165" i="1"/>
  <c r="V100" i="1"/>
  <c r="BD144" i="1"/>
  <c r="BD49" i="3"/>
  <c r="BE81" i="2"/>
  <c r="BE147" i="1"/>
  <c r="BF148" i="1"/>
  <c r="CR148" i="1"/>
  <c r="CL154" i="1"/>
  <c r="BR154" i="1" l="1"/>
  <c r="AK68" i="1"/>
  <c r="BB86" i="48"/>
  <c r="BB68" i="48"/>
  <c r="BS35" i="1"/>
  <c r="BS36" i="1" s="1"/>
  <c r="BP252" i="48"/>
  <c r="BP254" i="48" s="1"/>
  <c r="CG35" i="1"/>
  <c r="CG36" i="1" s="1"/>
  <c r="CN86" i="2"/>
  <c r="CN82" i="2"/>
  <c r="BB31" i="48"/>
  <c r="BB50" i="48"/>
  <c r="BQ252" i="48"/>
  <c r="BQ254" i="48" s="1"/>
  <c r="BU202" i="48"/>
  <c r="BN252" i="48"/>
  <c r="BN254" i="48" s="1"/>
  <c r="CH15" i="3"/>
  <c r="CH114" i="3" s="1"/>
  <c r="CF57" i="3"/>
  <c r="CF156" i="3" s="1"/>
  <c r="AQ84" i="3"/>
  <c r="CL20" i="3"/>
  <c r="CL119" i="3" s="1"/>
  <c r="BN49" i="3"/>
  <c r="BN148" i="3" s="1"/>
  <c r="BV21" i="3"/>
  <c r="BV120" i="3" s="1"/>
  <c r="F80" i="3"/>
  <c r="F81" i="3" s="1"/>
  <c r="G14" i="3"/>
  <c r="CF14" i="3"/>
  <c r="F83" i="3"/>
  <c r="F166" i="1"/>
  <c r="AI49" i="3"/>
  <c r="BT49" i="3"/>
  <c r="BT148" i="3" s="1"/>
  <c r="CM49" i="3"/>
  <c r="CM148" i="3" s="1"/>
  <c r="CG27" i="3"/>
  <c r="CG126" i="3" s="1"/>
  <c r="CH30" i="3"/>
  <c r="CH129" i="3" s="1"/>
  <c r="CG17" i="3"/>
  <c r="CN48" i="3"/>
  <c r="CN147" i="3" s="1"/>
  <c r="CI20" i="3"/>
  <c r="CI119" i="3" s="1"/>
  <c r="CM21" i="3"/>
  <c r="CM120" i="3" s="1"/>
  <c r="CH28" i="3"/>
  <c r="CH127" i="3" s="1"/>
  <c r="CF40" i="3"/>
  <c r="CF139" i="3" s="1"/>
  <c r="CG37" i="3"/>
  <c r="CG136" i="3" s="1"/>
  <c r="BE147" i="3"/>
  <c r="BF147" i="3" s="1"/>
  <c r="CQ13" i="3"/>
  <c r="CQ112" i="3" s="1"/>
  <c r="BP39" i="3"/>
  <c r="BP138" i="3" s="1"/>
  <c r="CM36" i="3"/>
  <c r="CM135" i="3" s="1"/>
  <c r="CN69" i="3"/>
  <c r="BY72" i="3"/>
  <c r="BD72" i="3"/>
  <c r="BE72" i="3" s="1"/>
  <c r="AI13" i="3"/>
  <c r="CM13" i="3"/>
  <c r="CM112" i="3" s="1"/>
  <c r="BY68" i="2"/>
  <c r="CR88" i="1"/>
  <c r="CR89" i="1" s="1"/>
  <c r="BE127" i="3"/>
  <c r="CR12" i="2"/>
  <c r="BF12" i="2"/>
  <c r="BF114" i="2"/>
  <c r="BN53" i="2"/>
  <c r="BN57" i="2"/>
  <c r="CI57" i="2"/>
  <c r="CI53" i="2"/>
  <c r="CK57" i="2"/>
  <c r="CK53" i="2"/>
  <c r="AZ70" i="48"/>
  <c r="AZ52" i="48"/>
  <c r="AZ33" i="48"/>
  <c r="AZ114" i="48"/>
  <c r="AZ16" i="48"/>
  <c r="AZ24" i="48" s="1"/>
  <c r="AZ27" i="48" s="1"/>
  <c r="AZ88" i="48"/>
  <c r="AV112" i="48"/>
  <c r="AG102" i="48"/>
  <c r="AK102" i="48" s="1"/>
  <c r="AO102" i="48" s="1"/>
  <c r="AS102" i="48" s="1"/>
  <c r="AW102" i="48" s="1"/>
  <c r="BA102" i="48" s="1"/>
  <c r="BE102" i="48" s="1"/>
  <c r="BI102" i="48" s="1"/>
  <c r="CQ15" i="48"/>
  <c r="AV44" i="48"/>
  <c r="CH57" i="2"/>
  <c r="BX42" i="48"/>
  <c r="BX61" i="48"/>
  <c r="AV62" i="48"/>
  <c r="AV64" i="48"/>
  <c r="BA101" i="48"/>
  <c r="K36" i="1"/>
  <c r="CQ16" i="48"/>
  <c r="BQ159" i="1"/>
  <c r="BE86" i="48"/>
  <c r="AZ104" i="1"/>
  <c r="AZ105" i="1" s="1"/>
  <c r="AZ122" i="1" s="1"/>
  <c r="AZ123" i="1" s="1"/>
  <c r="AZ103" i="48"/>
  <c r="CJ35" i="1"/>
  <c r="CJ36" i="1" s="1"/>
  <c r="BM33" i="1"/>
  <c r="BM34" i="1" s="1"/>
  <c r="CK59" i="1"/>
  <c r="BN40" i="1"/>
  <c r="CF57" i="2"/>
  <c r="CF53" i="2"/>
  <c r="CJ57" i="2"/>
  <c r="CJ53" i="2"/>
  <c r="AP98" i="48"/>
  <c r="AQ96" i="48"/>
  <c r="AT97" i="48"/>
  <c r="BO36" i="1"/>
  <c r="CO67" i="1"/>
  <c r="CO68" i="1" s="1"/>
  <c r="CM70" i="1"/>
  <c r="CM75" i="1" s="1"/>
  <c r="CG67" i="1"/>
  <c r="BN67" i="1"/>
  <c r="BN115" i="1" s="1"/>
  <c r="CQ105" i="1"/>
  <c r="P80" i="1"/>
  <c r="P75" i="1"/>
  <c r="P71" i="1"/>
  <c r="CI32" i="1"/>
  <c r="CI78" i="1"/>
  <c r="CF47" i="1"/>
  <c r="CF75" i="1"/>
  <c r="CF82" i="1" s="1"/>
  <c r="CG47" i="1"/>
  <c r="BS45" i="1"/>
  <c r="BS74" i="1"/>
  <c r="CO74" i="1"/>
  <c r="CJ68" i="1"/>
  <c r="CJ70" i="1" s="1"/>
  <c r="CJ71" i="1" s="1"/>
  <c r="AR93" i="1"/>
  <c r="AR94" i="1"/>
  <c r="CP93" i="1"/>
  <c r="CP94" i="1"/>
  <c r="CF34" i="1"/>
  <c r="CF32" i="1"/>
  <c r="CF78" i="1"/>
  <c r="CG32" i="1"/>
  <c r="CG78" i="1"/>
  <c r="BO32" i="1"/>
  <c r="BO78" i="1"/>
  <c r="BQ45" i="1"/>
  <c r="CK45" i="1"/>
  <c r="CK74" i="1"/>
  <c r="BM57" i="1"/>
  <c r="CG59" i="1"/>
  <c r="CK57" i="1"/>
  <c r="CN56" i="1"/>
  <c r="CN58" i="1"/>
  <c r="BX74" i="1"/>
  <c r="BW104" i="1"/>
  <c r="BW97" i="1"/>
  <c r="BW113" i="1"/>
  <c r="BT125" i="1"/>
  <c r="BT127" i="1" s="1"/>
  <c r="BT116" i="1" s="1"/>
  <c r="BQ67" i="1"/>
  <c r="BS33" i="1"/>
  <c r="BS34" i="1" s="1"/>
  <c r="BU67" i="1"/>
  <c r="BU68" i="1" s="1"/>
  <c r="AB71" i="1"/>
  <c r="AB75" i="1"/>
  <c r="H80" i="1"/>
  <c r="BP33" i="1"/>
  <c r="CK19" i="1"/>
  <c r="CK33" i="1"/>
  <c r="CK34" i="1" s="1"/>
  <c r="CK35" i="1"/>
  <c r="CK36" i="1" s="1"/>
  <c r="BO123" i="1"/>
  <c r="BP32" i="1"/>
  <c r="BP78" i="1"/>
  <c r="BM45" i="1"/>
  <c r="BM74" i="1"/>
  <c r="BM80" i="1" s="1"/>
  <c r="BN47" i="1"/>
  <c r="CH45" i="1"/>
  <c r="CH74" i="1"/>
  <c r="CH80" i="1" s="1"/>
  <c r="CM74" i="1"/>
  <c r="CO69" i="1"/>
  <c r="AP70" i="1"/>
  <c r="BV69" i="1"/>
  <c r="BW91" i="1"/>
  <c r="AA93" i="1"/>
  <c r="AA94" i="1"/>
  <c r="CK94" i="1"/>
  <c r="CK93" i="1"/>
  <c r="CJ173" i="1"/>
  <c r="D80" i="1"/>
  <c r="CP73" i="1"/>
  <c r="CP78" i="1" s="1"/>
  <c r="BT74" i="1"/>
  <c r="BQ35" i="1"/>
  <c r="BQ36" i="1" s="1"/>
  <c r="BM32" i="1"/>
  <c r="BM78" i="1"/>
  <c r="BN27" i="1"/>
  <c r="BN29" i="1"/>
  <c r="CJ32" i="1"/>
  <c r="CK32" i="1"/>
  <c r="CK78" i="1"/>
  <c r="CK29" i="1"/>
  <c r="CJ73" i="1"/>
  <c r="CJ78" i="1" s="1"/>
  <c r="CJ45" i="1"/>
  <c r="BR45" i="1"/>
  <c r="BR74" i="1"/>
  <c r="CL75" i="1"/>
  <c r="Z79" i="1"/>
  <c r="Z96" i="1"/>
  <c r="Z112" i="48"/>
  <c r="CO79" i="1"/>
  <c r="CO96" i="1"/>
  <c r="AU69" i="1"/>
  <c r="BW69" i="1" s="1"/>
  <c r="BW70" i="1" s="1"/>
  <c r="BM91" i="1"/>
  <c r="BV67" i="1"/>
  <c r="BV68" i="1" s="1"/>
  <c r="BV74" i="1" s="1"/>
  <c r="CM96" i="1"/>
  <c r="BR35" i="1"/>
  <c r="BR36" i="1" s="1"/>
  <c r="BV79" i="1"/>
  <c r="BV96" i="1"/>
  <c r="AN94" i="3"/>
  <c r="X71" i="1"/>
  <c r="X75" i="1"/>
  <c r="CN97" i="1"/>
  <c r="CN104" i="1"/>
  <c r="CN113" i="1"/>
  <c r="CL104" i="1"/>
  <c r="CL97" i="1"/>
  <c r="CL113" i="1"/>
  <c r="CF45" i="1"/>
  <c r="CF74" i="1"/>
  <c r="CF80" i="1" s="1"/>
  <c r="CG45" i="1"/>
  <c r="BO45" i="1"/>
  <c r="BO74" i="1"/>
  <c r="BO47" i="1"/>
  <c r="BO75" i="1"/>
  <c r="BO82" i="1" s="1"/>
  <c r="BS47" i="1"/>
  <c r="BS75" i="1"/>
  <c r="BS82" i="1" s="1"/>
  <c r="AJ74" i="1"/>
  <c r="BT78" i="1"/>
  <c r="AL94" i="1"/>
  <c r="AL93" i="1"/>
  <c r="BV93" i="1"/>
  <c r="BV94" i="1"/>
  <c r="BX91" i="1"/>
  <c r="CM94" i="1"/>
  <c r="CM93" i="1"/>
  <c r="CO94" i="1"/>
  <c r="CO93" i="1"/>
  <c r="CQ94" i="1"/>
  <c r="CQ93" i="1"/>
  <c r="CI91" i="1"/>
  <c r="CJ91" i="1"/>
  <c r="BQ173" i="1"/>
  <c r="AJ112" i="48"/>
  <c r="AJ79" i="1"/>
  <c r="AJ96" i="1"/>
  <c r="CG27" i="1"/>
  <c r="BO56" i="2"/>
  <c r="BO55" i="2"/>
  <c r="BO54" i="2" s="1"/>
  <c r="BO29" i="1"/>
  <c r="BO27" i="1"/>
  <c r="BQ32" i="1"/>
  <c r="BQ78" i="1"/>
  <c r="BR32" i="1"/>
  <c r="BR78" i="1"/>
  <c r="AE82" i="1"/>
  <c r="AE36" i="1"/>
  <c r="BQ47" i="1"/>
  <c r="CK47" i="1"/>
  <c r="CK75" i="1"/>
  <c r="CK82" i="1" s="1"/>
  <c r="CL93" i="1"/>
  <c r="CL94" i="1"/>
  <c r="BN91" i="1"/>
  <c r="BO91" i="1"/>
  <c r="D131" i="1"/>
  <c r="D127" i="2"/>
  <c r="D135" i="1"/>
  <c r="AJ70" i="1"/>
  <c r="H75" i="1"/>
  <c r="H71" i="1"/>
  <c r="BN34" i="1"/>
  <c r="BP55" i="2"/>
  <c r="BP54" i="2" s="1"/>
  <c r="BP56" i="2"/>
  <c r="BM75" i="1"/>
  <c r="BM82" i="1" s="1"/>
  <c r="BM47" i="1"/>
  <c r="BN45" i="1"/>
  <c r="CH47" i="1"/>
  <c r="CH75" i="1"/>
  <c r="CH82" i="1" s="1"/>
  <c r="BS104" i="1"/>
  <c r="BS97" i="1"/>
  <c r="BS113" i="1"/>
  <c r="CQ96" i="1"/>
  <c r="AO75" i="1"/>
  <c r="BT94" i="1"/>
  <c r="BT93" i="1"/>
  <c r="CN91" i="1"/>
  <c r="BS91" i="1"/>
  <c r="BU91" i="1"/>
  <c r="CH173" i="1"/>
  <c r="CQ74" i="1"/>
  <c r="AH11" i="1"/>
  <c r="AG17" i="1"/>
  <c r="CL17" i="1" s="1"/>
  <c r="CL11" i="1"/>
  <c r="CL115" i="1" s="1"/>
  <c r="AG115" i="1"/>
  <c r="AG129" i="1" s="1"/>
  <c r="AF27" i="1"/>
  <c r="AF57" i="1"/>
  <c r="AF47" i="1"/>
  <c r="AF29" i="1"/>
  <c r="AF33" i="1"/>
  <c r="AF45" i="1"/>
  <c r="AF35" i="1"/>
  <c r="D75" i="1"/>
  <c r="D71" i="1"/>
  <c r="BU79" i="1"/>
  <c r="BU96" i="1"/>
  <c r="BO33" i="1"/>
  <c r="BQ33" i="1"/>
  <c r="BQ34" i="1" s="1"/>
  <c r="BN32" i="1"/>
  <c r="BN78" i="1"/>
  <c r="CH32" i="1"/>
  <c r="CH78" i="1"/>
  <c r="CK27" i="1"/>
  <c r="CJ47" i="1"/>
  <c r="BR47" i="1"/>
  <c r="BR75" i="1"/>
  <c r="BR82" i="1" s="1"/>
  <c r="BS40" i="1"/>
  <c r="CL74" i="1"/>
  <c r="AS75" i="1"/>
  <c r="K93" i="1"/>
  <c r="K94" i="1"/>
  <c r="CG94" i="1"/>
  <c r="CG93" i="1"/>
  <c r="CG173" i="1"/>
  <c r="BX79" i="1"/>
  <c r="BX96" i="1"/>
  <c r="CP67" i="1"/>
  <c r="CP68" i="1" s="1"/>
  <c r="CK71" i="1"/>
  <c r="BT69" i="1"/>
  <c r="BT70" i="1" s="1"/>
  <c r="BP68" i="1"/>
  <c r="BR33" i="1"/>
  <c r="CI68" i="1"/>
  <c r="AW16" i="48"/>
  <c r="BR157" i="48"/>
  <c r="BR226" i="48"/>
  <c r="BR225" i="48"/>
  <c r="AL69" i="48"/>
  <c r="AV79" i="48"/>
  <c r="BQ141" i="48"/>
  <c r="AG14" i="48"/>
  <c r="X113" i="1"/>
  <c r="X97" i="1"/>
  <c r="X104" i="1"/>
  <c r="AD71" i="1"/>
  <c r="AD75" i="1"/>
  <c r="AW94" i="3"/>
  <c r="BC68" i="48"/>
  <c r="BA50" i="48"/>
  <c r="AV24" i="48"/>
  <c r="AV95" i="48"/>
  <c r="AV96" i="48" s="1"/>
  <c r="N80" i="1"/>
  <c r="N75" i="1"/>
  <c r="N71" i="1"/>
  <c r="AI93" i="1"/>
  <c r="AI94" i="1"/>
  <c r="BX112" i="3"/>
  <c r="BS179" i="48"/>
  <c r="BT179" i="48" s="1"/>
  <c r="BT180" i="48" s="1"/>
  <c r="BT173" i="48"/>
  <c r="BT172" i="48"/>
  <c r="BU69" i="3"/>
  <c r="AI156" i="48"/>
  <c r="AI188" i="48"/>
  <c r="BT188" i="48" s="1"/>
  <c r="AI186" i="48"/>
  <c r="AI176" i="48"/>
  <c r="AI203" i="48"/>
  <c r="AI204" i="48" s="1"/>
  <c r="M81" i="1"/>
  <c r="M98" i="1"/>
  <c r="AH70" i="1"/>
  <c r="BU13" i="3"/>
  <c r="CN13" i="3"/>
  <c r="CN112" i="3" s="1"/>
  <c r="AD67" i="48"/>
  <c r="CL66" i="48"/>
  <c r="AD69" i="48"/>
  <c r="AE67" i="48"/>
  <c r="BS66" i="48"/>
  <c r="BF34" i="2"/>
  <c r="BE30" i="3"/>
  <c r="CR34" i="2"/>
  <c r="AE138" i="1"/>
  <c r="AE118" i="1"/>
  <c r="AN60" i="1"/>
  <c r="AA112" i="48"/>
  <c r="AA96" i="1"/>
  <c r="AA79" i="1"/>
  <c r="BD167" i="1"/>
  <c r="AD49" i="48"/>
  <c r="AD51" i="48"/>
  <c r="CL48" i="48"/>
  <c r="BS48" i="48"/>
  <c r="AD100" i="48"/>
  <c r="AP82" i="48"/>
  <c r="AP45" i="48"/>
  <c r="BH29" i="3"/>
  <c r="BH128" i="3" s="1"/>
  <c r="BI33" i="2"/>
  <c r="BD21" i="3"/>
  <c r="BD120" i="3" s="1"/>
  <c r="BE66" i="2"/>
  <c r="AA70" i="1"/>
  <c r="AJ26" i="1"/>
  <c r="AJ28" i="1"/>
  <c r="AJ125" i="1"/>
  <c r="AK25" i="1"/>
  <c r="CM25" i="1" s="1"/>
  <c r="AT31" i="48"/>
  <c r="AS24" i="48"/>
  <c r="AT25" i="48" s="1"/>
  <c r="AS13" i="48"/>
  <c r="AT13" i="48"/>
  <c r="AS15" i="48"/>
  <c r="CO12" i="48"/>
  <c r="BW12" i="48"/>
  <c r="BU71" i="3"/>
  <c r="BU49" i="2"/>
  <c r="AE49" i="48"/>
  <c r="F96" i="1"/>
  <c r="F79" i="1"/>
  <c r="F112" i="48"/>
  <c r="BR252" i="48"/>
  <c r="BR254" i="48" s="1"/>
  <c r="AA124" i="48"/>
  <c r="AA12" i="48"/>
  <c r="AE15" i="48" s="1"/>
  <c r="BR119" i="48"/>
  <c r="AA141" i="48"/>
  <c r="BR137" i="48"/>
  <c r="AK70" i="1"/>
  <c r="AK74" i="1"/>
  <c r="CJ159" i="1"/>
  <c r="BR112" i="3"/>
  <c r="BS12" i="48"/>
  <c r="AD13" i="48"/>
  <c r="AD15" i="48"/>
  <c r="CL12" i="48"/>
  <c r="AQ92" i="3"/>
  <c r="AQ68" i="3"/>
  <c r="BS68" i="3"/>
  <c r="BS92" i="3"/>
  <c r="K78" i="1"/>
  <c r="CG159" i="1"/>
  <c r="CG160" i="1"/>
  <c r="AM94" i="3"/>
  <c r="X105" i="48"/>
  <c r="X64" i="48"/>
  <c r="AH94" i="3"/>
  <c r="CF173" i="1"/>
  <c r="AP101" i="48"/>
  <c r="AO101" i="48"/>
  <c r="AO114" i="48"/>
  <c r="AS62" i="48"/>
  <c r="CP160" i="1"/>
  <c r="CP159" i="1"/>
  <c r="AR82" i="48"/>
  <c r="AX16" i="48"/>
  <c r="AX114" i="48"/>
  <c r="AX103" i="48"/>
  <c r="AX70" i="48"/>
  <c r="AX88" i="48"/>
  <c r="AX52" i="48"/>
  <c r="AX33" i="48"/>
  <c r="BV88" i="48"/>
  <c r="BV87" i="48"/>
  <c r="AU35" i="3"/>
  <c r="AU69" i="3" s="1"/>
  <c r="AT69" i="3"/>
  <c r="CP35" i="3"/>
  <c r="AI16" i="48"/>
  <c r="AI24" i="48" s="1"/>
  <c r="AI15" i="48"/>
  <c r="AI13" i="48"/>
  <c r="AM15" i="48"/>
  <c r="AI100" i="48"/>
  <c r="AI185" i="48" s="1"/>
  <c r="AB113" i="1"/>
  <c r="AB97" i="1"/>
  <c r="AB104" i="1"/>
  <c r="AV97" i="48"/>
  <c r="BW79" i="48"/>
  <c r="BW82" i="48" s="1"/>
  <c r="AS80" i="48"/>
  <c r="AZ97" i="48"/>
  <c r="AU41" i="3"/>
  <c r="CP49" i="3"/>
  <c r="CP148" i="3" s="1"/>
  <c r="AG81" i="48"/>
  <c r="CF27" i="3"/>
  <c r="CF126" i="3" s="1"/>
  <c r="BR50" i="3"/>
  <c r="BN28" i="3"/>
  <c r="BN127" i="3" s="1"/>
  <c r="BW51" i="48"/>
  <c r="CK50" i="3"/>
  <c r="CK149" i="3" s="1"/>
  <c r="CK151" i="3" s="1"/>
  <c r="CF24" i="3"/>
  <c r="CF123" i="3" s="1"/>
  <c r="CL45" i="3"/>
  <c r="CL144" i="3" s="1"/>
  <c r="CM34" i="3"/>
  <c r="AR60" i="1"/>
  <c r="BC15" i="48"/>
  <c r="BC13" i="48"/>
  <c r="BF28" i="3"/>
  <c r="BG20" i="2"/>
  <c r="AC131" i="1"/>
  <c r="AC135" i="1"/>
  <c r="AC127" i="2"/>
  <c r="AT81" i="48"/>
  <c r="AX81" i="48"/>
  <c r="AU80" i="48"/>
  <c r="BP173" i="1"/>
  <c r="S35" i="3"/>
  <c r="BP35" i="3" s="1"/>
  <c r="R69" i="3"/>
  <c r="AP69" i="3"/>
  <c r="AQ35" i="3"/>
  <c r="AQ69" i="3" s="1"/>
  <c r="AP41" i="3"/>
  <c r="BG48" i="3"/>
  <c r="BH48" i="3" s="1"/>
  <c r="AD87" i="48"/>
  <c r="CL84" i="48"/>
  <c r="AD85" i="48"/>
  <c r="BS84" i="48"/>
  <c r="AH87" i="48"/>
  <c r="AE85" i="48"/>
  <c r="AU86" i="48" s="1"/>
  <c r="AH51" i="48"/>
  <c r="AH100" i="48"/>
  <c r="AH52" i="48"/>
  <c r="CM48" i="48"/>
  <c r="AI49" i="48"/>
  <c r="BT48" i="48"/>
  <c r="AH61" i="48"/>
  <c r="AH49" i="48"/>
  <c r="CR167" i="1"/>
  <c r="BY167" i="1"/>
  <c r="AY86" i="48"/>
  <c r="AP15" i="48"/>
  <c r="AL13" i="48"/>
  <c r="AM13" i="48"/>
  <c r="CN12" i="48"/>
  <c r="CM12" i="48"/>
  <c r="AL15" i="48"/>
  <c r="AM61" i="48"/>
  <c r="AQ63" i="48" s="1"/>
  <c r="AT63" i="48"/>
  <c r="AP105" i="48"/>
  <c r="AP64" i="48"/>
  <c r="AR103" i="48"/>
  <c r="AN103" i="48"/>
  <c r="AN88" i="48"/>
  <c r="AN95" i="48" s="1"/>
  <c r="AR97" i="48" s="1"/>
  <c r="AN70" i="48"/>
  <c r="AN79" i="48" s="1"/>
  <c r="AN16" i="48"/>
  <c r="AN24" i="48" s="1"/>
  <c r="AN114" i="48"/>
  <c r="AN33" i="48"/>
  <c r="AN42" i="48" s="1"/>
  <c r="K34" i="1"/>
  <c r="BZ29" i="3"/>
  <c r="BZ128" i="3" s="1"/>
  <c r="AX31" i="48"/>
  <c r="AS84" i="3"/>
  <c r="AL113" i="1"/>
  <c r="AL104" i="1"/>
  <c r="AL97" i="1"/>
  <c r="S44" i="3"/>
  <c r="R52" i="3"/>
  <c r="BC86" i="48"/>
  <c r="N80" i="3"/>
  <c r="N81" i="3" s="1"/>
  <c r="N83" i="3"/>
  <c r="N166" i="1"/>
  <c r="O14" i="3"/>
  <c r="BR148" i="48"/>
  <c r="BR149" i="48" s="1"/>
  <c r="BR151" i="48" s="1"/>
  <c r="AB67" i="48"/>
  <c r="AN68" i="48" s="1"/>
  <c r="AA67" i="48"/>
  <c r="AM68" i="48" s="1"/>
  <c r="AE69" i="48"/>
  <c r="BR227" i="48"/>
  <c r="AA85" i="48"/>
  <c r="AQ86" i="48" s="1"/>
  <c r="AB85" i="48"/>
  <c r="AV86" i="48" s="1"/>
  <c r="AE87" i="48"/>
  <c r="AA48" i="48"/>
  <c r="BR121" i="48"/>
  <c r="BR130" i="48" s="1"/>
  <c r="AK78" i="1"/>
  <c r="L104" i="1"/>
  <c r="L113" i="1"/>
  <c r="L97" i="1"/>
  <c r="BP86" i="2"/>
  <c r="BP82" i="2"/>
  <c r="BE68" i="48"/>
  <c r="AJ114" i="48"/>
  <c r="AJ70" i="48"/>
  <c r="AJ79" i="48" s="1"/>
  <c r="AJ88" i="48"/>
  <c r="AJ95" i="48" s="1"/>
  <c r="AJ52" i="48"/>
  <c r="AJ61" i="48" s="1"/>
  <c r="AJ63" i="48" s="1"/>
  <c r="AJ33" i="48"/>
  <c r="AJ42" i="48" s="1"/>
  <c r="AJ13" i="48"/>
  <c r="AD183" i="48"/>
  <c r="AD184" i="48" s="1"/>
  <c r="BS213" i="48"/>
  <c r="BS183" i="48" s="1"/>
  <c r="BS184" i="48" s="1"/>
  <c r="AL100" i="48"/>
  <c r="F98" i="1"/>
  <c r="F81" i="1"/>
  <c r="AX86" i="48"/>
  <c r="CO34" i="3"/>
  <c r="BP159" i="1"/>
  <c r="BP160" i="1"/>
  <c r="AR70" i="1"/>
  <c r="AR74" i="1"/>
  <c r="AO103" i="2"/>
  <c r="AN108" i="2"/>
  <c r="AA34" i="1"/>
  <c r="I71" i="1"/>
  <c r="I75" i="1"/>
  <c r="CK83" i="3"/>
  <c r="CK81" i="3" s="1"/>
  <c r="CK80" i="3" s="1"/>
  <c r="CK84" i="3" s="1"/>
  <c r="CK166" i="1"/>
  <c r="CK113" i="3"/>
  <c r="G82" i="1"/>
  <c r="AH80" i="3"/>
  <c r="AH81" i="3" s="1"/>
  <c r="CM14" i="3"/>
  <c r="AH166" i="1"/>
  <c r="AH91" i="3"/>
  <c r="AI14" i="3"/>
  <c r="AH83" i="3"/>
  <c r="AH84" i="3" s="1"/>
  <c r="R83" i="1"/>
  <c r="R100" i="1"/>
  <c r="R165" i="1"/>
  <c r="AD130" i="1"/>
  <c r="AD114" i="1"/>
  <c r="AG105" i="48"/>
  <c r="AG64" i="48"/>
  <c r="AO52" i="48"/>
  <c r="AO61" i="48" s="1"/>
  <c r="CO51" i="48"/>
  <c r="CO52" i="48"/>
  <c r="CP51" i="48"/>
  <c r="AE16" i="48"/>
  <c r="AE24" i="48" s="1"/>
  <c r="AE13" i="48"/>
  <c r="AV68" i="1"/>
  <c r="Q74" i="1"/>
  <c r="Q70" i="1"/>
  <c r="Y36" i="1"/>
  <c r="Y82" i="1"/>
  <c r="M104" i="1"/>
  <c r="M97" i="1"/>
  <c r="M113" i="1"/>
  <c r="AR64" i="48"/>
  <c r="AR105" i="48"/>
  <c r="E130" i="1"/>
  <c r="E114" i="1"/>
  <c r="CI166" i="1"/>
  <c r="CI83" i="3"/>
  <c r="CI113" i="3"/>
  <c r="U84" i="3"/>
  <c r="AO88" i="48"/>
  <c r="AO95" i="48" s="1"/>
  <c r="AO70" i="48"/>
  <c r="AO79" i="48" s="1"/>
  <c r="BR122" i="48"/>
  <c r="BR131" i="48" s="1"/>
  <c r="AX37" i="3"/>
  <c r="AW41" i="3"/>
  <c r="BE50" i="48"/>
  <c r="V113" i="1"/>
  <c r="V104" i="1"/>
  <c r="V97" i="1"/>
  <c r="CO37" i="3"/>
  <c r="CO136" i="3" s="1"/>
  <c r="AQ37" i="3"/>
  <c r="BV37" i="3" s="1"/>
  <c r="BV136" i="3" s="1"/>
  <c r="AK33" i="48"/>
  <c r="AK42" i="48" s="1"/>
  <c r="AK32" i="48"/>
  <c r="AK30" i="48"/>
  <c r="AK100" i="48"/>
  <c r="BU29" i="48"/>
  <c r="AJ103" i="48"/>
  <c r="AG63" i="48"/>
  <c r="AH31" i="48"/>
  <c r="AV81" i="48"/>
  <c r="AS68" i="48"/>
  <c r="CJ37" i="3"/>
  <c r="CJ136" i="3" s="1"/>
  <c r="CJ140" i="3" s="1"/>
  <c r="CQ100" i="48"/>
  <c r="AQ80" i="48"/>
  <c r="AB80" i="1"/>
  <c r="AJ94" i="3"/>
  <c r="AW25" i="48"/>
  <c r="CI54" i="3"/>
  <c r="CI153" i="3" s="1"/>
  <c r="BD68" i="48"/>
  <c r="CH69" i="3"/>
  <c r="AW68" i="48"/>
  <c r="BD12" i="48"/>
  <c r="BE17" i="48"/>
  <c r="O97" i="1"/>
  <c r="O104" i="1"/>
  <c r="O113" i="1"/>
  <c r="G34" i="1"/>
  <c r="G80" i="1"/>
  <c r="AU25" i="48"/>
  <c r="AT26" i="48"/>
  <c r="AX26" i="48"/>
  <c r="AT105" i="48"/>
  <c r="AX63" i="48"/>
  <c r="AT62" i="48"/>
  <c r="J118" i="1"/>
  <c r="J138" i="1"/>
  <c r="AH96" i="48"/>
  <c r="G130" i="1"/>
  <c r="G114" i="1"/>
  <c r="AK107" i="2"/>
  <c r="AL102" i="2"/>
  <c r="AN113" i="1"/>
  <c r="AN97" i="1"/>
  <c r="AN104" i="1"/>
  <c r="AN105" i="1" s="1"/>
  <c r="AW63" i="48"/>
  <c r="AM114" i="1"/>
  <c r="CN68" i="3"/>
  <c r="CN92" i="3"/>
  <c r="BT12" i="48"/>
  <c r="AU68" i="3"/>
  <c r="AU92" i="3"/>
  <c r="CN87" i="48"/>
  <c r="CN88" i="48"/>
  <c r="J168" i="1"/>
  <c r="AN101" i="48"/>
  <c r="AM114" i="48"/>
  <c r="AM33" i="48"/>
  <c r="AM88" i="48"/>
  <c r="AM70" i="48"/>
  <c r="AM16" i="48"/>
  <c r="AF94" i="3"/>
  <c r="AP27" i="48"/>
  <c r="AN52" i="48"/>
  <c r="AN61" i="48" s="1"/>
  <c r="Q34" i="1"/>
  <c r="CM23" i="3"/>
  <c r="CM122" i="3" s="1"/>
  <c r="Z52" i="48"/>
  <c r="Z61" i="48" s="1"/>
  <c r="Z33" i="48"/>
  <c r="Z42" i="48" s="1"/>
  <c r="Z103" i="48"/>
  <c r="Z101" i="48"/>
  <c r="Z114" i="48"/>
  <c r="AW26" i="48"/>
  <c r="AX25" i="48"/>
  <c r="E81" i="1"/>
  <c r="E98" i="1"/>
  <c r="AO32" i="48"/>
  <c r="J114" i="1"/>
  <c r="J130" i="1"/>
  <c r="AZ86" i="48"/>
  <c r="AR86" i="48"/>
  <c r="U135" i="1"/>
  <c r="U131" i="1"/>
  <c r="U127" i="2"/>
  <c r="BZ26" i="2"/>
  <c r="BH26" i="2"/>
  <c r="BI26" i="2" s="1"/>
  <c r="CG83" i="3"/>
  <c r="CG166" i="1"/>
  <c r="CG113" i="3"/>
  <c r="BR111" i="48"/>
  <c r="AA151" i="48"/>
  <c r="AA75" i="48"/>
  <c r="AA76" i="48" s="1"/>
  <c r="CM17" i="3"/>
  <c r="CM116" i="3" s="1"/>
  <c r="BU160" i="1"/>
  <c r="BU159" i="1"/>
  <c r="W115" i="1"/>
  <c r="W129" i="1" s="1"/>
  <c r="AO14" i="48"/>
  <c r="BS128" i="48"/>
  <c r="BS124" i="48"/>
  <c r="BS133" i="48" s="1"/>
  <c r="BT211" i="48"/>
  <c r="AH213" i="48"/>
  <c r="AL211" i="48"/>
  <c r="AH212" i="48"/>
  <c r="AL51" i="48"/>
  <c r="BG128" i="3"/>
  <c r="BV113" i="3"/>
  <c r="BV83" i="3"/>
  <c r="BV91" i="3"/>
  <c r="BV166" i="1"/>
  <c r="BG153" i="1"/>
  <c r="BH153" i="1" s="1"/>
  <c r="BI153" i="1" s="1"/>
  <c r="BJ153" i="1" s="1"/>
  <c r="BK153" i="1" s="1"/>
  <c r="CO88" i="48"/>
  <c r="CO87" i="48"/>
  <c r="CP87" i="48"/>
  <c r="BV34" i="3"/>
  <c r="S78" i="1"/>
  <c r="BX82" i="2"/>
  <c r="BX86" i="2"/>
  <c r="AA80" i="3"/>
  <c r="AA81" i="3" s="1"/>
  <c r="AA83" i="3"/>
  <c r="AA166" i="1"/>
  <c r="BR14" i="3"/>
  <c r="BN159" i="1"/>
  <c r="BN160" i="1"/>
  <c r="K68" i="1"/>
  <c r="K115" i="1"/>
  <c r="K129" i="1" s="1"/>
  <c r="BW32" i="48"/>
  <c r="AG84" i="3"/>
  <c r="AP97" i="1"/>
  <c r="AP104" i="1"/>
  <c r="AP113" i="1"/>
  <c r="T96" i="1"/>
  <c r="T112" i="48"/>
  <c r="T79" i="1"/>
  <c r="BX84" i="2"/>
  <c r="AD81" i="1"/>
  <c r="AD98" i="1"/>
  <c r="CM49" i="2"/>
  <c r="AS100" i="48"/>
  <c r="BR123" i="48"/>
  <c r="BR132" i="48" s="1"/>
  <c r="AR79" i="1"/>
  <c r="AR96" i="1"/>
  <c r="AR112" i="48"/>
  <c r="CK173" i="1"/>
  <c r="T70" i="1"/>
  <c r="T74" i="1"/>
  <c r="BA74" i="1"/>
  <c r="AR27" i="48"/>
  <c r="AR26" i="48"/>
  <c r="BX32" i="48"/>
  <c r="AB97" i="48"/>
  <c r="AB98" i="48"/>
  <c r="AT86" i="48"/>
  <c r="Z70" i="48"/>
  <c r="Z79" i="48" s="1"/>
  <c r="Z67" i="48"/>
  <c r="CK66" i="48"/>
  <c r="CK70" i="48" s="1"/>
  <c r="BR66" i="48"/>
  <c r="BM173" i="1"/>
  <c r="BT173" i="1"/>
  <c r="S16" i="3"/>
  <c r="BP16" i="3" s="1"/>
  <c r="BP115" i="3" s="1"/>
  <c r="CI16" i="3"/>
  <c r="CI115" i="3" s="1"/>
  <c r="BR173" i="1"/>
  <c r="AH43" i="48"/>
  <c r="AG45" i="48"/>
  <c r="CG53" i="2"/>
  <c r="CG57" i="2"/>
  <c r="AZ68" i="48"/>
  <c r="BC151" i="3"/>
  <c r="AT41" i="3"/>
  <c r="AD88" i="48"/>
  <c r="AD95" i="48" s="1"/>
  <c r="BS95" i="48" s="1"/>
  <c r="BS98" i="48" s="1"/>
  <c r="CI15" i="3"/>
  <c r="CI114" i="3" s="1"/>
  <c r="CH45" i="3"/>
  <c r="CH144" i="3" s="1"/>
  <c r="AB63" i="48"/>
  <c r="BT18" i="3"/>
  <c r="BT117" i="3" s="1"/>
  <c r="BV29" i="3"/>
  <c r="BV128" i="3" s="1"/>
  <c r="CF37" i="3"/>
  <c r="CF136" i="3" s="1"/>
  <c r="CO45" i="3"/>
  <c r="CO144" i="3" s="1"/>
  <c r="AG97" i="48"/>
  <c r="BF40" i="3"/>
  <c r="BN17" i="3"/>
  <c r="BN116" i="3" s="1"/>
  <c r="AL31" i="48"/>
  <c r="CP40" i="3"/>
  <c r="CP139" i="3" s="1"/>
  <c r="AE100" i="48"/>
  <c r="AF101" i="48" s="1"/>
  <c r="CI40" i="3"/>
  <c r="CI139" i="3" s="1"/>
  <c r="CF47" i="3"/>
  <c r="CF146" i="3" s="1"/>
  <c r="BQ160" i="1"/>
  <c r="BX100" i="48"/>
  <c r="BX70" i="48" s="1"/>
  <c r="BW61" i="48"/>
  <c r="BW64" i="48" s="1"/>
  <c r="K52" i="3"/>
  <c r="CH50" i="3"/>
  <c r="CH149" i="3" s="1"/>
  <c r="AQ41" i="3"/>
  <c r="BV100" i="48"/>
  <c r="BV70" i="48" s="1"/>
  <c r="BT124" i="48"/>
  <c r="BT133" i="48" s="1"/>
  <c r="BS17" i="3"/>
  <c r="BS116" i="3" s="1"/>
  <c r="CJ160" i="1"/>
  <c r="AK180" i="48"/>
  <c r="AH69" i="48"/>
  <c r="CM66" i="48"/>
  <c r="AH70" i="48"/>
  <c r="AH79" i="48" s="1"/>
  <c r="BT66" i="48"/>
  <c r="BU69" i="48" s="1"/>
  <c r="AH67" i="48"/>
  <c r="AG94" i="3"/>
  <c r="BC53" i="48"/>
  <c r="CP49" i="2"/>
  <c r="AT44" i="48"/>
  <c r="AT43" i="48"/>
  <c r="AU43" i="48"/>
  <c r="F69" i="3"/>
  <c r="G35" i="3"/>
  <c r="CF35" i="3" s="1"/>
  <c r="AM49" i="3"/>
  <c r="BZ48" i="3"/>
  <c r="BZ147" i="3" s="1"/>
  <c r="CM29" i="48"/>
  <c r="BT224" i="48"/>
  <c r="BT141" i="48"/>
  <c r="BT228" i="48" s="1"/>
  <c r="BY12" i="48"/>
  <c r="CM47" i="3"/>
  <c r="CM146" i="3" s="1"/>
  <c r="AF13" i="48"/>
  <c r="CP133" i="3"/>
  <c r="CP66" i="3"/>
  <c r="CN33" i="48"/>
  <c r="CO32" i="48"/>
  <c r="BH24" i="2"/>
  <c r="BI24" i="2" s="1"/>
  <c r="BZ24" i="2"/>
  <c r="J111" i="1"/>
  <c r="J101" i="1"/>
  <c r="J119" i="1"/>
  <c r="CN52" i="48"/>
  <c r="CI173" i="1"/>
  <c r="BE64" i="2"/>
  <c r="BD68" i="2"/>
  <c r="AT83" i="3"/>
  <c r="AT166" i="1"/>
  <c r="AT91" i="3"/>
  <c r="AU14" i="3"/>
  <c r="AT80" i="3"/>
  <c r="AT81" i="3" s="1"/>
  <c r="CF30" i="3"/>
  <c r="CF129" i="3" s="1"/>
  <c r="CM88" i="48"/>
  <c r="CR48" i="3"/>
  <c r="CR147" i="3" s="1"/>
  <c r="CQ47" i="3"/>
  <c r="CQ146" i="3" s="1"/>
  <c r="BH43" i="2"/>
  <c r="BI43" i="2" s="1"/>
  <c r="BZ43" i="2"/>
  <c r="G38" i="3"/>
  <c r="BM38" i="3" s="1"/>
  <c r="BM137" i="3" s="1"/>
  <c r="AM16" i="3"/>
  <c r="BU16" i="3" s="1"/>
  <c r="BU115" i="3" s="1"/>
  <c r="CF133" i="3"/>
  <c r="CF66" i="3"/>
  <c r="CF68" i="3" s="1"/>
  <c r="AX101" i="48"/>
  <c r="AW114" i="48"/>
  <c r="AW88" i="48"/>
  <c r="AW52" i="48"/>
  <c r="AW101" i="48"/>
  <c r="AW70" i="48"/>
  <c r="AW33" i="48"/>
  <c r="AO33" i="48"/>
  <c r="AO42" i="48" s="1"/>
  <c r="AE64" i="48"/>
  <c r="AI63" i="48"/>
  <c r="BN71" i="3"/>
  <c r="BN49" i="2"/>
  <c r="BR57" i="2"/>
  <c r="BR53" i="2"/>
  <c r="AA29" i="48"/>
  <c r="BR120" i="48"/>
  <c r="BR129" i="48" s="1"/>
  <c r="CO49" i="2"/>
  <c r="J66" i="3"/>
  <c r="K34" i="3"/>
  <c r="CM160" i="1"/>
  <c r="CM159" i="1"/>
  <c r="W68" i="1"/>
  <c r="AJ16" i="48"/>
  <c r="AJ24" i="48" s="1"/>
  <c r="CN70" i="48"/>
  <c r="BS224" i="48"/>
  <c r="BS141" i="48"/>
  <c r="BS228" i="48" s="1"/>
  <c r="BW88" i="48"/>
  <c r="BW87" i="48"/>
  <c r="AW86" i="48"/>
  <c r="BA86" i="48"/>
  <c r="AP68" i="3"/>
  <c r="AP92" i="3"/>
  <c r="CI159" i="1"/>
  <c r="CI160" i="1"/>
  <c r="R97" i="1"/>
  <c r="R113" i="1"/>
  <c r="R104" i="1"/>
  <c r="X97" i="48"/>
  <c r="X98" i="48"/>
  <c r="X96" i="48"/>
  <c r="W112" i="48"/>
  <c r="W79" i="1"/>
  <c r="W96" i="1"/>
  <c r="AE14" i="3"/>
  <c r="AD83" i="3"/>
  <c r="AD84" i="3" s="1"/>
  <c r="AD166" i="1"/>
  <c r="AD80" i="3"/>
  <c r="AD81" i="3" s="1"/>
  <c r="CL14" i="3"/>
  <c r="AS50" i="48"/>
  <c r="Z85" i="48"/>
  <c r="BR84" i="48"/>
  <c r="BR88" i="48" s="1"/>
  <c r="CK84" i="48"/>
  <c r="CK88" i="48" s="1"/>
  <c r="Z88" i="48"/>
  <c r="Z95" i="48" s="1"/>
  <c r="BX159" i="1"/>
  <c r="BX160" i="1"/>
  <c r="AI104" i="1"/>
  <c r="AI97" i="1"/>
  <c r="AI113" i="1"/>
  <c r="H104" i="1"/>
  <c r="H113" i="1"/>
  <c r="H97" i="1"/>
  <c r="AR98" i="48"/>
  <c r="AR96" i="48"/>
  <c r="AR45" i="48"/>
  <c r="BW42" i="48"/>
  <c r="BW45" i="48" s="1"/>
  <c r="AX44" i="48"/>
  <c r="AA74" i="1"/>
  <c r="AA80" i="1" s="1"/>
  <c r="W14" i="3"/>
  <c r="CJ14" i="3"/>
  <c r="V83" i="3"/>
  <c r="V166" i="1"/>
  <c r="V80" i="3"/>
  <c r="CF29" i="3"/>
  <c r="CF128" i="3" s="1"/>
  <c r="S46" i="3"/>
  <c r="BP46" i="3" s="1"/>
  <c r="BP145" i="3" s="1"/>
  <c r="CI46" i="3"/>
  <c r="CI145" i="3" s="1"/>
  <c r="I98" i="1"/>
  <c r="I81" i="1"/>
  <c r="AO97" i="1"/>
  <c r="AO105" i="1"/>
  <c r="AO113" i="1"/>
  <c r="AO104" i="1"/>
  <c r="AO13" i="48"/>
  <c r="AO15" i="48"/>
  <c r="AP13" i="48"/>
  <c r="AO16" i="48"/>
  <c r="AO24" i="48" s="1"/>
  <c r="BV12" i="48"/>
  <c r="Q113" i="1"/>
  <c r="Q104" i="1"/>
  <c r="Q97" i="1"/>
  <c r="Z25" i="48"/>
  <c r="CL116" i="3"/>
  <c r="BW125" i="3"/>
  <c r="BX126" i="3"/>
  <c r="CN143" i="3"/>
  <c r="CQ144" i="3"/>
  <c r="BS144" i="3"/>
  <c r="BS52" i="3"/>
  <c r="V168" i="1"/>
  <c r="AX94" i="3"/>
  <c r="Y11" i="3"/>
  <c r="Y137" i="1"/>
  <c r="I11" i="3"/>
  <c r="I137" i="1"/>
  <c r="AT97" i="1"/>
  <c r="AT113" i="1"/>
  <c r="AT104" i="1"/>
  <c r="AB106" i="48"/>
  <c r="AB115" i="48"/>
  <c r="BU91" i="3"/>
  <c r="BU166" i="1"/>
  <c r="BU83" i="3"/>
  <c r="BU113" i="3"/>
  <c r="AV104" i="1"/>
  <c r="AV105" i="1" s="1"/>
  <c r="AV97" i="1"/>
  <c r="AV113" i="1"/>
  <c r="AS112" i="48"/>
  <c r="AS79" i="1"/>
  <c r="AS96" i="1"/>
  <c r="CO159" i="1"/>
  <c r="CO160" i="1"/>
  <c r="BV160" i="1"/>
  <c r="BV159" i="1"/>
  <c r="O82" i="1"/>
  <c r="BC71" i="48"/>
  <c r="BG25" i="2"/>
  <c r="BG27" i="3" s="1"/>
  <c r="CM134" i="3"/>
  <c r="CM69" i="3"/>
  <c r="BV122" i="3"/>
  <c r="BQ122" i="3"/>
  <c r="BU143" i="3"/>
  <c r="S66" i="3"/>
  <c r="S68" i="3" s="1"/>
  <c r="S41" i="3"/>
  <c r="AX80" i="3"/>
  <c r="AX81" i="3" s="1"/>
  <c r="AX91" i="3"/>
  <c r="AX83" i="3"/>
  <c r="AX166" i="1"/>
  <c r="AY14" i="3"/>
  <c r="L83" i="1"/>
  <c r="L100" i="1"/>
  <c r="L165" i="1"/>
  <c r="BQ56" i="2"/>
  <c r="BQ55" i="2"/>
  <c r="BQ54" i="2" s="1"/>
  <c r="CP41" i="3"/>
  <c r="M168" i="1"/>
  <c r="AY43" i="48"/>
  <c r="AY45" i="48"/>
  <c r="AY44" i="48"/>
  <c r="AB98" i="1"/>
  <c r="AB81" i="1"/>
  <c r="BF54" i="2"/>
  <c r="BG55" i="2"/>
  <c r="BW104" i="2"/>
  <c r="AV104" i="2"/>
  <c r="N71" i="3"/>
  <c r="N72" i="3"/>
  <c r="N73" i="3" s="1"/>
  <c r="N76" i="3" s="1"/>
  <c r="M70" i="3"/>
  <c r="AH68" i="3"/>
  <c r="AH92" i="3"/>
  <c r="U168" i="1"/>
  <c r="BJ41" i="2"/>
  <c r="CS41" i="2"/>
  <c r="BG35" i="2"/>
  <c r="BA81" i="48"/>
  <c r="BA82" i="48"/>
  <c r="AQ43" i="48"/>
  <c r="AR43" i="48"/>
  <c r="AQ45" i="48"/>
  <c r="AU44" i="48"/>
  <c r="BR122" i="3"/>
  <c r="BQ45" i="3"/>
  <c r="CQ71" i="3"/>
  <c r="CQ49" i="2"/>
  <c r="BS69" i="3"/>
  <c r="CL23" i="3"/>
  <c r="CL122" i="3" s="1"/>
  <c r="CQ49" i="3"/>
  <c r="CQ148" i="3" s="1"/>
  <c r="BT15" i="3"/>
  <c r="BT114" i="3" s="1"/>
  <c r="Z80" i="1"/>
  <c r="AC82" i="1"/>
  <c r="AC36" i="1"/>
  <c r="AE104" i="1"/>
  <c r="AE113" i="1"/>
  <c r="AE97" i="1"/>
  <c r="BW38" i="3"/>
  <c r="BO27" i="3"/>
  <c r="BO126" i="3" s="1"/>
  <c r="BM51" i="3"/>
  <c r="BM150" i="3" s="1"/>
  <c r="BM48" i="3"/>
  <c r="BM147" i="3" s="1"/>
  <c r="BT48" i="3"/>
  <c r="BT147" i="3" s="1"/>
  <c r="V119" i="1"/>
  <c r="V111" i="1"/>
  <c r="V101" i="1"/>
  <c r="BC34" i="48"/>
  <c r="O81" i="1"/>
  <c r="O98" i="1"/>
  <c r="AJ81" i="48"/>
  <c r="AF81" i="48"/>
  <c r="AF82" i="48"/>
  <c r="AG80" i="48"/>
  <c r="AJ97" i="48"/>
  <c r="BT95" i="48"/>
  <c r="AF97" i="48"/>
  <c r="AF98" i="48"/>
  <c r="AF96" i="48"/>
  <c r="AG96" i="48"/>
  <c r="BR133" i="3"/>
  <c r="BR140" i="3" s="1"/>
  <c r="BR66" i="3"/>
  <c r="BR68" i="3" s="1"/>
  <c r="BR41" i="3"/>
  <c r="CL50" i="3"/>
  <c r="CL149" i="3" s="1"/>
  <c r="U70" i="3"/>
  <c r="V71" i="3"/>
  <c r="V72" i="3"/>
  <c r="V73" i="3" s="1"/>
  <c r="V76" i="3" s="1"/>
  <c r="CN83" i="3"/>
  <c r="CN91" i="3"/>
  <c r="CN166" i="1"/>
  <c r="CN113" i="3"/>
  <c r="AM83" i="3"/>
  <c r="AM166" i="1"/>
  <c r="AM80" i="3"/>
  <c r="AM81" i="3" s="1"/>
  <c r="AM91" i="3"/>
  <c r="W34" i="1"/>
  <c r="AQ70" i="1"/>
  <c r="AQ74" i="1"/>
  <c r="AQ78" i="1"/>
  <c r="E82" i="1"/>
  <c r="Y99" i="1"/>
  <c r="Y117" i="1"/>
  <c r="Y109" i="1"/>
  <c r="BA114" i="1"/>
  <c r="L117" i="1"/>
  <c r="L109" i="1"/>
  <c r="L99" i="1"/>
  <c r="CG116" i="3"/>
  <c r="CG69" i="3"/>
  <c r="BU122" i="3"/>
  <c r="CO23" i="3"/>
  <c r="CO122" i="3" s="1"/>
  <c r="CM143" i="3"/>
  <c r="CM151" i="3" s="1"/>
  <c r="CL46" i="3"/>
  <c r="CM30" i="3"/>
  <c r="CM129" i="3" s="1"/>
  <c r="W51" i="3"/>
  <c r="BQ51" i="3" s="1"/>
  <c r="BQ150" i="3" s="1"/>
  <c r="BQ66" i="3"/>
  <c r="BQ68" i="3" s="1"/>
  <c r="BQ41" i="3"/>
  <c r="BQ133" i="3"/>
  <c r="BQ140" i="3" s="1"/>
  <c r="BN144" i="3"/>
  <c r="BP34" i="3"/>
  <c r="M101" i="1"/>
  <c r="M111" i="1"/>
  <c r="M119" i="1"/>
  <c r="CQ103" i="48"/>
  <c r="AY26" i="48"/>
  <c r="AY27" i="48"/>
  <c r="AY25" i="48"/>
  <c r="AU106" i="48"/>
  <c r="AU115" i="48"/>
  <c r="BX64" i="48"/>
  <c r="BX63" i="48"/>
  <c r="BQ69" i="3"/>
  <c r="BQ116" i="3"/>
  <c r="K41" i="3"/>
  <c r="CR39" i="2"/>
  <c r="BF39" i="2"/>
  <c r="BG88" i="1" s="1"/>
  <c r="BE87" i="2"/>
  <c r="BS134" i="3"/>
  <c r="BS140" i="3" s="1"/>
  <c r="BS41" i="3"/>
  <c r="AQ47" i="3"/>
  <c r="BV47" i="3" s="1"/>
  <c r="BV146" i="3" s="1"/>
  <c r="AW113" i="1"/>
  <c r="AW97" i="1"/>
  <c r="AW104" i="1"/>
  <c r="AW105" i="1" s="1"/>
  <c r="BT133" i="3"/>
  <c r="BT66" i="3"/>
  <c r="AG75" i="1"/>
  <c r="BD150" i="3"/>
  <c r="BA26" i="48"/>
  <c r="BA27" i="48"/>
  <c r="BA25" i="48"/>
  <c r="V81" i="1"/>
  <c r="V98" i="1"/>
  <c r="R109" i="1"/>
  <c r="R117" i="1"/>
  <c r="R99" i="1"/>
  <c r="AQ62" i="48"/>
  <c r="AR62" i="48"/>
  <c r="AQ64" i="48"/>
  <c r="AQ105" i="48"/>
  <c r="BJ15" i="2"/>
  <c r="CS15" i="2"/>
  <c r="CJ45" i="3"/>
  <c r="AN96" i="2"/>
  <c r="BU96" i="2"/>
  <c r="BS122" i="3"/>
  <c r="O52" i="3"/>
  <c r="CH133" i="3"/>
  <c r="CH140" i="3" s="1"/>
  <c r="CH66" i="3"/>
  <c r="CH68" i="3" s="1"/>
  <c r="CH41" i="3"/>
  <c r="CF144" i="3"/>
  <c r="V81" i="3"/>
  <c r="AT70" i="1"/>
  <c r="AT74" i="1"/>
  <c r="BQ18" i="3"/>
  <c r="BQ117" i="3" s="1"/>
  <c r="BR71" i="3"/>
  <c r="BR49" i="2"/>
  <c r="BW21" i="3"/>
  <c r="BW120" i="3" s="1"/>
  <c r="BN50" i="3"/>
  <c r="BN149" i="3" s="1"/>
  <c r="BN51" i="3"/>
  <c r="BN150" i="3" s="1"/>
  <c r="BN134" i="3"/>
  <c r="AF26" i="48"/>
  <c r="AF27" i="48"/>
  <c r="AF25" i="48"/>
  <c r="AG25" i="48"/>
  <c r="BT24" i="48"/>
  <c r="CF23" i="3"/>
  <c r="CF122" i="3" s="1"/>
  <c r="CJ29" i="3"/>
  <c r="CJ128" i="3" s="1"/>
  <c r="CI57" i="3"/>
  <c r="CI156" i="3" s="1"/>
  <c r="AK98" i="2"/>
  <c r="AK109" i="2"/>
  <c r="AK110" i="2" s="1"/>
  <c r="AJ99" i="2"/>
  <c r="AL84" i="3"/>
  <c r="CN24" i="3"/>
  <c r="CN123" i="3" s="1"/>
  <c r="CG144" i="3"/>
  <c r="CG151" i="3" s="1"/>
  <c r="CG52" i="3"/>
  <c r="BF27" i="3"/>
  <c r="Y115" i="48"/>
  <c r="Y106" i="48"/>
  <c r="AI69" i="3"/>
  <c r="BT35" i="3"/>
  <c r="P131" i="1"/>
  <c r="P127" i="2"/>
  <c r="P135" i="1"/>
  <c r="CO18" i="3"/>
  <c r="CO117" i="3" s="1"/>
  <c r="CK38" i="3"/>
  <c r="CK137" i="3" s="1"/>
  <c r="AI52" i="3"/>
  <c r="BT44" i="3"/>
  <c r="BT32" i="48"/>
  <c r="AE45" i="48"/>
  <c r="AI44" i="48"/>
  <c r="BO133" i="3"/>
  <c r="BO140" i="3" s="1"/>
  <c r="BO66" i="3"/>
  <c r="BO68" i="3" s="1"/>
  <c r="BO41" i="3"/>
  <c r="BU36" i="3"/>
  <c r="CM19" i="3"/>
  <c r="CM118" i="3" s="1"/>
  <c r="R68" i="3"/>
  <c r="R70" i="3"/>
  <c r="BX14" i="3"/>
  <c r="BQ111" i="48"/>
  <c r="BQ115" i="48" s="1"/>
  <c r="CH90" i="2"/>
  <c r="CH27" i="2"/>
  <c r="CH49" i="2" s="1"/>
  <c r="AS97" i="2"/>
  <c r="F82" i="1"/>
  <c r="AY64" i="48"/>
  <c r="AY63" i="48"/>
  <c r="AY105" i="48"/>
  <c r="AY62" i="48"/>
  <c r="BX24" i="48"/>
  <c r="AA41" i="3"/>
  <c r="BX17" i="3"/>
  <c r="CL35" i="3"/>
  <c r="AI66" i="3"/>
  <c r="AI41" i="3"/>
  <c r="AA36" i="1"/>
  <c r="U101" i="1"/>
  <c r="U119" i="1"/>
  <c r="U111" i="1"/>
  <c r="CR42" i="2"/>
  <c r="BE51" i="3"/>
  <c r="CR51" i="3" s="1"/>
  <c r="CR150" i="3" s="1"/>
  <c r="BF42" i="2"/>
  <c r="BA105" i="48"/>
  <c r="BA63" i="48"/>
  <c r="BA64" i="48"/>
  <c r="AR25" i="48"/>
  <c r="AQ25" i="48"/>
  <c r="AQ27" i="48"/>
  <c r="AU26" i="48"/>
  <c r="BV33" i="48"/>
  <c r="BV16" i="48"/>
  <c r="BJ73" i="2"/>
  <c r="BK73" i="2" s="1"/>
  <c r="CA73" i="2" s="1"/>
  <c r="CS73" i="2"/>
  <c r="BZ67" i="2"/>
  <c r="BH67" i="2"/>
  <c r="CI19" i="3"/>
  <c r="CI118" i="3" s="1"/>
  <c r="CQ40" i="3"/>
  <c r="CQ139" i="3" s="1"/>
  <c r="BO143" i="3"/>
  <c r="BO151" i="3" s="1"/>
  <c r="BO52" i="3"/>
  <c r="CN40" i="3"/>
  <c r="CN139" i="3" s="1"/>
  <c r="G52" i="3"/>
  <c r="BM45" i="3"/>
  <c r="Z71" i="1"/>
  <c r="Z75" i="1"/>
  <c r="AT47" i="3"/>
  <c r="AS52" i="3"/>
  <c r="AN70" i="1"/>
  <c r="AN74" i="1"/>
  <c r="BP28" i="3"/>
  <c r="BP127" i="3" s="1"/>
  <c r="BO13" i="3"/>
  <c r="BO112" i="3" s="1"/>
  <c r="BY150" i="3"/>
  <c r="BY151" i="3" s="1"/>
  <c r="BY52" i="3"/>
  <c r="BV143" i="3"/>
  <c r="BV151" i="3" s="1"/>
  <c r="BV52" i="3"/>
  <c r="AF63" i="48"/>
  <c r="AG62" i="48"/>
  <c r="AF105" i="48"/>
  <c r="AF64" i="48"/>
  <c r="AF62" i="48"/>
  <c r="AF45" i="48"/>
  <c r="AF44" i="48"/>
  <c r="AG43" i="48"/>
  <c r="AF43" i="48"/>
  <c r="AC115" i="48"/>
  <c r="AC106" i="48"/>
  <c r="AJ110" i="2"/>
  <c r="CM16" i="3"/>
  <c r="CM115" i="3" s="1"/>
  <c r="AX51" i="3"/>
  <c r="AW52" i="3"/>
  <c r="AL70" i="1"/>
  <c r="AL74" i="1"/>
  <c r="X34" i="1"/>
  <c r="X80" i="1"/>
  <c r="CM173" i="1"/>
  <c r="BG98" i="2"/>
  <c r="AX114" i="1"/>
  <c r="AG135" i="1"/>
  <c r="AG127" i="2"/>
  <c r="AG131" i="1"/>
  <c r="BC89" i="48"/>
  <c r="BS151" i="3"/>
  <c r="BA122" i="1"/>
  <c r="BA123" i="1" s="1"/>
  <c r="BA108" i="1"/>
  <c r="CS65" i="2"/>
  <c r="BJ65" i="2"/>
  <c r="BG22" i="2"/>
  <c r="BE126" i="3"/>
  <c r="CR27" i="3"/>
  <c r="CR126" i="3" s="1"/>
  <c r="CP16" i="3"/>
  <c r="CP115" i="3" s="1"/>
  <c r="CL33" i="48"/>
  <c r="BX45" i="48"/>
  <c r="CN36" i="3"/>
  <c r="AM52" i="3"/>
  <c r="BX45" i="3"/>
  <c r="W41" i="3"/>
  <c r="CG39" i="3"/>
  <c r="CP54" i="3"/>
  <c r="CP153" i="3" s="1"/>
  <c r="S70" i="1"/>
  <c r="S74" i="1"/>
  <c r="AF97" i="1"/>
  <c r="AF113" i="1"/>
  <c r="BT113" i="1" s="1"/>
  <c r="AF104" i="1"/>
  <c r="CI34" i="3"/>
  <c r="AW84" i="3"/>
  <c r="X36" i="1"/>
  <c r="X82" i="1"/>
  <c r="CK56" i="2"/>
  <c r="CK55" i="2"/>
  <c r="CK54" i="2" s="1"/>
  <c r="AY82" i="48"/>
  <c r="AY80" i="48"/>
  <c r="AY81" i="48"/>
  <c r="U81" i="1"/>
  <c r="U98" i="1"/>
  <c r="BF139" i="3"/>
  <c r="AU31" i="48"/>
  <c r="CJ69" i="3"/>
  <c r="CJ116" i="3"/>
  <c r="CK41" i="3"/>
  <c r="CK66" i="3"/>
  <c r="CK68" i="3" s="1"/>
  <c r="CK133" i="3"/>
  <c r="CK140" i="3" s="1"/>
  <c r="CH13" i="3"/>
  <c r="CH112" i="3" s="1"/>
  <c r="CQ17" i="3"/>
  <c r="BV135" i="3"/>
  <c r="AE52" i="3"/>
  <c r="CL68" i="3"/>
  <c r="CL92" i="3"/>
  <c r="AC34" i="1"/>
  <c r="AC80" i="1"/>
  <c r="CM133" i="3"/>
  <c r="CM41" i="3"/>
  <c r="CM66" i="3"/>
  <c r="BA44" i="48"/>
  <c r="BA45" i="48"/>
  <c r="CS36" i="2"/>
  <c r="BJ36" i="2"/>
  <c r="BK36" i="2" s="1"/>
  <c r="CA36" i="2" s="1"/>
  <c r="CK23" i="3"/>
  <c r="CK122" i="3" s="1"/>
  <c r="V52" i="3"/>
  <c r="CN47" i="3"/>
  <c r="CN146" i="3" s="1"/>
  <c r="AE69" i="3"/>
  <c r="AH114" i="1"/>
  <c r="AH130" i="1"/>
  <c r="CH143" i="3"/>
  <c r="CH52" i="3"/>
  <c r="Q36" i="1"/>
  <c r="CJ56" i="2"/>
  <c r="CJ55" i="2"/>
  <c r="CJ54" i="2" s="1"/>
  <c r="BE144" i="1"/>
  <c r="BE145" i="1" s="1"/>
  <c r="BE49" i="3"/>
  <c r="BE52" i="3" s="1"/>
  <c r="BD145" i="1"/>
  <c r="CR81" i="2"/>
  <c r="BF81" i="2"/>
  <c r="BG148" i="1"/>
  <c r="BF147" i="1"/>
  <c r="BD148" i="3"/>
  <c r="BD52" i="3"/>
  <c r="CR147" i="1"/>
  <c r="BD149" i="1"/>
  <c r="AI154" i="1"/>
  <c r="BS154" i="1"/>
  <c r="CJ75" i="1" l="1"/>
  <c r="CJ82" i="1" s="1"/>
  <c r="CJ83" i="1" s="1"/>
  <c r="BV114" i="48"/>
  <c r="AJ101" i="48"/>
  <c r="BB14" i="48"/>
  <c r="CJ74" i="1"/>
  <c r="CJ80" i="1" s="1"/>
  <c r="BF126" i="3"/>
  <c r="BG126" i="3" s="1"/>
  <c r="BX44" i="48"/>
  <c r="BV24" i="48"/>
  <c r="CO47" i="3"/>
  <c r="V84" i="3"/>
  <c r="CN16" i="3"/>
  <c r="CN115" i="3" s="1"/>
  <c r="CN49" i="3"/>
  <c r="CN148" i="3" s="1"/>
  <c r="BT13" i="3"/>
  <c r="F84" i="3"/>
  <c r="G166" i="1"/>
  <c r="G83" i="3"/>
  <c r="G80" i="3"/>
  <c r="G81" i="3" s="1"/>
  <c r="BM14" i="3"/>
  <c r="CO35" i="3"/>
  <c r="CO41" i="3" s="1"/>
  <c r="CK52" i="3"/>
  <c r="BG147" i="3"/>
  <c r="CR72" i="3"/>
  <c r="BF72" i="3"/>
  <c r="BG72" i="3" s="1"/>
  <c r="CF166" i="1"/>
  <c r="CF83" i="3"/>
  <c r="CF113" i="3"/>
  <c r="BF127" i="3"/>
  <c r="BZ27" i="3"/>
  <c r="BZ126" i="3" s="1"/>
  <c r="BZ88" i="1"/>
  <c r="BG12" i="2"/>
  <c r="BG114" i="2"/>
  <c r="CL29" i="1"/>
  <c r="CL27" i="1"/>
  <c r="AZ42" i="48"/>
  <c r="AZ79" i="48"/>
  <c r="AZ25" i="48"/>
  <c r="AE101" i="48"/>
  <c r="BX52" i="48"/>
  <c r="AG71" i="1"/>
  <c r="CO94" i="3"/>
  <c r="AZ26" i="48"/>
  <c r="BW24" i="48"/>
  <c r="BW27" i="48" s="1"/>
  <c r="AM103" i="48"/>
  <c r="AZ108" i="1"/>
  <c r="AM86" i="48"/>
  <c r="AV98" i="48"/>
  <c r="BV70" i="1"/>
  <c r="BV75" i="1" s="1"/>
  <c r="BN68" i="1"/>
  <c r="AZ61" i="48"/>
  <c r="CP105" i="1"/>
  <c r="BX105" i="1"/>
  <c r="BW75" i="1"/>
  <c r="CJ79" i="1"/>
  <c r="CJ96" i="1"/>
  <c r="CM28" i="1"/>
  <c r="CM125" i="1"/>
  <c r="CM127" i="1" s="1"/>
  <c r="CM116" i="1" s="1"/>
  <c r="CM26" i="1"/>
  <c r="BT75" i="1"/>
  <c r="CP74" i="1"/>
  <c r="CF81" i="1"/>
  <c r="CF98" i="1"/>
  <c r="BT114" i="1"/>
  <c r="BT130" i="1"/>
  <c r="BT42" i="48"/>
  <c r="AE96" i="48"/>
  <c r="BR34" i="1"/>
  <c r="BR80" i="1"/>
  <c r="BX104" i="1"/>
  <c r="BX113" i="1"/>
  <c r="BX97" i="1"/>
  <c r="CL57" i="1"/>
  <c r="BR83" i="1"/>
  <c r="BR100" i="1"/>
  <c r="BO34" i="1"/>
  <c r="AF82" i="1"/>
  <c r="AF36" i="1"/>
  <c r="AF34" i="1"/>
  <c r="AF80" i="1"/>
  <c r="AH17" i="1"/>
  <c r="AI11" i="1"/>
  <c r="BT11" i="1" s="1"/>
  <c r="BT115" i="1" s="1"/>
  <c r="AH115" i="1"/>
  <c r="AH129" i="1" s="1"/>
  <c r="CQ104" i="1"/>
  <c r="CQ97" i="1"/>
  <c r="CQ113" i="1"/>
  <c r="CH83" i="1"/>
  <c r="CH100" i="1"/>
  <c r="CL71" i="1"/>
  <c r="D137" i="1"/>
  <c r="D11" i="3"/>
  <c r="BO93" i="1"/>
  <c r="BO100" i="1" s="1"/>
  <c r="BO94" i="1"/>
  <c r="BR79" i="1"/>
  <c r="BR96" i="1"/>
  <c r="BQ79" i="1"/>
  <c r="BQ96" i="1"/>
  <c r="AJ97" i="1"/>
  <c r="AJ113" i="1"/>
  <c r="AJ104" i="1"/>
  <c r="CJ93" i="1"/>
  <c r="CJ94" i="1"/>
  <c r="CI94" i="1"/>
  <c r="CI93" i="1"/>
  <c r="BX94" i="1"/>
  <c r="BX93" i="1"/>
  <c r="AL94" i="3"/>
  <c r="BT79" i="1"/>
  <c r="BT96" i="1"/>
  <c r="BT112" i="48"/>
  <c r="BO80" i="1"/>
  <c r="CL130" i="1"/>
  <c r="CL114" i="1"/>
  <c r="CM104" i="1"/>
  <c r="CM97" i="1"/>
  <c r="CM113" i="1"/>
  <c r="BM93" i="1"/>
  <c r="CO97" i="1"/>
  <c r="CO104" i="1"/>
  <c r="CO113" i="1"/>
  <c r="Z104" i="1"/>
  <c r="Z97" i="1"/>
  <c r="Z113" i="1"/>
  <c r="CK79" i="1"/>
  <c r="CK96" i="1"/>
  <c r="BM79" i="1"/>
  <c r="BM96" i="1"/>
  <c r="CP79" i="1"/>
  <c r="CP96" i="1"/>
  <c r="D98" i="1"/>
  <c r="D81" i="1"/>
  <c r="BW93" i="1"/>
  <c r="BW94" i="1"/>
  <c r="AP75" i="1"/>
  <c r="BP34" i="1"/>
  <c r="BP80" i="1"/>
  <c r="BU70" i="1"/>
  <c r="BU74" i="1"/>
  <c r="BQ68" i="1"/>
  <c r="BQ115" i="1"/>
  <c r="CN74" i="1"/>
  <c r="CK80" i="1"/>
  <c r="P82" i="1"/>
  <c r="CG68" i="1"/>
  <c r="CG115" i="1"/>
  <c r="CO70" i="1"/>
  <c r="CN105" i="1"/>
  <c r="BV105" i="1"/>
  <c r="CI70" i="1"/>
  <c r="CI74" i="1"/>
  <c r="CI80" i="1" s="1"/>
  <c r="BP70" i="1"/>
  <c r="BP74" i="1"/>
  <c r="CL80" i="1"/>
  <c r="CH79" i="1"/>
  <c r="CH96" i="1"/>
  <c r="BN79" i="1"/>
  <c r="BN96" i="1"/>
  <c r="BU97" i="1"/>
  <c r="BU104" i="1"/>
  <c r="D82" i="1"/>
  <c r="CL19" i="1"/>
  <c r="CL33" i="1"/>
  <c r="CL35" i="1"/>
  <c r="CL47" i="1"/>
  <c r="CL45" i="1"/>
  <c r="AG59" i="1"/>
  <c r="AG57" i="1"/>
  <c r="AG47" i="1"/>
  <c r="AG45" i="1"/>
  <c r="AG33" i="1"/>
  <c r="AG27" i="1"/>
  <c r="AG29" i="1"/>
  <c r="AG35" i="1"/>
  <c r="BU93" i="1"/>
  <c r="BU94" i="1"/>
  <c r="BS93" i="1"/>
  <c r="BS100" i="1" s="1"/>
  <c r="BS94" i="1"/>
  <c r="CN93" i="1"/>
  <c r="CN94" i="3" s="1"/>
  <c r="CN94" i="1"/>
  <c r="BS130" i="1"/>
  <c r="BS114" i="1"/>
  <c r="BM83" i="1"/>
  <c r="BM100" i="1"/>
  <c r="H82" i="1"/>
  <c r="AJ75" i="1"/>
  <c r="BN93" i="1"/>
  <c r="BN94" i="1"/>
  <c r="CK83" i="1"/>
  <c r="CK100" i="1"/>
  <c r="AE83" i="1"/>
  <c r="AE100" i="1"/>
  <c r="AE165" i="1"/>
  <c r="CQ94" i="3"/>
  <c r="BS83" i="1"/>
  <c r="BO83" i="1"/>
  <c r="CN114" i="1"/>
  <c r="BV97" i="1"/>
  <c r="BV104" i="1"/>
  <c r="BV113" i="1"/>
  <c r="AV69" i="1"/>
  <c r="AV70" i="1" s="1"/>
  <c r="AV75" i="1" s="1"/>
  <c r="AU70" i="1"/>
  <c r="CL59" i="1"/>
  <c r="CJ81" i="1"/>
  <c r="CJ98" i="1"/>
  <c r="CH81" i="1"/>
  <c r="CH98" i="1"/>
  <c r="BM81" i="1"/>
  <c r="BM98" i="1"/>
  <c r="BP79" i="1"/>
  <c r="BP96" i="1"/>
  <c r="H81" i="1"/>
  <c r="H98" i="1"/>
  <c r="AB82" i="1"/>
  <c r="BW114" i="1"/>
  <c r="CN75" i="1"/>
  <c r="BO79" i="1"/>
  <c r="BO96" i="1"/>
  <c r="CG79" i="1"/>
  <c r="CG96" i="1"/>
  <c r="CF79" i="1"/>
  <c r="CF96" i="1"/>
  <c r="CP94" i="3"/>
  <c r="AR94" i="3"/>
  <c r="BS80" i="1"/>
  <c r="CF100" i="1"/>
  <c r="CF83" i="1"/>
  <c r="CI79" i="1"/>
  <c r="CI96" i="1"/>
  <c r="P98" i="1"/>
  <c r="P81" i="1"/>
  <c r="CQ122" i="1"/>
  <c r="CQ123" i="1" s="1"/>
  <c r="CQ108" i="1"/>
  <c r="AW95" i="48"/>
  <c r="AW96" i="48" s="1"/>
  <c r="N82" i="1"/>
  <c r="N81" i="1"/>
  <c r="N98" i="1"/>
  <c r="AD82" i="1"/>
  <c r="X130" i="1"/>
  <c r="X114" i="1"/>
  <c r="AX95" i="48"/>
  <c r="AT68" i="48"/>
  <c r="AI94" i="3"/>
  <c r="AV25" i="48"/>
  <c r="AV27" i="48"/>
  <c r="AV105" i="48"/>
  <c r="AV26" i="48"/>
  <c r="AV82" i="48"/>
  <c r="AZ81" i="48"/>
  <c r="AW80" i="48"/>
  <c r="AV80" i="48"/>
  <c r="BX79" i="48"/>
  <c r="BV15" i="48"/>
  <c r="AS14" i="48"/>
  <c r="I99" i="1"/>
  <c r="I109" i="1"/>
  <c r="I117" i="1"/>
  <c r="BW112" i="48"/>
  <c r="Z98" i="48"/>
  <c r="Z97" i="48"/>
  <c r="Z96" i="48"/>
  <c r="CL83" i="3"/>
  <c r="CL91" i="3"/>
  <c r="CL113" i="3"/>
  <c r="CL166" i="1"/>
  <c r="AJ25" i="48"/>
  <c r="AJ27" i="48"/>
  <c r="J70" i="3"/>
  <c r="J68" i="3"/>
  <c r="AU91" i="3"/>
  <c r="AU166" i="1"/>
  <c r="AU83" i="3"/>
  <c r="AU84" i="3" s="1"/>
  <c r="AU80" i="3"/>
  <c r="AU81" i="3" s="1"/>
  <c r="CP14" i="3"/>
  <c r="J140" i="1"/>
  <c r="J120" i="1"/>
  <c r="CS24" i="2"/>
  <c r="BJ24" i="2"/>
  <c r="BK24" i="2" s="1"/>
  <c r="CA24" i="2" s="1"/>
  <c r="CP68" i="3"/>
  <c r="CP92" i="3"/>
  <c r="CF134" i="3"/>
  <c r="CF69" i="3"/>
  <c r="AH80" i="48"/>
  <c r="T80" i="1"/>
  <c r="AD99" i="1"/>
  <c r="AD117" i="1"/>
  <c r="AD109" i="1"/>
  <c r="AP114" i="1"/>
  <c r="BV81" i="3"/>
  <c r="BV80" i="3" s="1"/>
  <c r="BV84" i="3" s="1"/>
  <c r="Z43" i="48"/>
  <c r="Z45" i="48"/>
  <c r="AO62" i="48"/>
  <c r="AN62" i="48"/>
  <c r="AN63" i="48"/>
  <c r="AN64" i="48"/>
  <c r="AN105" i="48"/>
  <c r="AM79" i="48"/>
  <c r="BT15" i="48"/>
  <c r="BE14" i="48"/>
  <c r="BD13" i="48"/>
  <c r="BH14" i="48" s="1"/>
  <c r="BD15" i="48"/>
  <c r="AO31" i="48"/>
  <c r="BA31" i="48"/>
  <c r="BE31" i="48"/>
  <c r="AS31" i="48"/>
  <c r="AW31" i="48"/>
  <c r="AY37" i="3"/>
  <c r="CQ37" i="3" s="1"/>
  <c r="AX41" i="3"/>
  <c r="AO82" i="48"/>
  <c r="AO80" i="48"/>
  <c r="AS81" i="48"/>
  <c r="E127" i="2"/>
  <c r="E135" i="1"/>
  <c r="E131" i="1"/>
  <c r="AR115" i="48"/>
  <c r="AR106" i="48"/>
  <c r="BS94" i="3"/>
  <c r="AO64" i="48"/>
  <c r="CM166" i="1"/>
  <c r="CM113" i="3"/>
  <c r="CM91" i="3"/>
  <c r="CM83" i="3"/>
  <c r="CO133" i="3"/>
  <c r="CO66" i="3"/>
  <c r="CN100" i="48"/>
  <c r="AL103" i="48"/>
  <c r="AL101" i="48"/>
  <c r="AL114" i="48"/>
  <c r="AP103" i="48"/>
  <c r="AL88" i="48"/>
  <c r="AL95" i="48" s="1"/>
  <c r="AL33" i="48"/>
  <c r="AL42" i="48" s="1"/>
  <c r="AL70" i="48"/>
  <c r="AL79" i="48" s="1"/>
  <c r="AL52" i="48"/>
  <c r="AL61" i="48" s="1"/>
  <c r="AM62" i="48" s="1"/>
  <c r="AJ45" i="48"/>
  <c r="AJ43" i="48"/>
  <c r="AQ68" i="48"/>
  <c r="AE68" i="48"/>
  <c r="O80" i="3"/>
  <c r="O81" i="3" s="1"/>
  <c r="O83" i="3"/>
  <c r="O166" i="1"/>
  <c r="BO14" i="3"/>
  <c r="BP44" i="3"/>
  <c r="S52" i="3"/>
  <c r="AL114" i="1"/>
  <c r="AP62" i="48"/>
  <c r="AP14" i="48"/>
  <c r="AL50" i="48"/>
  <c r="AT50" i="48"/>
  <c r="AX50" i="48"/>
  <c r="AP50" i="48"/>
  <c r="CN51" i="48"/>
  <c r="CM52" i="48"/>
  <c r="CM51" i="48"/>
  <c r="CP134" i="3"/>
  <c r="CP140" i="3" s="1"/>
  <c r="CP69" i="3"/>
  <c r="AS63" i="48"/>
  <c r="CM94" i="3"/>
  <c r="BR141" i="48"/>
  <c r="BR228" i="48" s="1"/>
  <c r="BR230" i="48" s="1"/>
  <c r="BR224" i="48"/>
  <c r="F97" i="1"/>
  <c r="F113" i="1"/>
  <c r="F104" i="1"/>
  <c r="BO112" i="48"/>
  <c r="AJ127" i="1"/>
  <c r="AJ116" i="1" s="1"/>
  <c r="CS33" i="2"/>
  <c r="BI29" i="3"/>
  <c r="CS29" i="3" s="1"/>
  <c r="CS128" i="3" s="1"/>
  <c r="BJ33" i="2"/>
  <c r="AP80" i="48"/>
  <c r="AD103" i="48"/>
  <c r="AD101" i="48"/>
  <c r="AD185" i="48"/>
  <c r="CL100" i="48"/>
  <c r="AD114" i="48"/>
  <c r="BS100" i="48"/>
  <c r="BS70" i="48" s="1"/>
  <c r="AD33" i="48"/>
  <c r="AD42" i="48" s="1"/>
  <c r="AD16" i="48"/>
  <c r="AD24" i="48" s="1"/>
  <c r="AH50" i="48"/>
  <c r="BS69" i="48"/>
  <c r="CR144" i="1"/>
  <c r="AE70" i="48"/>
  <c r="AE79" i="48" s="1"/>
  <c r="AE82" i="48" s="1"/>
  <c r="AE185" i="48"/>
  <c r="AJ44" i="48"/>
  <c r="CJ41" i="3"/>
  <c r="AJ26" i="48"/>
  <c r="AD97" i="48"/>
  <c r="AO105" i="48"/>
  <c r="AO25" i="48"/>
  <c r="AO27" i="48"/>
  <c r="AO114" i="1"/>
  <c r="CJ83" i="3"/>
  <c r="CJ81" i="3" s="1"/>
  <c r="CJ80" i="3" s="1"/>
  <c r="CJ84" i="3" s="1"/>
  <c r="CJ113" i="3"/>
  <c r="CJ166" i="1"/>
  <c r="AE80" i="3"/>
  <c r="AE81" i="3" s="1"/>
  <c r="AE166" i="1"/>
  <c r="AE83" i="3"/>
  <c r="BS14" i="3"/>
  <c r="W70" i="1"/>
  <c r="W74" i="1"/>
  <c r="AO45" i="48"/>
  <c r="AO44" i="48"/>
  <c r="AO43" i="48"/>
  <c r="AS44" i="48"/>
  <c r="BJ43" i="2"/>
  <c r="BK43" i="2" s="1"/>
  <c r="CA43" i="2" s="1"/>
  <c r="CS43" i="2"/>
  <c r="CR64" i="2"/>
  <c r="BE68" i="2"/>
  <c r="BF64" i="2"/>
  <c r="CM33" i="48"/>
  <c r="G69" i="3"/>
  <c r="G41" i="3"/>
  <c r="CM70" i="48"/>
  <c r="CM69" i="48"/>
  <c r="AD70" i="48"/>
  <c r="AD79" i="48" s="1"/>
  <c r="AR97" i="1"/>
  <c r="AR113" i="1"/>
  <c r="AR105" i="1"/>
  <c r="AR104" i="1"/>
  <c r="BR83" i="3"/>
  <c r="BR81" i="3" s="1"/>
  <c r="BR80" i="3" s="1"/>
  <c r="BR84" i="3" s="1"/>
  <c r="BR113" i="3"/>
  <c r="BR166" i="1"/>
  <c r="S79" i="1"/>
  <c r="S96" i="1"/>
  <c r="S112" i="48"/>
  <c r="BR112" i="48"/>
  <c r="CS26" i="2"/>
  <c r="BJ26" i="2"/>
  <c r="BK26" i="2" s="1"/>
  <c r="CA26" i="2" s="1"/>
  <c r="J127" i="2"/>
  <c r="J131" i="1"/>
  <c r="J135" i="1"/>
  <c r="Z62" i="48"/>
  <c r="Z64" i="48"/>
  <c r="Z105" i="48"/>
  <c r="AP25" i="48"/>
  <c r="AM95" i="48"/>
  <c r="AN114" i="1"/>
  <c r="V114" i="1"/>
  <c r="V130" i="1"/>
  <c r="AO96" i="48"/>
  <c r="AO98" i="48"/>
  <c r="AP96" i="48"/>
  <c r="AD131" i="1"/>
  <c r="AD127" i="2"/>
  <c r="AD135" i="1"/>
  <c r="AI166" i="1"/>
  <c r="AI83" i="3"/>
  <c r="AI91" i="3"/>
  <c r="AI80" i="3"/>
  <c r="AI81" i="3" s="1"/>
  <c r="AJ105" i="48"/>
  <c r="AJ64" i="48"/>
  <c r="AJ62" i="48"/>
  <c r="AJ82" i="48"/>
  <c r="AF86" i="48"/>
  <c r="AJ86" i="48"/>
  <c r="AF68" i="48"/>
  <c r="AJ68" i="48"/>
  <c r="AV68" i="48"/>
  <c r="CH14" i="3"/>
  <c r="AN26" i="48"/>
  <c r="AN27" i="48"/>
  <c r="AP115" i="48"/>
  <c r="AP106" i="48"/>
  <c r="AM63" i="48"/>
  <c r="AM64" i="48"/>
  <c r="AH105" i="48"/>
  <c r="AH62" i="48"/>
  <c r="AI62" i="48"/>
  <c r="BS88" i="48"/>
  <c r="BS87" i="48"/>
  <c r="BT87" i="48"/>
  <c r="CO69" i="3"/>
  <c r="CO134" i="3"/>
  <c r="BP134" i="3"/>
  <c r="BP69" i="3"/>
  <c r="BG28" i="3"/>
  <c r="BZ20" i="2"/>
  <c r="BH20" i="2"/>
  <c r="BH28" i="3" s="1"/>
  <c r="BH127" i="3" s="1"/>
  <c r="AD52" i="48"/>
  <c r="AD61" i="48" s="1"/>
  <c r="AB114" i="1"/>
  <c r="AB130" i="1"/>
  <c r="X115" i="48"/>
  <c r="X106" i="48"/>
  <c r="AT14" i="48"/>
  <c r="AL14" i="48"/>
  <c r="AH14" i="48"/>
  <c r="BU15" i="48"/>
  <c r="AX14" i="48"/>
  <c r="BF14" i="48"/>
  <c r="AA71" i="1"/>
  <c r="AA75" i="1"/>
  <c r="AI68" i="48"/>
  <c r="CH151" i="3"/>
  <c r="CM140" i="3"/>
  <c r="CM32" i="48"/>
  <c r="AE114" i="48"/>
  <c r="BN69" i="3"/>
  <c r="BS52" i="48"/>
  <c r="BT61" i="48"/>
  <c r="BT64" i="48" s="1"/>
  <c r="BX33" i="48"/>
  <c r="CF52" i="3"/>
  <c r="BV61" i="48"/>
  <c r="BW63" i="48" s="1"/>
  <c r="AD98" i="48"/>
  <c r="CS153" i="1"/>
  <c r="W83" i="3"/>
  <c r="W166" i="1"/>
  <c r="W80" i="3"/>
  <c r="W81" i="3" s="1"/>
  <c r="BQ14" i="3"/>
  <c r="H130" i="1"/>
  <c r="H114" i="1"/>
  <c r="AI114" i="1"/>
  <c r="AI130" i="1"/>
  <c r="R130" i="1"/>
  <c r="R114" i="1"/>
  <c r="CN69" i="48"/>
  <c r="AL68" i="48"/>
  <c r="AX68" i="48"/>
  <c r="AH68" i="48"/>
  <c r="T75" i="1"/>
  <c r="T71" i="1"/>
  <c r="AS70" i="48"/>
  <c r="AS101" i="48"/>
  <c r="AS52" i="48"/>
  <c r="CO100" i="48"/>
  <c r="AS103" i="48"/>
  <c r="AW103" i="48"/>
  <c r="AS114" i="48"/>
  <c r="AT101" i="48"/>
  <c r="BW100" i="48"/>
  <c r="BW16" i="48" s="1"/>
  <c r="AS33" i="48"/>
  <c r="AS16" i="48"/>
  <c r="AS88" i="48"/>
  <c r="AS95" i="48" s="1"/>
  <c r="T97" i="1"/>
  <c r="T113" i="1"/>
  <c r="T104" i="1"/>
  <c r="BM112" i="48"/>
  <c r="BZ153" i="1"/>
  <c r="AL212" i="48"/>
  <c r="BU211" i="48"/>
  <c r="AL213" i="48"/>
  <c r="U11" i="3"/>
  <c r="U31" i="3" s="1"/>
  <c r="U88" i="3" s="1"/>
  <c r="U102" i="3" s="1"/>
  <c r="U137" i="1"/>
  <c r="AN86" i="48"/>
  <c r="E109" i="1"/>
  <c r="E99" i="1"/>
  <c r="E117" i="1"/>
  <c r="AM101" i="48"/>
  <c r="AN108" i="1"/>
  <c r="AN122" i="1"/>
  <c r="AM102" i="2"/>
  <c r="AL107" i="2"/>
  <c r="AT115" i="48"/>
  <c r="AT106" i="48"/>
  <c r="O130" i="1"/>
  <c r="O114" i="1"/>
  <c r="BU32" i="48"/>
  <c r="AK45" i="48"/>
  <c r="AK43" i="48"/>
  <c r="AK44" i="48"/>
  <c r="AR63" i="48"/>
  <c r="M114" i="1"/>
  <c r="M130" i="1"/>
  <c r="Y83" i="1"/>
  <c r="Y165" i="1"/>
  <c r="Y100" i="1"/>
  <c r="Q75" i="1"/>
  <c r="Q71" i="1"/>
  <c r="AV74" i="1"/>
  <c r="AG106" i="48"/>
  <c r="AG108" i="48" s="1"/>
  <c r="AG115" i="48"/>
  <c r="R168" i="1"/>
  <c r="I82" i="1"/>
  <c r="AA98" i="1"/>
  <c r="AA81" i="1"/>
  <c r="AR75" i="1"/>
  <c r="AD203" i="48"/>
  <c r="AD204" i="48" s="1"/>
  <c r="AD176" i="48"/>
  <c r="AD178" i="48" s="1"/>
  <c r="AD179" i="48" s="1"/>
  <c r="BU100" i="48"/>
  <c r="BU33" i="48" s="1"/>
  <c r="BV32" i="48"/>
  <c r="AN82" i="48"/>
  <c r="AN81" i="48"/>
  <c r="BV79" i="48"/>
  <c r="AN80" i="48"/>
  <c r="CN15" i="48"/>
  <c r="CN16" i="48"/>
  <c r="AL16" i="48"/>
  <c r="AL24" i="48" s="1"/>
  <c r="BT51" i="48"/>
  <c r="BU51" i="48"/>
  <c r="AH101" i="48"/>
  <c r="CM100" i="48"/>
  <c r="AH114" i="48"/>
  <c r="BT100" i="48"/>
  <c r="AH103" i="48"/>
  <c r="AH86" i="48"/>
  <c r="AL86" i="48"/>
  <c r="BH147" i="3"/>
  <c r="BI48" i="3"/>
  <c r="CI35" i="3"/>
  <c r="S69" i="3"/>
  <c r="BR149" i="3"/>
  <c r="BR151" i="3" s="1"/>
  <c r="BR52" i="3"/>
  <c r="AU68" i="48"/>
  <c r="BV94" i="3"/>
  <c r="AI101" i="48"/>
  <c r="AI114" i="48"/>
  <c r="AI70" i="48"/>
  <c r="AI79" i="48" s="1"/>
  <c r="AI26" i="48"/>
  <c r="AI27" i="48"/>
  <c r="AI25" i="48"/>
  <c r="AI105" i="48"/>
  <c r="AX97" i="48"/>
  <c r="AK75" i="1"/>
  <c r="BR128" i="48"/>
  <c r="BR124" i="48"/>
  <c r="BR133" i="48" s="1"/>
  <c r="BX15" i="48"/>
  <c r="BW15" i="48"/>
  <c r="BA14" i="48"/>
  <c r="AW14" i="48"/>
  <c r="AJ130" i="1"/>
  <c r="AP43" i="48"/>
  <c r="CL52" i="48"/>
  <c r="AA113" i="1"/>
  <c r="AA97" i="1"/>
  <c r="AA104" i="1"/>
  <c r="BE129" i="3"/>
  <c r="CR30" i="3"/>
  <c r="CR129" i="3" s="1"/>
  <c r="BU112" i="3"/>
  <c r="AH71" i="1"/>
  <c r="AH75" i="1"/>
  <c r="AH63" i="48"/>
  <c r="AI103" i="48"/>
  <c r="CA153" i="1"/>
  <c r="AQ52" i="3"/>
  <c r="BX16" i="48"/>
  <c r="BX114" i="48"/>
  <c r="CF151" i="3"/>
  <c r="CJ51" i="3"/>
  <c r="CJ150" i="3" s="1"/>
  <c r="CM52" i="3"/>
  <c r="AH97" i="48"/>
  <c r="AD96" i="48"/>
  <c r="Q114" i="1"/>
  <c r="Q130" i="1"/>
  <c r="AO122" i="1"/>
  <c r="AO108" i="1"/>
  <c r="W104" i="1"/>
  <c r="W97" i="1"/>
  <c r="W113" i="1"/>
  <c r="CG34" i="3"/>
  <c r="K66" i="3"/>
  <c r="K68" i="3" s="1"/>
  <c r="BN34" i="3"/>
  <c r="BR29" i="48"/>
  <c r="AA30" i="48"/>
  <c r="AB30" i="48"/>
  <c r="AA39" i="48"/>
  <c r="CK29" i="48"/>
  <c r="AE32" i="48"/>
  <c r="CF38" i="3"/>
  <c r="CF137" i="3" s="1"/>
  <c r="BW14" i="3"/>
  <c r="AT84" i="3"/>
  <c r="CN32" i="48"/>
  <c r="BY15" i="48"/>
  <c r="BU49" i="3"/>
  <c r="BM35" i="3"/>
  <c r="BD53" i="48"/>
  <c r="BC55" i="48"/>
  <c r="BC48" i="48"/>
  <c r="BT69" i="48"/>
  <c r="Z80" i="48"/>
  <c r="Z82" i="48"/>
  <c r="K70" i="1"/>
  <c r="K74" i="1"/>
  <c r="AA84" i="3"/>
  <c r="BV66" i="3"/>
  <c r="BV133" i="3"/>
  <c r="AP68" i="48"/>
  <c r="BT213" i="48"/>
  <c r="AH183" i="48"/>
  <c r="BT183" i="48" s="1"/>
  <c r="AH184" i="48"/>
  <c r="AM24" i="48"/>
  <c r="AN25" i="48" s="1"/>
  <c r="AM42" i="48"/>
  <c r="G127" i="2"/>
  <c r="G131" i="1"/>
  <c r="G135" i="1"/>
  <c r="BV35" i="3"/>
  <c r="G81" i="1"/>
  <c r="G98" i="1"/>
  <c r="BF17" i="48"/>
  <c r="BE19" i="48"/>
  <c r="BE12" i="48"/>
  <c r="AK101" i="48"/>
  <c r="AK16" i="48"/>
  <c r="AK24" i="48" s="1"/>
  <c r="AO26" i="48" s="1"/>
  <c r="AK114" i="48"/>
  <c r="AK103" i="48"/>
  <c r="AK88" i="48"/>
  <c r="AK95" i="48" s="1"/>
  <c r="AK52" i="48"/>
  <c r="AK61" i="48" s="1"/>
  <c r="AO63" i="48" s="1"/>
  <c r="AK70" i="48"/>
  <c r="AK79" i="48" s="1"/>
  <c r="AO81" i="48" s="1"/>
  <c r="Q80" i="1"/>
  <c r="AR68" i="48"/>
  <c r="AE27" i="48"/>
  <c r="R119" i="1"/>
  <c r="R111" i="1"/>
  <c r="R101" i="1"/>
  <c r="BT14" i="3"/>
  <c r="G165" i="1"/>
  <c r="G83" i="1"/>
  <c r="G100" i="1"/>
  <c r="AP103" i="2"/>
  <c r="AO108" i="2"/>
  <c r="F99" i="1"/>
  <c r="F109" i="1"/>
  <c r="F117" i="1"/>
  <c r="AZ14" i="48"/>
  <c r="BD14" i="48"/>
  <c r="AJ98" i="48"/>
  <c r="AJ96" i="48"/>
  <c r="L130" i="1"/>
  <c r="L114" i="1"/>
  <c r="AK112" i="48"/>
  <c r="AK96" i="1"/>
  <c r="AK79" i="1"/>
  <c r="AB49" i="48"/>
  <c r="AA49" i="48"/>
  <c r="AM50" i="48" s="1"/>
  <c r="AA100" i="48"/>
  <c r="AA58" i="48"/>
  <c r="BR48" i="48"/>
  <c r="CK48" i="48"/>
  <c r="CK52" i="48" s="1"/>
  <c r="AE51" i="48"/>
  <c r="AE86" i="48"/>
  <c r="N84" i="3"/>
  <c r="CI44" i="3"/>
  <c r="AR44" i="48"/>
  <c r="AN45" i="48"/>
  <c r="AN44" i="48"/>
  <c r="BV42" i="48"/>
  <c r="AN43" i="48"/>
  <c r="BV95" i="48"/>
  <c r="AN98" i="48"/>
  <c r="AN97" i="48"/>
  <c r="AN96" i="48"/>
  <c r="CM16" i="48"/>
  <c r="CM15" i="48"/>
  <c r="AU14" i="48"/>
  <c r="BC14" i="48"/>
  <c r="AY14" i="48"/>
  <c r="AU50" i="48"/>
  <c r="AQ50" i="48"/>
  <c r="AY50" i="48"/>
  <c r="BC50" i="48"/>
  <c r="AI86" i="48"/>
  <c r="CM87" i="48"/>
  <c r="CL88" i="48"/>
  <c r="CL87" i="48"/>
  <c r="CR12" i="48"/>
  <c r="AC11" i="3"/>
  <c r="AC137" i="1"/>
  <c r="BG14" i="48"/>
  <c r="BW35" i="3"/>
  <c r="AR81" i="48"/>
  <c r="AO103" i="48"/>
  <c r="K96" i="1"/>
  <c r="K79" i="1"/>
  <c r="K112" i="48"/>
  <c r="CL16" i="48"/>
  <c r="CK12" i="48"/>
  <c r="AA16" i="48"/>
  <c r="AA24" i="48" s="1"/>
  <c r="AA13" i="48"/>
  <c r="AB13" i="48"/>
  <c r="AR14" i="48" s="1"/>
  <c r="BR12" i="48"/>
  <c r="AI50" i="48"/>
  <c r="CO16" i="48"/>
  <c r="CO15" i="48"/>
  <c r="CP15" i="48"/>
  <c r="AS26" i="48"/>
  <c r="AS25" i="48"/>
  <c r="AK125" i="1"/>
  <c r="AK127" i="1" s="1"/>
  <c r="AK116" i="1" s="1"/>
  <c r="AL25" i="1"/>
  <c r="AK28" i="1"/>
  <c r="AK26" i="1"/>
  <c r="BE21" i="3"/>
  <c r="BE120" i="3" s="1"/>
  <c r="BF66" i="2"/>
  <c r="CR66" i="2"/>
  <c r="AP86" i="48"/>
  <c r="BE167" i="1"/>
  <c r="BG34" i="2"/>
  <c r="BF30" i="3"/>
  <c r="CL70" i="48"/>
  <c r="CL69" i="48"/>
  <c r="M99" i="1"/>
  <c r="M109" i="1"/>
  <c r="M117" i="1"/>
  <c r="AK176" i="48"/>
  <c r="AK178" i="48" s="1"/>
  <c r="AK171" i="48" s="1"/>
  <c r="AI178" i="48"/>
  <c r="BV52" i="48"/>
  <c r="AW122" i="1"/>
  <c r="AW123" i="1" s="1"/>
  <c r="AW108" i="1"/>
  <c r="AC81" i="1"/>
  <c r="AC98" i="1"/>
  <c r="BZ22" i="2"/>
  <c r="BH22" i="2"/>
  <c r="BH40" i="3" s="1"/>
  <c r="CR149" i="1"/>
  <c r="CR49" i="3"/>
  <c r="CR148" i="3" s="1"/>
  <c r="CR151" i="3" s="1"/>
  <c r="AH127" i="2"/>
  <c r="AH131" i="1"/>
  <c r="AH135" i="1"/>
  <c r="S71" i="1"/>
  <c r="S75" i="1"/>
  <c r="BX144" i="3"/>
  <c r="BC84" i="48"/>
  <c r="BD89" i="48"/>
  <c r="BC91" i="48"/>
  <c r="BT45" i="48"/>
  <c r="Z82" i="1"/>
  <c r="BM144" i="3"/>
  <c r="BM151" i="3" s="1"/>
  <c r="BM52" i="3"/>
  <c r="BV27" i="48"/>
  <c r="BW26" i="48"/>
  <c r="BF51" i="3"/>
  <c r="BG42" i="2"/>
  <c r="BX116" i="3"/>
  <c r="BX69" i="3"/>
  <c r="Q70" i="3"/>
  <c r="R71" i="3"/>
  <c r="R81" i="3"/>
  <c r="R72" i="3"/>
  <c r="R73" i="3" s="1"/>
  <c r="R76" i="3" s="1"/>
  <c r="BT143" i="3"/>
  <c r="BT151" i="3" s="1"/>
  <c r="BT52" i="3"/>
  <c r="AT75" i="1"/>
  <c r="V109" i="1"/>
  <c r="V99" i="1"/>
  <c r="V117" i="1"/>
  <c r="BT68" i="3"/>
  <c r="BT92" i="3"/>
  <c r="BP133" i="3"/>
  <c r="BP140" i="3" s="1"/>
  <c r="BP66" i="3"/>
  <c r="BP68" i="3" s="1"/>
  <c r="BP41" i="3"/>
  <c r="BN52" i="3"/>
  <c r="CL145" i="3"/>
  <c r="CL151" i="3" s="1"/>
  <c r="CL52" i="3"/>
  <c r="Y138" i="1"/>
  <c r="Y118" i="1"/>
  <c r="BT98" i="48"/>
  <c r="BT97" i="48"/>
  <c r="M71" i="3"/>
  <c r="L70" i="3"/>
  <c r="M81" i="3"/>
  <c r="M72" i="3"/>
  <c r="CG72" i="3" s="1"/>
  <c r="CG70" i="3"/>
  <c r="AX84" i="3"/>
  <c r="BZ25" i="2"/>
  <c r="BH25" i="2"/>
  <c r="BH27" i="3" s="1"/>
  <c r="BD71" i="48"/>
  <c r="BC73" i="48"/>
  <c r="BC66" i="48"/>
  <c r="O165" i="1"/>
  <c r="O83" i="1"/>
  <c r="O100" i="1"/>
  <c r="AV114" i="1"/>
  <c r="Y31" i="3"/>
  <c r="CN151" i="3"/>
  <c r="CM92" i="3"/>
  <c r="CM68" i="3"/>
  <c r="CI133" i="3"/>
  <c r="CI66" i="3"/>
  <c r="CI68" i="3" s="1"/>
  <c r="BG40" i="3"/>
  <c r="BK65" i="2"/>
  <c r="AY51" i="3"/>
  <c r="AY52" i="3" s="1"/>
  <c r="AX52" i="3"/>
  <c r="AF106" i="48"/>
  <c r="AF115" i="48"/>
  <c r="AN75" i="1"/>
  <c r="BW94" i="3"/>
  <c r="CL134" i="3"/>
  <c r="CL140" i="3" s="1"/>
  <c r="CL41" i="3"/>
  <c r="BX26" i="48"/>
  <c r="BX27" i="48"/>
  <c r="AY115" i="48"/>
  <c r="AY106" i="48"/>
  <c r="AT97" i="2"/>
  <c r="P137" i="1"/>
  <c r="P11" i="3"/>
  <c r="Y108" i="48"/>
  <c r="AL109" i="2"/>
  <c r="AL98" i="2"/>
  <c r="AK99" i="2"/>
  <c r="BT27" i="48"/>
  <c r="AO96" i="2"/>
  <c r="BK15" i="2"/>
  <c r="CA15" i="2" s="1"/>
  <c r="R118" i="1"/>
  <c r="R138" i="1"/>
  <c r="BF87" i="2"/>
  <c r="BG39" i="2"/>
  <c r="BH88" i="1" s="1"/>
  <c r="AU107" i="48"/>
  <c r="BN151" i="3"/>
  <c r="L138" i="1"/>
  <c r="L118" i="1"/>
  <c r="AM84" i="3"/>
  <c r="CN81" i="3"/>
  <c r="CN80" i="3" s="1"/>
  <c r="CN84" i="3" s="1"/>
  <c r="U71" i="3"/>
  <c r="CI70" i="3"/>
  <c r="U81" i="3"/>
  <c r="T70" i="3"/>
  <c r="U73" i="3"/>
  <c r="U76" i="3" s="1"/>
  <c r="U72" i="3"/>
  <c r="CI72" i="3" s="1"/>
  <c r="BC36" i="48"/>
  <c r="BD34" i="48"/>
  <c r="BC29" i="48"/>
  <c r="V120" i="1"/>
  <c r="V140" i="1"/>
  <c r="BW137" i="3"/>
  <c r="BW41" i="3"/>
  <c r="AE114" i="1"/>
  <c r="AE130" i="1"/>
  <c r="AC100" i="1"/>
  <c r="AC165" i="1"/>
  <c r="AC83" i="1"/>
  <c r="L168" i="1"/>
  <c r="AY91" i="3"/>
  <c r="AY166" i="1"/>
  <c r="AY80" i="3"/>
  <c r="AY81" i="3" s="1"/>
  <c r="AY83" i="3"/>
  <c r="BY66" i="48"/>
  <c r="BU81" i="3"/>
  <c r="BU80" i="3" s="1"/>
  <c r="BU84" i="3" s="1"/>
  <c r="X81" i="1"/>
  <c r="X98" i="1"/>
  <c r="AC107" i="48"/>
  <c r="AC108" i="48"/>
  <c r="BI67" i="2"/>
  <c r="F100" i="1"/>
  <c r="F165" i="1"/>
  <c r="F83" i="1"/>
  <c r="BQ112" i="48"/>
  <c r="BT134" i="3"/>
  <c r="BT140" i="3" s="1"/>
  <c r="BT69" i="3"/>
  <c r="CJ144" i="3"/>
  <c r="CJ151" i="3" s="1"/>
  <c r="BE150" i="3"/>
  <c r="BF150" i="3" s="1"/>
  <c r="BT41" i="3"/>
  <c r="AW114" i="1"/>
  <c r="M120" i="1"/>
  <c r="M140" i="1"/>
  <c r="O99" i="1"/>
  <c r="O109" i="1"/>
  <c r="O117" i="1"/>
  <c r="W52" i="3"/>
  <c r="BH55" i="2"/>
  <c r="BG54" i="2"/>
  <c r="AB109" i="1"/>
  <c r="AB117" i="1"/>
  <c r="AB99" i="1"/>
  <c r="L119" i="1"/>
  <c r="L111" i="1"/>
  <c r="L101" i="1"/>
  <c r="AV122" i="1"/>
  <c r="AV123" i="1" s="1"/>
  <c r="AV108" i="1"/>
  <c r="AT114" i="1"/>
  <c r="I31" i="3"/>
  <c r="CL69" i="3"/>
  <c r="BS112" i="48"/>
  <c r="AF130" i="1"/>
  <c r="AF114" i="1"/>
  <c r="S80" i="1"/>
  <c r="CG138" i="3"/>
  <c r="CG41" i="3"/>
  <c r="AI81" i="48"/>
  <c r="BY84" i="48"/>
  <c r="CQ69" i="3"/>
  <c r="CQ116" i="3"/>
  <c r="U109" i="1"/>
  <c r="U99" i="1"/>
  <c r="U117" i="1"/>
  <c r="X165" i="1"/>
  <c r="X83" i="1"/>
  <c r="X100" i="1"/>
  <c r="CN135" i="3"/>
  <c r="CN140" i="3" s="1"/>
  <c r="CN41" i="3"/>
  <c r="AG137" i="1"/>
  <c r="AG11" i="3"/>
  <c r="BH98" i="2"/>
  <c r="BZ98" i="2"/>
  <c r="AL75" i="1"/>
  <c r="AU47" i="3"/>
  <c r="AU52" i="3" s="1"/>
  <c r="AT52" i="3"/>
  <c r="BA115" i="48"/>
  <c r="BA106" i="48"/>
  <c r="U120" i="1"/>
  <c r="U140" i="1"/>
  <c r="AI92" i="3"/>
  <c r="AI68" i="3"/>
  <c r="BX166" i="1"/>
  <c r="BX83" i="3"/>
  <c r="BX91" i="3"/>
  <c r="BX113" i="3"/>
  <c r="BU41" i="3"/>
  <c r="BU135" i="3"/>
  <c r="BU140" i="3" s="1"/>
  <c r="AQ106" i="48"/>
  <c r="AQ115" i="48"/>
  <c r="AG82" i="1"/>
  <c r="E83" i="1"/>
  <c r="E100" i="1"/>
  <c r="E165" i="1"/>
  <c r="AQ79" i="1"/>
  <c r="AQ112" i="48"/>
  <c r="AQ96" i="1"/>
  <c r="Z98" i="1"/>
  <c r="Z81" i="1"/>
  <c r="BQ144" i="3"/>
  <c r="BQ151" i="3" s="1"/>
  <c r="BQ52" i="3"/>
  <c r="BZ35" i="2"/>
  <c r="BH35" i="2"/>
  <c r="BK41" i="2"/>
  <c r="AV109" i="2"/>
  <c r="AW104" i="2"/>
  <c r="CQ14" i="3"/>
  <c r="AS104" i="1"/>
  <c r="AS105" i="1" s="1"/>
  <c r="AS113" i="1"/>
  <c r="AS97" i="1"/>
  <c r="CN52" i="3"/>
  <c r="CR52" i="3"/>
  <c r="BF49" i="3"/>
  <c r="BF144" i="1"/>
  <c r="BG147" i="1"/>
  <c r="BZ147" i="1" s="1"/>
  <c r="BH148" i="1"/>
  <c r="BG81" i="2"/>
  <c r="BZ148" i="1"/>
  <c r="CR145" i="1"/>
  <c r="BD151" i="3"/>
  <c r="BE148" i="3"/>
  <c r="BE149" i="1"/>
  <c r="BT154" i="1"/>
  <c r="AJ154" i="1"/>
  <c r="AK154" i="1" s="1"/>
  <c r="BA97" i="48" l="1"/>
  <c r="AX96" i="48"/>
  <c r="AX105" i="48"/>
  <c r="BB97" i="48"/>
  <c r="BB52" i="48"/>
  <c r="BB61" i="48" s="1"/>
  <c r="BB70" i="48"/>
  <c r="BB79" i="48" s="1"/>
  <c r="BB88" i="48"/>
  <c r="BB33" i="48"/>
  <c r="BB42" i="48" s="1"/>
  <c r="BB16" i="48"/>
  <c r="BB24" i="48" s="1"/>
  <c r="BM166" i="1"/>
  <c r="BM83" i="3"/>
  <c r="BM81" i="3" s="1"/>
  <c r="BM80" i="3" s="1"/>
  <c r="BM84" i="3" s="1"/>
  <c r="BM113" i="3"/>
  <c r="G84" i="3"/>
  <c r="M73" i="3"/>
  <c r="M76" i="3" s="1"/>
  <c r="CF41" i="3"/>
  <c r="BI147" i="3"/>
  <c r="O84" i="3"/>
  <c r="BH72" i="3"/>
  <c r="BI72" i="3" s="1"/>
  <c r="BZ72" i="3"/>
  <c r="BT112" i="3"/>
  <c r="CO146" i="3"/>
  <c r="CO151" i="3" s="1"/>
  <c r="CO52" i="3"/>
  <c r="CR68" i="2"/>
  <c r="BH12" i="2"/>
  <c r="BH114" i="2"/>
  <c r="BZ12" i="2"/>
  <c r="CA114" i="2" s="1"/>
  <c r="AZ63" i="48"/>
  <c r="AZ62" i="48"/>
  <c r="AZ105" i="48"/>
  <c r="AZ64" i="48"/>
  <c r="BA62" i="48"/>
  <c r="BN70" i="1"/>
  <c r="BN74" i="1"/>
  <c r="BN80" i="1" s="1"/>
  <c r="U58" i="3"/>
  <c r="AY96" i="48"/>
  <c r="AW105" i="48"/>
  <c r="AW115" i="48" s="1"/>
  <c r="AZ82" i="48"/>
  <c r="BA80" i="48"/>
  <c r="AZ80" i="48"/>
  <c r="AZ45" i="48"/>
  <c r="AZ44" i="48"/>
  <c r="AZ43" i="48"/>
  <c r="BA43" i="48"/>
  <c r="BW105" i="1"/>
  <c r="CO105" i="1"/>
  <c r="AE105" i="48"/>
  <c r="AE106" i="48" s="1"/>
  <c r="AF107" i="48" s="1"/>
  <c r="P109" i="1"/>
  <c r="P99" i="1"/>
  <c r="P117" i="1"/>
  <c r="CF101" i="1"/>
  <c r="CF119" i="1"/>
  <c r="CF111" i="1"/>
  <c r="AB165" i="1"/>
  <c r="AB100" i="1"/>
  <c r="AB83" i="1"/>
  <c r="CJ99" i="1"/>
  <c r="CJ117" i="1"/>
  <c r="CJ109" i="1"/>
  <c r="AW69" i="1"/>
  <c r="BV114" i="1"/>
  <c r="AE101" i="1"/>
  <c r="AE119" i="1"/>
  <c r="AE111" i="1"/>
  <c r="H165" i="1"/>
  <c r="H83" i="1"/>
  <c r="H100" i="1"/>
  <c r="BS135" i="1"/>
  <c r="BS137" i="1" s="1"/>
  <c r="BS131" i="1"/>
  <c r="AG34" i="1"/>
  <c r="AG80" i="1"/>
  <c r="CL34" i="1"/>
  <c r="D100" i="1"/>
  <c r="D165" i="1"/>
  <c r="D83" i="1"/>
  <c r="BN113" i="1"/>
  <c r="BN97" i="1"/>
  <c r="BN104" i="1"/>
  <c r="CH97" i="1"/>
  <c r="CH113" i="1"/>
  <c r="CH104" i="1"/>
  <c r="CI81" i="1"/>
  <c r="CI98" i="1"/>
  <c r="CN122" i="1"/>
  <c r="CN123" i="1" s="1"/>
  <c r="CN108" i="1"/>
  <c r="P100" i="1"/>
  <c r="P165" i="1"/>
  <c r="P83" i="1"/>
  <c r="BQ70" i="1"/>
  <c r="BQ74" i="1"/>
  <c r="BQ80" i="1" s="1"/>
  <c r="BU75" i="1"/>
  <c r="CM130" i="1"/>
  <c r="CM114" i="1"/>
  <c r="BO81" i="1"/>
  <c r="BO98" i="1"/>
  <c r="BT97" i="1"/>
  <c r="BT104" i="1"/>
  <c r="BX94" i="3"/>
  <c r="AJ114" i="1"/>
  <c r="D31" i="3"/>
  <c r="D110" i="3"/>
  <c r="D130" i="3" s="1"/>
  <c r="D157" i="3" s="1"/>
  <c r="D158" i="3" s="1"/>
  <c r="D161" i="3" s="1"/>
  <c r="CQ114" i="1"/>
  <c r="AI115" i="1"/>
  <c r="AI129" i="1" s="1"/>
  <c r="BT129" i="1" s="1"/>
  <c r="AJ11" i="1"/>
  <c r="AI17" i="1"/>
  <c r="BT17" i="1" s="1"/>
  <c r="AH33" i="1"/>
  <c r="AH59" i="1"/>
  <c r="AH57" i="1"/>
  <c r="AH45" i="1"/>
  <c r="AH47" i="1"/>
  <c r="AH35" i="1"/>
  <c r="AH82" i="1" s="1"/>
  <c r="AH29" i="1"/>
  <c r="AH27" i="1"/>
  <c r="AF165" i="1"/>
  <c r="AF83" i="1"/>
  <c r="AF100" i="1"/>
  <c r="CJ100" i="1"/>
  <c r="CF117" i="1"/>
  <c r="CF99" i="1"/>
  <c r="CF109" i="1"/>
  <c r="BX122" i="1"/>
  <c r="BX123" i="1" s="1"/>
  <c r="BX108" i="1"/>
  <c r="CI104" i="1"/>
  <c r="CI97" i="1"/>
  <c r="CI113" i="1"/>
  <c r="BS81" i="1"/>
  <c r="BS98" i="1"/>
  <c r="CF113" i="1"/>
  <c r="CF97" i="1"/>
  <c r="CF104" i="1"/>
  <c r="CG97" i="1"/>
  <c r="CG113" i="1"/>
  <c r="CG104" i="1"/>
  <c r="BO97" i="1"/>
  <c r="BO113" i="1"/>
  <c r="BO104" i="1"/>
  <c r="H99" i="1"/>
  <c r="H117" i="1"/>
  <c r="H109" i="1"/>
  <c r="BP97" i="1"/>
  <c r="BP113" i="1"/>
  <c r="BP104" i="1"/>
  <c r="BM99" i="1"/>
  <c r="BM117" i="1"/>
  <c r="BM109" i="1"/>
  <c r="CH99" i="1"/>
  <c r="CH117" i="1"/>
  <c r="CH109" i="1"/>
  <c r="AU75" i="1"/>
  <c r="BO101" i="1"/>
  <c r="BO119" i="1"/>
  <c r="BO111" i="1"/>
  <c r="BS111" i="1"/>
  <c r="BS101" i="1"/>
  <c r="CK119" i="1"/>
  <c r="CK101" i="1"/>
  <c r="CK111" i="1"/>
  <c r="BM101" i="1"/>
  <c r="BM119" i="1"/>
  <c r="BM111" i="1"/>
  <c r="BU94" i="3"/>
  <c r="AG36" i="1"/>
  <c r="CL36" i="1"/>
  <c r="CL81" i="1"/>
  <c r="CL98" i="1"/>
  <c r="BP71" i="1"/>
  <c r="BP75" i="1"/>
  <c r="BP82" i="1" s="1"/>
  <c r="CI71" i="1"/>
  <c r="CI75" i="1"/>
  <c r="CI82" i="1" s="1"/>
  <c r="BV122" i="1"/>
  <c r="BV123" i="1" s="1"/>
  <c r="BV108" i="1"/>
  <c r="CO75" i="1"/>
  <c r="CO76" i="1" s="1"/>
  <c r="CG70" i="1"/>
  <c r="CG74" i="1"/>
  <c r="CG80" i="1" s="1"/>
  <c r="CK81" i="1"/>
  <c r="CK98" i="1"/>
  <c r="BP81" i="1"/>
  <c r="BP98" i="1"/>
  <c r="D99" i="1"/>
  <c r="D109" i="1"/>
  <c r="D117" i="1"/>
  <c r="CP104" i="1"/>
  <c r="CP97" i="1"/>
  <c r="CP113" i="1"/>
  <c r="BM97" i="1"/>
  <c r="BM113" i="1"/>
  <c r="BM104" i="1"/>
  <c r="CK97" i="1"/>
  <c r="CK113" i="1"/>
  <c r="CK104" i="1"/>
  <c r="CL82" i="1"/>
  <c r="Z114" i="1"/>
  <c r="Z130" i="1"/>
  <c r="CO114" i="1"/>
  <c r="CL135" i="1"/>
  <c r="CL137" i="1" s="1"/>
  <c r="CL131" i="1"/>
  <c r="BQ97" i="1"/>
  <c r="BQ113" i="1"/>
  <c r="BQ104" i="1"/>
  <c r="BR113" i="1"/>
  <c r="BR97" i="1"/>
  <c r="BR104" i="1"/>
  <c r="CH119" i="1"/>
  <c r="CH101" i="1"/>
  <c r="CH111" i="1"/>
  <c r="AF98" i="1"/>
  <c r="AF81" i="1"/>
  <c r="BR119" i="1"/>
  <c r="BR101" i="1"/>
  <c r="BR111" i="1"/>
  <c r="BX114" i="1"/>
  <c r="BR81" i="1"/>
  <c r="BR98" i="1"/>
  <c r="BT131" i="1"/>
  <c r="BT135" i="1"/>
  <c r="BT137" i="1" s="1"/>
  <c r="CP69" i="1"/>
  <c r="CP70" i="1" s="1"/>
  <c r="CJ113" i="1"/>
  <c r="CJ97" i="1"/>
  <c r="CJ104" i="1"/>
  <c r="CP108" i="1"/>
  <c r="CP122" i="1"/>
  <c r="CP123" i="1" s="1"/>
  <c r="BF86" i="48"/>
  <c r="BF68" i="48"/>
  <c r="AN14" i="48"/>
  <c r="BU24" i="48"/>
  <c r="CL51" i="48"/>
  <c r="BU61" i="48"/>
  <c r="AJ14" i="48"/>
  <c r="X127" i="2"/>
  <c r="X135" i="1"/>
  <c r="X131" i="1"/>
  <c r="N83" i="1"/>
  <c r="N100" i="1"/>
  <c r="N165" i="1"/>
  <c r="BF31" i="48"/>
  <c r="BF50" i="48"/>
  <c r="BS79" i="48"/>
  <c r="BS82" i="48" s="1"/>
  <c r="BX82" i="48"/>
  <c r="BX81" i="48"/>
  <c r="AV106" i="48"/>
  <c r="AV108" i="48" s="1"/>
  <c r="AV115" i="48"/>
  <c r="AD165" i="1"/>
  <c r="AD83" i="1"/>
  <c r="AD100" i="1"/>
  <c r="N109" i="1"/>
  <c r="N99" i="1"/>
  <c r="N117" i="1"/>
  <c r="BX95" i="48"/>
  <c r="BX98" i="48" s="1"/>
  <c r="BF167" i="1"/>
  <c r="AL26" i="1"/>
  <c r="AL28" i="1"/>
  <c r="AM25" i="1"/>
  <c r="BU25" i="1" s="1"/>
  <c r="AL125" i="1"/>
  <c r="AE14" i="48"/>
  <c r="BV98" i="48"/>
  <c r="AF50" i="48"/>
  <c r="AV50" i="48"/>
  <c r="AR50" i="48"/>
  <c r="AJ50" i="48"/>
  <c r="AN50" i="48"/>
  <c r="AK113" i="1"/>
  <c r="BU113" i="1" s="1"/>
  <c r="AK97" i="1"/>
  <c r="AK104" i="1"/>
  <c r="G168" i="1"/>
  <c r="AK98" i="48"/>
  <c r="AK96" i="48"/>
  <c r="AK97" i="48"/>
  <c r="BF19" i="48"/>
  <c r="BG17" i="48"/>
  <c r="BF12" i="48"/>
  <c r="BV68" i="3"/>
  <c r="BV92" i="3"/>
  <c r="BC49" i="48"/>
  <c r="BG50" i="48" s="1"/>
  <c r="BC51" i="48"/>
  <c r="BU148" i="3"/>
  <c r="BU151" i="3" s="1"/>
  <c r="BU52" i="3"/>
  <c r="BW83" i="3"/>
  <c r="BW91" i="3"/>
  <c r="BW113" i="3"/>
  <c r="BW166" i="1"/>
  <c r="BS32" i="48"/>
  <c r="CF165" i="1"/>
  <c r="AI115" i="48"/>
  <c r="AI106" i="48"/>
  <c r="AI80" i="48"/>
  <c r="AI82" i="48"/>
  <c r="CI134" i="3"/>
  <c r="CI140" i="3" s="1"/>
  <c r="CI69" i="3"/>
  <c r="CM103" i="48"/>
  <c r="AL27" i="48"/>
  <c r="AL25" i="48"/>
  <c r="AL26" i="48"/>
  <c r="AP26" i="48"/>
  <c r="I100" i="1"/>
  <c r="I165" i="1"/>
  <c r="I83" i="1"/>
  <c r="Y101" i="1"/>
  <c r="Y119" i="1"/>
  <c r="Y111" i="1"/>
  <c r="AN123" i="1"/>
  <c r="BN112" i="48"/>
  <c r="BQ166" i="1"/>
  <c r="BQ113" i="3"/>
  <c r="BQ83" i="3"/>
  <c r="AA82" i="1"/>
  <c r="AJ80" i="48"/>
  <c r="AJ106" i="48"/>
  <c r="AJ115" i="48"/>
  <c r="AD137" i="1"/>
  <c r="AD11" i="3"/>
  <c r="CR21" i="3"/>
  <c r="CR120" i="3" s="1"/>
  <c r="Z115" i="48"/>
  <c r="Z106" i="48"/>
  <c r="AR108" i="1"/>
  <c r="AR122" i="1"/>
  <c r="BS113" i="3"/>
  <c r="BS166" i="1"/>
  <c r="BS91" i="3"/>
  <c r="BS83" i="3"/>
  <c r="BS81" i="3" s="1"/>
  <c r="BS80" i="3" s="1"/>
  <c r="BS84" i="3" s="1"/>
  <c r="AO106" i="48"/>
  <c r="AP107" i="48" s="1"/>
  <c r="AO115" i="48"/>
  <c r="BS24" i="48"/>
  <c r="AD25" i="48"/>
  <c r="AH26" i="48"/>
  <c r="AD27" i="48"/>
  <c r="AE25" i="48"/>
  <c r="AD26" i="48"/>
  <c r="AL80" i="48"/>
  <c r="AL82" i="48"/>
  <c r="AP81" i="48"/>
  <c r="BP112" i="48"/>
  <c r="E11" i="3"/>
  <c r="E137" i="1"/>
  <c r="CQ136" i="3"/>
  <c r="CQ140" i="3" s="1"/>
  <c r="CQ41" i="3"/>
  <c r="AN115" i="48"/>
  <c r="AN106" i="48"/>
  <c r="AD118" i="1"/>
  <c r="AD138" i="1"/>
  <c r="J71" i="3"/>
  <c r="J81" i="3"/>
  <c r="J72" i="3"/>
  <c r="J73" i="3" s="1"/>
  <c r="J76" i="3" s="1"/>
  <c r="I70" i="3"/>
  <c r="CL81" i="3"/>
  <c r="CL80" i="3" s="1"/>
  <c r="CL84" i="3" s="1"/>
  <c r="I138" i="1"/>
  <c r="I118" i="1"/>
  <c r="BV63" i="48"/>
  <c r="M118" i="1"/>
  <c r="M138" i="1"/>
  <c r="BZ34" i="2"/>
  <c r="BH34" i="2"/>
  <c r="BG30" i="3"/>
  <c r="BZ30" i="3" s="1"/>
  <c r="BZ129" i="3" s="1"/>
  <c r="AA27" i="48"/>
  <c r="AB25" i="48"/>
  <c r="AA25" i="48"/>
  <c r="BR24" i="48"/>
  <c r="K113" i="1"/>
  <c r="K97" i="1"/>
  <c r="K104" i="1"/>
  <c r="CR15" i="48"/>
  <c r="AQ14" i="48"/>
  <c r="L135" i="1"/>
  <c r="L127" i="2"/>
  <c r="L131" i="1"/>
  <c r="G119" i="1"/>
  <c r="G101" i="1"/>
  <c r="G111" i="1"/>
  <c r="BT166" i="1"/>
  <c r="BT83" i="3"/>
  <c r="BT81" i="3" s="1"/>
  <c r="BT80" i="3" s="1"/>
  <c r="BT84" i="3" s="1"/>
  <c r="BT91" i="3"/>
  <c r="BT113" i="3"/>
  <c r="BV134" i="3"/>
  <c r="BV140" i="3" s="1"/>
  <c r="BV69" i="3"/>
  <c r="BV41" i="3"/>
  <c r="AF31" i="48"/>
  <c r="AV31" i="48"/>
  <c r="AR31" i="48"/>
  <c r="AN31" i="48"/>
  <c r="AJ31" i="48"/>
  <c r="BN133" i="3"/>
  <c r="BN140" i="3" s="1"/>
  <c r="BN66" i="3"/>
  <c r="BN68" i="3" s="1"/>
  <c r="BN41" i="3"/>
  <c r="Q135" i="1"/>
  <c r="Q127" i="2"/>
  <c r="Q131" i="1"/>
  <c r="BV105" i="48"/>
  <c r="BV82" i="48"/>
  <c r="BW81" i="48"/>
  <c r="AA109" i="1"/>
  <c r="AA99" i="1"/>
  <c r="AA117" i="1"/>
  <c r="AI14" i="48"/>
  <c r="Y168" i="1"/>
  <c r="AN102" i="2"/>
  <c r="BU102" i="2"/>
  <c r="AM107" i="2"/>
  <c r="BU107" i="2" s="1"/>
  <c r="T114" i="1"/>
  <c r="T130" i="1"/>
  <c r="T82" i="1"/>
  <c r="BS51" i="48"/>
  <c r="X107" i="48"/>
  <c r="X108" i="48"/>
  <c r="AB135" i="1"/>
  <c r="AB131" i="1"/>
  <c r="AB127" i="2"/>
  <c r="AQ97" i="48"/>
  <c r="AM96" i="48"/>
  <c r="AM98" i="48"/>
  <c r="AM97" i="48"/>
  <c r="BU112" i="48"/>
  <c r="AR114" i="1"/>
  <c r="AE84" i="3"/>
  <c r="AD44" i="48"/>
  <c r="AD45" i="48"/>
  <c r="AE43" i="48"/>
  <c r="AH44" i="48"/>
  <c r="AD43" i="48"/>
  <c r="BJ29" i="3"/>
  <c r="BK33" i="2"/>
  <c r="AL44" i="48"/>
  <c r="AL45" i="48"/>
  <c r="AL43" i="48"/>
  <c r="AP44" i="48"/>
  <c r="CO68" i="3"/>
  <c r="CO92" i="3"/>
  <c r="BX37" i="3"/>
  <c r="AY41" i="3"/>
  <c r="CF140" i="3"/>
  <c r="BX112" i="48"/>
  <c r="AB108" i="48"/>
  <c r="AF80" i="48"/>
  <c r="BV64" i="48"/>
  <c r="Y107" i="48"/>
  <c r="CK16" i="48"/>
  <c r="CK15" i="48"/>
  <c r="AC31" i="3"/>
  <c r="BV45" i="48"/>
  <c r="BW44" i="48"/>
  <c r="CI143" i="3"/>
  <c r="CI151" i="3" s="1"/>
  <c r="CI52" i="3"/>
  <c r="AA52" i="48"/>
  <c r="AA61" i="48" s="1"/>
  <c r="AA103" i="48"/>
  <c r="AA93" i="48"/>
  <c r="AA21" i="48"/>
  <c r="AA22" i="48" s="1"/>
  <c r="AA101" i="48"/>
  <c r="AA114" i="48"/>
  <c r="BR100" i="48"/>
  <c r="AB101" i="48"/>
  <c r="AA88" i="48"/>
  <c r="AA95" i="48" s="1"/>
  <c r="CK100" i="48"/>
  <c r="CK103" i="48" s="1"/>
  <c r="AA70" i="48"/>
  <c r="AA79" i="48" s="1"/>
  <c r="BU95" i="48"/>
  <c r="F118" i="1"/>
  <c r="F138" i="1"/>
  <c r="AQ103" i="2"/>
  <c r="AP108" i="2"/>
  <c r="R140" i="1"/>
  <c r="R120" i="1"/>
  <c r="AK82" i="48"/>
  <c r="AK80" i="48"/>
  <c r="AK81" i="48"/>
  <c r="BE15" i="48"/>
  <c r="BE13" i="48"/>
  <c r="BI14" i="48" s="1"/>
  <c r="G109" i="1"/>
  <c r="G117" i="1"/>
  <c r="G99" i="1"/>
  <c r="G11" i="3"/>
  <c r="G31" i="3" s="1"/>
  <c r="G88" i="3" s="1"/>
  <c r="G102" i="3" s="1"/>
  <c r="G137" i="1"/>
  <c r="AM43" i="48"/>
  <c r="AM44" i="48"/>
  <c r="AM45" i="48"/>
  <c r="AQ44" i="48"/>
  <c r="AM105" i="48"/>
  <c r="AM26" i="48"/>
  <c r="AM25" i="48"/>
  <c r="AQ26" i="48"/>
  <c r="AM27" i="48"/>
  <c r="AH177" i="48"/>
  <c r="AH176" i="48"/>
  <c r="K80" i="1"/>
  <c r="BE53" i="48"/>
  <c r="BD55" i="48"/>
  <c r="BD48" i="48"/>
  <c r="AE31" i="48"/>
  <c r="AE257" i="48" s="1"/>
  <c r="AQ31" i="48"/>
  <c r="AM31" i="48"/>
  <c r="AI31" i="48"/>
  <c r="AO123" i="1"/>
  <c r="BS15" i="48"/>
  <c r="BZ28" i="3"/>
  <c r="BZ127" i="3" s="1"/>
  <c r="BT156" i="48"/>
  <c r="BT103" i="48"/>
  <c r="BT52" i="48"/>
  <c r="BT114" i="48"/>
  <c r="BT70" i="48"/>
  <c r="BT33" i="48"/>
  <c r="BT16" i="48"/>
  <c r="M131" i="1"/>
  <c r="M127" i="2"/>
  <c r="M135" i="1"/>
  <c r="O127" i="2"/>
  <c r="O135" i="1"/>
  <c r="O131" i="1"/>
  <c r="CL94" i="3"/>
  <c r="BW70" i="48"/>
  <c r="BW33" i="48"/>
  <c r="BW103" i="48"/>
  <c r="BW114" i="48"/>
  <c r="BW52" i="48"/>
  <c r="BX103" i="48"/>
  <c r="BY48" i="48"/>
  <c r="BX105" i="48"/>
  <c r="R135" i="1"/>
  <c r="R127" i="2"/>
  <c r="R131" i="1"/>
  <c r="AI131" i="1"/>
  <c r="AI135" i="1"/>
  <c r="AI127" i="2"/>
  <c r="BS61" i="48"/>
  <c r="AD64" i="48"/>
  <c r="AD63" i="48"/>
  <c r="AD62" i="48"/>
  <c r="AE62" i="48"/>
  <c r="AD105" i="48"/>
  <c r="AH115" i="48"/>
  <c r="AH106" i="48"/>
  <c r="BU79" i="48"/>
  <c r="BV81" i="48" s="1"/>
  <c r="AI84" i="3"/>
  <c r="V131" i="1"/>
  <c r="V127" i="2"/>
  <c r="V135" i="1"/>
  <c r="J137" i="1"/>
  <c r="J11" i="3"/>
  <c r="BG64" i="2"/>
  <c r="BF68" i="2"/>
  <c r="W80" i="1"/>
  <c r="AE168" i="1"/>
  <c r="BS33" i="48"/>
  <c r="BS156" i="48"/>
  <c r="BS114" i="48"/>
  <c r="BS16" i="48"/>
  <c r="AH102" i="48"/>
  <c r="AL102" i="48" s="1"/>
  <c r="AP102" i="48" s="1"/>
  <c r="AT102" i="48" s="1"/>
  <c r="AX102" i="48" s="1"/>
  <c r="BT94" i="3"/>
  <c r="AM14" i="48"/>
  <c r="BP143" i="3"/>
  <c r="BP151" i="3" s="1"/>
  <c r="BP52" i="3"/>
  <c r="AL105" i="48"/>
  <c r="AL98" i="48"/>
  <c r="AL97" i="48"/>
  <c r="AL96" i="48"/>
  <c r="AP97" i="48"/>
  <c r="CM81" i="3"/>
  <c r="CM80" i="3" s="1"/>
  <c r="CM84" i="3" s="1"/>
  <c r="AM82" i="48"/>
  <c r="AM80" i="48"/>
  <c r="AQ81" i="48"/>
  <c r="AM81" i="48"/>
  <c r="J139" i="1"/>
  <c r="CP166" i="1"/>
  <c r="CP83" i="3"/>
  <c r="CP81" i="3" s="1"/>
  <c r="CP80" i="3" s="1"/>
  <c r="CP84" i="3" s="1"/>
  <c r="CP113" i="3"/>
  <c r="CP91" i="3"/>
  <c r="AE80" i="48"/>
  <c r="CJ52" i="3"/>
  <c r="BT105" i="48"/>
  <c r="CI41" i="3"/>
  <c r="BF21" i="3"/>
  <c r="BF120" i="3" s="1"/>
  <c r="BG66" i="2"/>
  <c r="AF14" i="48"/>
  <c r="CL15" i="48"/>
  <c r="BW69" i="3"/>
  <c r="BW134" i="3"/>
  <c r="BW140" i="3" s="1"/>
  <c r="AE50" i="48"/>
  <c r="AV14" i="48"/>
  <c r="AE26" i="48"/>
  <c r="Q81" i="1"/>
  <c r="Q98" i="1"/>
  <c r="AK62" i="48"/>
  <c r="AK63" i="48"/>
  <c r="AK105" i="48"/>
  <c r="AK64" i="48"/>
  <c r="AK26" i="48"/>
  <c r="AK27" i="48"/>
  <c r="AK25" i="48"/>
  <c r="K75" i="1"/>
  <c r="K71" i="1"/>
  <c r="BM134" i="3"/>
  <c r="BM140" i="3" s="1"/>
  <c r="BM69" i="3"/>
  <c r="BM41" i="3"/>
  <c r="CK33" i="48"/>
  <c r="CK32" i="48"/>
  <c r="CL32" i="48"/>
  <c r="AA33" i="48"/>
  <c r="AA42" i="48" s="1"/>
  <c r="CG66" i="3"/>
  <c r="CG68" i="3" s="1"/>
  <c r="CG133" i="3"/>
  <c r="CG140" i="3" s="1"/>
  <c r="W114" i="1"/>
  <c r="W130" i="1"/>
  <c r="BF129" i="3"/>
  <c r="BG129" i="3" s="1"/>
  <c r="AA114" i="1"/>
  <c r="AA130" i="1"/>
  <c r="AJ127" i="2"/>
  <c r="AJ131" i="1"/>
  <c r="AJ135" i="1"/>
  <c r="BJ48" i="3"/>
  <c r="CS48" i="3"/>
  <c r="CS147" i="3" s="1"/>
  <c r="BU114" i="48"/>
  <c r="BU52" i="48"/>
  <c r="BU70" i="48"/>
  <c r="BU16" i="48"/>
  <c r="BU103" i="48"/>
  <c r="BV103" i="48"/>
  <c r="Q82" i="1"/>
  <c r="AT108" i="48"/>
  <c r="E138" i="1"/>
  <c r="E118" i="1"/>
  <c r="AT96" i="48"/>
  <c r="BW95" i="48"/>
  <c r="AS97" i="48"/>
  <c r="AS105" i="48"/>
  <c r="AS96" i="48"/>
  <c r="AW97" i="48"/>
  <c r="CP103" i="48"/>
  <c r="CO103" i="48"/>
  <c r="H131" i="1"/>
  <c r="H135" i="1"/>
  <c r="H127" i="2"/>
  <c r="W84" i="3"/>
  <c r="BT79" i="48"/>
  <c r="AE103" i="48"/>
  <c r="BI128" i="3"/>
  <c r="BJ128" i="3" s="1"/>
  <c r="BI20" i="2"/>
  <c r="CH166" i="1"/>
  <c r="CH83" i="3"/>
  <c r="CH113" i="3"/>
  <c r="AO97" i="48"/>
  <c r="S97" i="1"/>
  <c r="S113" i="1"/>
  <c r="S104" i="1"/>
  <c r="BG127" i="3"/>
  <c r="AD80" i="48"/>
  <c r="AD82" i="48"/>
  <c r="AD81" i="48"/>
  <c r="AH81" i="48"/>
  <c r="W71" i="1"/>
  <c r="W75" i="1"/>
  <c r="F130" i="1"/>
  <c r="F114" i="1"/>
  <c r="BO83" i="3"/>
  <c r="BO166" i="1"/>
  <c r="BO113" i="3"/>
  <c r="AL62" i="48"/>
  <c r="AL64" i="48"/>
  <c r="AL63" i="48"/>
  <c r="AP63" i="48"/>
  <c r="CN103" i="48"/>
  <c r="CO140" i="3"/>
  <c r="T98" i="1"/>
  <c r="T81" i="1"/>
  <c r="AL81" i="48"/>
  <c r="AS108" i="1"/>
  <c r="AS122" i="1"/>
  <c r="BS165" i="1"/>
  <c r="AE115" i="48"/>
  <c r="CQ166" i="1"/>
  <c r="CQ91" i="3"/>
  <c r="CQ113" i="3"/>
  <c r="CQ83" i="3"/>
  <c r="E101" i="1"/>
  <c r="E119" i="1"/>
  <c r="E111" i="1"/>
  <c r="AQ107" i="48"/>
  <c r="AR107" i="48"/>
  <c r="X168" i="1"/>
  <c r="U118" i="1"/>
  <c r="U138" i="1"/>
  <c r="S81" i="1"/>
  <c r="S98" i="1"/>
  <c r="M139" i="1"/>
  <c r="F119" i="1"/>
  <c r="F111" i="1"/>
  <c r="F101" i="1"/>
  <c r="AC119" i="1"/>
  <c r="AC111" i="1"/>
  <c r="AC101" i="1"/>
  <c r="V139" i="1"/>
  <c r="AP96" i="2"/>
  <c r="AM109" i="2"/>
  <c r="AM110" i="2" s="1"/>
  <c r="AM98" i="2"/>
  <c r="AL99" i="2"/>
  <c r="P110" i="3"/>
  <c r="P31" i="3"/>
  <c r="CQ51" i="3"/>
  <c r="BZ40" i="3"/>
  <c r="BZ139" i="3" s="1"/>
  <c r="BE71" i="48"/>
  <c r="BD73" i="48"/>
  <c r="BD66" i="48"/>
  <c r="BY29" i="48"/>
  <c r="Z100" i="1"/>
  <c r="Z83" i="1"/>
  <c r="Z165" i="1"/>
  <c r="BD84" i="48"/>
  <c r="BE89" i="48"/>
  <c r="BD91" i="48"/>
  <c r="BG139" i="3"/>
  <c r="AH137" i="1"/>
  <c r="AH11" i="3"/>
  <c r="AE131" i="1"/>
  <c r="AE127" i="2"/>
  <c r="AE135" i="1"/>
  <c r="T81" i="3"/>
  <c r="T72" i="3"/>
  <c r="T73" i="3"/>
  <c r="T76" i="3" s="1"/>
  <c r="T71" i="3"/>
  <c r="AU108" i="48"/>
  <c r="AL110" i="2"/>
  <c r="AF108" i="48"/>
  <c r="AJ108" i="48"/>
  <c r="AG107" i="48"/>
  <c r="CA65" i="2"/>
  <c r="O168" i="1"/>
  <c r="BH126" i="3"/>
  <c r="L72" i="3"/>
  <c r="L73" i="3" s="1"/>
  <c r="L76" i="3" s="1"/>
  <c r="L81" i="3"/>
  <c r="L71" i="3"/>
  <c r="BH42" i="2"/>
  <c r="BZ42" i="2"/>
  <c r="BG51" i="3"/>
  <c r="BZ51" i="3" s="1"/>
  <c r="BZ150" i="3" s="1"/>
  <c r="BC85" i="48"/>
  <c r="BG86" i="48" s="1"/>
  <c r="BC87" i="48"/>
  <c r="S82" i="1"/>
  <c r="BH139" i="3"/>
  <c r="AC99" i="1"/>
  <c r="AC109" i="1"/>
  <c r="AC117" i="1"/>
  <c r="BS117" i="1" s="1"/>
  <c r="AS114" i="1"/>
  <c r="BX84" i="3"/>
  <c r="BX81" i="3"/>
  <c r="BX80" i="3" s="1"/>
  <c r="U139" i="1"/>
  <c r="I88" i="3"/>
  <c r="I102" i="3" s="1"/>
  <c r="I58" i="3"/>
  <c r="L120" i="1"/>
  <c r="L140" i="1"/>
  <c r="AW109" i="2"/>
  <c r="AX104" i="2"/>
  <c r="CA41" i="2"/>
  <c r="Z99" i="1"/>
  <c r="Z117" i="1"/>
  <c r="Z109" i="1"/>
  <c r="AG165" i="1"/>
  <c r="AG83" i="1"/>
  <c r="AG100" i="1"/>
  <c r="BW47" i="3"/>
  <c r="BI98" i="2"/>
  <c r="X119" i="1"/>
  <c r="X111" i="1"/>
  <c r="X101" i="1"/>
  <c r="AF131" i="1"/>
  <c r="AF127" i="2"/>
  <c r="AF135" i="1"/>
  <c r="BV112" i="48"/>
  <c r="AB118" i="1"/>
  <c r="AB138" i="1"/>
  <c r="F168" i="1"/>
  <c r="BY69" i="48"/>
  <c r="BC32" i="48"/>
  <c r="BC30" i="48"/>
  <c r="BG31" i="48" s="1"/>
  <c r="BC100" i="48"/>
  <c r="CF170" i="1"/>
  <c r="CF172" i="1" s="1"/>
  <c r="CF174" i="1" s="1"/>
  <c r="CF176" i="1" s="1"/>
  <c r="BH39" i="2"/>
  <c r="BI88" i="1" s="1"/>
  <c r="BG87" i="2"/>
  <c r="BZ39" i="2"/>
  <c r="BX51" i="3"/>
  <c r="AY108" i="48"/>
  <c r="BT115" i="48"/>
  <c r="BT106" i="48"/>
  <c r="BC67" i="48"/>
  <c r="BG68" i="48" s="1"/>
  <c r="BC69" i="48"/>
  <c r="BI25" i="2"/>
  <c r="BI27" i="3" s="1"/>
  <c r="CS27" i="3" s="1"/>
  <c r="CS126" i="3" s="1"/>
  <c r="CG71" i="3"/>
  <c r="CG73" i="3"/>
  <c r="CG76" i="3" s="1"/>
  <c r="CG81" i="3"/>
  <c r="CG80" i="3" s="1"/>
  <c r="CG84" i="3" s="1"/>
  <c r="CH70" i="3"/>
  <c r="Q81" i="3"/>
  <c r="Q71" i="3"/>
  <c r="Q72" i="3"/>
  <c r="CH72" i="3" s="1"/>
  <c r="P70" i="3"/>
  <c r="BI22" i="2"/>
  <c r="BI40" i="3" s="1"/>
  <c r="CS40" i="3" s="1"/>
  <c r="CS139" i="3" s="1"/>
  <c r="O118" i="1"/>
  <c r="O138" i="1"/>
  <c r="BG150" i="3"/>
  <c r="BJ67" i="2"/>
  <c r="CS67" i="2"/>
  <c r="BI35" i="2"/>
  <c r="AQ104" i="1"/>
  <c r="AQ97" i="1"/>
  <c r="AQ113" i="1"/>
  <c r="E168" i="1"/>
  <c r="CP47" i="3"/>
  <c r="AG31" i="3"/>
  <c r="AG90" i="3"/>
  <c r="AG93" i="3" s="1"/>
  <c r="BY87" i="48"/>
  <c r="BH54" i="2"/>
  <c r="BI55" i="2"/>
  <c r="X117" i="1"/>
  <c r="X109" i="1"/>
  <c r="X99" i="1"/>
  <c r="AY84" i="3"/>
  <c r="AC168" i="1"/>
  <c r="BD36" i="48"/>
  <c r="BE34" i="48"/>
  <c r="BD29" i="48"/>
  <c r="CI71" i="3"/>
  <c r="CI73" i="3"/>
  <c r="CI76" i="3" s="1"/>
  <c r="CI81" i="3"/>
  <c r="CI80" i="3" s="1"/>
  <c r="CI84" i="3" s="1"/>
  <c r="AU97" i="2"/>
  <c r="Y88" i="3"/>
  <c r="Y102" i="3" s="1"/>
  <c r="Y58" i="3"/>
  <c r="O111" i="1"/>
  <c r="O119" i="1"/>
  <c r="O101" i="1"/>
  <c r="V118" i="1"/>
  <c r="V138" i="1"/>
  <c r="BF145" i="1"/>
  <c r="BG144" i="1"/>
  <c r="BG145" i="1" s="1"/>
  <c r="BG49" i="3"/>
  <c r="BG52" i="3" s="1"/>
  <c r="BF148" i="3"/>
  <c r="BE151" i="3"/>
  <c r="BI148" i="1"/>
  <c r="BH81" i="2"/>
  <c r="BH147" i="1"/>
  <c r="BZ81" i="2"/>
  <c r="BF52" i="3"/>
  <c r="BF149" i="1"/>
  <c r="AL154" i="1"/>
  <c r="AM154" i="1" s="1"/>
  <c r="CM154" i="1"/>
  <c r="BB102" i="48" l="1"/>
  <c r="BF102" i="48" s="1"/>
  <c r="BJ102" i="48" s="1"/>
  <c r="AX115" i="48"/>
  <c r="AX106" i="48"/>
  <c r="BB64" i="48"/>
  <c r="BB105" i="48"/>
  <c r="BB106" i="48" s="1"/>
  <c r="BB62" i="48"/>
  <c r="BB63" i="48"/>
  <c r="BB81" i="48"/>
  <c r="BB82" i="48"/>
  <c r="BB80" i="48"/>
  <c r="BB26" i="48"/>
  <c r="BB27" i="48"/>
  <c r="BB25" i="48"/>
  <c r="BB45" i="48"/>
  <c r="BB43" i="48"/>
  <c r="BB44" i="48"/>
  <c r="BU105" i="48"/>
  <c r="BV108" i="48" s="1"/>
  <c r="G58" i="3"/>
  <c r="CS72" i="3"/>
  <c r="BJ72" i="3"/>
  <c r="BK72" i="3" s="1"/>
  <c r="CA72" i="3" s="1"/>
  <c r="CS88" i="1"/>
  <c r="BI12" i="2"/>
  <c r="BI114" i="2"/>
  <c r="BG149" i="1"/>
  <c r="BN81" i="1"/>
  <c r="BN98" i="1"/>
  <c r="AZ106" i="48"/>
  <c r="AZ115" i="48"/>
  <c r="BY100" i="48"/>
  <c r="BY103" i="48" s="1"/>
  <c r="BC10" i="1"/>
  <c r="AW106" i="48"/>
  <c r="BA108" i="48" s="1"/>
  <c r="BU42" i="48"/>
  <c r="BU45" i="48" s="1"/>
  <c r="BN71" i="1"/>
  <c r="BN75" i="1"/>
  <c r="BN82" i="1" s="1"/>
  <c r="BU26" i="1"/>
  <c r="BU28" i="1"/>
  <c r="BS138" i="1"/>
  <c r="BS118" i="1"/>
  <c r="BU114" i="1"/>
  <c r="CP75" i="1"/>
  <c r="BM130" i="1"/>
  <c r="BM114" i="1"/>
  <c r="CP114" i="1"/>
  <c r="CG71" i="1"/>
  <c r="CG75" i="1"/>
  <c r="CG82" i="1" s="1"/>
  <c r="CH118" i="1"/>
  <c r="CH138" i="1"/>
  <c r="BM138" i="1"/>
  <c r="BM118" i="1"/>
  <c r="CG130" i="1"/>
  <c r="CG114" i="1"/>
  <c r="CF114" i="1"/>
  <c r="CF130" i="1"/>
  <c r="BT19" i="1"/>
  <c r="BT33" i="1"/>
  <c r="BT35" i="1"/>
  <c r="BT47" i="1"/>
  <c r="BT45" i="1"/>
  <c r="BT57" i="1"/>
  <c r="BT59" i="1"/>
  <c r="BT29" i="1"/>
  <c r="BT27" i="1"/>
  <c r="BT71" i="1"/>
  <c r="CF118" i="1"/>
  <c r="CF138" i="1"/>
  <c r="AF168" i="1"/>
  <c r="AH34" i="1"/>
  <c r="AH80" i="1"/>
  <c r="AI29" i="1"/>
  <c r="AI57" i="1"/>
  <c r="AI33" i="1"/>
  <c r="AI71" i="1"/>
  <c r="AI45" i="1"/>
  <c r="AI35" i="1"/>
  <c r="AI59" i="1"/>
  <c r="AI47" i="1"/>
  <c r="AI27" i="1"/>
  <c r="D88" i="3"/>
  <c r="D102" i="3" s="1"/>
  <c r="D58" i="3"/>
  <c r="D59" i="3" s="1"/>
  <c r="BO99" i="1"/>
  <c r="BO117" i="1"/>
  <c r="BO109" i="1"/>
  <c r="BQ81" i="1"/>
  <c r="BQ98" i="1"/>
  <c r="P101" i="1"/>
  <c r="P119" i="1"/>
  <c r="P111" i="1"/>
  <c r="CI117" i="1"/>
  <c r="CI99" i="1"/>
  <c r="CI109" i="1"/>
  <c r="AG98" i="1"/>
  <c r="AG81" i="1"/>
  <c r="H111" i="1"/>
  <c r="H119" i="1"/>
  <c r="H101" i="1"/>
  <c r="AE140" i="1"/>
  <c r="AE120" i="1"/>
  <c r="AX69" i="1"/>
  <c r="AW70" i="1"/>
  <c r="AW75" i="1" s="1"/>
  <c r="CJ138" i="1"/>
  <c r="CJ118" i="1"/>
  <c r="AB168" i="1"/>
  <c r="BW122" i="1"/>
  <c r="BW123" i="1" s="1"/>
  <c r="BW108" i="1"/>
  <c r="CJ114" i="1"/>
  <c r="CJ130" i="1"/>
  <c r="BR117" i="1"/>
  <c r="BR99" i="1"/>
  <c r="BR109" i="1"/>
  <c r="BR120" i="1"/>
  <c r="BR140" i="1"/>
  <c r="BR139" i="1" s="1"/>
  <c r="AF99" i="1"/>
  <c r="AF117" i="1"/>
  <c r="AF109" i="1"/>
  <c r="CH120" i="1"/>
  <c r="CH140" i="1"/>
  <c r="CH139" i="1" s="1"/>
  <c r="BR114" i="1"/>
  <c r="BR130" i="1"/>
  <c r="BQ130" i="1"/>
  <c r="BQ114" i="1"/>
  <c r="Z135" i="1"/>
  <c r="Z127" i="2"/>
  <c r="Z131" i="1"/>
  <c r="CL83" i="1"/>
  <c r="CL100" i="1"/>
  <c r="CL165" i="1"/>
  <c r="CK130" i="1"/>
  <c r="CK114" i="1"/>
  <c r="D118" i="1"/>
  <c r="D138" i="1"/>
  <c r="BP99" i="1"/>
  <c r="BP117" i="1"/>
  <c r="BP109" i="1"/>
  <c r="CK99" i="1"/>
  <c r="CK117" i="1"/>
  <c r="CK109" i="1"/>
  <c r="CG81" i="1"/>
  <c r="CG98" i="1"/>
  <c r="CI83" i="1"/>
  <c r="CI100" i="1"/>
  <c r="BP83" i="1"/>
  <c r="BP100" i="1"/>
  <c r="CL117" i="1"/>
  <c r="CL99" i="1"/>
  <c r="CL109" i="1"/>
  <c r="BM120" i="1"/>
  <c r="BM140" i="1"/>
  <c r="BM139" i="1" s="1"/>
  <c r="CK120" i="1"/>
  <c r="CK140" i="1"/>
  <c r="CK139" i="1" s="1"/>
  <c r="BO140" i="1"/>
  <c r="BO139" i="1" s="1"/>
  <c r="BO120" i="1"/>
  <c r="BP130" i="1"/>
  <c r="BP114" i="1"/>
  <c r="H138" i="1"/>
  <c r="H118" i="1"/>
  <c r="BO130" i="1"/>
  <c r="BO114" i="1"/>
  <c r="BS109" i="1"/>
  <c r="BS99" i="1"/>
  <c r="CI130" i="1"/>
  <c r="CI114" i="1"/>
  <c r="CJ119" i="1"/>
  <c r="CJ101" i="1"/>
  <c r="CJ111" i="1"/>
  <c r="AF101" i="1"/>
  <c r="AF119" i="1"/>
  <c r="AF170" i="1"/>
  <c r="AF172" i="1" s="1"/>
  <c r="AF174" i="1" s="1"/>
  <c r="AF176" i="1" s="1"/>
  <c r="AF98" i="3" s="1"/>
  <c r="AF111" i="1"/>
  <c r="AH36" i="1"/>
  <c r="AJ115" i="1"/>
  <c r="AJ129" i="1" s="1"/>
  <c r="AK11" i="1"/>
  <c r="CM11" i="1" s="1"/>
  <c r="CM115" i="1" s="1"/>
  <c r="AJ17" i="1"/>
  <c r="CM135" i="1"/>
  <c r="CM137" i="1" s="1"/>
  <c r="CM131" i="1"/>
  <c r="BQ71" i="1"/>
  <c r="BQ75" i="1"/>
  <c r="BQ82" i="1" s="1"/>
  <c r="P168" i="1"/>
  <c r="CH130" i="1"/>
  <c r="CH127" i="2" s="1"/>
  <c r="CH114" i="1"/>
  <c r="BN114" i="1"/>
  <c r="BN130" i="1"/>
  <c r="D168" i="1"/>
  <c r="D119" i="1"/>
  <c r="D111" i="1"/>
  <c r="D101" i="1"/>
  <c r="H168" i="1"/>
  <c r="AB119" i="1"/>
  <c r="AB101" i="1"/>
  <c r="AB111" i="1"/>
  <c r="CF140" i="1"/>
  <c r="CF139" i="1" s="1"/>
  <c r="CF120" i="1"/>
  <c r="P138" i="1"/>
  <c r="P118" i="1"/>
  <c r="CO122" i="1"/>
  <c r="CO123" i="1" s="1"/>
  <c r="CO108" i="1"/>
  <c r="N118" i="1"/>
  <c r="N138" i="1"/>
  <c r="AD168" i="1"/>
  <c r="AV107" i="48"/>
  <c r="AZ108" i="48"/>
  <c r="X11" i="3"/>
  <c r="X137" i="1"/>
  <c r="BU64" i="48"/>
  <c r="BU63" i="48"/>
  <c r="BU26" i="48"/>
  <c r="BV26" i="48"/>
  <c r="BU27" i="48"/>
  <c r="CL103" i="48"/>
  <c r="AD111" i="1"/>
  <c r="AD119" i="1"/>
  <c r="AD101" i="1"/>
  <c r="N168" i="1"/>
  <c r="N101" i="1"/>
  <c r="N111" i="1"/>
  <c r="N119" i="1"/>
  <c r="T99" i="1"/>
  <c r="T117" i="1"/>
  <c r="T109" i="1"/>
  <c r="BO81" i="3"/>
  <c r="BO80" i="3" s="1"/>
  <c r="BO84" i="3" s="1"/>
  <c r="W82" i="1"/>
  <c r="CS20" i="2"/>
  <c r="BJ20" i="2"/>
  <c r="BX97" i="48"/>
  <c r="BW97" i="48"/>
  <c r="BW98" i="48"/>
  <c r="BK48" i="3"/>
  <c r="CA48" i="3" s="1"/>
  <c r="CA147" i="3" s="1"/>
  <c r="W81" i="1"/>
  <c r="W98" i="1"/>
  <c r="AD106" i="48"/>
  <c r="AH108" i="48" s="1"/>
  <c r="AD115" i="48"/>
  <c r="AI137" i="1"/>
  <c r="AI11" i="3"/>
  <c r="BY51" i="48"/>
  <c r="BD51" i="48"/>
  <c r="BD49" i="48"/>
  <c r="BH50" i="48" s="1"/>
  <c r="R139" i="1"/>
  <c r="AA82" i="48"/>
  <c r="AA80" i="48"/>
  <c r="AB80" i="48"/>
  <c r="BR79" i="48"/>
  <c r="BR114" i="48"/>
  <c r="BR70" i="48"/>
  <c r="AC88" i="3"/>
  <c r="AC102" i="3" s="1"/>
  <c r="AC58" i="3"/>
  <c r="BU44" i="48"/>
  <c r="T131" i="1"/>
  <c r="T135" i="1"/>
  <c r="T127" i="2"/>
  <c r="AO102" i="2"/>
  <c r="AN107" i="2"/>
  <c r="AA118" i="1"/>
  <c r="AA138" i="1"/>
  <c r="AH100" i="1"/>
  <c r="AH83" i="1"/>
  <c r="AH165" i="1"/>
  <c r="AO107" i="48"/>
  <c r="I168" i="1"/>
  <c r="BG167" i="1"/>
  <c r="Q100" i="1"/>
  <c r="Q83" i="1"/>
  <c r="Q165" i="1"/>
  <c r="AA135" i="1"/>
  <c r="AA127" i="2"/>
  <c r="AA131" i="1"/>
  <c r="W127" i="2"/>
  <c r="W131" i="1"/>
  <c r="W135" i="1"/>
  <c r="BZ66" i="2"/>
  <c r="BH66" i="2"/>
  <c r="BG21" i="3"/>
  <c r="BZ21" i="3" s="1"/>
  <c r="BZ120" i="3" s="1"/>
  <c r="AL106" i="48"/>
  <c r="AL115" i="48"/>
  <c r="BS103" i="48"/>
  <c r="V137" i="1"/>
  <c r="V11" i="3"/>
  <c r="AH107" i="48"/>
  <c r="BS64" i="48"/>
  <c r="BT63" i="48"/>
  <c r="AX107" i="48"/>
  <c r="BO165" i="1"/>
  <c r="O137" i="1"/>
  <c r="O11" i="3"/>
  <c r="M137" i="1"/>
  <c r="M11" i="3"/>
  <c r="M31" i="3" s="1"/>
  <c r="AM106" i="48"/>
  <c r="AM115" i="48"/>
  <c r="G138" i="1"/>
  <c r="G118" i="1"/>
  <c r="BR16" i="48"/>
  <c r="BX136" i="3"/>
  <c r="BX140" i="3" s="1"/>
  <c r="BX41" i="3"/>
  <c r="BM165" i="1"/>
  <c r="CA33" i="2"/>
  <c r="BK29" i="3"/>
  <c r="CA29" i="3" s="1"/>
  <c r="CA128" i="3" s="1"/>
  <c r="T83" i="1"/>
  <c r="T100" i="1"/>
  <c r="T165" i="1"/>
  <c r="Q137" i="1"/>
  <c r="Q11" i="3"/>
  <c r="Q31" i="3" s="1"/>
  <c r="L137" i="1"/>
  <c r="L11" i="3"/>
  <c r="AN108" i="48"/>
  <c r="I119" i="1"/>
  <c r="I111" i="1"/>
  <c r="I101" i="1"/>
  <c r="AI107" i="48"/>
  <c r="BR33" i="48"/>
  <c r="AR108" i="48"/>
  <c r="BU110" i="2"/>
  <c r="BU115" i="48"/>
  <c r="F135" i="1"/>
  <c r="F131" i="1"/>
  <c r="F127" i="2"/>
  <c r="BT82" i="48"/>
  <c r="BT81" i="48"/>
  <c r="AS115" i="48"/>
  <c r="BW105" i="48"/>
  <c r="BX108" i="48" s="1"/>
  <c r="AS106" i="48"/>
  <c r="K82" i="1"/>
  <c r="Q99" i="1"/>
  <c r="Q109" i="1"/>
  <c r="Q117" i="1"/>
  <c r="CL127" i="2"/>
  <c r="BS157" i="48"/>
  <c r="BS158" i="48"/>
  <c r="J31" i="3"/>
  <c r="R11" i="3"/>
  <c r="R31" i="3" s="1"/>
  <c r="R137" i="1"/>
  <c r="BX115" i="48"/>
  <c r="BX106" i="48"/>
  <c r="BT175" i="48"/>
  <c r="BT182" i="48"/>
  <c r="AE258" i="48"/>
  <c r="AE261" i="48"/>
  <c r="AF257" i="48"/>
  <c r="BE55" i="48"/>
  <c r="BE48" i="48"/>
  <c r="BF53" i="48"/>
  <c r="AR103" i="2"/>
  <c r="BV103" i="2"/>
  <c r="AQ108" i="2"/>
  <c r="BV108" i="2" s="1"/>
  <c r="AA97" i="48"/>
  <c r="AA98" i="48"/>
  <c r="AE97" i="48"/>
  <c r="AA96" i="48"/>
  <c r="AB96" i="48"/>
  <c r="BR95" i="48"/>
  <c r="AE102" i="48"/>
  <c r="AI102" i="48" s="1"/>
  <c r="AM102" i="48" s="1"/>
  <c r="AQ102" i="48" s="1"/>
  <c r="AU102" i="48" s="1"/>
  <c r="AY102" i="48" s="1"/>
  <c r="BC102" i="48" s="1"/>
  <c r="BG102" i="48" s="1"/>
  <c r="BK102" i="48" s="1"/>
  <c r="AA64" i="48"/>
  <c r="AB62" i="48"/>
  <c r="AA62" i="48"/>
  <c r="AA105" i="48"/>
  <c r="AE63" i="48"/>
  <c r="BR61" i="48"/>
  <c r="BS63" i="48" s="1"/>
  <c r="K114" i="1"/>
  <c r="K130" i="1"/>
  <c r="E31" i="3"/>
  <c r="E110" i="3"/>
  <c r="BS27" i="48"/>
  <c r="BS26" i="48"/>
  <c r="BT26" i="48"/>
  <c r="AR123" i="1"/>
  <c r="Z108" i="48"/>
  <c r="Z107" i="48"/>
  <c r="AJ107" i="48"/>
  <c r="AA100" i="1"/>
  <c r="AA83" i="1"/>
  <c r="AA165" i="1"/>
  <c r="BW81" i="3"/>
  <c r="BW80" i="3" s="1"/>
  <c r="BW84" i="3" s="1"/>
  <c r="BF15" i="48"/>
  <c r="BF13" i="48"/>
  <c r="BJ14" i="48" s="1"/>
  <c r="BR52" i="48"/>
  <c r="AL127" i="1"/>
  <c r="AL116" i="1" s="1"/>
  <c r="AL130" i="1"/>
  <c r="BZ49" i="3"/>
  <c r="BZ52" i="3" s="1"/>
  <c r="Q73" i="3"/>
  <c r="Q76" i="3" s="1"/>
  <c r="CK165" i="1"/>
  <c r="BU109" i="2"/>
  <c r="BS105" i="48"/>
  <c r="BT108" i="48" s="1"/>
  <c r="S130" i="1"/>
  <c r="S114" i="1"/>
  <c r="BI28" i="3"/>
  <c r="H11" i="3"/>
  <c r="H137" i="1"/>
  <c r="AJ11" i="3"/>
  <c r="AJ137" i="1"/>
  <c r="AA45" i="48"/>
  <c r="AB43" i="48"/>
  <c r="AE44" i="48"/>
  <c r="AA43" i="48"/>
  <c r="BR42" i="48" s="1"/>
  <c r="AK106" i="48"/>
  <c r="AK115" i="48"/>
  <c r="BH64" i="2"/>
  <c r="BZ64" i="2"/>
  <c r="BZ68" i="2" s="1"/>
  <c r="BG68" i="2"/>
  <c r="BU82" i="48"/>
  <c r="BU81" i="48"/>
  <c r="K81" i="1"/>
  <c r="K98" i="1"/>
  <c r="BU98" i="48"/>
  <c r="BU97" i="48"/>
  <c r="BV44" i="48"/>
  <c r="AE81" i="48"/>
  <c r="BS42" i="48"/>
  <c r="AB11" i="3"/>
  <c r="AB137" i="1"/>
  <c r="BJ147" i="3"/>
  <c r="BK147" i="3" s="1"/>
  <c r="BV115" i="48"/>
  <c r="BV106" i="48"/>
  <c r="G120" i="1"/>
  <c r="G140" i="1"/>
  <c r="BR27" i="48"/>
  <c r="BR26" i="48"/>
  <c r="BH30" i="3"/>
  <c r="BH129" i="3" s="1"/>
  <c r="BI34" i="2"/>
  <c r="CF70" i="3"/>
  <c r="I81" i="3"/>
  <c r="I71" i="3"/>
  <c r="I73" i="3"/>
  <c r="I76" i="3" s="1"/>
  <c r="I72" i="3"/>
  <c r="CF72" i="3" s="1"/>
  <c r="H70" i="3"/>
  <c r="AD31" i="3"/>
  <c r="BQ81" i="3"/>
  <c r="BQ80" i="3" s="1"/>
  <c r="BQ84" i="3" s="1"/>
  <c r="Y140" i="1"/>
  <c r="Y120" i="1"/>
  <c r="CF168" i="1"/>
  <c r="BG12" i="48"/>
  <c r="BZ12" i="48" s="1"/>
  <c r="BZ15" i="48" s="1"/>
  <c r="BH17" i="48"/>
  <c r="BG19" i="48"/>
  <c r="AK130" i="1"/>
  <c r="AK114" i="1"/>
  <c r="BV97" i="48"/>
  <c r="AM125" i="1"/>
  <c r="BU125" i="1" s="1"/>
  <c r="AM28" i="1"/>
  <c r="AN25" i="1"/>
  <c r="AM26" i="1"/>
  <c r="O120" i="1"/>
  <c r="O140" i="1"/>
  <c r="BE29" i="48"/>
  <c r="CR29" i="48" s="1"/>
  <c r="BE36" i="48"/>
  <c r="BF34" i="48"/>
  <c r="AG95" i="3"/>
  <c r="BJ35" i="2"/>
  <c r="CS35" i="2"/>
  <c r="BX150" i="3"/>
  <c r="BX151" i="3" s="1"/>
  <c r="BX52" i="3"/>
  <c r="CF178" i="1"/>
  <c r="CF179" i="1" s="1"/>
  <c r="AG168" i="1"/>
  <c r="CK170" i="1"/>
  <c r="CK172" i="1" s="1"/>
  <c r="CK174" i="1" s="1"/>
  <c r="CK176" i="1" s="1"/>
  <c r="AH90" i="3"/>
  <c r="AH93" i="3" s="1"/>
  <c r="AH31" i="3"/>
  <c r="BE91" i="48"/>
  <c r="BF89" i="48"/>
  <c r="BE84" i="48"/>
  <c r="CR84" i="48" s="1"/>
  <c r="Z101" i="1"/>
  <c r="Z111" i="1"/>
  <c r="Z119" i="1"/>
  <c r="BY32" i="48"/>
  <c r="BD67" i="48"/>
  <c r="BH68" i="48" s="1"/>
  <c r="BD69" i="48"/>
  <c r="AN98" i="2"/>
  <c r="AN109" i="2"/>
  <c r="BU98" i="2"/>
  <c r="AM99" i="2"/>
  <c r="BU99" i="2" s="1"/>
  <c r="AQ96" i="2"/>
  <c r="BS106" i="48"/>
  <c r="S109" i="1"/>
  <c r="S117" i="1"/>
  <c r="S99" i="1"/>
  <c r="E140" i="1"/>
  <c r="E120" i="1"/>
  <c r="BS170" i="1"/>
  <c r="BS172" i="1" s="1"/>
  <c r="BS174" i="1" s="1"/>
  <c r="BS176" i="1" s="1"/>
  <c r="BS98" i="3" s="1"/>
  <c r="AS123" i="1"/>
  <c r="X118" i="1"/>
  <c r="X138" i="1"/>
  <c r="BI54" i="2"/>
  <c r="BJ55" i="2"/>
  <c r="BT127" i="2"/>
  <c r="AQ114" i="1"/>
  <c r="BK67" i="2"/>
  <c r="P71" i="3"/>
  <c r="P81" i="3"/>
  <c r="P72" i="3"/>
  <c r="P73" i="3" s="1"/>
  <c r="P76" i="3" s="1"/>
  <c r="BI39" i="2"/>
  <c r="BJ88" i="1" s="1"/>
  <c r="BH87" i="2"/>
  <c r="L139" i="1"/>
  <c r="AC138" i="1"/>
  <c r="AC118" i="1"/>
  <c r="S165" i="1"/>
  <c r="S83" i="1"/>
  <c r="S100" i="1"/>
  <c r="BI42" i="2"/>
  <c r="BH51" i="3"/>
  <c r="AE11" i="3"/>
  <c r="AE137" i="1"/>
  <c r="BD85" i="48"/>
  <c r="BH86" i="48" s="1"/>
  <c r="BD87" i="48"/>
  <c r="Z168" i="1"/>
  <c r="P88" i="3"/>
  <c r="P102" i="3" s="1"/>
  <c r="P58" i="3"/>
  <c r="AC140" i="1"/>
  <c r="AC120" i="1"/>
  <c r="F120" i="1"/>
  <c r="F140" i="1"/>
  <c r="BS168" i="1"/>
  <c r="BB66" i="3"/>
  <c r="BB114" i="48"/>
  <c r="AG88" i="3"/>
  <c r="AG102" i="3" s="1"/>
  <c r="AG58" i="3"/>
  <c r="BJ22" i="2"/>
  <c r="BJ40" i="3" s="1"/>
  <c r="CS22" i="2"/>
  <c r="CH71" i="3"/>
  <c r="CH73" i="3"/>
  <c r="CH76" i="3" s="1"/>
  <c r="CH81" i="3"/>
  <c r="CH80" i="3" s="1"/>
  <c r="CH84" i="3" s="1"/>
  <c r="CS25" i="2"/>
  <c r="BJ25" i="2"/>
  <c r="BJ27" i="3" s="1"/>
  <c r="BC103" i="48"/>
  <c r="BC101" i="48"/>
  <c r="BJ98" i="2"/>
  <c r="AG101" i="1"/>
  <c r="AG119" i="1"/>
  <c r="AG111" i="1"/>
  <c r="AG170" i="1"/>
  <c r="AG172" i="1" s="1"/>
  <c r="AG174" i="1" s="1"/>
  <c r="AG176" i="1" s="1"/>
  <c r="AG98" i="3" s="1"/>
  <c r="AG99" i="3" s="1"/>
  <c r="BI139" i="3"/>
  <c r="BE73" i="48"/>
  <c r="BE66" i="48"/>
  <c r="BF71" i="48"/>
  <c r="CQ150" i="3"/>
  <c r="CQ151" i="3" s="1"/>
  <c r="CQ52" i="3"/>
  <c r="P130" i="3"/>
  <c r="P157" i="3" s="1"/>
  <c r="CQ81" i="3"/>
  <c r="CQ80" i="3" s="1"/>
  <c r="CQ84" i="3" s="1"/>
  <c r="AV97" i="2"/>
  <c r="BW97" i="2"/>
  <c r="BD32" i="48"/>
  <c r="BD30" i="48"/>
  <c r="BH31" i="48" s="1"/>
  <c r="BD100" i="48"/>
  <c r="BD10" i="1" s="1"/>
  <c r="CP146" i="3"/>
  <c r="CP151" i="3" s="1"/>
  <c r="CP52" i="3"/>
  <c r="AF137" i="1"/>
  <c r="AF11" i="3"/>
  <c r="X140" i="1"/>
  <c r="X120" i="1"/>
  <c r="BW146" i="3"/>
  <c r="BW151" i="3" s="1"/>
  <c r="BW52" i="3"/>
  <c r="Z138" i="1"/>
  <c r="Z118" i="1"/>
  <c r="AY104" i="2"/>
  <c r="AX109" i="2"/>
  <c r="BI126" i="3"/>
  <c r="AI108" i="48"/>
  <c r="BI147" i="1"/>
  <c r="BI81" i="2"/>
  <c r="BJ148" i="1"/>
  <c r="BZ145" i="1"/>
  <c r="BH144" i="1"/>
  <c r="BH49" i="3"/>
  <c r="CS148" i="1"/>
  <c r="BF151" i="3"/>
  <c r="BG148" i="3"/>
  <c r="BG151" i="3" s="1"/>
  <c r="BZ144" i="1"/>
  <c r="AN154" i="1"/>
  <c r="AO154" i="1" s="1"/>
  <c r="BU154" i="1"/>
  <c r="CK168" i="1" l="1"/>
  <c r="BU106" i="48"/>
  <c r="BZ148" i="3"/>
  <c r="BZ151" i="3" s="1"/>
  <c r="BU108" i="48"/>
  <c r="BY16" i="48"/>
  <c r="AX108" i="48"/>
  <c r="AY107" i="48"/>
  <c r="BB107" i="48"/>
  <c r="BB108" i="48"/>
  <c r="BY33" i="48"/>
  <c r="CS12" i="2"/>
  <c r="BJ114" i="2"/>
  <c r="BJ12" i="2"/>
  <c r="BD13" i="1"/>
  <c r="BD12" i="1"/>
  <c r="BD18" i="1"/>
  <c r="BD28" i="1"/>
  <c r="BD21" i="1" s="1"/>
  <c r="BD31" i="1" s="1"/>
  <c r="BN100" i="1"/>
  <c r="BN83" i="1"/>
  <c r="BN99" i="1"/>
  <c r="BN109" i="1"/>
  <c r="BN117" i="1"/>
  <c r="AE107" i="48"/>
  <c r="BY70" i="48"/>
  <c r="BY52" i="48"/>
  <c r="AW107" i="48"/>
  <c r="BC12" i="1"/>
  <c r="BC38" i="1" s="1"/>
  <c r="BC13" i="1"/>
  <c r="BC18" i="1"/>
  <c r="BC28" i="1"/>
  <c r="BC21" i="1" s="1"/>
  <c r="BY10" i="1"/>
  <c r="BY59" i="2" s="1"/>
  <c r="AZ107" i="48"/>
  <c r="BA107" i="48"/>
  <c r="BU127" i="1"/>
  <c r="BU116" i="1" s="1"/>
  <c r="BU130" i="1"/>
  <c r="BN135" i="1"/>
  <c r="BN137" i="1" s="1"/>
  <c r="BN131" i="1"/>
  <c r="AJ35" i="1"/>
  <c r="AJ29" i="1"/>
  <c r="AJ57" i="1"/>
  <c r="AJ59" i="1"/>
  <c r="AJ33" i="1"/>
  <c r="AJ71" i="1"/>
  <c r="AJ27" i="1"/>
  <c r="AJ45" i="1"/>
  <c r="AJ47" i="1"/>
  <c r="BP135" i="1"/>
  <c r="BP137" i="1" s="1"/>
  <c r="BP131" i="1"/>
  <c r="BP101" i="1"/>
  <c r="BP119" i="1"/>
  <c r="BP111" i="1"/>
  <c r="CI101" i="1"/>
  <c r="CI119" i="1"/>
  <c r="CI111" i="1"/>
  <c r="CK138" i="1"/>
  <c r="CK118" i="1"/>
  <c r="CL168" i="1"/>
  <c r="CL101" i="1"/>
  <c r="CL111" i="1"/>
  <c r="CL119" i="1"/>
  <c r="CL170" i="1"/>
  <c r="CL172" i="1" s="1"/>
  <c r="CL174" i="1" s="1"/>
  <c r="CL176" i="1" s="1"/>
  <c r="CL98" i="3" s="1"/>
  <c r="Z11" i="3"/>
  <c r="Z31" i="3" s="1"/>
  <c r="Z137" i="1"/>
  <c r="BQ135" i="1"/>
  <c r="BQ137" i="1" s="1"/>
  <c r="BQ131" i="1"/>
  <c r="CJ135" i="1"/>
  <c r="CJ137" i="1" s="1"/>
  <c r="CJ131" i="1"/>
  <c r="H120" i="1"/>
  <c r="H140" i="1"/>
  <c r="CI118" i="1"/>
  <c r="CI138" i="1"/>
  <c r="BQ117" i="1"/>
  <c r="BQ99" i="1"/>
  <c r="BQ109" i="1"/>
  <c r="BO118" i="1"/>
  <c r="BO138" i="1"/>
  <c r="E56" i="3"/>
  <c r="D62" i="3"/>
  <c r="AI80" i="1"/>
  <c r="AI34" i="1"/>
  <c r="BT36" i="1"/>
  <c r="BT82" i="1"/>
  <c r="BT40" i="1"/>
  <c r="BT52" i="1"/>
  <c r="CF135" i="1"/>
  <c r="CF137" i="1" s="1"/>
  <c r="CF131" i="1"/>
  <c r="BM135" i="1"/>
  <c r="BM137" i="1" s="1"/>
  <c r="BM131" i="1"/>
  <c r="CP76" i="1"/>
  <c r="BS119" i="1"/>
  <c r="AB120" i="1"/>
  <c r="AB140" i="1"/>
  <c r="D140" i="1"/>
  <c r="D120" i="1"/>
  <c r="CH135" i="1"/>
  <c r="CH137" i="1" s="1"/>
  <c r="CH131" i="1"/>
  <c r="BQ83" i="1"/>
  <c r="BQ100" i="1"/>
  <c r="AL11" i="1"/>
  <c r="AK115" i="1"/>
  <c r="AK129" i="1" s="1"/>
  <c r="AK17" i="1"/>
  <c r="AF120" i="1"/>
  <c r="AF178" i="1"/>
  <c r="AF179" i="1" s="1"/>
  <c r="AF140" i="1"/>
  <c r="CJ140" i="1"/>
  <c r="CJ139" i="1" s="1"/>
  <c r="CJ120" i="1"/>
  <c r="CI135" i="1"/>
  <c r="CI137" i="1" s="1"/>
  <c r="CI131" i="1"/>
  <c r="BO135" i="1"/>
  <c r="BO137" i="1" s="1"/>
  <c r="BO131" i="1"/>
  <c r="CL138" i="1"/>
  <c r="CL118" i="1"/>
  <c r="CG99" i="1"/>
  <c r="CG117" i="1"/>
  <c r="CG109" i="1"/>
  <c r="BP118" i="1"/>
  <c r="BP138" i="1"/>
  <c r="CK135" i="1"/>
  <c r="CK137" i="1" s="1"/>
  <c r="CK131" i="1"/>
  <c r="BR135" i="1"/>
  <c r="BR137" i="1" s="1"/>
  <c r="BR131" i="1"/>
  <c r="AF118" i="1"/>
  <c r="AF138" i="1"/>
  <c r="BR138" i="1"/>
  <c r="BR118" i="1"/>
  <c r="AY69" i="1"/>
  <c r="AX70" i="1"/>
  <c r="AX75" i="1" s="1"/>
  <c r="AG99" i="1"/>
  <c r="AG109" i="1"/>
  <c r="AG117" i="1"/>
  <c r="P120" i="1"/>
  <c r="P140" i="1"/>
  <c r="AI36" i="1"/>
  <c r="AI82" i="1"/>
  <c r="AH81" i="1"/>
  <c r="AH98" i="1"/>
  <c r="BT34" i="1"/>
  <c r="BT80" i="1"/>
  <c r="CG135" i="1"/>
  <c r="CG137" i="1" s="1"/>
  <c r="CG131" i="1"/>
  <c r="CG83" i="1"/>
  <c r="CG100" i="1"/>
  <c r="N120" i="1"/>
  <c r="N140" i="1"/>
  <c r="AD140" i="1"/>
  <c r="AD120" i="1"/>
  <c r="X110" i="3"/>
  <c r="X31" i="3"/>
  <c r="BH19" i="48"/>
  <c r="BH12" i="48"/>
  <c r="BI17" i="48"/>
  <c r="BO127" i="2"/>
  <c r="BT44" i="48"/>
  <c r="BS45" i="48"/>
  <c r="BS44" i="48"/>
  <c r="BR45" i="48"/>
  <c r="BR44" i="48"/>
  <c r="H110" i="3"/>
  <c r="H31" i="3"/>
  <c r="S135" i="1"/>
  <c r="S127" i="2"/>
  <c r="S131" i="1"/>
  <c r="AA168" i="1"/>
  <c r="E130" i="3"/>
  <c r="E157" i="3" s="1"/>
  <c r="E158" i="3" s="1"/>
  <c r="E161" i="3" s="1"/>
  <c r="BF48" i="48"/>
  <c r="BF55" i="48"/>
  <c r="BG53" i="48"/>
  <c r="I140" i="1"/>
  <c r="I120" i="1"/>
  <c r="Q88" i="3"/>
  <c r="Q102" i="3" s="1"/>
  <c r="Q58" i="3"/>
  <c r="T168" i="1"/>
  <c r="O31" i="3"/>
  <c r="CH11" i="3"/>
  <c r="CG165" i="1"/>
  <c r="AP108" i="48"/>
  <c r="AL108" i="48"/>
  <c r="W137" i="1"/>
  <c r="W11" i="3"/>
  <c r="W31" i="3" s="1"/>
  <c r="AA137" i="1"/>
  <c r="AA11" i="3"/>
  <c r="CJ165" i="1"/>
  <c r="BH167" i="1"/>
  <c r="AH168" i="1"/>
  <c r="BR82" i="48"/>
  <c r="BR81" i="48"/>
  <c r="BS81" i="48"/>
  <c r="BK20" i="2"/>
  <c r="CA20" i="2" s="1"/>
  <c r="T138" i="1"/>
  <c r="T118" i="1"/>
  <c r="Q110" i="3"/>
  <c r="R110" i="3" s="1"/>
  <c r="AM127" i="1"/>
  <c r="AM116" i="1" s="1"/>
  <c r="AM130" i="1"/>
  <c r="BG15" i="48"/>
  <c r="BG13" i="48"/>
  <c r="BK14" i="48" s="1"/>
  <c r="Y139" i="1"/>
  <c r="BI64" i="2"/>
  <c r="BH68" i="2"/>
  <c r="AJ31" i="3"/>
  <c r="AJ90" i="3"/>
  <c r="AJ93" i="3" s="1"/>
  <c r="AJ110" i="3"/>
  <c r="AJ130" i="3" s="1"/>
  <c r="AJ157" i="3" s="1"/>
  <c r="BI127" i="3"/>
  <c r="CS28" i="3"/>
  <c r="CS127" i="3" s="1"/>
  <c r="AL131" i="1"/>
  <c r="AL135" i="1"/>
  <c r="AL127" i="2"/>
  <c r="K127" i="2"/>
  <c r="K131" i="1"/>
  <c r="K135" i="1"/>
  <c r="AA106" i="48"/>
  <c r="AA115" i="48"/>
  <c r="BR105" i="48"/>
  <c r="BE51" i="48"/>
  <c r="BE49" i="48"/>
  <c r="BI50" i="48" s="1"/>
  <c r="BR127" i="2"/>
  <c r="AS107" i="48"/>
  <c r="AT107" i="48"/>
  <c r="AS108" i="48"/>
  <c r="F137" i="1"/>
  <c r="F11" i="3"/>
  <c r="F110" i="3" s="1"/>
  <c r="T119" i="1"/>
  <c r="T111" i="1"/>
  <c r="T101" i="1"/>
  <c r="AM108" i="48"/>
  <c r="AQ108" i="48"/>
  <c r="AM107" i="48"/>
  <c r="BO170" i="1"/>
  <c r="BO172" i="1" s="1"/>
  <c r="BO174" i="1" s="1"/>
  <c r="BO176" i="1" s="1"/>
  <c r="V31" i="3"/>
  <c r="Q168" i="1"/>
  <c r="Q101" i="1"/>
  <c r="Q111" i="1"/>
  <c r="Q119" i="1"/>
  <c r="AP102" i="2"/>
  <c r="AO107" i="2"/>
  <c r="AK135" i="1"/>
  <c r="AK131" i="1"/>
  <c r="AK127" i="2"/>
  <c r="H81" i="3"/>
  <c r="H71" i="3"/>
  <c r="H72" i="3"/>
  <c r="H73" i="3" s="1"/>
  <c r="H76" i="3" s="1"/>
  <c r="BI30" i="3"/>
  <c r="BJ34" i="2"/>
  <c r="CS34" i="2"/>
  <c r="G139" i="1"/>
  <c r="AB110" i="3"/>
  <c r="AB31" i="3"/>
  <c r="K117" i="1"/>
  <c r="K109" i="1"/>
  <c r="K99" i="1"/>
  <c r="BM127" i="2"/>
  <c r="E88" i="3"/>
  <c r="E102" i="3" s="1"/>
  <c r="E58" i="3"/>
  <c r="BT184" i="48"/>
  <c r="BT181" i="48"/>
  <c r="R88" i="3"/>
  <c r="R102" i="3" s="1"/>
  <c r="R58" i="3"/>
  <c r="BW106" i="48"/>
  <c r="BW108" i="48"/>
  <c r="BW115" i="48"/>
  <c r="AN107" i="48"/>
  <c r="L110" i="3"/>
  <c r="L31" i="3"/>
  <c r="BO11" i="3"/>
  <c r="BM170" i="1"/>
  <c r="BM172" i="1" s="1"/>
  <c r="BM174" i="1" s="1"/>
  <c r="BM176" i="1" s="1"/>
  <c r="M88" i="3"/>
  <c r="M102" i="3" s="1"/>
  <c r="M58" i="3"/>
  <c r="AW108" i="48"/>
  <c r="BH21" i="3"/>
  <c r="BI66" i="2"/>
  <c r="BG120" i="3"/>
  <c r="BZ167" i="1"/>
  <c r="AD107" i="48"/>
  <c r="AD108" i="48"/>
  <c r="W109" i="1"/>
  <c r="W117" i="1"/>
  <c r="W99" i="1"/>
  <c r="BK128" i="3"/>
  <c r="W83" i="1"/>
  <c r="W165" i="1"/>
  <c r="W100" i="1"/>
  <c r="BJ139" i="3"/>
  <c r="BS115" i="48"/>
  <c r="AN28" i="1"/>
  <c r="AN26" i="1"/>
  <c r="AN125" i="1"/>
  <c r="AO25" i="1"/>
  <c r="AD88" i="3"/>
  <c r="AD102" i="3" s="1"/>
  <c r="AD58" i="3"/>
  <c r="CF71" i="3"/>
  <c r="CF73" i="3"/>
  <c r="CF76" i="3" s="1"/>
  <c r="CF81" i="3"/>
  <c r="CF80" i="3" s="1"/>
  <c r="CF84" i="3" s="1"/>
  <c r="AL107" i="48"/>
  <c r="AK108" i="48"/>
  <c r="AK107" i="48"/>
  <c r="CF127" i="2"/>
  <c r="AA101" i="1"/>
  <c r="AA111" i="1"/>
  <c r="AA119" i="1"/>
  <c r="CH165" i="1"/>
  <c r="BR63" i="48"/>
  <c r="BR64" i="48"/>
  <c r="BR98" i="48"/>
  <c r="BS97" i="48"/>
  <c r="AS103" i="2"/>
  <c r="AR108" i="2"/>
  <c r="AG257" i="48"/>
  <c r="AF258" i="48"/>
  <c r="AF261" i="48"/>
  <c r="J88" i="3"/>
  <c r="J102" i="3" s="1"/>
  <c r="J58" i="3"/>
  <c r="Q118" i="1"/>
  <c r="Q138" i="1"/>
  <c r="K100" i="1"/>
  <c r="K165" i="1"/>
  <c r="K83" i="1"/>
  <c r="CR48" i="48"/>
  <c r="BM168" i="1"/>
  <c r="BO168" i="1"/>
  <c r="AO108" i="48"/>
  <c r="AH101" i="1"/>
  <c r="AH170" i="1"/>
  <c r="AH172" i="1" s="1"/>
  <c r="AH174" i="1" s="1"/>
  <c r="AH176" i="1" s="1"/>
  <c r="AH98" i="3" s="1"/>
  <c r="AH99" i="3" s="1"/>
  <c r="AH119" i="1"/>
  <c r="AH111" i="1"/>
  <c r="T137" i="1"/>
  <c r="T11" i="3"/>
  <c r="AI90" i="3"/>
  <c r="AI93" i="3" s="1"/>
  <c r="AI31" i="3"/>
  <c r="BR165" i="1"/>
  <c r="BJ28" i="3"/>
  <c r="X139" i="1"/>
  <c r="AZ104" i="2"/>
  <c r="BX104" i="2"/>
  <c r="AY109" i="2"/>
  <c r="AF90" i="3"/>
  <c r="AF93" i="3" s="1"/>
  <c r="AF31" i="3"/>
  <c r="BT11" i="3"/>
  <c r="AF110" i="3"/>
  <c r="BD103" i="48"/>
  <c r="BD101" i="48"/>
  <c r="AW97" i="2"/>
  <c r="BE69" i="48"/>
  <c r="BE67" i="48"/>
  <c r="BI68" i="48" s="1"/>
  <c r="AG178" i="1"/>
  <c r="AG179" i="1" s="1"/>
  <c r="AG140" i="1"/>
  <c r="AG120" i="1"/>
  <c r="BK22" i="2"/>
  <c r="CA22" i="2" s="1"/>
  <c r="BQ127" i="2"/>
  <c r="CR87" i="48"/>
  <c r="AE31" i="3"/>
  <c r="CL11" i="3"/>
  <c r="BS11" i="3"/>
  <c r="BH150" i="3"/>
  <c r="S101" i="1"/>
  <c r="S119" i="1"/>
  <c r="S111" i="1"/>
  <c r="CS39" i="2"/>
  <c r="BJ39" i="2"/>
  <c r="BK88" i="1" s="1"/>
  <c r="CA88" i="1" s="1"/>
  <c r="BI87" i="2"/>
  <c r="CA67" i="2"/>
  <c r="E139" i="1"/>
  <c r="CR66" i="48"/>
  <c r="AH95" i="3"/>
  <c r="BE30" i="48"/>
  <c r="BI31" i="48" s="1"/>
  <c r="BE32" i="48"/>
  <c r="BE100" i="48"/>
  <c r="BJ126" i="3"/>
  <c r="BK25" i="2"/>
  <c r="CA25" i="2" s="1"/>
  <c r="AC139" i="1"/>
  <c r="BJ42" i="2"/>
  <c r="CS42" i="2"/>
  <c r="BI51" i="3"/>
  <c r="CS51" i="3" s="1"/>
  <c r="CS150" i="3" s="1"/>
  <c r="BS127" i="2"/>
  <c r="CI165" i="1"/>
  <c r="BJ54" i="2"/>
  <c r="BK55" i="2"/>
  <c r="Z120" i="1"/>
  <c r="Z140" i="1"/>
  <c r="CJ127" i="2"/>
  <c r="BK98" i="2"/>
  <c r="CA98" i="2" s="1"/>
  <c r="BC66" i="3"/>
  <c r="BC110" i="48"/>
  <c r="BC114" i="48" s="1"/>
  <c r="BC59" i="2"/>
  <c r="BC16" i="48"/>
  <c r="BC52" i="48"/>
  <c r="BC33" i="48"/>
  <c r="BC88" i="48"/>
  <c r="BC70" i="48"/>
  <c r="BB70" i="3"/>
  <c r="BB81" i="3" s="1"/>
  <c r="BB92" i="3"/>
  <c r="AN110" i="2"/>
  <c r="BE87" i="48"/>
  <c r="BE85" i="48"/>
  <c r="BI86" i="48" s="1"/>
  <c r="AH88" i="3"/>
  <c r="AH102" i="3" s="1"/>
  <c r="AH58" i="3"/>
  <c r="AG100" i="3"/>
  <c r="BF29" i="48"/>
  <c r="BG34" i="48"/>
  <c r="BF36" i="48"/>
  <c r="CR32" i="48"/>
  <c r="BX109" i="2"/>
  <c r="CK127" i="2"/>
  <c r="BF66" i="48"/>
  <c r="BF73" i="48"/>
  <c r="BG71" i="48"/>
  <c r="F139" i="1"/>
  <c r="S168" i="1"/>
  <c r="BP165" i="1"/>
  <c r="S138" i="1"/>
  <c r="S118" i="1"/>
  <c r="BV96" i="2"/>
  <c r="AR96" i="2"/>
  <c r="AO109" i="2"/>
  <c r="AO98" i="2"/>
  <c r="AN99" i="2"/>
  <c r="BF84" i="48"/>
  <c r="BF91" i="48"/>
  <c r="BG89" i="48"/>
  <c r="CK178" i="1"/>
  <c r="CK179" i="1" s="1"/>
  <c r="BK35" i="2"/>
  <c r="CA35" i="2" s="1"/>
  <c r="O139" i="1"/>
  <c r="CS81" i="2"/>
  <c r="BH145" i="1"/>
  <c r="BH148" i="3"/>
  <c r="BH52" i="3"/>
  <c r="BI144" i="1"/>
  <c r="BI145" i="1" s="1"/>
  <c r="BI49" i="3"/>
  <c r="CS147" i="1"/>
  <c r="BJ81" i="2"/>
  <c r="BK148" i="1"/>
  <c r="CA148" i="1" s="1"/>
  <c r="BJ147" i="1"/>
  <c r="BZ149" i="1"/>
  <c r="BH149" i="1"/>
  <c r="CN154" i="1"/>
  <c r="AP154" i="1"/>
  <c r="AQ154" i="1" s="1"/>
  <c r="BY110" i="48" l="1"/>
  <c r="BY114" i="48" s="1"/>
  <c r="BI52" i="3"/>
  <c r="BK40" i="3"/>
  <c r="CA40" i="3" s="1"/>
  <c r="CA139" i="3" s="1"/>
  <c r="BK114" i="2"/>
  <c r="BK12" i="2"/>
  <c r="CA12" i="2" s="1"/>
  <c r="BD38" i="1"/>
  <c r="BC46" i="1"/>
  <c r="BC48" i="1" s="1"/>
  <c r="BC39" i="1"/>
  <c r="BC44" i="1"/>
  <c r="BY38" i="1"/>
  <c r="CR100" i="48"/>
  <c r="CR103" i="48" s="1"/>
  <c r="BE10" i="1"/>
  <c r="BY13" i="1"/>
  <c r="BC22" i="1"/>
  <c r="BY21" i="1"/>
  <c r="BY22" i="1" s="1"/>
  <c r="BN118" i="1"/>
  <c r="BN138" i="1"/>
  <c r="BN101" i="1"/>
  <c r="BN111" i="1"/>
  <c r="BN119" i="1"/>
  <c r="BD32" i="1"/>
  <c r="CJ11" i="3"/>
  <c r="BC31" i="1"/>
  <c r="BC50" i="1"/>
  <c r="BC73" i="1" s="1"/>
  <c r="BD22" i="1"/>
  <c r="CG119" i="1"/>
  <c r="CG101" i="1"/>
  <c r="CG111" i="1"/>
  <c r="P139" i="1"/>
  <c r="AG138" i="1"/>
  <c r="AG118" i="1"/>
  <c r="AK71" i="1"/>
  <c r="AK57" i="1"/>
  <c r="AK45" i="1"/>
  <c r="AK35" i="1"/>
  <c r="AK47" i="1"/>
  <c r="AK59" i="1"/>
  <c r="AK33" i="1"/>
  <c r="AK27" i="1"/>
  <c r="AK29" i="1"/>
  <c r="AM11" i="1"/>
  <c r="AL115" i="1"/>
  <c r="AL129" i="1" s="1"/>
  <c r="AL17" i="1"/>
  <c r="BS120" i="1"/>
  <c r="BS140" i="1"/>
  <c r="BQ138" i="1"/>
  <c r="BQ118" i="1"/>
  <c r="H139" i="1"/>
  <c r="BP120" i="1"/>
  <c r="BP140" i="1"/>
  <c r="BP139" i="1" s="1"/>
  <c r="CM17" i="1"/>
  <c r="BU131" i="1"/>
  <c r="BU135" i="1"/>
  <c r="BU137" i="1" s="1"/>
  <c r="BT81" i="1"/>
  <c r="BT98" i="1"/>
  <c r="AH117" i="1"/>
  <c r="AH99" i="1"/>
  <c r="AH109" i="1"/>
  <c r="AI165" i="1"/>
  <c r="AI100" i="1"/>
  <c r="AI83" i="1"/>
  <c r="AZ69" i="1"/>
  <c r="AY70" i="1"/>
  <c r="AY75" i="1" s="1"/>
  <c r="BX69" i="1"/>
  <c r="BX70" i="1" s="1"/>
  <c r="CN25" i="1"/>
  <c r="CG138" i="1"/>
  <c r="CG118" i="1"/>
  <c r="BQ101" i="1"/>
  <c r="BQ119" i="1"/>
  <c r="BQ111" i="1"/>
  <c r="D139" i="1"/>
  <c r="AB139" i="1"/>
  <c r="BT83" i="1"/>
  <c r="BT100" i="1"/>
  <c r="BT165" i="1"/>
  <c r="AI98" i="1"/>
  <c r="AI81" i="1"/>
  <c r="Z88" i="3"/>
  <c r="Z102" i="3" s="1"/>
  <c r="Z58" i="3"/>
  <c r="CL120" i="1"/>
  <c r="CL140" i="1"/>
  <c r="CL178" i="1"/>
  <c r="CL179" i="1" s="1"/>
  <c r="CI140" i="1"/>
  <c r="CI139" i="1" s="1"/>
  <c r="CI120" i="1"/>
  <c r="AJ34" i="1"/>
  <c r="AJ80" i="1"/>
  <c r="AJ82" i="1"/>
  <c r="AJ36" i="1"/>
  <c r="X130" i="3"/>
  <c r="X157" i="3" s="1"/>
  <c r="Y110" i="3"/>
  <c r="AD139" i="1"/>
  <c r="X58" i="3"/>
  <c r="X88" i="3"/>
  <c r="X102" i="3" s="1"/>
  <c r="BS178" i="1"/>
  <c r="BS179" i="1" s="1"/>
  <c r="N139" i="1"/>
  <c r="BR168" i="1"/>
  <c r="AI88" i="3"/>
  <c r="AI102" i="3" s="1"/>
  <c r="AI58" i="3"/>
  <c r="CH168" i="1"/>
  <c r="AA140" i="1"/>
  <c r="AA120" i="1"/>
  <c r="W118" i="1"/>
  <c r="W138" i="1"/>
  <c r="BH120" i="3"/>
  <c r="L58" i="3"/>
  <c r="L88" i="3"/>
  <c r="L102" i="3" s="1"/>
  <c r="CS30" i="3"/>
  <c r="CS129" i="3" s="1"/>
  <c r="BI129" i="3"/>
  <c r="BN127" i="2"/>
  <c r="AK11" i="3"/>
  <c r="AK137" i="1"/>
  <c r="BR106" i="48"/>
  <c r="BR115" i="48"/>
  <c r="AJ95" i="3"/>
  <c r="CJ168" i="1"/>
  <c r="AA31" i="3"/>
  <c r="CK11" i="3"/>
  <c r="BR11" i="3"/>
  <c r="CG170" i="1"/>
  <c r="CG172" i="1" s="1"/>
  <c r="CG174" i="1" s="1"/>
  <c r="CG176" i="1" s="1"/>
  <c r="O88" i="3"/>
  <c r="O102" i="3" s="1"/>
  <c r="O58" i="3"/>
  <c r="CH58" i="3" s="1"/>
  <c r="BF51" i="48"/>
  <c r="BF49" i="48"/>
  <c r="BJ50" i="48" s="1"/>
  <c r="H130" i="3"/>
  <c r="H157" i="3" s="1"/>
  <c r="I110" i="3"/>
  <c r="BR170" i="1"/>
  <c r="BR172" i="1" s="1"/>
  <c r="BR174" i="1" s="1"/>
  <c r="BR176" i="1" s="1"/>
  <c r="T31" i="3"/>
  <c r="T110" i="3"/>
  <c r="BQ11" i="3"/>
  <c r="AH178" i="1"/>
  <c r="AH179" i="1" s="1"/>
  <c r="AH120" i="1"/>
  <c r="AH140" i="1"/>
  <c r="CR51" i="48"/>
  <c r="AG261" i="48"/>
  <c r="AG258" i="48"/>
  <c r="AH257" i="48"/>
  <c r="CH170" i="1"/>
  <c r="CH172" i="1" s="1"/>
  <c r="CH174" i="1" s="1"/>
  <c r="CH176" i="1" s="1"/>
  <c r="M110" i="3"/>
  <c r="L130" i="3"/>
  <c r="L157" i="3" s="1"/>
  <c r="E59" i="3"/>
  <c r="K138" i="1"/>
  <c r="K118" i="1"/>
  <c r="AB58" i="3"/>
  <c r="AB88" i="3"/>
  <c r="AB102" i="3" s="1"/>
  <c r="CM127" i="2"/>
  <c r="CJ31" i="3"/>
  <c r="CJ110" i="3"/>
  <c r="CJ130" i="3" s="1"/>
  <c r="CJ157" i="3" s="1"/>
  <c r="BP127" i="2"/>
  <c r="K11" i="3"/>
  <c r="K137" i="1"/>
  <c r="AL137" i="1"/>
  <c r="AL11" i="3"/>
  <c r="BJ127" i="3"/>
  <c r="AJ88" i="3"/>
  <c r="AJ102" i="3" s="1"/>
  <c r="AJ58" i="3"/>
  <c r="AM135" i="1"/>
  <c r="AM127" i="2"/>
  <c r="AM131" i="1"/>
  <c r="CS167" i="1"/>
  <c r="BI167" i="1"/>
  <c r="I139" i="1"/>
  <c r="F130" i="3"/>
  <c r="F157" i="3" s="1"/>
  <c r="F158" i="3" s="1"/>
  <c r="F161" i="3" s="1"/>
  <c r="G110" i="3"/>
  <c r="G130" i="3" s="1"/>
  <c r="G157" i="3" s="1"/>
  <c r="G158" i="3" s="1"/>
  <c r="S137" i="1"/>
  <c r="S11" i="3"/>
  <c r="CS49" i="3"/>
  <c r="CS52" i="3" s="1"/>
  <c r="AO110" i="2"/>
  <c r="Q130" i="3"/>
  <c r="Q157" i="3" s="1"/>
  <c r="AI95" i="3"/>
  <c r="K168" i="1"/>
  <c r="AO125" i="1"/>
  <c r="AO28" i="1"/>
  <c r="AP25" i="1"/>
  <c r="AO26" i="1"/>
  <c r="W119" i="1"/>
  <c r="W101" i="1"/>
  <c r="W111" i="1"/>
  <c r="CI127" i="2"/>
  <c r="AC110" i="3"/>
  <c r="AB130" i="3"/>
  <c r="AB157" i="3" s="1"/>
  <c r="BS108" i="48"/>
  <c r="AQ102" i="2"/>
  <c r="AP107" i="2"/>
  <c r="Q120" i="1"/>
  <c r="Q140" i="1"/>
  <c r="V88" i="3"/>
  <c r="V102" i="3" s="1"/>
  <c r="V58" i="3"/>
  <c r="BO178" i="1"/>
  <c r="BO179" i="1" s="1"/>
  <c r="F31" i="3"/>
  <c r="CF11" i="3"/>
  <c r="BM11" i="3"/>
  <c r="AA108" i="48"/>
  <c r="AB107" i="48"/>
  <c r="AA107" i="48"/>
  <c r="AE108" i="48"/>
  <c r="CJ170" i="1"/>
  <c r="CJ172" i="1" s="1"/>
  <c r="CJ174" i="1" s="1"/>
  <c r="CJ176" i="1" s="1"/>
  <c r="W88" i="3"/>
  <c r="W102" i="3" s="1"/>
  <c r="W58" i="3"/>
  <c r="CG168" i="1"/>
  <c r="BG48" i="48"/>
  <c r="BG55" i="48"/>
  <c r="BH53" i="48"/>
  <c r="BI12" i="48"/>
  <c r="BJ17" i="48"/>
  <c r="BI19" i="48"/>
  <c r="AH100" i="3"/>
  <c r="BQ165" i="1"/>
  <c r="K119" i="1"/>
  <c r="K111" i="1"/>
  <c r="K101" i="1"/>
  <c r="AT103" i="2"/>
  <c r="AS108" i="2"/>
  <c r="AN127" i="1"/>
  <c r="AN116" i="1" s="1"/>
  <c r="AN130" i="1"/>
  <c r="W168" i="1"/>
  <c r="CS66" i="2"/>
  <c r="BI21" i="3"/>
  <c r="BJ66" i="2"/>
  <c r="BM178" i="1"/>
  <c r="BM179" i="1" s="1"/>
  <c r="BO110" i="3"/>
  <c r="BO130" i="3" s="1"/>
  <c r="BO157" i="3" s="1"/>
  <c r="BO31" i="3"/>
  <c r="BO88" i="3" s="1"/>
  <c r="BO102" i="3" s="1"/>
  <c r="CG127" i="2"/>
  <c r="BJ30" i="3"/>
  <c r="BK34" i="2"/>
  <c r="T120" i="1"/>
  <c r="T140" i="1"/>
  <c r="BJ64" i="2"/>
  <c r="CS64" i="2"/>
  <c r="CS68" i="2" s="1"/>
  <c r="BI68" i="2"/>
  <c r="BK28" i="3"/>
  <c r="CA28" i="3" s="1"/>
  <c r="CA127" i="3" s="1"/>
  <c r="CH31" i="3"/>
  <c r="CH110" i="3"/>
  <c r="CH130" i="3" s="1"/>
  <c r="CH157" i="3" s="1"/>
  <c r="H58" i="3"/>
  <c r="H88" i="3"/>
  <c r="H102" i="3" s="1"/>
  <c r="BN165" i="1"/>
  <c r="BH13" i="48"/>
  <c r="BH15" i="48"/>
  <c r="BP168" i="1"/>
  <c r="S120" i="1"/>
  <c r="S140" i="1"/>
  <c r="BF85" i="48"/>
  <c r="BJ86" i="48" s="1"/>
  <c r="BF87" i="48"/>
  <c r="AP98" i="2"/>
  <c r="AP109" i="2"/>
  <c r="AP110" i="2" s="1"/>
  <c r="AO99" i="2"/>
  <c r="BC34" i="3"/>
  <c r="BC41" i="3" s="1"/>
  <c r="BC92" i="3"/>
  <c r="BH89" i="48"/>
  <c r="BG91" i="48"/>
  <c r="BG84" i="48"/>
  <c r="BH71" i="48"/>
  <c r="BG66" i="48"/>
  <c r="BG73" i="48"/>
  <c r="BF30" i="48"/>
  <c r="BJ31" i="48" s="1"/>
  <c r="BF32" i="48"/>
  <c r="BF100" i="48"/>
  <c r="BF10" i="1" s="1"/>
  <c r="BB133" i="3"/>
  <c r="BB41" i="3"/>
  <c r="BK54" i="2"/>
  <c r="CI170" i="1"/>
  <c r="CI172" i="1" s="1"/>
  <c r="CI174" i="1" s="1"/>
  <c r="CI176" i="1" s="1"/>
  <c r="BK27" i="3"/>
  <c r="CA27" i="3" s="1"/>
  <c r="CA126" i="3" s="1"/>
  <c r="CR69" i="48"/>
  <c r="BK39" i="2"/>
  <c r="BJ87" i="2"/>
  <c r="BS110" i="3"/>
  <c r="BS130" i="3" s="1"/>
  <c r="BS157" i="3" s="1"/>
  <c r="BS90" i="3"/>
  <c r="BS93" i="3" s="1"/>
  <c r="BS31" i="3"/>
  <c r="BS88" i="3" s="1"/>
  <c r="BS102" i="3" s="1"/>
  <c r="BD66" i="3"/>
  <c r="BD16" i="48"/>
  <c r="BD59" i="2"/>
  <c r="BD110" i="48"/>
  <c r="BD114" i="48" s="1"/>
  <c r="BD52" i="48"/>
  <c r="BD88" i="48"/>
  <c r="BD70" i="48"/>
  <c r="BD33" i="48"/>
  <c r="AF58" i="3"/>
  <c r="AF88" i="3"/>
  <c r="AF102" i="3" s="1"/>
  <c r="CL31" i="3"/>
  <c r="CL90" i="3"/>
  <c r="CL93" i="3" s="1"/>
  <c r="CL110" i="3"/>
  <c r="CL130" i="3" s="1"/>
  <c r="CL157" i="3" s="1"/>
  <c r="AF99" i="3"/>
  <c r="AF95" i="3"/>
  <c r="AF100" i="3" s="1"/>
  <c r="BA104" i="2"/>
  <c r="AZ109" i="2"/>
  <c r="BF69" i="48"/>
  <c r="BF67" i="48"/>
  <c r="BJ68" i="48" s="1"/>
  <c r="Z139" i="1"/>
  <c r="BJ51" i="3"/>
  <c r="BK42" i="2"/>
  <c r="BK139" i="3"/>
  <c r="AX97" i="2"/>
  <c r="AG110" i="3"/>
  <c r="AF130" i="3"/>
  <c r="AF157" i="3" s="1"/>
  <c r="BB73" i="3"/>
  <c r="BB75" i="3" s="1"/>
  <c r="BB76" i="3" s="1"/>
  <c r="BC70" i="3"/>
  <c r="R130" i="3"/>
  <c r="R157" i="3" s="1"/>
  <c r="AS96" i="2"/>
  <c r="BP170" i="1"/>
  <c r="BP172" i="1" s="1"/>
  <c r="BP174" i="1" s="1"/>
  <c r="BP176" i="1" s="1"/>
  <c r="BH34" i="48"/>
  <c r="BG29" i="48"/>
  <c r="BG36" i="48"/>
  <c r="BC16" i="2"/>
  <c r="BC25" i="3" s="1"/>
  <c r="BC13" i="2"/>
  <c r="BC23" i="3" s="1"/>
  <c r="CI168" i="1"/>
  <c r="BE103" i="48"/>
  <c r="BE101" i="48"/>
  <c r="BI150" i="3"/>
  <c r="AE88" i="3"/>
  <c r="AE102" i="3" s="1"/>
  <c r="AE58" i="3"/>
  <c r="BT31" i="3"/>
  <c r="BT88" i="3" s="1"/>
  <c r="BT102" i="3" s="1"/>
  <c r="BT90" i="3"/>
  <c r="BT93" i="3" s="1"/>
  <c r="BT110" i="3"/>
  <c r="BT130" i="3" s="1"/>
  <c r="BT157" i="3" s="1"/>
  <c r="CA81" i="2"/>
  <c r="CS145" i="1"/>
  <c r="BJ144" i="1"/>
  <c r="BJ49" i="3"/>
  <c r="BK81" i="2"/>
  <c r="BK147" i="1"/>
  <c r="CS144" i="1"/>
  <c r="CS149" i="1" s="1"/>
  <c r="BI149" i="1"/>
  <c r="BI148" i="3"/>
  <c r="BH151" i="3"/>
  <c r="BV154" i="1"/>
  <c r="AR154" i="1"/>
  <c r="AS154" i="1" s="1"/>
  <c r="BY88" i="48" l="1"/>
  <c r="BK126" i="3"/>
  <c r="BF12" i="1"/>
  <c r="BF13" i="1"/>
  <c r="BF18" i="1"/>
  <c r="BF28" i="1"/>
  <c r="BF21" i="1" s="1"/>
  <c r="BC78" i="1"/>
  <c r="BC79" i="1" s="1"/>
  <c r="BC32" i="1"/>
  <c r="BY34" i="3"/>
  <c r="BY41" i="3" s="1"/>
  <c r="BD50" i="1"/>
  <c r="BC51" i="1"/>
  <c r="BC56" i="1"/>
  <c r="BC74" i="1" s="1"/>
  <c r="BC58" i="1"/>
  <c r="BC60" i="1" s="1"/>
  <c r="BY50" i="1"/>
  <c r="BY159" i="1" s="1"/>
  <c r="BN120" i="1"/>
  <c r="BN140" i="1"/>
  <c r="BN139" i="1" s="1"/>
  <c r="BY31" i="1"/>
  <c r="BY32" i="1" s="1"/>
  <c r="BE13" i="1"/>
  <c r="BE12" i="1"/>
  <c r="BE38" i="1" s="1"/>
  <c r="BE18" i="1"/>
  <c r="BE28" i="1"/>
  <c r="BE21" i="1" s="1"/>
  <c r="CR10" i="1"/>
  <c r="CR162" i="1" s="1"/>
  <c r="BY39" i="1"/>
  <c r="BY46" i="1"/>
  <c r="BY44" i="1"/>
  <c r="BY73" i="1"/>
  <c r="BD44" i="1"/>
  <c r="BD39" i="1"/>
  <c r="BD46" i="1"/>
  <c r="BD48" i="1" s="1"/>
  <c r="AJ98" i="1"/>
  <c r="AJ81" i="1"/>
  <c r="AI109" i="1"/>
  <c r="AI117" i="1"/>
  <c r="BT117" i="1" s="1"/>
  <c r="AI99" i="1"/>
  <c r="BQ120" i="1"/>
  <c r="BQ140" i="1"/>
  <c r="BQ139" i="1" s="1"/>
  <c r="CN26" i="1"/>
  <c r="CN28" i="1"/>
  <c r="CN125" i="1"/>
  <c r="AI168" i="1"/>
  <c r="CM19" i="1"/>
  <c r="CM33" i="1"/>
  <c r="CM35" i="1"/>
  <c r="CM47" i="1"/>
  <c r="CM45" i="1"/>
  <c r="CM59" i="1"/>
  <c r="CM57" i="1"/>
  <c r="CM71" i="1"/>
  <c r="CM27" i="1"/>
  <c r="CM29" i="1"/>
  <c r="AK82" i="1"/>
  <c r="AK36" i="1"/>
  <c r="AJ83" i="1"/>
  <c r="AJ165" i="1"/>
  <c r="AJ100" i="1"/>
  <c r="BT168" i="1"/>
  <c r="BT111" i="1"/>
  <c r="BT101" i="1"/>
  <c r="BT170" i="1"/>
  <c r="BT172" i="1" s="1"/>
  <c r="BT174" i="1" s="1"/>
  <c r="BT176" i="1" s="1"/>
  <c r="BT98" i="3" s="1"/>
  <c r="BX75" i="1"/>
  <c r="BA69" i="1"/>
  <c r="BB69" i="1" s="1"/>
  <c r="BB70" i="1" s="1"/>
  <c r="AZ70" i="1"/>
  <c r="AZ75" i="1" s="1"/>
  <c r="AI119" i="1"/>
  <c r="AI170" i="1"/>
  <c r="AI172" i="1" s="1"/>
  <c r="AI174" i="1" s="1"/>
  <c r="AI176" i="1" s="1"/>
  <c r="AI98" i="3" s="1"/>
  <c r="AI99" i="3" s="1"/>
  <c r="AI101" i="1"/>
  <c r="AI111" i="1"/>
  <c r="AH118" i="1"/>
  <c r="AH138" i="1"/>
  <c r="BT99" i="1"/>
  <c r="BT109" i="1"/>
  <c r="AL47" i="1"/>
  <c r="AL45" i="1"/>
  <c r="AL33" i="1"/>
  <c r="AL71" i="1"/>
  <c r="AL29" i="1"/>
  <c r="AL27" i="1"/>
  <c r="AL57" i="1"/>
  <c r="AL59" i="1"/>
  <c r="AL35" i="1"/>
  <c r="AN11" i="1"/>
  <c r="AM115" i="1"/>
  <c r="AM129" i="1" s="1"/>
  <c r="BU129" i="1" s="1"/>
  <c r="AM17" i="1"/>
  <c r="BU11" i="1"/>
  <c r="BU115" i="1" s="1"/>
  <c r="AK80" i="1"/>
  <c r="AK34" i="1"/>
  <c r="CG120" i="1"/>
  <c r="CG140" i="1"/>
  <c r="CG139" i="1" s="1"/>
  <c r="Z110" i="3"/>
  <c r="Y130" i="3"/>
  <c r="Y157" i="3" s="1"/>
  <c r="T139" i="1"/>
  <c r="AN135" i="1"/>
  <c r="AN127" i="2"/>
  <c r="AN131" i="1"/>
  <c r="BJ12" i="48"/>
  <c r="BJ19" i="48"/>
  <c r="BK17" i="48"/>
  <c r="BG51" i="48"/>
  <c r="BG49" i="48"/>
  <c r="BK50" i="48" s="1"/>
  <c r="CF31" i="3"/>
  <c r="CF110" i="3"/>
  <c r="CF130" i="3" s="1"/>
  <c r="CF157" i="3" s="1"/>
  <c r="AC130" i="3"/>
  <c r="AC157" i="3" s="1"/>
  <c r="AD110" i="3"/>
  <c r="H155" i="3"/>
  <c r="G161" i="3"/>
  <c r="BJ167" i="1"/>
  <c r="N110" i="3"/>
  <c r="M130" i="3"/>
  <c r="M157" i="3" s="1"/>
  <c r="AH258" i="48"/>
  <c r="AH261" i="48"/>
  <c r="AH267" i="48" s="1"/>
  <c r="AI257" i="48"/>
  <c r="T130" i="3"/>
  <c r="T157" i="3" s="1"/>
  <c r="U110" i="3"/>
  <c r="I130" i="3"/>
  <c r="I157" i="3" s="1"/>
  <c r="J110" i="3"/>
  <c r="AA88" i="3"/>
  <c r="AA102" i="3" s="1"/>
  <c r="AA58" i="3"/>
  <c r="CS21" i="3"/>
  <c r="CS120" i="3" s="1"/>
  <c r="BN168" i="1"/>
  <c r="BK64" i="2"/>
  <c r="BJ68" i="2"/>
  <c r="CA34" i="2"/>
  <c r="BK30" i="3"/>
  <c r="CA30" i="3" s="1"/>
  <c r="CA129" i="3" s="1"/>
  <c r="K140" i="1"/>
  <c r="K120" i="1"/>
  <c r="CS12" i="48"/>
  <c r="CS15" i="48" s="1"/>
  <c r="BI13" i="48"/>
  <c r="BI15" i="48"/>
  <c r="F88" i="3"/>
  <c r="F102" i="3" s="1"/>
  <c r="F58" i="3"/>
  <c r="CJ58" i="3"/>
  <c r="Q139" i="1"/>
  <c r="AR102" i="2"/>
  <c r="BV102" i="2"/>
  <c r="AQ107" i="2"/>
  <c r="BV107" i="2" s="1"/>
  <c r="W140" i="1"/>
  <c r="W120" i="1"/>
  <c r="AO127" i="1"/>
  <c r="AO116" i="1" s="1"/>
  <c r="AO130" i="1"/>
  <c r="T88" i="3"/>
  <c r="T102" i="3" s="1"/>
  <c r="T58" i="3"/>
  <c r="BQ58" i="3" s="1"/>
  <c r="BR31" i="3"/>
  <c r="BR88" i="3" s="1"/>
  <c r="BR102" i="3" s="1"/>
  <c r="BR110" i="3"/>
  <c r="BR130" i="3" s="1"/>
  <c r="BR157" i="3" s="1"/>
  <c r="AK31" i="3"/>
  <c r="AK110" i="3"/>
  <c r="AK90" i="3"/>
  <c r="AK93" i="3" s="1"/>
  <c r="CM11" i="3"/>
  <c r="CS148" i="3"/>
  <c r="CS151" i="3" s="1"/>
  <c r="CH88" i="3"/>
  <c r="CH102" i="3" s="1"/>
  <c r="BU127" i="2"/>
  <c r="BQ170" i="1"/>
  <c r="BQ172" i="1" s="1"/>
  <c r="BQ174" i="1" s="1"/>
  <c r="BQ176" i="1" s="1"/>
  <c r="BH55" i="48"/>
  <c r="BI53" i="48"/>
  <c r="BH48" i="48"/>
  <c r="CJ178" i="1"/>
  <c r="CJ179" i="1" s="1"/>
  <c r="BP11" i="3"/>
  <c r="S31" i="3"/>
  <c r="CI11" i="3"/>
  <c r="BK127" i="3"/>
  <c r="K31" i="3"/>
  <c r="CG11" i="3"/>
  <c r="BN11" i="3"/>
  <c r="BZ48" i="48"/>
  <c r="BZ51" i="48" s="1"/>
  <c r="BR178" i="1"/>
  <c r="BR179" i="1" s="1"/>
  <c r="BO58" i="3"/>
  <c r="AA139" i="1"/>
  <c r="BJ150" i="3"/>
  <c r="S110" i="3"/>
  <c r="S130" i="3" s="1"/>
  <c r="S157" i="3" s="1"/>
  <c r="BN170" i="1"/>
  <c r="BN172" i="1" s="1"/>
  <c r="BN174" i="1" s="1"/>
  <c r="BN176" i="1" s="1"/>
  <c r="BK66" i="2"/>
  <c r="BJ21" i="3"/>
  <c r="AU103" i="2"/>
  <c r="AT108" i="2"/>
  <c r="BQ168" i="1"/>
  <c r="BM31" i="3"/>
  <c r="BM88" i="3" s="1"/>
  <c r="BM102" i="3" s="1"/>
  <c r="BM110" i="3"/>
  <c r="BM130" i="3" s="1"/>
  <c r="BM157" i="3" s="1"/>
  <c r="BM158" i="3" s="1"/>
  <c r="AP26" i="1"/>
  <c r="AQ25" i="1"/>
  <c r="AP125" i="1"/>
  <c r="AP28" i="1"/>
  <c r="AM11" i="3"/>
  <c r="AM137" i="1"/>
  <c r="AL31" i="3"/>
  <c r="AL90" i="3"/>
  <c r="AL93" i="3" s="1"/>
  <c r="AL95" i="3" s="1"/>
  <c r="CJ88" i="3"/>
  <c r="CJ102" i="3" s="1"/>
  <c r="E62" i="3"/>
  <c r="F56" i="3"/>
  <c r="CF56" i="3" s="1"/>
  <c r="CF155" i="3" s="1"/>
  <c r="CH178" i="1"/>
  <c r="CH179" i="1" s="1"/>
  <c r="BQ110" i="3"/>
  <c r="BQ130" i="3" s="1"/>
  <c r="BQ157" i="3" s="1"/>
  <c r="BQ31" i="3"/>
  <c r="BQ88" i="3" s="1"/>
  <c r="BQ102" i="3" s="1"/>
  <c r="CG178" i="1"/>
  <c r="CG179" i="1" s="1"/>
  <c r="CK31" i="3"/>
  <c r="CK110" i="3"/>
  <c r="CK130" i="3" s="1"/>
  <c r="CK157" i="3" s="1"/>
  <c r="BJ129" i="3"/>
  <c r="BK129" i="3" s="1"/>
  <c r="BI120" i="3"/>
  <c r="BH36" i="48"/>
  <c r="BH29" i="48"/>
  <c r="BI34" i="48"/>
  <c r="BP178" i="1"/>
  <c r="BP179" i="1" s="1"/>
  <c r="BC81" i="3"/>
  <c r="BY70" i="3"/>
  <c r="BD70" i="3"/>
  <c r="BC73" i="3"/>
  <c r="BC19" i="2" s="1"/>
  <c r="AG130" i="3"/>
  <c r="AG157" i="3" s="1"/>
  <c r="AH110" i="3"/>
  <c r="AY97" i="2"/>
  <c r="BY23" i="3"/>
  <c r="BB122" i="3"/>
  <c r="BC122" i="3" s="1"/>
  <c r="CL88" i="3"/>
  <c r="CL102" i="3" s="1"/>
  <c r="BT58" i="3"/>
  <c r="BD16" i="2"/>
  <c r="BD25" i="3" s="1"/>
  <c r="BD13" i="2"/>
  <c r="BD23" i="3" s="1"/>
  <c r="CA39" i="2"/>
  <c r="BK87" i="2"/>
  <c r="CI178" i="1"/>
  <c r="CI179" i="1" s="1"/>
  <c r="BZ29" i="48"/>
  <c r="BH73" i="48"/>
  <c r="BI71" i="48"/>
  <c r="BH66" i="48"/>
  <c r="BC159" i="1"/>
  <c r="AQ98" i="2"/>
  <c r="AQ109" i="2"/>
  <c r="AP99" i="2"/>
  <c r="BT99" i="3"/>
  <c r="BT95" i="3"/>
  <c r="BT100" i="3" s="1"/>
  <c r="BB124" i="3"/>
  <c r="BC124" i="3" s="1"/>
  <c r="BY25" i="3"/>
  <c r="BY124" i="3" s="1"/>
  <c r="BB104" i="2"/>
  <c r="BA109" i="2"/>
  <c r="BD92" i="3"/>
  <c r="BD34" i="3"/>
  <c r="BS99" i="3"/>
  <c r="BS95" i="3"/>
  <c r="BS100" i="3" s="1"/>
  <c r="BF101" i="48"/>
  <c r="BF103" i="48"/>
  <c r="BG85" i="48"/>
  <c r="BK86" i="48" s="1"/>
  <c r="BG87" i="48"/>
  <c r="BZ84" i="48"/>
  <c r="CL58" i="3"/>
  <c r="BS58" i="3"/>
  <c r="BY13" i="2"/>
  <c r="BZ89" i="1" s="1"/>
  <c r="BY60" i="2"/>
  <c r="AT96" i="2"/>
  <c r="BK51" i="3"/>
  <c r="CA51" i="3" s="1"/>
  <c r="CA150" i="3" s="1"/>
  <c r="CA42" i="2"/>
  <c r="BC160" i="1"/>
  <c r="BC60" i="2"/>
  <c r="BC133" i="3"/>
  <c r="BC140" i="3" s="1"/>
  <c r="BB140" i="3"/>
  <c r="BE59" i="2"/>
  <c r="BE110" i="48"/>
  <c r="BE114" i="48" s="1"/>
  <c r="BE66" i="3"/>
  <c r="BE16" i="48"/>
  <c r="BE52" i="48"/>
  <c r="BE70" i="48"/>
  <c r="BE88" i="48"/>
  <c r="BE33" i="48"/>
  <c r="BY16" i="2"/>
  <c r="BY57" i="2" s="1"/>
  <c r="BG32" i="48"/>
  <c r="BG30" i="48"/>
  <c r="BK31" i="48" s="1"/>
  <c r="BG100" i="48"/>
  <c r="BG10" i="1" s="1"/>
  <c r="CL95" i="3"/>
  <c r="CL100" i="3" s="1"/>
  <c r="CL99" i="3"/>
  <c r="BG69" i="48"/>
  <c r="BG67" i="48"/>
  <c r="BK68" i="48" s="1"/>
  <c r="BZ66" i="48"/>
  <c r="BH91" i="48"/>
  <c r="BI89" i="48"/>
  <c r="BH84" i="48"/>
  <c r="S139" i="1"/>
  <c r="BK49" i="3"/>
  <c r="BK52" i="3" s="1"/>
  <c r="BK144" i="1"/>
  <c r="BK145" i="1" s="1"/>
  <c r="BJ52" i="3"/>
  <c r="BJ145" i="1"/>
  <c r="CA144" i="1"/>
  <c r="BJ148" i="3"/>
  <c r="BI151" i="3"/>
  <c r="CA147" i="1"/>
  <c r="BJ149" i="1"/>
  <c r="AT154" i="1"/>
  <c r="AU154" i="1" s="1"/>
  <c r="CO154" i="1"/>
  <c r="BB75" i="1" l="1"/>
  <c r="BY66" i="3"/>
  <c r="BY92" i="3" s="1"/>
  <c r="BY160" i="1"/>
  <c r="BY133" i="3"/>
  <c r="BY140" i="3" s="1"/>
  <c r="BK149" i="1"/>
  <c r="BE46" i="1"/>
  <c r="BE48" i="1" s="1"/>
  <c r="BF38" i="1"/>
  <c r="BE39" i="1"/>
  <c r="BE44" i="1"/>
  <c r="CR38" i="1"/>
  <c r="BG13" i="1"/>
  <c r="BG18" i="1"/>
  <c r="BG28" i="1"/>
  <c r="BG21" i="1" s="1"/>
  <c r="BG22" i="1" s="1"/>
  <c r="BZ10" i="1"/>
  <c r="BE22" i="1"/>
  <c r="CR21" i="1"/>
  <c r="CR22" i="1" s="1"/>
  <c r="BE50" i="1"/>
  <c r="BD58" i="1"/>
  <c r="BD60" i="1" s="1"/>
  <c r="BD56" i="1"/>
  <c r="BD74" i="1" s="1"/>
  <c r="BD51" i="1"/>
  <c r="BF22" i="1"/>
  <c r="BD73" i="1"/>
  <c r="BD78" i="1" s="1"/>
  <c r="BD79" i="1" s="1"/>
  <c r="BY78" i="1"/>
  <c r="BY79" i="1" s="1"/>
  <c r="CR13" i="1"/>
  <c r="BE31" i="1"/>
  <c r="BY51" i="1"/>
  <c r="BY58" i="1"/>
  <c r="BY56" i="1"/>
  <c r="BY74" i="1" s="1"/>
  <c r="BF31" i="1"/>
  <c r="BG12" i="1"/>
  <c r="CQ69" i="1"/>
  <c r="CQ70" i="1" s="1"/>
  <c r="AK98" i="1"/>
  <c r="AK81" i="1"/>
  <c r="AM59" i="1"/>
  <c r="AM71" i="1"/>
  <c r="AM33" i="1"/>
  <c r="AM35" i="1"/>
  <c r="AM29" i="1"/>
  <c r="AM27" i="1"/>
  <c r="AM47" i="1"/>
  <c r="AM45" i="1"/>
  <c r="AM57" i="1"/>
  <c r="BU17" i="1"/>
  <c r="AO11" i="1"/>
  <c r="CN11" i="1" s="1"/>
  <c r="CN115" i="1" s="1"/>
  <c r="AN17" i="1"/>
  <c r="AN115" i="1"/>
  <c r="AN129" i="1" s="1"/>
  <c r="BT118" i="1"/>
  <c r="BT138" i="1"/>
  <c r="AI120" i="1"/>
  <c r="AI178" i="1"/>
  <c r="AI179" i="1" s="1"/>
  <c r="AI140" i="1"/>
  <c r="BT119" i="1"/>
  <c r="AJ111" i="1"/>
  <c r="AJ119" i="1"/>
  <c r="AJ101" i="1"/>
  <c r="AJ170" i="1"/>
  <c r="AJ172" i="1" s="1"/>
  <c r="AJ174" i="1" s="1"/>
  <c r="AJ176" i="1" s="1"/>
  <c r="AJ98" i="3" s="1"/>
  <c r="AJ168" i="1"/>
  <c r="AK100" i="1"/>
  <c r="AK83" i="1"/>
  <c r="AK165" i="1"/>
  <c r="CM34" i="1"/>
  <c r="CM80" i="1"/>
  <c r="CN127" i="1"/>
  <c r="CN116" i="1" s="1"/>
  <c r="CN130" i="1"/>
  <c r="AI118" i="1"/>
  <c r="AI138" i="1"/>
  <c r="BV25" i="1"/>
  <c r="AL36" i="1"/>
  <c r="AL82" i="1"/>
  <c r="AL34" i="1"/>
  <c r="AL80" i="1"/>
  <c r="BA70" i="1"/>
  <c r="BA75" i="1" s="1"/>
  <c r="CM36" i="1"/>
  <c r="CM82" i="1"/>
  <c r="AJ109" i="1"/>
  <c r="AJ117" i="1"/>
  <c r="AJ99" i="1"/>
  <c r="AI100" i="3"/>
  <c r="CF158" i="3"/>
  <c r="CF161" i="3" s="1"/>
  <c r="Z130" i="3"/>
  <c r="Z157" i="3" s="1"/>
  <c r="AA110" i="3"/>
  <c r="AA130" i="3" s="1"/>
  <c r="AA157" i="3" s="1"/>
  <c r="AH266" i="48"/>
  <c r="AH268" i="48" s="1"/>
  <c r="AL88" i="3"/>
  <c r="AL102" i="3" s="1"/>
  <c r="AL58" i="3"/>
  <c r="AV103" i="2"/>
  <c r="BW103" i="2"/>
  <c r="AU108" i="2"/>
  <c r="BW108" i="2" s="1"/>
  <c r="BN178" i="1"/>
  <c r="BN179" i="1" s="1"/>
  <c r="K88" i="3"/>
  <c r="K102" i="3" s="1"/>
  <c r="K58" i="3"/>
  <c r="BP110" i="3"/>
  <c r="BP130" i="3" s="1"/>
  <c r="BP157" i="3" s="1"/>
  <c r="BP31" i="3"/>
  <c r="BP88" i="3" s="1"/>
  <c r="BP102" i="3" s="1"/>
  <c r="BH51" i="48"/>
  <c r="BH49" i="48"/>
  <c r="AK95" i="3"/>
  <c r="AS102" i="2"/>
  <c r="AR107" i="2"/>
  <c r="F59" i="3"/>
  <c r="CF58" i="3"/>
  <c r="CF59" i="3" s="1"/>
  <c r="BM58" i="3"/>
  <c r="BM59" i="3" s="1"/>
  <c r="K110" i="3"/>
  <c r="K130" i="3" s="1"/>
  <c r="K157" i="3" s="1"/>
  <c r="J130" i="3"/>
  <c r="J157" i="3" s="1"/>
  <c r="AI258" i="48"/>
  <c r="AI261" i="48"/>
  <c r="AI267" i="48" s="1"/>
  <c r="I155" i="3"/>
  <c r="I158" i="3" s="1"/>
  <c r="I161" i="3" s="1"/>
  <c r="J155" i="3"/>
  <c r="K155" i="3"/>
  <c r="AD130" i="3"/>
  <c r="AD157" i="3" s="1"/>
  <c r="AE110" i="3"/>
  <c r="AE130" i="3" s="1"/>
  <c r="AE157" i="3" s="1"/>
  <c r="BK19" i="48"/>
  <c r="BK12" i="48"/>
  <c r="CK88" i="3"/>
  <c r="CK102" i="3" s="1"/>
  <c r="BM161" i="3"/>
  <c r="BN155" i="3"/>
  <c r="BI55" i="48"/>
  <c r="BI48" i="48"/>
  <c r="BJ53" i="48"/>
  <c r="AK130" i="3"/>
  <c r="AK157" i="3" s="1"/>
  <c r="AL110" i="3"/>
  <c r="N130" i="3"/>
  <c r="N157" i="3" s="1"/>
  <c r="O110" i="3"/>
  <c r="O130" i="3" s="1"/>
  <c r="O157" i="3" s="1"/>
  <c r="BK167" i="1"/>
  <c r="CF88" i="3"/>
  <c r="CF102" i="3" s="1"/>
  <c r="AN11" i="3"/>
  <c r="AN137" i="1"/>
  <c r="AM90" i="3"/>
  <c r="AM93" i="3" s="1"/>
  <c r="AM31" i="3"/>
  <c r="AP130" i="1"/>
  <c r="AP127" i="1"/>
  <c r="AP116" i="1" s="1"/>
  <c r="BK21" i="3"/>
  <c r="CA21" i="3" s="1"/>
  <c r="CA120" i="3" s="1"/>
  <c r="CA66" i="2"/>
  <c r="BN110" i="3"/>
  <c r="BN130" i="3" s="1"/>
  <c r="BN157" i="3" s="1"/>
  <c r="BN31" i="3"/>
  <c r="BN88" i="3" s="1"/>
  <c r="BN102" i="3" s="1"/>
  <c r="CI31" i="3"/>
  <c r="CI110" i="3"/>
  <c r="CI130" i="3" s="1"/>
  <c r="CI157" i="3" s="1"/>
  <c r="BQ178" i="1"/>
  <c r="BQ179" i="1" s="1"/>
  <c r="CM90" i="3"/>
  <c r="CM93" i="3" s="1"/>
  <c r="CM31" i="3"/>
  <c r="CM110" i="3"/>
  <c r="CM130" i="3" s="1"/>
  <c r="CM157" i="3" s="1"/>
  <c r="AK88" i="3"/>
  <c r="AK102" i="3" s="1"/>
  <c r="AK58" i="3"/>
  <c r="H158" i="3"/>
  <c r="H161" i="3" s="1"/>
  <c r="K139" i="1"/>
  <c r="CK58" i="3"/>
  <c r="BR58" i="3"/>
  <c r="U130" i="3"/>
  <c r="U157" i="3" s="1"/>
  <c r="V110" i="3"/>
  <c r="BJ13" i="48"/>
  <c r="BJ15" i="48"/>
  <c r="CA145" i="1"/>
  <c r="BJ120" i="3"/>
  <c r="AQ28" i="1"/>
  <c r="AR25" i="1"/>
  <c r="AQ125" i="1"/>
  <c r="AQ26" i="1"/>
  <c r="CG110" i="3"/>
  <c r="CG130" i="3" s="1"/>
  <c r="CG157" i="3" s="1"/>
  <c r="CG31" i="3"/>
  <c r="S88" i="3"/>
  <c r="S102" i="3" s="1"/>
  <c r="S58" i="3"/>
  <c r="BU11" i="3"/>
  <c r="AO131" i="1"/>
  <c r="AO135" i="1"/>
  <c r="AO127" i="2"/>
  <c r="W139" i="1"/>
  <c r="CA64" i="2"/>
  <c r="CA68" i="2" s="1"/>
  <c r="BK68" i="2"/>
  <c r="BD160" i="1"/>
  <c r="BD60" i="2"/>
  <c r="BD124" i="3"/>
  <c r="BE16" i="2"/>
  <c r="BE25" i="3" s="1"/>
  <c r="CR25" i="3" s="1"/>
  <c r="CR124" i="3" s="1"/>
  <c r="BE13" i="2"/>
  <c r="BE23" i="3" s="1"/>
  <c r="BF110" i="48"/>
  <c r="BF114" i="48" s="1"/>
  <c r="BF59" i="2"/>
  <c r="BF66" i="3"/>
  <c r="BF16" i="48"/>
  <c r="BF52" i="48"/>
  <c r="BF88" i="48"/>
  <c r="BF33" i="48"/>
  <c r="BF70" i="48"/>
  <c r="AR109" i="2"/>
  <c r="AR98" i="2"/>
  <c r="BV98" i="2"/>
  <c r="AQ99" i="2"/>
  <c r="BV99" i="2" s="1"/>
  <c r="BY122" i="3"/>
  <c r="BY73" i="3"/>
  <c r="BY81" i="3"/>
  <c r="BY80" i="3" s="1"/>
  <c r="BY84" i="3" s="1"/>
  <c r="BC111" i="48"/>
  <c r="BD41" i="3"/>
  <c r="BD133" i="3"/>
  <c r="BD159" i="1"/>
  <c r="BH69" i="48"/>
  <c r="BH67" i="48"/>
  <c r="BJ34" i="48"/>
  <c r="BI29" i="48"/>
  <c r="CS29" i="48" s="1"/>
  <c r="BI36" i="48"/>
  <c r="BH85" i="48"/>
  <c r="BH87" i="48"/>
  <c r="BG101" i="48"/>
  <c r="BG103" i="48"/>
  <c r="BZ100" i="48"/>
  <c r="BZ33" i="48" s="1"/>
  <c r="BY111" i="48"/>
  <c r="BD122" i="3"/>
  <c r="BC104" i="2"/>
  <c r="BB109" i="2"/>
  <c r="BI66" i="48"/>
  <c r="CS66" i="48" s="1"/>
  <c r="BJ71" i="48"/>
  <c r="BI73" i="48"/>
  <c r="BZ32" i="48"/>
  <c r="AZ97" i="2"/>
  <c r="BX97" i="2"/>
  <c r="BC75" i="3"/>
  <c r="BC76" i="3" s="1"/>
  <c r="BY19" i="2"/>
  <c r="BY75" i="3" s="1"/>
  <c r="BH30" i="48"/>
  <c r="BH32" i="48"/>
  <c r="BH100" i="48"/>
  <c r="BH10" i="1" s="1"/>
  <c r="BK150" i="3"/>
  <c r="BJ89" i="48"/>
  <c r="BI84" i="48"/>
  <c r="CS84" i="48" s="1"/>
  <c r="BI91" i="48"/>
  <c r="BZ69" i="48"/>
  <c r="CR59" i="2"/>
  <c r="CR110" i="48"/>
  <c r="BE92" i="3"/>
  <c r="BE34" i="3"/>
  <c r="BE41" i="3" s="1"/>
  <c r="BC14" i="2"/>
  <c r="BC24" i="3" s="1"/>
  <c r="BC30" i="2"/>
  <c r="AU96" i="2"/>
  <c r="BY53" i="2"/>
  <c r="BZ87" i="48"/>
  <c r="AQ110" i="2"/>
  <c r="BV110" i="2" s="1"/>
  <c r="BV109" i="2"/>
  <c r="AH130" i="3"/>
  <c r="AH157" i="3" s="1"/>
  <c r="AI110" i="3"/>
  <c r="AI130" i="3" s="1"/>
  <c r="AI157" i="3" s="1"/>
  <c r="BD81" i="3"/>
  <c r="BD73" i="3"/>
  <c r="BD19" i="2" s="1"/>
  <c r="BD75" i="3" s="1"/>
  <c r="BD76" i="3" s="1"/>
  <c r="BE70" i="3"/>
  <c r="CA149" i="1"/>
  <c r="CA49" i="3"/>
  <c r="BK148" i="3"/>
  <c r="BK151" i="3" s="1"/>
  <c r="BJ151" i="3"/>
  <c r="BW154" i="1"/>
  <c r="AV154" i="1"/>
  <c r="AW154" i="1" s="1"/>
  <c r="CN127" i="2" l="1"/>
  <c r="BN158" i="3"/>
  <c r="CG155" i="3"/>
  <c r="BY68" i="3"/>
  <c r="CR31" i="1"/>
  <c r="CR32" i="1" s="1"/>
  <c r="BF32" i="1"/>
  <c r="BF50" i="1"/>
  <c r="BF73" i="1" s="1"/>
  <c r="BF78" i="1" s="1"/>
  <c r="BF79" i="1" s="1"/>
  <c r="BE58" i="1"/>
  <c r="BE60" i="1" s="1"/>
  <c r="BE51" i="1"/>
  <c r="BE56" i="1"/>
  <c r="BE74" i="1" s="1"/>
  <c r="CR50" i="1"/>
  <c r="CR73" i="1" s="1"/>
  <c r="BZ13" i="1"/>
  <c r="CR39" i="1"/>
  <c r="CR46" i="1"/>
  <c r="CR44" i="1"/>
  <c r="BF39" i="1"/>
  <c r="BG38" i="1"/>
  <c r="BF46" i="1"/>
  <c r="BF48" i="1" s="1"/>
  <c r="BF44" i="1"/>
  <c r="BZ70" i="48"/>
  <c r="BH13" i="1"/>
  <c r="BH12" i="1"/>
  <c r="BH18" i="1"/>
  <c r="BH28" i="1"/>
  <c r="BH21" i="1" s="1"/>
  <c r="BE32" i="1"/>
  <c r="BZ21" i="1"/>
  <c r="BZ22" i="1" s="1"/>
  <c r="BG31" i="1"/>
  <c r="BE73" i="1"/>
  <c r="BE78" i="1" s="1"/>
  <c r="BE79" i="1" s="1"/>
  <c r="AL81" i="1"/>
  <c r="AL98" i="1"/>
  <c r="AL83" i="1"/>
  <c r="AL165" i="1"/>
  <c r="AL100" i="1"/>
  <c r="BV26" i="1"/>
  <c r="BV28" i="1"/>
  <c r="BV125" i="1"/>
  <c r="CN135" i="1"/>
  <c r="CN137" i="1" s="1"/>
  <c r="CN131" i="1"/>
  <c r="CM81" i="1"/>
  <c r="CM98" i="1"/>
  <c r="AK168" i="1"/>
  <c r="AK101" i="1"/>
  <c r="AK170" i="1"/>
  <c r="AK172" i="1" s="1"/>
  <c r="AK174" i="1" s="1"/>
  <c r="AK176" i="1" s="1"/>
  <c r="AK98" i="3" s="1"/>
  <c r="AK99" i="3" s="1"/>
  <c r="AK111" i="1"/>
  <c r="AK119" i="1"/>
  <c r="AN27" i="1"/>
  <c r="AN33" i="1"/>
  <c r="AN71" i="1"/>
  <c r="AN59" i="1"/>
  <c r="AN29" i="1"/>
  <c r="AN57" i="1"/>
  <c r="AN45" i="1"/>
  <c r="AN47" i="1"/>
  <c r="AN35" i="1"/>
  <c r="AM34" i="1"/>
  <c r="AM80" i="1"/>
  <c r="AK99" i="1"/>
  <c r="AK109" i="1"/>
  <c r="AK117" i="1"/>
  <c r="CQ75" i="1"/>
  <c r="AJ138" i="1"/>
  <c r="AJ118" i="1"/>
  <c r="CM83" i="1"/>
  <c r="CM100" i="1"/>
  <c r="CM165" i="1"/>
  <c r="BC69" i="1"/>
  <c r="AJ99" i="3"/>
  <c r="AJ100" i="3"/>
  <c r="AJ178" i="1"/>
  <c r="AJ179" i="1" s="1"/>
  <c r="AJ120" i="1"/>
  <c r="AJ140" i="1"/>
  <c r="BT120" i="1"/>
  <c r="BT140" i="1"/>
  <c r="BT178" i="1"/>
  <c r="BT179" i="1" s="1"/>
  <c r="AP11" i="1"/>
  <c r="AO115" i="1"/>
  <c r="AO129" i="1" s="1"/>
  <c r="AO17" i="1"/>
  <c r="BU19" i="1"/>
  <c r="BU33" i="1"/>
  <c r="BU35" i="1"/>
  <c r="BU45" i="1"/>
  <c r="BU47" i="1"/>
  <c r="BU57" i="1"/>
  <c r="BU59" i="1"/>
  <c r="BU71" i="1"/>
  <c r="BU29" i="1"/>
  <c r="BU27" i="1"/>
  <c r="AM36" i="1"/>
  <c r="AM82" i="1"/>
  <c r="BY76" i="3"/>
  <c r="AI266" i="48"/>
  <c r="AI268" i="48" s="1"/>
  <c r="BU110" i="3"/>
  <c r="BU130" i="3" s="1"/>
  <c r="BU157" i="3" s="1"/>
  <c r="BU90" i="3"/>
  <c r="BU93" i="3" s="1"/>
  <c r="BU31" i="3"/>
  <c r="BU88" i="3" s="1"/>
  <c r="BU102" i="3" s="1"/>
  <c r="AQ127" i="1"/>
  <c r="AQ116" i="1" s="1"/>
  <c r="AQ130" i="1"/>
  <c r="V130" i="3"/>
  <c r="V157" i="3" s="1"/>
  <c r="W110" i="3"/>
  <c r="W130" i="3" s="1"/>
  <c r="W157" i="3" s="1"/>
  <c r="CA167" i="1"/>
  <c r="BI51" i="48"/>
  <c r="BI49" i="48"/>
  <c r="BK15" i="48"/>
  <c r="BK13" i="48"/>
  <c r="G56" i="3"/>
  <c r="G59" i="3" s="1"/>
  <c r="F62" i="3"/>
  <c r="AO137" i="1"/>
  <c r="AO11" i="3"/>
  <c r="CG88" i="3"/>
  <c r="CG102" i="3" s="1"/>
  <c r="AR125" i="1"/>
  <c r="AR28" i="1"/>
  <c r="AS25" i="1"/>
  <c r="CO25" i="1" s="1"/>
  <c r="AR26" i="1"/>
  <c r="CM88" i="3"/>
  <c r="CM102" i="3" s="1"/>
  <c r="BN161" i="3"/>
  <c r="BO155" i="3"/>
  <c r="BO158" i="3" s="1"/>
  <c r="AM88" i="3"/>
  <c r="AM102" i="3" s="1"/>
  <c r="AM58" i="3"/>
  <c r="BU58" i="3" s="1"/>
  <c r="AL130" i="3"/>
  <c r="AL157" i="3" s="1"/>
  <c r="AM110" i="3"/>
  <c r="AM130" i="3" s="1"/>
  <c r="AM157" i="3" s="1"/>
  <c r="AW103" i="2"/>
  <c r="AV108" i="2"/>
  <c r="BK120" i="3"/>
  <c r="CA12" i="48"/>
  <c r="CA15" i="48" s="1"/>
  <c r="CM58" i="3"/>
  <c r="CM95" i="3"/>
  <c r="CS48" i="48"/>
  <c r="CS51" i="48" s="1"/>
  <c r="AM95" i="3"/>
  <c r="AN90" i="3"/>
  <c r="AN93" i="3" s="1"/>
  <c r="AN110" i="3"/>
  <c r="AN31" i="3"/>
  <c r="CG158" i="3"/>
  <c r="J158" i="3"/>
  <c r="J161" i="3" s="1"/>
  <c r="BM62" i="3"/>
  <c r="BN56" i="3"/>
  <c r="AT102" i="2"/>
  <c r="AS107" i="2"/>
  <c r="BE122" i="3"/>
  <c r="CI58" i="3"/>
  <c r="BP58" i="3"/>
  <c r="CI88" i="3"/>
  <c r="CI102" i="3" s="1"/>
  <c r="AP127" i="2"/>
  <c r="AP131" i="1"/>
  <c r="AP135" i="1"/>
  <c r="BK53" i="48"/>
  <c r="BJ55" i="48"/>
  <c r="BJ48" i="48"/>
  <c r="K158" i="3"/>
  <c r="CG56" i="3"/>
  <c r="CF62" i="3"/>
  <c r="CG58" i="3"/>
  <c r="BN58" i="3"/>
  <c r="CS32" i="48"/>
  <c r="CS87" i="48"/>
  <c r="BI85" i="48"/>
  <c r="BI87" i="48"/>
  <c r="CR23" i="3"/>
  <c r="CR122" i="3" s="1"/>
  <c r="BY112" i="48"/>
  <c r="BZ103" i="48"/>
  <c r="BZ16" i="48"/>
  <c r="BZ52" i="48"/>
  <c r="BK34" i="48"/>
  <c r="BJ29" i="48"/>
  <c r="BJ36" i="48"/>
  <c r="CR34" i="3"/>
  <c r="AS98" i="2"/>
  <c r="AS109" i="2"/>
  <c r="AS110" i="2" s="1"/>
  <c r="AR99" i="2"/>
  <c r="CR13" i="2"/>
  <c r="CS89" i="1" s="1"/>
  <c r="CR16" i="48"/>
  <c r="CR52" i="48"/>
  <c r="CR88" i="48"/>
  <c r="CR33" i="48"/>
  <c r="CR70" i="48"/>
  <c r="BB123" i="3"/>
  <c r="BC123" i="3" s="1"/>
  <c r="BY24" i="3"/>
  <c r="BJ84" i="48"/>
  <c r="BJ91" i="48"/>
  <c r="BK89" i="48"/>
  <c r="BJ66" i="48"/>
  <c r="BJ73" i="48"/>
  <c r="BK71" i="48"/>
  <c r="BG110" i="48"/>
  <c r="BG114" i="48" s="1"/>
  <c r="BG66" i="3"/>
  <c r="BG59" i="2"/>
  <c r="BG16" i="48"/>
  <c r="BG52" i="48"/>
  <c r="BG33" i="48"/>
  <c r="BG88" i="48"/>
  <c r="BG70" i="48"/>
  <c r="BD140" i="3"/>
  <c r="BE133" i="3"/>
  <c r="AR110" i="2"/>
  <c r="BF92" i="3"/>
  <c r="BF34" i="3"/>
  <c r="CR16" i="2"/>
  <c r="CR57" i="2" s="1"/>
  <c r="BE124" i="3"/>
  <c r="BD30" i="2"/>
  <c r="BD14" i="2"/>
  <c r="BD24" i="3" s="1"/>
  <c r="CR70" i="3"/>
  <c r="BF70" i="3"/>
  <c r="BE73" i="3"/>
  <c r="BE19" i="2" s="1"/>
  <c r="BE81" i="3"/>
  <c r="BW96" i="2"/>
  <c r="AU99" i="2"/>
  <c r="BW99" i="2" s="1"/>
  <c r="AV96" i="2"/>
  <c r="BC26" i="3"/>
  <c r="BY26" i="3" s="1"/>
  <c r="BY125" i="3" s="1"/>
  <c r="BY30" i="2"/>
  <c r="BC37" i="2"/>
  <c r="BE160" i="1"/>
  <c r="BE60" i="2"/>
  <c r="BH103" i="48"/>
  <c r="BH101" i="48"/>
  <c r="BA97" i="2"/>
  <c r="BI67" i="48"/>
  <c r="BI69" i="48"/>
  <c r="BC109" i="2"/>
  <c r="BY109" i="2" s="1"/>
  <c r="BY104" i="2"/>
  <c r="BD104" i="2"/>
  <c r="BC112" i="48"/>
  <c r="BY14" i="2"/>
  <c r="BY55" i="2" s="1"/>
  <c r="BY54" i="2" s="1"/>
  <c r="BB125" i="3"/>
  <c r="BZ59" i="2"/>
  <c r="BZ110" i="48"/>
  <c r="BI32" i="48"/>
  <c r="BI30" i="48"/>
  <c r="BI100" i="48"/>
  <c r="BI10" i="1" s="1"/>
  <c r="CS69" i="48"/>
  <c r="BE159" i="1"/>
  <c r="BC45" i="48"/>
  <c r="BC42" i="48" s="1"/>
  <c r="BC98" i="48"/>
  <c r="BC95" i="48" s="1"/>
  <c r="BC82" i="48"/>
  <c r="BC79" i="48" s="1"/>
  <c r="BC64" i="48"/>
  <c r="BC61" i="48" s="1"/>
  <c r="BY61" i="48" s="1"/>
  <c r="BC27" i="48"/>
  <c r="BC24" i="48" s="1"/>
  <c r="BF13" i="2"/>
  <c r="BF16" i="2"/>
  <c r="BF25" i="3" s="1"/>
  <c r="BD111" i="48"/>
  <c r="CA148" i="3"/>
  <c r="CA151" i="3" s="1"/>
  <c r="CA52" i="3"/>
  <c r="AX154" i="1"/>
  <c r="AY154" i="1" s="1"/>
  <c r="CP154" i="1"/>
  <c r="CR78" i="1" l="1"/>
  <c r="CR79" i="1" s="1"/>
  <c r="BG32" i="1"/>
  <c r="BH22" i="1"/>
  <c r="BH38" i="1"/>
  <c r="BG44" i="1"/>
  <c r="BG39" i="1"/>
  <c r="BG46" i="1"/>
  <c r="BG48" i="1" s="1"/>
  <c r="BI13" i="1"/>
  <c r="BI18" i="1"/>
  <c r="BI28" i="1"/>
  <c r="BI21" i="1" s="1"/>
  <c r="BI22" i="1" s="1"/>
  <c r="BZ38" i="1"/>
  <c r="CS10" i="1"/>
  <c r="BH31" i="1"/>
  <c r="BI12" i="1"/>
  <c r="BZ31" i="1"/>
  <c r="CR56" i="1"/>
  <c r="CR74" i="1" s="1"/>
  <c r="CR51" i="1"/>
  <c r="CR58" i="1"/>
  <c r="BG50" i="1"/>
  <c r="BF56" i="1"/>
  <c r="BF51" i="1"/>
  <c r="BF58" i="1"/>
  <c r="BF60" i="1" s="1"/>
  <c r="CO28" i="1"/>
  <c r="CO26" i="1"/>
  <c r="CO125" i="1"/>
  <c r="BU34" i="1"/>
  <c r="BU80" i="1"/>
  <c r="AO27" i="1"/>
  <c r="AO47" i="1"/>
  <c r="AO33" i="1"/>
  <c r="AO45" i="1"/>
  <c r="AO29" i="1"/>
  <c r="AO57" i="1"/>
  <c r="AO71" i="1"/>
  <c r="AO35" i="1"/>
  <c r="AO59" i="1"/>
  <c r="CN17" i="1"/>
  <c r="AP115" i="1"/>
  <c r="AP129" i="1" s="1"/>
  <c r="AP17" i="1"/>
  <c r="AQ11" i="1"/>
  <c r="BD69" i="1"/>
  <c r="BC70" i="1"/>
  <c r="AK138" i="1"/>
  <c r="AK118" i="1"/>
  <c r="AN34" i="1"/>
  <c r="AN80" i="1"/>
  <c r="AL101" i="1"/>
  <c r="AL111" i="1"/>
  <c r="AL170" i="1"/>
  <c r="AL172" i="1" s="1"/>
  <c r="AL174" i="1" s="1"/>
  <c r="AL176" i="1" s="1"/>
  <c r="AL98" i="3" s="1"/>
  <c r="AL119" i="1"/>
  <c r="AK100" i="3"/>
  <c r="BV11" i="1"/>
  <c r="BV115" i="1" s="1"/>
  <c r="AM100" i="1"/>
  <c r="AM165" i="1"/>
  <c r="AM83" i="1"/>
  <c r="BU36" i="1"/>
  <c r="BU82" i="1"/>
  <c r="BU52" i="1"/>
  <c r="BU40" i="1"/>
  <c r="CM168" i="1"/>
  <c r="CM101" i="1"/>
  <c r="CM111" i="1"/>
  <c r="CM119" i="1"/>
  <c r="CM170" i="1"/>
  <c r="CM172" i="1" s="1"/>
  <c r="CM174" i="1" s="1"/>
  <c r="CM176" i="1" s="1"/>
  <c r="CM98" i="3" s="1"/>
  <c r="CM99" i="3" s="1"/>
  <c r="CQ76" i="1"/>
  <c r="AM81" i="1"/>
  <c r="AM98" i="1"/>
  <c r="AN36" i="1"/>
  <c r="AN82" i="1"/>
  <c r="AK140" i="1"/>
  <c r="AK178" i="1"/>
  <c r="AK179" i="1" s="1"/>
  <c r="AK120" i="1"/>
  <c r="CM117" i="1"/>
  <c r="CM99" i="1"/>
  <c r="CM109" i="1"/>
  <c r="BV127" i="1"/>
  <c r="BV116" i="1" s="1"/>
  <c r="BV130" i="1"/>
  <c r="BV127" i="2" s="1"/>
  <c r="AL168" i="1"/>
  <c r="AL109" i="1"/>
  <c r="AL117" i="1"/>
  <c r="AL99" i="1"/>
  <c r="BY69" i="1"/>
  <c r="BY70" i="1" s="1"/>
  <c r="BN59" i="3"/>
  <c r="BO56" i="3" s="1"/>
  <c r="BO59" i="3" s="1"/>
  <c r="BK48" i="48"/>
  <c r="BK55" i="48"/>
  <c r="CG161" i="3"/>
  <c r="CH155" i="3"/>
  <c r="CH158" i="3" s="1"/>
  <c r="AN95" i="3"/>
  <c r="AR130" i="1"/>
  <c r="AR127" i="1"/>
  <c r="AR116" i="1" s="1"/>
  <c r="G62" i="3"/>
  <c r="H56" i="3"/>
  <c r="H59" i="3" s="1"/>
  <c r="BC125" i="3"/>
  <c r="CG59" i="3"/>
  <c r="BJ51" i="48"/>
  <c r="BJ49" i="48"/>
  <c r="AN58" i="3"/>
  <c r="AN88" i="3"/>
  <c r="AN102" i="3" s="1"/>
  <c r="AS26" i="1"/>
  <c r="AS28" i="1"/>
  <c r="AS125" i="1"/>
  <c r="AT25" i="1"/>
  <c r="AQ131" i="1"/>
  <c r="AQ135" i="1"/>
  <c r="AQ127" i="2"/>
  <c r="BU95" i="3"/>
  <c r="L155" i="3"/>
  <c r="K161" i="3"/>
  <c r="AP11" i="3"/>
  <c r="AP137" i="1"/>
  <c r="AU102" i="2"/>
  <c r="AT107" i="2"/>
  <c r="AN130" i="3"/>
  <c r="AN157" i="3" s="1"/>
  <c r="AO110" i="3"/>
  <c r="AX103" i="2"/>
  <c r="AW108" i="2"/>
  <c r="BP155" i="3"/>
  <c r="BP158" i="3" s="1"/>
  <c r="BO161" i="3"/>
  <c r="AO31" i="3"/>
  <c r="AO90" i="3"/>
  <c r="AO93" i="3" s="1"/>
  <c r="CN11" i="3"/>
  <c r="BY63" i="48"/>
  <c r="BY64" i="48"/>
  <c r="BC26" i="48"/>
  <c r="BC25" i="48"/>
  <c r="BC43" i="48"/>
  <c r="BC44" i="48"/>
  <c r="BY24" i="48"/>
  <c r="BF159" i="1"/>
  <c r="BI101" i="48"/>
  <c r="BI103" i="48"/>
  <c r="BE104" i="2"/>
  <c r="BD109" i="2"/>
  <c r="BE111" i="48"/>
  <c r="BF73" i="3"/>
  <c r="BF19" i="2" s="1"/>
  <c r="BF75" i="3" s="1"/>
  <c r="BF76" i="3" s="1"/>
  <c r="BF81" i="3"/>
  <c r="BG70" i="3"/>
  <c r="BG16" i="2"/>
  <c r="BG25" i="3" s="1"/>
  <c r="BG13" i="2"/>
  <c r="BG23" i="3" s="1"/>
  <c r="BG92" i="3"/>
  <c r="BG34" i="3"/>
  <c r="BK66" i="48"/>
  <c r="CA66" i="48" s="1"/>
  <c r="BK73" i="48"/>
  <c r="AT98" i="2"/>
  <c r="AT109" i="2"/>
  <c r="AS99" i="2"/>
  <c r="BB115" i="48"/>
  <c r="CR159" i="1"/>
  <c r="BD95" i="48"/>
  <c r="BZ95" i="48" s="1"/>
  <c r="BD112" i="48"/>
  <c r="BC96" i="48"/>
  <c r="BC97" i="48"/>
  <c r="BD27" i="48"/>
  <c r="BD24" i="48" s="1"/>
  <c r="BD82" i="48"/>
  <c r="BD79" i="48" s="1"/>
  <c r="BZ79" i="48" s="1"/>
  <c r="BD98" i="48"/>
  <c r="BD64" i="48"/>
  <c r="BD61" i="48" s="1"/>
  <c r="BZ61" i="48" s="1"/>
  <c r="BD45" i="48"/>
  <c r="BD42" i="48" s="1"/>
  <c r="BC62" i="48"/>
  <c r="BC105" i="48"/>
  <c r="BY105" i="48" s="1"/>
  <c r="BC63" i="48"/>
  <c r="BD123" i="3"/>
  <c r="BY42" i="48"/>
  <c r="BB97" i="2"/>
  <c r="BH110" i="48"/>
  <c r="BH114" i="48" s="1"/>
  <c r="BH66" i="3"/>
  <c r="BH59" i="2"/>
  <c r="BH16" i="48"/>
  <c r="BH52" i="48"/>
  <c r="BH70" i="48"/>
  <c r="BH33" i="48"/>
  <c r="BH88" i="48"/>
  <c r="AW96" i="2"/>
  <c r="AV99" i="2"/>
  <c r="CR73" i="3"/>
  <c r="CR81" i="3"/>
  <c r="CR80" i="3" s="1"/>
  <c r="CR84" i="3" s="1"/>
  <c r="BJ85" i="48"/>
  <c r="BJ87" i="48"/>
  <c r="BF23" i="3"/>
  <c r="BF160" i="1"/>
  <c r="BF60" i="2"/>
  <c r="BJ32" i="48"/>
  <c r="BJ30" i="48"/>
  <c r="BJ100" i="48"/>
  <c r="BJ10" i="1" s="1"/>
  <c r="BC81" i="48"/>
  <c r="BC80" i="48"/>
  <c r="BZ114" i="48"/>
  <c r="BZ88" i="48"/>
  <c r="BE30" i="2"/>
  <c r="BE14" i="2"/>
  <c r="BY37" i="2"/>
  <c r="BY56" i="2"/>
  <c r="BY95" i="48"/>
  <c r="BD37" i="2"/>
  <c r="BD26" i="3"/>
  <c r="BY79" i="48"/>
  <c r="BJ67" i="48"/>
  <c r="BJ69" i="48"/>
  <c r="BY123" i="3"/>
  <c r="CR53" i="2"/>
  <c r="BK36" i="48"/>
  <c r="BK29" i="48"/>
  <c r="CA29" i="48" s="1"/>
  <c r="CR160" i="1"/>
  <c r="CR60" i="2"/>
  <c r="CS100" i="48"/>
  <c r="CS103" i="48" s="1"/>
  <c r="BE75" i="3"/>
  <c r="BE76" i="3" s="1"/>
  <c r="CR19" i="2"/>
  <c r="CR75" i="3" s="1"/>
  <c r="BF124" i="3"/>
  <c r="BF41" i="3"/>
  <c r="BF133" i="3"/>
  <c r="BE140" i="3"/>
  <c r="BK91" i="48"/>
  <c r="BK84" i="48"/>
  <c r="CR66" i="3"/>
  <c r="CR133" i="3"/>
  <c r="CR140" i="3" s="1"/>
  <c r="CR41" i="3"/>
  <c r="BX154" i="1"/>
  <c r="AZ154" i="1"/>
  <c r="BA154" i="1" s="1"/>
  <c r="BB154" i="1" s="1"/>
  <c r="BN62" i="3" l="1"/>
  <c r="BZ50" i="1"/>
  <c r="BZ58" i="1" s="1"/>
  <c r="CR76" i="3"/>
  <c r="BI31" i="1"/>
  <c r="BI32" i="1" s="1"/>
  <c r="BH32" i="1"/>
  <c r="BZ44" i="1"/>
  <c r="BZ39" i="1"/>
  <c r="BZ46" i="1"/>
  <c r="BF74" i="1"/>
  <c r="BJ12" i="1"/>
  <c r="BJ13" i="1"/>
  <c r="BJ18" i="1"/>
  <c r="BJ28" i="1"/>
  <c r="BJ21" i="1" s="1"/>
  <c r="BG51" i="1"/>
  <c r="BG58" i="1"/>
  <c r="BG60" i="1" s="1"/>
  <c r="BH50" i="1"/>
  <c r="BG56" i="1"/>
  <c r="BZ32" i="1"/>
  <c r="CS13" i="1"/>
  <c r="BG73" i="1"/>
  <c r="BG78" i="1" s="1"/>
  <c r="BG79" i="1" s="1"/>
  <c r="BH39" i="1"/>
  <c r="BI38" i="1"/>
  <c r="BH46" i="1"/>
  <c r="BH48" i="1" s="1"/>
  <c r="BH44" i="1"/>
  <c r="CS21" i="1"/>
  <c r="CS22" i="1" s="1"/>
  <c r="AL138" i="1"/>
  <c r="AL118" i="1"/>
  <c r="CM118" i="1"/>
  <c r="CM138" i="1"/>
  <c r="BU83" i="1"/>
  <c r="BU100" i="1"/>
  <c r="BU165" i="1"/>
  <c r="AM168" i="1"/>
  <c r="AL100" i="3"/>
  <c r="AL99" i="3"/>
  <c r="BC75" i="1"/>
  <c r="AR11" i="1"/>
  <c r="AQ17" i="1"/>
  <c r="AQ115" i="1"/>
  <c r="AQ129" i="1" s="1"/>
  <c r="CN19" i="1"/>
  <c r="CN33" i="1"/>
  <c r="CN35" i="1"/>
  <c r="CN45" i="1"/>
  <c r="CN47" i="1"/>
  <c r="CN71" i="1"/>
  <c r="CN57" i="1"/>
  <c r="CN59" i="1"/>
  <c r="CN27" i="1"/>
  <c r="CN29" i="1"/>
  <c r="AO36" i="1"/>
  <c r="AO82" i="1"/>
  <c r="BY75" i="1"/>
  <c r="BV135" i="1"/>
  <c r="BV137" i="1" s="1"/>
  <c r="BV131" i="1"/>
  <c r="AN165" i="1"/>
  <c r="AN100" i="1"/>
  <c r="AN83" i="1"/>
  <c r="AM99" i="1"/>
  <c r="AM117" i="1"/>
  <c r="AM109" i="1"/>
  <c r="CM140" i="1"/>
  <c r="CM120" i="1"/>
  <c r="CM178" i="1"/>
  <c r="CM179" i="1" s="1"/>
  <c r="AM111" i="1"/>
  <c r="AM101" i="1"/>
  <c r="AM170" i="1"/>
  <c r="AM172" i="1" s="1"/>
  <c r="AM174" i="1" s="1"/>
  <c r="AM176" i="1" s="1"/>
  <c r="AM98" i="3" s="1"/>
  <c r="AM119" i="1"/>
  <c r="AL120" i="1"/>
  <c r="AL140" i="1"/>
  <c r="AL178" i="1"/>
  <c r="AL179" i="1" s="1"/>
  <c r="BU119" i="1"/>
  <c r="AN81" i="1"/>
  <c r="AN98" i="1"/>
  <c r="BE69" i="1"/>
  <c r="BD70" i="1"/>
  <c r="AP27" i="1"/>
  <c r="AP29" i="1"/>
  <c r="AP35" i="1"/>
  <c r="AP59" i="1"/>
  <c r="AP71" i="1"/>
  <c r="AP33" i="1"/>
  <c r="AP47" i="1"/>
  <c r="AP57" i="1"/>
  <c r="AP45" i="1"/>
  <c r="AO34" i="1"/>
  <c r="AO80" i="1"/>
  <c r="BU81" i="1"/>
  <c r="BU98" i="1"/>
  <c r="CM100" i="3"/>
  <c r="CO127" i="1"/>
  <c r="CO116" i="1" s="1"/>
  <c r="CO130" i="1"/>
  <c r="BG124" i="3"/>
  <c r="CN31" i="3"/>
  <c r="CN90" i="3"/>
  <c r="CN93" i="3" s="1"/>
  <c r="CN110" i="3"/>
  <c r="CN130" i="3" s="1"/>
  <c r="CN157" i="3" s="1"/>
  <c r="BP161" i="3"/>
  <c r="BQ155" i="3"/>
  <c r="BQ158" i="3" s="1"/>
  <c r="AP31" i="3"/>
  <c r="AP90" i="3"/>
  <c r="AP93" i="3" s="1"/>
  <c r="AS127" i="1"/>
  <c r="AS116" i="1" s="1"/>
  <c r="AS130" i="1"/>
  <c r="AR135" i="1"/>
  <c r="AR131" i="1"/>
  <c r="AR127" i="2"/>
  <c r="BP56" i="3"/>
  <c r="BP59" i="3" s="1"/>
  <c r="BO62" i="3"/>
  <c r="AO95" i="3"/>
  <c r="BW102" i="2"/>
  <c r="AV102" i="2"/>
  <c r="AU107" i="2"/>
  <c r="BW107" i="2" s="1"/>
  <c r="CG62" i="3"/>
  <c r="CH56" i="3"/>
  <c r="CH59" i="3" s="1"/>
  <c r="AO88" i="3"/>
  <c r="AO102" i="3" s="1"/>
  <c r="AO58" i="3"/>
  <c r="AY103" i="2"/>
  <c r="AX108" i="2"/>
  <c r="AP110" i="3"/>
  <c r="AO130" i="3"/>
  <c r="AO157" i="3" s="1"/>
  <c r="N155" i="3"/>
  <c r="N158" i="3" s="1"/>
  <c r="N161" i="3" s="1"/>
  <c r="L158" i="3"/>
  <c r="L161" i="3" s="1"/>
  <c r="M155" i="3"/>
  <c r="M158" i="3" s="1"/>
  <c r="M161" i="3" s="1"/>
  <c r="O155" i="3"/>
  <c r="O158" i="3" s="1"/>
  <c r="CN58" i="3"/>
  <c r="CI155" i="3"/>
  <c r="CI158" i="3" s="1"/>
  <c r="CH161" i="3"/>
  <c r="BK49" i="48"/>
  <c r="BK51" i="48"/>
  <c r="CA48" i="48"/>
  <c r="CA51" i="48" s="1"/>
  <c r="AQ11" i="3"/>
  <c r="AQ137" i="1"/>
  <c r="AT28" i="1"/>
  <c r="AT26" i="1"/>
  <c r="AU25" i="1"/>
  <c r="AT125" i="1"/>
  <c r="H62" i="3"/>
  <c r="I56" i="3"/>
  <c r="I59" i="3" s="1"/>
  <c r="CA32" i="48"/>
  <c r="BK87" i="48"/>
  <c r="BK85" i="48"/>
  <c r="BF140" i="3"/>
  <c r="BG133" i="3"/>
  <c r="BG140" i="3" s="1"/>
  <c r="CR14" i="2"/>
  <c r="CR55" i="2" s="1"/>
  <c r="CR54" i="2" s="1"/>
  <c r="BF111" i="48"/>
  <c r="BC106" i="48"/>
  <c r="BC115" i="48"/>
  <c r="BD44" i="48"/>
  <c r="BD43" i="48"/>
  <c r="BD26" i="48"/>
  <c r="BD25" i="48"/>
  <c r="BZ24" i="48"/>
  <c r="AT110" i="2"/>
  <c r="BE27" i="48"/>
  <c r="BE24" i="48" s="1"/>
  <c r="CA24" i="48" s="1"/>
  <c r="BE64" i="48"/>
  <c r="BE61" i="48" s="1"/>
  <c r="BE45" i="48"/>
  <c r="BE42" i="48" s="1"/>
  <c r="BE82" i="48"/>
  <c r="BE79" i="48" s="1"/>
  <c r="CA79" i="48" s="1"/>
  <c r="BE98" i="48"/>
  <c r="BZ81" i="48"/>
  <c r="BZ82" i="48"/>
  <c r="CR30" i="2"/>
  <c r="BE26" i="3"/>
  <c r="CR26" i="3" s="1"/>
  <c r="CR125" i="3" s="1"/>
  <c r="BE37" i="2"/>
  <c r="BJ103" i="48"/>
  <c r="BJ101" i="48"/>
  <c r="BH34" i="3"/>
  <c r="BH92" i="3"/>
  <c r="BD105" i="48"/>
  <c r="BD62" i="48"/>
  <c r="BD63" i="48"/>
  <c r="BY106" i="48"/>
  <c r="BY108" i="48"/>
  <c r="BY115" i="48"/>
  <c r="AU109" i="2"/>
  <c r="AT99" i="2"/>
  <c r="BZ13" i="2"/>
  <c r="CA89" i="1" s="1"/>
  <c r="BE95" i="48"/>
  <c r="BF104" i="2"/>
  <c r="BE109" i="2"/>
  <c r="BY26" i="48"/>
  <c r="BY27" i="48"/>
  <c r="BK30" i="48"/>
  <c r="BK32" i="48"/>
  <c r="BK100" i="48"/>
  <c r="CR68" i="3"/>
  <c r="CR92" i="3"/>
  <c r="BY82" i="48"/>
  <c r="BY81" i="48"/>
  <c r="BF122" i="3"/>
  <c r="BG122" i="3" s="1"/>
  <c r="BZ23" i="3"/>
  <c r="BE24" i="3"/>
  <c r="BE123" i="3" s="1"/>
  <c r="AX96" i="2"/>
  <c r="AW99" i="2"/>
  <c r="BH13" i="2"/>
  <c r="BH16" i="2"/>
  <c r="BH25" i="3" s="1"/>
  <c r="BC97" i="2"/>
  <c r="BK69" i="48"/>
  <c r="BK67" i="48"/>
  <c r="BZ16" i="2"/>
  <c r="BZ57" i="2" s="1"/>
  <c r="BE112" i="48"/>
  <c r="BZ42" i="48"/>
  <c r="BZ25" i="3"/>
  <c r="BZ124" i="3" s="1"/>
  <c r="CA69" i="48"/>
  <c r="BZ63" i="48"/>
  <c r="BZ64" i="48"/>
  <c r="BD125" i="3"/>
  <c r="BY98" i="48"/>
  <c r="BY97" i="48"/>
  <c r="BF30" i="2"/>
  <c r="BF14" i="2"/>
  <c r="CA84" i="48"/>
  <c r="BG60" i="2"/>
  <c r="BG160" i="1"/>
  <c r="BZ98" i="48"/>
  <c r="BZ97" i="48"/>
  <c r="BY44" i="48"/>
  <c r="BY45" i="48"/>
  <c r="BD81" i="48"/>
  <c r="BD80" i="48"/>
  <c r="BD96" i="48"/>
  <c r="BD97" i="48"/>
  <c r="BG41" i="3"/>
  <c r="BZ34" i="3"/>
  <c r="BH70" i="3"/>
  <c r="BG81" i="3"/>
  <c r="BG73" i="3"/>
  <c r="BG19" i="2" s="1"/>
  <c r="BZ70" i="3"/>
  <c r="BI66" i="3"/>
  <c r="BI59" i="2"/>
  <c r="BI110" i="48"/>
  <c r="BI114" i="48" s="1"/>
  <c r="BI16" i="48"/>
  <c r="BI52" i="48"/>
  <c r="BI88" i="48"/>
  <c r="BI70" i="48"/>
  <c r="BI33" i="48"/>
  <c r="CS162" i="1"/>
  <c r="BG159" i="1"/>
  <c r="CQ154" i="1"/>
  <c r="BZ51" i="1" l="1"/>
  <c r="BZ56" i="1"/>
  <c r="BZ74" i="1" s="1"/>
  <c r="BZ73" i="1"/>
  <c r="BZ78" i="1" s="1"/>
  <c r="BZ79" i="1" s="1"/>
  <c r="BH73" i="1"/>
  <c r="BH78" i="1" s="1"/>
  <c r="BH79" i="1" s="1"/>
  <c r="CA100" i="48"/>
  <c r="CA70" i="48" s="1"/>
  <c r="BK10" i="1"/>
  <c r="CS38" i="1"/>
  <c r="BI39" i="1"/>
  <c r="BI44" i="1"/>
  <c r="BJ38" i="1"/>
  <c r="BI46" i="1"/>
  <c r="BI48" i="1" s="1"/>
  <c r="BJ22" i="1"/>
  <c r="BG74" i="1"/>
  <c r="CS31" i="1"/>
  <c r="BH56" i="1"/>
  <c r="BH74" i="1" s="1"/>
  <c r="BH51" i="1"/>
  <c r="BI50" i="1"/>
  <c r="BH58" i="1"/>
  <c r="BH60" i="1" s="1"/>
  <c r="BJ31" i="1"/>
  <c r="BU109" i="1"/>
  <c r="BU99" i="1"/>
  <c r="AO81" i="1"/>
  <c r="AO98" i="1"/>
  <c r="AP34" i="1"/>
  <c r="AP80" i="1"/>
  <c r="BD75" i="1"/>
  <c r="BW25" i="1"/>
  <c r="AN109" i="1"/>
  <c r="AN99" i="1"/>
  <c r="AN117" i="1"/>
  <c r="BU120" i="1"/>
  <c r="BU140" i="1"/>
  <c r="AM178" i="1"/>
  <c r="AM179" i="1" s="1"/>
  <c r="AM140" i="1"/>
  <c r="AM120" i="1"/>
  <c r="AN168" i="1"/>
  <c r="CN36" i="1"/>
  <c r="CN82" i="1"/>
  <c r="AQ59" i="1"/>
  <c r="AQ57" i="1"/>
  <c r="AQ33" i="1"/>
  <c r="AQ47" i="1"/>
  <c r="AQ35" i="1"/>
  <c r="AQ71" i="1"/>
  <c r="AQ45" i="1"/>
  <c r="AQ29" i="1"/>
  <c r="AQ27" i="1"/>
  <c r="BV17" i="1"/>
  <c r="BU168" i="1"/>
  <c r="BU101" i="1"/>
  <c r="BU111" i="1"/>
  <c r="BU170" i="1"/>
  <c r="BU172" i="1" s="1"/>
  <c r="BU174" i="1" s="1"/>
  <c r="BU176" i="1" s="1"/>
  <c r="BU98" i="3" s="1"/>
  <c r="CO135" i="1"/>
  <c r="CO137" i="1" s="1"/>
  <c r="CO131" i="1"/>
  <c r="AP82" i="1"/>
  <c r="AP36" i="1"/>
  <c r="BF69" i="1"/>
  <c r="BE70" i="1"/>
  <c r="CR69" i="1"/>
  <c r="AM99" i="3"/>
  <c r="AM100" i="3"/>
  <c r="AM118" i="1"/>
  <c r="AM138" i="1"/>
  <c r="BU117" i="1"/>
  <c r="AN111" i="1"/>
  <c r="AN101" i="1"/>
  <c r="AN119" i="1"/>
  <c r="AN170" i="1"/>
  <c r="AN172" i="1" s="1"/>
  <c r="AN174" i="1" s="1"/>
  <c r="AN176" i="1" s="1"/>
  <c r="AN98" i="3" s="1"/>
  <c r="AO100" i="1"/>
  <c r="AO165" i="1"/>
  <c r="AO83" i="1"/>
  <c r="CN34" i="1"/>
  <c r="CN80" i="1"/>
  <c r="AS11" i="1"/>
  <c r="AR17" i="1"/>
  <c r="AR115" i="1"/>
  <c r="AR129" i="1" s="1"/>
  <c r="AU28" i="1"/>
  <c r="AV25" i="1"/>
  <c r="AU125" i="1"/>
  <c r="AU26" i="1"/>
  <c r="AQ110" i="3"/>
  <c r="AQ130" i="3" s="1"/>
  <c r="AQ157" i="3" s="1"/>
  <c r="AP130" i="3"/>
  <c r="AP157" i="3" s="1"/>
  <c r="AU110" i="2"/>
  <c r="BW110" i="2" s="1"/>
  <c r="AQ90" i="3"/>
  <c r="AQ93" i="3" s="1"/>
  <c r="AQ31" i="3"/>
  <c r="CH62" i="3"/>
  <c r="CI56" i="3"/>
  <c r="CI59" i="3" s="1"/>
  <c r="AW102" i="2"/>
  <c r="AV107" i="2"/>
  <c r="AV110" i="2" s="1"/>
  <c r="BQ56" i="3"/>
  <c r="BQ59" i="3" s="1"/>
  <c r="BP62" i="3"/>
  <c r="BV11" i="3"/>
  <c r="BE125" i="3"/>
  <c r="I62" i="3"/>
  <c r="J56" i="3"/>
  <c r="J59" i="3" s="1"/>
  <c r="CO127" i="2"/>
  <c r="AZ103" i="2"/>
  <c r="BX103" i="2"/>
  <c r="AY108" i="2"/>
  <c r="BX108" i="2" s="1"/>
  <c r="AP95" i="3"/>
  <c r="CN95" i="3"/>
  <c r="AT127" i="1"/>
  <c r="AT116" i="1" s="1"/>
  <c r="AT130" i="1"/>
  <c r="CJ155" i="3"/>
  <c r="CJ158" i="3" s="1"/>
  <c r="CI161" i="3"/>
  <c r="P155" i="3"/>
  <c r="O161" i="3"/>
  <c r="AR11" i="3"/>
  <c r="AR137" i="1"/>
  <c r="AS131" i="1"/>
  <c r="AS135" i="1"/>
  <c r="AS127" i="2"/>
  <c r="AP58" i="3"/>
  <c r="AP88" i="3"/>
  <c r="AP102" i="3" s="1"/>
  <c r="BR155" i="3"/>
  <c r="BR158" i="3" s="1"/>
  <c r="BQ161" i="3"/>
  <c r="CN88" i="3"/>
  <c r="CN102" i="3" s="1"/>
  <c r="CA82" i="48"/>
  <c r="CA81" i="48"/>
  <c r="BI92" i="3"/>
  <c r="BI34" i="3"/>
  <c r="BI41" i="3" s="1"/>
  <c r="BZ81" i="3"/>
  <c r="BZ80" i="3" s="1"/>
  <c r="BZ84" i="3" s="1"/>
  <c r="BZ73" i="3"/>
  <c r="BG111" i="48"/>
  <c r="BF37" i="2"/>
  <c r="BF26" i="3"/>
  <c r="AY96" i="2"/>
  <c r="AX99" i="2"/>
  <c r="BG104" i="2"/>
  <c r="BF109" i="2"/>
  <c r="BE44" i="48"/>
  <c r="BE43" i="48"/>
  <c r="CA42" i="48"/>
  <c r="BC108" i="48"/>
  <c r="BC107" i="48"/>
  <c r="BF64" i="48"/>
  <c r="BF61" i="48" s="1"/>
  <c r="BF27" i="48"/>
  <c r="BF24" i="48" s="1"/>
  <c r="BF82" i="48"/>
  <c r="BF79" i="48" s="1"/>
  <c r="BF45" i="48"/>
  <c r="BF42" i="48" s="1"/>
  <c r="BF98" i="48"/>
  <c r="BZ19" i="2"/>
  <c r="BZ75" i="3" s="1"/>
  <c r="BG75" i="3"/>
  <c r="BG76" i="3" s="1"/>
  <c r="BG30" i="2"/>
  <c r="BG14" i="2"/>
  <c r="BG24" i="3" s="1"/>
  <c r="BY97" i="2"/>
  <c r="BD97" i="2"/>
  <c r="BK101" i="48"/>
  <c r="BK103" i="48"/>
  <c r="BE96" i="48"/>
  <c r="BE97" i="48"/>
  <c r="CA95" i="48"/>
  <c r="CR37" i="2"/>
  <c r="CR56" i="2"/>
  <c r="BE63" i="48"/>
  <c r="BE105" i="48"/>
  <c r="BE62" i="48"/>
  <c r="CA61" i="48"/>
  <c r="CA26" i="48"/>
  <c r="CA27" i="48"/>
  <c r="BZ160" i="1"/>
  <c r="BZ60" i="2"/>
  <c r="BH159" i="1"/>
  <c r="BH60" i="2"/>
  <c r="BH160" i="1"/>
  <c r="CA87" i="48"/>
  <c r="BZ44" i="48"/>
  <c r="BZ45" i="48"/>
  <c r="BH124" i="3"/>
  <c r="BZ122" i="3"/>
  <c r="BZ53" i="2"/>
  <c r="BE26" i="48"/>
  <c r="BE25" i="48"/>
  <c r="BZ26" i="48"/>
  <c r="BZ27" i="48"/>
  <c r="BF112" i="48"/>
  <c r="BZ41" i="3"/>
  <c r="BZ133" i="3"/>
  <c r="BZ140" i="3" s="1"/>
  <c r="BZ66" i="3"/>
  <c r="BZ159" i="1"/>
  <c r="CS59" i="2"/>
  <c r="CS110" i="48"/>
  <c r="BI16" i="2"/>
  <c r="BI13" i="2"/>
  <c r="BI23" i="3" s="1"/>
  <c r="BI70" i="3"/>
  <c r="BH73" i="3"/>
  <c r="BH19" i="2" s="1"/>
  <c r="BH75" i="3" s="1"/>
  <c r="BH76" i="3" s="1"/>
  <c r="BH81" i="3"/>
  <c r="CR24" i="3"/>
  <c r="CR123" i="3" s="1"/>
  <c r="BH23" i="3"/>
  <c r="BD106" i="48"/>
  <c r="BD115" i="48"/>
  <c r="BH133" i="3"/>
  <c r="BH41" i="3"/>
  <c r="BJ110" i="48"/>
  <c r="BJ114" i="48" s="1"/>
  <c r="BJ59" i="2"/>
  <c r="BJ66" i="3"/>
  <c r="BJ16" i="48"/>
  <c r="BJ52" i="48"/>
  <c r="BJ70" i="48"/>
  <c r="BJ33" i="48"/>
  <c r="BJ88" i="48"/>
  <c r="BE80" i="48"/>
  <c r="BE81" i="48"/>
  <c r="BW109" i="2"/>
  <c r="BF95" i="48"/>
  <c r="BF24" i="3"/>
  <c r="BF123" i="3" s="1"/>
  <c r="BC154" i="1"/>
  <c r="CA16" i="48" l="1"/>
  <c r="BF125" i="3"/>
  <c r="CA33" i="48"/>
  <c r="CA52" i="48"/>
  <c r="CA103" i="48"/>
  <c r="CS34" i="3"/>
  <c r="CS66" i="3" s="1"/>
  <c r="BJ32" i="1"/>
  <c r="BJ50" i="1"/>
  <c r="BJ73" i="1" s="1"/>
  <c r="BJ78" i="1" s="1"/>
  <c r="BJ79" i="1" s="1"/>
  <c r="BI56" i="1"/>
  <c r="BI74" i="1" s="1"/>
  <c r="BI51" i="1"/>
  <c r="BI58" i="1"/>
  <c r="BI60" i="1" s="1"/>
  <c r="CS39" i="1"/>
  <c r="CS44" i="1"/>
  <c r="CS46" i="1"/>
  <c r="BK13" i="1"/>
  <c r="BK18" i="1"/>
  <c r="BK28" i="1"/>
  <c r="BK21" i="1" s="1"/>
  <c r="CA10" i="1"/>
  <c r="BK12" i="1"/>
  <c r="BK38" i="1" s="1"/>
  <c r="CA38" i="1" s="1"/>
  <c r="CS50" i="1"/>
  <c r="CS32" i="1"/>
  <c r="BI73" i="1"/>
  <c r="BI78" i="1" s="1"/>
  <c r="BI79" i="1" s="1"/>
  <c r="BJ39" i="1"/>
  <c r="BJ46" i="1"/>
  <c r="BJ48" i="1" s="1"/>
  <c r="BJ44" i="1"/>
  <c r="AR27" i="1"/>
  <c r="AR47" i="1"/>
  <c r="AR33" i="1"/>
  <c r="AR59" i="1"/>
  <c r="AR29" i="1"/>
  <c r="AR35" i="1"/>
  <c r="AR71" i="1"/>
  <c r="AR45" i="1"/>
  <c r="AR57" i="1"/>
  <c r="AO168" i="1"/>
  <c r="AN140" i="1"/>
  <c r="AN178" i="1"/>
  <c r="AN179" i="1" s="1"/>
  <c r="AN120" i="1"/>
  <c r="BE75" i="1"/>
  <c r="BV19" i="1"/>
  <c r="BV33" i="1"/>
  <c r="BV35" i="1"/>
  <c r="BV47" i="1"/>
  <c r="BV45" i="1"/>
  <c r="BV59" i="1"/>
  <c r="BV57" i="1"/>
  <c r="BV71" i="1"/>
  <c r="BV29" i="1"/>
  <c r="BV27" i="1"/>
  <c r="CN100" i="1"/>
  <c r="CN83" i="1"/>
  <c r="CN165" i="1"/>
  <c r="BU178" i="1"/>
  <c r="BU179" i="1" s="1"/>
  <c r="AN118" i="1"/>
  <c r="AN138" i="1"/>
  <c r="AP81" i="1"/>
  <c r="AP98" i="1"/>
  <c r="AO117" i="1"/>
  <c r="AO99" i="1"/>
  <c r="AO109" i="1"/>
  <c r="AS115" i="1"/>
  <c r="AS129" i="1" s="1"/>
  <c r="AT11" i="1"/>
  <c r="AS17" i="1"/>
  <c r="CN81" i="1"/>
  <c r="CN98" i="1"/>
  <c r="AO111" i="1"/>
  <c r="AO170" i="1"/>
  <c r="AO172" i="1" s="1"/>
  <c r="AO174" i="1" s="1"/>
  <c r="AO176" i="1" s="1"/>
  <c r="AO98" i="3" s="1"/>
  <c r="AO119" i="1"/>
  <c r="AO101" i="1"/>
  <c r="AN99" i="3"/>
  <c r="AN100" i="3"/>
  <c r="BU118" i="1"/>
  <c r="BU138" i="1"/>
  <c r="CR70" i="1"/>
  <c r="BG69" i="1"/>
  <c r="BZ69" i="1" s="1"/>
  <c r="BZ70" i="1" s="1"/>
  <c r="BF70" i="1"/>
  <c r="AP165" i="1"/>
  <c r="AP83" i="1"/>
  <c r="AP100" i="1"/>
  <c r="BU99" i="3"/>
  <c r="BU100" i="3"/>
  <c r="AQ82" i="1"/>
  <c r="AQ36" i="1"/>
  <c r="AQ34" i="1"/>
  <c r="AQ80" i="1"/>
  <c r="BW28" i="1"/>
  <c r="BW125" i="1"/>
  <c r="BW26" i="1"/>
  <c r="CO11" i="1"/>
  <c r="CO115" i="1" s="1"/>
  <c r="BG123" i="3"/>
  <c r="AS137" i="1"/>
  <c r="AS11" i="3"/>
  <c r="S155" i="3"/>
  <c r="S158" i="3" s="1"/>
  <c r="P158" i="3"/>
  <c r="P161" i="3" s="1"/>
  <c r="Q155" i="3"/>
  <c r="Q158" i="3" s="1"/>
  <c r="Q161" i="3" s="1"/>
  <c r="R155" i="3"/>
  <c r="R158" i="3" s="1"/>
  <c r="R161" i="3" s="1"/>
  <c r="BA103" i="2"/>
  <c r="AZ108" i="2"/>
  <c r="AX102" i="2"/>
  <c r="AW107" i="2"/>
  <c r="AQ88" i="3"/>
  <c r="AQ102" i="3" s="1"/>
  <c r="AQ58" i="3"/>
  <c r="BV58" i="3" s="1"/>
  <c r="AV26" i="1"/>
  <c r="AV125" i="1"/>
  <c r="AV28" i="1"/>
  <c r="AW25" i="1"/>
  <c r="AR31" i="3"/>
  <c r="AR110" i="3"/>
  <c r="AR90" i="3"/>
  <c r="AR93" i="3" s="1"/>
  <c r="J62" i="3"/>
  <c r="K56" i="3"/>
  <c r="K59" i="3" s="1"/>
  <c r="CI62" i="3"/>
  <c r="CJ56" i="3"/>
  <c r="CJ59" i="3" s="1"/>
  <c r="AQ95" i="3"/>
  <c r="BZ76" i="3"/>
  <c r="BR161" i="3"/>
  <c r="BS155" i="3"/>
  <c r="BS158" i="3" s="1"/>
  <c r="CK155" i="3"/>
  <c r="CK158" i="3" s="1"/>
  <c r="CJ161" i="3"/>
  <c r="BV110" i="3"/>
  <c r="BV130" i="3" s="1"/>
  <c r="BV157" i="3" s="1"/>
  <c r="BV31" i="3"/>
  <c r="BV88" i="3" s="1"/>
  <c r="BV102" i="3" s="1"/>
  <c r="BV90" i="3"/>
  <c r="BV93" i="3" s="1"/>
  <c r="BV95" i="3" s="1"/>
  <c r="BR56" i="3"/>
  <c r="BR59" i="3" s="1"/>
  <c r="BQ62" i="3"/>
  <c r="AT131" i="1"/>
  <c r="AT127" i="2"/>
  <c r="AT135" i="1"/>
  <c r="AU127" i="1"/>
  <c r="AU116" i="1" s="1"/>
  <c r="AU130" i="1"/>
  <c r="BC151" i="1"/>
  <c r="BY151" i="1" s="1"/>
  <c r="BJ92" i="3"/>
  <c r="BJ34" i="3"/>
  <c r="BH140" i="3"/>
  <c r="BI133" i="3"/>
  <c r="CS13" i="2"/>
  <c r="CS53" i="2" s="1"/>
  <c r="BH111" i="48"/>
  <c r="BH30" i="2"/>
  <c r="BH14" i="2"/>
  <c r="BH24" i="3" s="1"/>
  <c r="CA64" i="48"/>
  <c r="CA63" i="48"/>
  <c r="BK66" i="3"/>
  <c r="BK59" i="2"/>
  <c r="BK110" i="48"/>
  <c r="BK114" i="48" s="1"/>
  <c r="BK16" i="48"/>
  <c r="BK52" i="48"/>
  <c r="BK33" i="48"/>
  <c r="BK70" i="48"/>
  <c r="BK88" i="48"/>
  <c r="BG37" i="2"/>
  <c r="BZ30" i="2"/>
  <c r="BG26" i="3"/>
  <c r="BG125" i="3" s="1"/>
  <c r="BF81" i="48"/>
  <c r="BF80" i="48"/>
  <c r="BG112" i="48"/>
  <c r="BH122" i="3"/>
  <c r="BI122" i="3" s="1"/>
  <c r="CS23" i="3"/>
  <c r="CS122" i="3" s="1"/>
  <c r="CS16" i="2"/>
  <c r="CS57" i="2" s="1"/>
  <c r="BZ92" i="3"/>
  <c r="BZ68" i="3"/>
  <c r="BE97" i="2"/>
  <c r="BF25" i="48"/>
  <c r="BF26" i="48"/>
  <c r="CA44" i="48"/>
  <c r="CA45" i="48"/>
  <c r="BX96" i="2"/>
  <c r="AY99" i="2"/>
  <c r="BX99" i="2" s="1"/>
  <c r="AZ96" i="2"/>
  <c r="BJ16" i="2"/>
  <c r="BJ25" i="3" s="1"/>
  <c r="BJ13" i="2"/>
  <c r="BZ24" i="3"/>
  <c r="BI25" i="3"/>
  <c r="BI124" i="3" s="1"/>
  <c r="BI159" i="1"/>
  <c r="BE106" i="48"/>
  <c r="BE115" i="48"/>
  <c r="BF62" i="48"/>
  <c r="BF105" i="48"/>
  <c r="BF63" i="48"/>
  <c r="BH104" i="2"/>
  <c r="BZ104" i="2"/>
  <c r="BG109" i="2"/>
  <c r="BZ109" i="2" s="1"/>
  <c r="BI60" i="2"/>
  <c r="BI160" i="1"/>
  <c r="BF97" i="48"/>
  <c r="BF96" i="48"/>
  <c r="BD108" i="48"/>
  <c r="BD107" i="48"/>
  <c r="BJ70" i="3"/>
  <c r="BI73" i="3"/>
  <c r="BI19" i="2" s="1"/>
  <c r="CS70" i="3"/>
  <c r="BI81" i="3"/>
  <c r="CS16" i="48"/>
  <c r="CS52" i="48"/>
  <c r="CS88" i="48"/>
  <c r="CS70" i="48"/>
  <c r="CS33" i="48"/>
  <c r="CS60" i="2"/>
  <c r="BZ111" i="48"/>
  <c r="CA98" i="48"/>
  <c r="CA97" i="48"/>
  <c r="BZ14" i="2"/>
  <c r="BZ55" i="2" s="1"/>
  <c r="BZ54" i="2" s="1"/>
  <c r="BF44" i="48"/>
  <c r="BF43" i="48"/>
  <c r="BG98" i="48"/>
  <c r="BG95" i="48" s="1"/>
  <c r="BG27" i="48"/>
  <c r="BG24" i="48" s="1"/>
  <c r="BG45" i="48"/>
  <c r="BG42" i="48" s="1"/>
  <c r="BG82" i="48"/>
  <c r="BG79" i="48" s="1"/>
  <c r="BG64" i="48"/>
  <c r="BG61" i="48" s="1"/>
  <c r="BD154" i="1"/>
  <c r="BE154" i="1" s="1"/>
  <c r="BY154" i="1"/>
  <c r="CS41" i="3" l="1"/>
  <c r="CA59" i="2"/>
  <c r="CS133" i="3"/>
  <c r="CS140" i="3" s="1"/>
  <c r="CA39" i="1"/>
  <c r="CA46" i="1"/>
  <c r="CA44" i="1"/>
  <c r="CA13" i="1"/>
  <c r="BK22" i="1"/>
  <c r="CA21" i="1"/>
  <c r="CA22" i="1" s="1"/>
  <c r="CA110" i="48"/>
  <c r="CA114" i="48" s="1"/>
  <c r="BK46" i="1"/>
  <c r="BK48" i="1" s="1"/>
  <c r="BK39" i="1"/>
  <c r="BK44" i="1"/>
  <c r="CS51" i="1"/>
  <c r="CS56" i="1"/>
  <c r="CS74" i="1" s="1"/>
  <c r="CS58" i="1"/>
  <c r="BK31" i="1"/>
  <c r="CS73" i="1"/>
  <c r="CS78" i="1" s="1"/>
  <c r="CS79" i="1" s="1"/>
  <c r="BJ56" i="1"/>
  <c r="BJ74" i="1" s="1"/>
  <c r="BJ51" i="1"/>
  <c r="BK50" i="1"/>
  <c r="CA50" i="1" s="1"/>
  <c r="BJ58" i="1"/>
  <c r="BJ60" i="1" s="1"/>
  <c r="BW127" i="1"/>
  <c r="BW116" i="1" s="1"/>
  <c r="BW130" i="1"/>
  <c r="AQ81" i="1"/>
  <c r="AQ98" i="1"/>
  <c r="AQ100" i="1"/>
  <c r="AQ165" i="1"/>
  <c r="AQ83" i="1"/>
  <c r="AP119" i="1"/>
  <c r="AP111" i="1"/>
  <c r="AP101" i="1"/>
  <c r="AP170" i="1"/>
  <c r="AP172" i="1" s="1"/>
  <c r="AP174" i="1" s="1"/>
  <c r="AP176" i="1" s="1"/>
  <c r="AP98" i="3" s="1"/>
  <c r="AP168" i="1"/>
  <c r="BF75" i="1"/>
  <c r="BH69" i="1"/>
  <c r="BG70" i="1"/>
  <c r="AO99" i="3"/>
  <c r="AO100" i="3"/>
  <c r="AU11" i="1"/>
  <c r="AT115" i="1"/>
  <c r="AT129" i="1" s="1"/>
  <c r="AT17" i="1"/>
  <c r="CP25" i="1"/>
  <c r="AO138" i="1"/>
  <c r="AO118" i="1"/>
  <c r="AP99" i="1"/>
  <c r="AP109" i="1"/>
  <c r="AP117" i="1"/>
  <c r="BV34" i="1"/>
  <c r="BV80" i="1"/>
  <c r="AR80" i="1"/>
  <c r="AR34" i="1"/>
  <c r="BZ75" i="1"/>
  <c r="CR75" i="1"/>
  <c r="AO178" i="1"/>
  <c r="AO179" i="1" s="1"/>
  <c r="AO140" i="1"/>
  <c r="AO120" i="1"/>
  <c r="CN117" i="1"/>
  <c r="CN99" i="1"/>
  <c r="CN109" i="1"/>
  <c r="AS29" i="1"/>
  <c r="AS33" i="1"/>
  <c r="AS47" i="1"/>
  <c r="AS59" i="1"/>
  <c r="AS27" i="1"/>
  <c r="AS45" i="1"/>
  <c r="AS57" i="1"/>
  <c r="AS71" i="1"/>
  <c r="AS35" i="1"/>
  <c r="CN168" i="1"/>
  <c r="CN101" i="1"/>
  <c r="CN111" i="1"/>
  <c r="CN119" i="1"/>
  <c r="CN170" i="1"/>
  <c r="CN172" i="1" s="1"/>
  <c r="CN174" i="1" s="1"/>
  <c r="CN176" i="1" s="1"/>
  <c r="CN98" i="3" s="1"/>
  <c r="BV36" i="1"/>
  <c r="BV82" i="1"/>
  <c r="BV52" i="1"/>
  <c r="BV40" i="1"/>
  <c r="CO17" i="1"/>
  <c r="AR36" i="1"/>
  <c r="AR82" i="1"/>
  <c r="BW11" i="1"/>
  <c r="BW115" i="1" s="1"/>
  <c r="CL155" i="3"/>
  <c r="CL158" i="3" s="1"/>
  <c r="CK161" i="3"/>
  <c r="AS110" i="3"/>
  <c r="AR130" i="3"/>
  <c r="AR157" i="3" s="1"/>
  <c r="AV130" i="1"/>
  <c r="AV127" i="1"/>
  <c r="AV116" i="1" s="1"/>
  <c r="AT137" i="1"/>
  <c r="AT11" i="3"/>
  <c r="CJ62" i="3"/>
  <c r="CK56" i="3"/>
  <c r="CK59" i="3" s="1"/>
  <c r="AR58" i="3"/>
  <c r="AR88" i="3"/>
  <c r="AR102" i="3" s="1"/>
  <c r="AW110" i="2"/>
  <c r="AS90" i="3"/>
  <c r="AS93" i="3" s="1"/>
  <c r="AS31" i="3"/>
  <c r="BS56" i="3"/>
  <c r="BS59" i="3" s="1"/>
  <c r="BR62" i="3"/>
  <c r="CO11" i="3"/>
  <c r="AW125" i="1"/>
  <c r="AX25" i="1"/>
  <c r="AW28" i="1"/>
  <c r="AW26" i="1"/>
  <c r="AY102" i="2"/>
  <c r="AX107" i="2"/>
  <c r="AX110" i="2" s="1"/>
  <c r="T155" i="3"/>
  <c r="S161" i="3"/>
  <c r="BZ26" i="3"/>
  <c r="BZ125" i="3" s="1"/>
  <c r="AU127" i="2"/>
  <c r="AU135" i="1"/>
  <c r="AU131" i="1"/>
  <c r="BS161" i="3"/>
  <c r="BT155" i="3"/>
  <c r="BT158" i="3" s="1"/>
  <c r="K62" i="3"/>
  <c r="L56" i="3"/>
  <c r="L59" i="3" s="1"/>
  <c r="AR95" i="3"/>
  <c r="BB103" i="2"/>
  <c r="BA108" i="2"/>
  <c r="BG105" i="48"/>
  <c r="BZ105" i="48" s="1"/>
  <c r="BZ115" i="48" s="1"/>
  <c r="BG63" i="48"/>
  <c r="BG62" i="48"/>
  <c r="BH123" i="3"/>
  <c r="BI30" i="2"/>
  <c r="BI14" i="2"/>
  <c r="BJ159" i="1"/>
  <c r="BZ56" i="2"/>
  <c r="BZ37" i="2"/>
  <c r="BH112" i="48"/>
  <c r="BJ133" i="3"/>
  <c r="BI140" i="3"/>
  <c r="CS81" i="3"/>
  <c r="CS80" i="3" s="1"/>
  <c r="CS84" i="3" s="1"/>
  <c r="CS73" i="3"/>
  <c r="BG81" i="48"/>
  <c r="BG80" i="48"/>
  <c r="BI75" i="3"/>
  <c r="BI76" i="3" s="1"/>
  <c r="CS19" i="2"/>
  <c r="CS75" i="3" s="1"/>
  <c r="BJ60" i="2"/>
  <c r="BJ160" i="1"/>
  <c r="BG43" i="48"/>
  <c r="BG44" i="48"/>
  <c r="CS160" i="1"/>
  <c r="BK70" i="3"/>
  <c r="BJ73" i="3"/>
  <c r="BJ19" i="2" s="1"/>
  <c r="BJ75" i="3" s="1"/>
  <c r="BJ76" i="3" s="1"/>
  <c r="BJ81" i="3"/>
  <c r="BI111" i="48"/>
  <c r="BI104" i="2"/>
  <c r="BH109" i="2"/>
  <c r="BF106" i="48"/>
  <c r="BF115" i="48"/>
  <c r="BG25" i="48"/>
  <c r="BG26" i="48"/>
  <c r="BZ112" i="48"/>
  <c r="CS25" i="3"/>
  <c r="CS124" i="3" s="1"/>
  <c r="BH37" i="2"/>
  <c r="BH26" i="3"/>
  <c r="BH95" i="48"/>
  <c r="BZ123" i="3"/>
  <c r="BK16" i="2"/>
  <c r="CA16" i="2" s="1"/>
  <c r="CA57" i="2" s="1"/>
  <c r="BK13" i="2"/>
  <c r="CA13" i="2" s="1"/>
  <c r="BJ41" i="3"/>
  <c r="BG97" i="48"/>
  <c r="BG96" i="48"/>
  <c r="BJ124" i="3"/>
  <c r="BE107" i="48"/>
  <c r="BE108" i="48"/>
  <c r="CS68" i="3"/>
  <c r="CS92" i="3"/>
  <c r="BA96" i="2"/>
  <c r="AZ99" i="2"/>
  <c r="BF97" i="2"/>
  <c r="BK34" i="3"/>
  <c r="BK41" i="3" s="1"/>
  <c r="BK92" i="3"/>
  <c r="BH98" i="48"/>
  <c r="BH45" i="48"/>
  <c r="BH42" i="48" s="1"/>
  <c r="BH82" i="48"/>
  <c r="BH79" i="48" s="1"/>
  <c r="BH64" i="48"/>
  <c r="BH61" i="48" s="1"/>
  <c r="BH27" i="48"/>
  <c r="BH24" i="48" s="1"/>
  <c r="BJ23" i="3"/>
  <c r="CS159" i="1"/>
  <c r="CR154" i="1"/>
  <c r="BF154" i="1"/>
  <c r="BG154" i="1" s="1"/>
  <c r="BD151" i="1"/>
  <c r="BE151" i="1" s="1"/>
  <c r="BK23" i="3" l="1"/>
  <c r="CA23" i="3" s="1"/>
  <c r="CA122" i="3" s="1"/>
  <c r="CA53" i="2"/>
  <c r="CA88" i="48"/>
  <c r="CA56" i="1"/>
  <c r="CA74" i="1" s="1"/>
  <c r="CA58" i="1"/>
  <c r="CA51" i="1"/>
  <c r="BK56" i="1"/>
  <c r="BK74" i="1" s="1"/>
  <c r="BK51" i="1"/>
  <c r="BK58" i="1"/>
  <c r="BK60" i="1" s="1"/>
  <c r="CA73" i="1"/>
  <c r="BK32" i="1"/>
  <c r="BK73" i="1"/>
  <c r="BK78" i="1" s="1"/>
  <c r="BK79" i="1" s="1"/>
  <c r="CA31" i="1"/>
  <c r="AR100" i="1"/>
  <c r="AR165" i="1"/>
  <c r="AR83" i="1"/>
  <c r="CO19" i="1"/>
  <c r="CO33" i="1"/>
  <c r="CO35" i="1"/>
  <c r="CO45" i="1"/>
  <c r="CO47" i="1"/>
  <c r="CO59" i="1"/>
  <c r="CO57" i="1"/>
  <c r="CO71" i="1"/>
  <c r="CO27" i="1"/>
  <c r="CO29" i="1"/>
  <c r="CN99" i="3"/>
  <c r="CN100" i="3"/>
  <c r="CN140" i="1"/>
  <c r="CN120" i="1"/>
  <c r="CN178" i="1"/>
  <c r="CN179" i="1" s="1"/>
  <c r="AS34" i="1"/>
  <c r="AS80" i="1"/>
  <c r="CR76" i="1"/>
  <c r="AR98" i="1"/>
  <c r="AR81" i="1"/>
  <c r="AP138" i="1"/>
  <c r="AP118" i="1"/>
  <c r="CP26" i="1"/>
  <c r="CP28" i="1"/>
  <c r="CP125" i="1"/>
  <c r="BG75" i="1"/>
  <c r="AP99" i="3"/>
  <c r="AP100" i="3"/>
  <c r="BW135" i="1"/>
  <c r="BW137" i="1" s="1"/>
  <c r="BW131" i="1"/>
  <c r="BV83" i="1"/>
  <c r="BV100" i="1"/>
  <c r="BV165" i="1"/>
  <c r="AS82" i="1"/>
  <c r="AS36" i="1"/>
  <c r="CN138" i="1"/>
  <c r="CN118" i="1"/>
  <c r="BV81" i="1"/>
  <c r="BV98" i="1"/>
  <c r="AT35" i="1"/>
  <c r="AT71" i="1"/>
  <c r="AT57" i="1"/>
  <c r="AT27" i="1"/>
  <c r="AT29" i="1"/>
  <c r="AT45" i="1"/>
  <c r="AT59" i="1"/>
  <c r="AT47" i="1"/>
  <c r="AT33" i="1"/>
  <c r="AU115" i="1"/>
  <c r="AU129" i="1" s="1"/>
  <c r="AU17" i="1"/>
  <c r="AV11" i="1"/>
  <c r="BI69" i="1"/>
  <c r="BH70" i="1"/>
  <c r="AP120" i="1"/>
  <c r="AP178" i="1"/>
  <c r="AP179" i="1" s="1"/>
  <c r="AP140" i="1"/>
  <c r="AQ168" i="1"/>
  <c r="AQ119" i="1"/>
  <c r="AQ101" i="1"/>
  <c r="AQ111" i="1"/>
  <c r="AQ170" i="1"/>
  <c r="AQ172" i="1" s="1"/>
  <c r="AQ174" i="1" s="1"/>
  <c r="AQ176" i="1" s="1"/>
  <c r="AQ98" i="3" s="1"/>
  <c r="AQ109" i="1"/>
  <c r="AQ117" i="1"/>
  <c r="AQ99" i="1"/>
  <c r="CS76" i="3"/>
  <c r="AZ102" i="2"/>
  <c r="BX102" i="2"/>
  <c r="AY107" i="2"/>
  <c r="AY110" i="2" s="1"/>
  <c r="BX110" i="2" s="1"/>
  <c r="AS95" i="3"/>
  <c r="AT110" i="3"/>
  <c r="AS130" i="3"/>
  <c r="AS157" i="3" s="1"/>
  <c r="CO90" i="3"/>
  <c r="CO93" i="3" s="1"/>
  <c r="CO95" i="3" s="1"/>
  <c r="CO31" i="3"/>
  <c r="CO110" i="3"/>
  <c r="CO130" i="3" s="1"/>
  <c r="CO157" i="3" s="1"/>
  <c r="BS62" i="3"/>
  <c r="BT56" i="3"/>
  <c r="BT59" i="3" s="1"/>
  <c r="CL56" i="3"/>
  <c r="CL59" i="3" s="1"/>
  <c r="CK62" i="3"/>
  <c r="AT31" i="3"/>
  <c r="AT90" i="3"/>
  <c r="AT93" i="3" s="1"/>
  <c r="AV131" i="1"/>
  <c r="AV127" i="2"/>
  <c r="AV135" i="1"/>
  <c r="BC103" i="2"/>
  <c r="BB108" i="2"/>
  <c r="BT161" i="3"/>
  <c r="BU155" i="3"/>
  <c r="BU158" i="3" s="1"/>
  <c r="AU11" i="3"/>
  <c r="AU137" i="1"/>
  <c r="W155" i="3"/>
  <c r="W158" i="3" s="1"/>
  <c r="T158" i="3"/>
  <c r="T161" i="3" s="1"/>
  <c r="U155" i="3"/>
  <c r="U158" i="3" s="1"/>
  <c r="U161" i="3" s="1"/>
  <c r="V155" i="3"/>
  <c r="V158" i="3" s="1"/>
  <c r="V161" i="3" s="1"/>
  <c r="AX125" i="1"/>
  <c r="AX26" i="1"/>
  <c r="AX28" i="1"/>
  <c r="AY25" i="1"/>
  <c r="BX25" i="1" s="1"/>
  <c r="BJ122" i="3"/>
  <c r="CA34" i="3"/>
  <c r="CA41" i="3" s="1"/>
  <c r="L62" i="3"/>
  <c r="M56" i="3"/>
  <c r="M59" i="3" s="1"/>
  <c r="AW127" i="1"/>
  <c r="AW116" i="1" s="1"/>
  <c r="AW130" i="1"/>
  <c r="AS88" i="3"/>
  <c r="AS102" i="3" s="1"/>
  <c r="AS58" i="3"/>
  <c r="CO58" i="3" s="1"/>
  <c r="BW127" i="2"/>
  <c r="CM155" i="3"/>
  <c r="CM158" i="3" s="1"/>
  <c r="CL161" i="3"/>
  <c r="BF108" i="48"/>
  <c r="BF107" i="48"/>
  <c r="BI98" i="48"/>
  <c r="BI64" i="48"/>
  <c r="BI61" i="48" s="1"/>
  <c r="BI45" i="48"/>
  <c r="BI42" i="48" s="1"/>
  <c r="BI82" i="48"/>
  <c r="BI79" i="48" s="1"/>
  <c r="BI27" i="48"/>
  <c r="BI24" i="48" s="1"/>
  <c r="BJ111" i="48"/>
  <c r="BK160" i="1"/>
  <c r="BK60" i="2"/>
  <c r="CS14" i="2"/>
  <c r="CS55" i="2" s="1"/>
  <c r="CS54" i="2" s="1"/>
  <c r="BG106" i="48"/>
  <c r="BG115" i="48"/>
  <c r="BH80" i="48"/>
  <c r="BH81" i="48"/>
  <c r="BB96" i="2"/>
  <c r="BA99" i="2"/>
  <c r="BH96" i="48"/>
  <c r="BH97" i="48"/>
  <c r="BI95" i="48"/>
  <c r="CA60" i="2"/>
  <c r="BJ30" i="2"/>
  <c r="BJ14" i="2"/>
  <c r="BK159" i="1"/>
  <c r="BI26" i="3"/>
  <c r="CS26" i="3" s="1"/>
  <c r="CS125" i="3" s="1"/>
  <c r="CS30" i="2"/>
  <c r="BI37" i="2"/>
  <c r="BH44" i="48"/>
  <c r="BH43" i="48"/>
  <c r="BG97" i="2"/>
  <c r="BH125" i="3"/>
  <c r="BJ104" i="2"/>
  <c r="BI109" i="2"/>
  <c r="BI112" i="48"/>
  <c r="BJ140" i="3"/>
  <c r="BK133" i="3"/>
  <c r="BK140" i="3" s="1"/>
  <c r="BI24" i="3"/>
  <c r="BH105" i="48"/>
  <c r="BH62" i="48"/>
  <c r="BH63" i="48"/>
  <c r="BH26" i="48"/>
  <c r="BH25" i="48"/>
  <c r="BK25" i="3"/>
  <c r="CA25" i="3" s="1"/>
  <c r="CA124" i="3" s="1"/>
  <c r="BZ106" i="48"/>
  <c r="BZ108" i="48"/>
  <c r="BK81" i="3"/>
  <c r="BK73" i="3"/>
  <c r="BK19" i="2" s="1"/>
  <c r="CA70" i="3"/>
  <c r="BZ154" i="1"/>
  <c r="BH154" i="1"/>
  <c r="BI154" i="1" s="1"/>
  <c r="CR151" i="1"/>
  <c r="BF151" i="1"/>
  <c r="BG151" i="1" s="1"/>
  <c r="BK122" i="3" l="1"/>
  <c r="BI125" i="3"/>
  <c r="CA133" i="3"/>
  <c r="CA140" i="3" s="1"/>
  <c r="CA78" i="1"/>
  <c r="CA79" i="1" s="1"/>
  <c r="CA32" i="1"/>
  <c r="BX26" i="1"/>
  <c r="BX28" i="1"/>
  <c r="BX125" i="1"/>
  <c r="BH75" i="1"/>
  <c r="BJ69" i="1"/>
  <c r="BI70" i="1"/>
  <c r="AU57" i="1"/>
  <c r="AU29" i="1"/>
  <c r="AU59" i="1"/>
  <c r="AU35" i="1"/>
  <c r="AU45" i="1"/>
  <c r="AU47" i="1"/>
  <c r="AU27" i="1"/>
  <c r="AU19" i="1"/>
  <c r="AU33" i="1"/>
  <c r="AU71" i="1"/>
  <c r="BW17" i="1"/>
  <c r="AT80" i="1"/>
  <c r="AT34" i="1"/>
  <c r="AT82" i="1"/>
  <c r="AT36" i="1"/>
  <c r="AS100" i="1"/>
  <c r="AS165" i="1"/>
  <c r="AS83" i="1"/>
  <c r="BV101" i="1"/>
  <c r="BV111" i="1"/>
  <c r="BV119" i="1"/>
  <c r="BV170" i="1"/>
  <c r="BV172" i="1" s="1"/>
  <c r="BV174" i="1" s="1"/>
  <c r="BV176" i="1" s="1"/>
  <c r="BV98" i="3" s="1"/>
  <c r="CP127" i="1"/>
  <c r="CP116" i="1" s="1"/>
  <c r="CP130" i="1"/>
  <c r="CO36" i="1"/>
  <c r="CO82" i="1"/>
  <c r="AR168" i="1"/>
  <c r="AQ118" i="1"/>
  <c r="AQ138" i="1"/>
  <c r="AQ99" i="3"/>
  <c r="AQ100" i="3"/>
  <c r="AQ120" i="1"/>
  <c r="AQ178" i="1"/>
  <c r="AQ179" i="1" s="1"/>
  <c r="AQ140" i="1"/>
  <c r="CS69" i="1"/>
  <c r="CS70" i="1" s="1"/>
  <c r="AW11" i="1"/>
  <c r="CP11" i="1" s="1"/>
  <c r="CP115" i="1" s="1"/>
  <c r="AV17" i="1"/>
  <c r="AV115" i="1"/>
  <c r="AV129" i="1" s="1"/>
  <c r="BV99" i="1"/>
  <c r="BV117" i="1"/>
  <c r="BV109" i="1"/>
  <c r="BV168" i="1"/>
  <c r="AR117" i="1"/>
  <c r="AR99" i="1"/>
  <c r="AR109" i="1"/>
  <c r="AS98" i="1"/>
  <c r="AS81" i="1"/>
  <c r="CO34" i="1"/>
  <c r="CO80" i="1"/>
  <c r="AR170" i="1"/>
  <c r="AR172" i="1" s="1"/>
  <c r="AR174" i="1" s="1"/>
  <c r="AR176" i="1" s="1"/>
  <c r="AR98" i="3" s="1"/>
  <c r="AR119" i="1"/>
  <c r="AR111" i="1"/>
  <c r="AR101" i="1"/>
  <c r="AY125" i="1"/>
  <c r="AY28" i="1"/>
  <c r="AZ25" i="1"/>
  <c r="AY26" i="1"/>
  <c r="BY103" i="2"/>
  <c r="BD103" i="2"/>
  <c r="BC108" i="2"/>
  <c r="BY108" i="2" s="1"/>
  <c r="AV11" i="3"/>
  <c r="AV137" i="1"/>
  <c r="AT95" i="3"/>
  <c r="CO88" i="3"/>
  <c r="CO102" i="3" s="1"/>
  <c r="AW131" i="1"/>
  <c r="AW127" i="2"/>
  <c r="AW135" i="1"/>
  <c r="M62" i="3"/>
  <c r="N56" i="3"/>
  <c r="N59" i="3" s="1"/>
  <c r="BW11" i="3"/>
  <c r="AU31" i="3"/>
  <c r="AU90" i="3"/>
  <c r="AU93" i="3" s="1"/>
  <c r="BV155" i="3"/>
  <c r="BV158" i="3" s="1"/>
  <c r="BU161" i="3"/>
  <c r="AT88" i="3"/>
  <c r="AT102" i="3" s="1"/>
  <c r="AT58" i="3"/>
  <c r="BU56" i="3"/>
  <c r="BU59" i="3" s="1"/>
  <c r="BT62" i="3"/>
  <c r="AU110" i="3"/>
  <c r="AU130" i="3" s="1"/>
  <c r="AU157" i="3" s="1"/>
  <c r="AT130" i="3"/>
  <c r="AT157" i="3" s="1"/>
  <c r="CA66" i="3"/>
  <c r="CA92" i="3" s="1"/>
  <c r="CM161" i="3"/>
  <c r="CN155" i="3"/>
  <c r="CN158" i="3" s="1"/>
  <c r="BX107" i="2"/>
  <c r="BA102" i="2"/>
  <c r="AZ107" i="2"/>
  <c r="AZ110" i="2" s="1"/>
  <c r="AX127" i="1"/>
  <c r="AX116" i="1" s="1"/>
  <c r="AX130" i="1"/>
  <c r="W161" i="3"/>
  <c r="X155" i="3"/>
  <c r="CL62" i="3"/>
  <c r="CM56" i="3"/>
  <c r="CM59" i="3" s="1"/>
  <c r="CS24" i="3"/>
  <c r="CS123" i="3" s="1"/>
  <c r="CA73" i="3"/>
  <c r="CA81" i="3"/>
  <c r="CA80" i="3" s="1"/>
  <c r="CA84" i="3" s="1"/>
  <c r="BK124" i="3"/>
  <c r="BJ95" i="48"/>
  <c r="BI62" i="48"/>
  <c r="BI63" i="48"/>
  <c r="BI105" i="48"/>
  <c r="BZ97" i="2"/>
  <c r="BH97" i="2"/>
  <c r="CS56" i="2"/>
  <c r="CS37" i="2"/>
  <c r="BG107" i="48"/>
  <c r="BG108" i="48"/>
  <c r="BK111" i="48"/>
  <c r="BJ112" i="48"/>
  <c r="BI25" i="48"/>
  <c r="BI26" i="48"/>
  <c r="BH106" i="48"/>
  <c r="BH115" i="48"/>
  <c r="CA19" i="2"/>
  <c r="CA75" i="3" s="1"/>
  <c r="BK75" i="3"/>
  <c r="BK76" i="3" s="1"/>
  <c r="CA159" i="1"/>
  <c r="BJ37" i="2"/>
  <c r="BJ26" i="3"/>
  <c r="CA160" i="1"/>
  <c r="BI97" i="48"/>
  <c r="BI96" i="48"/>
  <c r="BI123" i="3"/>
  <c r="BI80" i="48"/>
  <c r="BI81" i="48"/>
  <c r="BK104" i="2"/>
  <c r="BJ109" i="2"/>
  <c r="CA111" i="48"/>
  <c r="BB99" i="2"/>
  <c r="BC96" i="2"/>
  <c r="BJ24" i="3"/>
  <c r="BK30" i="2"/>
  <c r="BK14" i="2"/>
  <c r="CA14" i="2" s="1"/>
  <c r="CA55" i="2" s="1"/>
  <c r="CA54" i="2" s="1"/>
  <c r="BJ45" i="48"/>
  <c r="BJ42" i="48" s="1"/>
  <c r="BJ98" i="48"/>
  <c r="BJ64" i="48"/>
  <c r="BJ61" i="48" s="1"/>
  <c r="BJ27" i="48"/>
  <c r="BJ24" i="48" s="1"/>
  <c r="BJ82" i="48"/>
  <c r="BJ79" i="48" s="1"/>
  <c r="BI43" i="48"/>
  <c r="BI44" i="48"/>
  <c r="BH151" i="1"/>
  <c r="BI151" i="1" s="1"/>
  <c r="BZ151" i="1"/>
  <c r="CS154" i="1"/>
  <c r="BJ154" i="1"/>
  <c r="BK154" i="1" s="1"/>
  <c r="CA154" i="1" s="1"/>
  <c r="BJ125" i="3" l="1"/>
  <c r="CA68" i="3"/>
  <c r="CA76" i="3"/>
  <c r="AR99" i="3"/>
  <c r="AR100" i="3"/>
  <c r="AS117" i="1"/>
  <c r="AS109" i="1"/>
  <c r="AS99" i="1"/>
  <c r="AV45" i="1"/>
  <c r="AV71" i="1"/>
  <c r="AV33" i="1"/>
  <c r="AV47" i="1"/>
  <c r="AV29" i="1"/>
  <c r="AV27" i="1"/>
  <c r="AV35" i="1"/>
  <c r="AV57" i="1"/>
  <c r="AV59" i="1"/>
  <c r="CS75" i="1"/>
  <c r="CS76" i="1" s="1"/>
  <c r="CP135" i="1"/>
  <c r="CP137" i="1" s="1"/>
  <c r="CP131" i="1"/>
  <c r="BV120" i="1"/>
  <c r="BV129" i="1"/>
  <c r="BV140" i="1"/>
  <c r="BV178" i="1"/>
  <c r="BV179" i="1" s="1"/>
  <c r="AT81" i="1"/>
  <c r="AT98" i="1"/>
  <c r="BW19" i="1"/>
  <c r="BW33" i="1"/>
  <c r="BW35" i="1"/>
  <c r="BW47" i="1"/>
  <c r="BW45" i="1"/>
  <c r="BW59" i="1"/>
  <c r="BW57" i="1"/>
  <c r="BW71" i="1"/>
  <c r="BW27" i="1"/>
  <c r="BW29" i="1"/>
  <c r="AU34" i="1"/>
  <c r="AU80" i="1"/>
  <c r="BK69" i="1"/>
  <c r="BK70" i="1" s="1"/>
  <c r="BJ70" i="1"/>
  <c r="BX127" i="1"/>
  <c r="BX116" i="1" s="1"/>
  <c r="BX130" i="1"/>
  <c r="AR120" i="1"/>
  <c r="AR178" i="1"/>
  <c r="AR179" i="1" s="1"/>
  <c r="AR140" i="1"/>
  <c r="CO81" i="1"/>
  <c r="CO98" i="1"/>
  <c r="AR118" i="1"/>
  <c r="AR138" i="1"/>
  <c r="BV138" i="1"/>
  <c r="BV118" i="1"/>
  <c r="AW115" i="1"/>
  <c r="AW129" i="1" s="1"/>
  <c r="AX11" i="1"/>
  <c r="AW17" i="1"/>
  <c r="CP17" i="1" s="1"/>
  <c r="CO100" i="1"/>
  <c r="CO83" i="1"/>
  <c r="CO165" i="1"/>
  <c r="CO168" i="1" s="1"/>
  <c r="BV99" i="3"/>
  <c r="BV100" i="3"/>
  <c r="AS168" i="1"/>
  <c r="AS101" i="1"/>
  <c r="AS111" i="1"/>
  <c r="AS119" i="1"/>
  <c r="AS170" i="1"/>
  <c r="AS172" i="1" s="1"/>
  <c r="AS174" i="1" s="1"/>
  <c r="AS176" i="1" s="1"/>
  <c r="AS98" i="3" s="1"/>
  <c r="AT100" i="1"/>
  <c r="AT83" i="1"/>
  <c r="AT165" i="1"/>
  <c r="AU36" i="1"/>
  <c r="AU82" i="1"/>
  <c r="BI75" i="1"/>
  <c r="BB102" i="2"/>
  <c r="BA107" i="2"/>
  <c r="BA110" i="2" s="1"/>
  <c r="CO155" i="3"/>
  <c r="CO158" i="3" s="1"/>
  <c r="CN161" i="3"/>
  <c r="AU95" i="3"/>
  <c r="AV110" i="3"/>
  <c r="AV31" i="3"/>
  <c r="AV90" i="3"/>
  <c r="AV93" i="3" s="1"/>
  <c r="BU62" i="3"/>
  <c r="BV56" i="3"/>
  <c r="BV59" i="3" s="1"/>
  <c r="AU88" i="3"/>
  <c r="AU102" i="3" s="1"/>
  <c r="AU58" i="3"/>
  <c r="CP127" i="2"/>
  <c r="AY127" i="1"/>
  <c r="AY116" i="1" s="1"/>
  <c r="AY130" i="1"/>
  <c r="CM62" i="3"/>
  <c r="CN56" i="3"/>
  <c r="CN59" i="3" s="1"/>
  <c r="AX135" i="1"/>
  <c r="AX131" i="1"/>
  <c r="AX127" i="2"/>
  <c r="BV161" i="3"/>
  <c r="BW155" i="3"/>
  <c r="BW110" i="3"/>
  <c r="BW130" i="3" s="1"/>
  <c r="BW157" i="3" s="1"/>
  <c r="BW31" i="3"/>
  <c r="BW88" i="3" s="1"/>
  <c r="BW102" i="3" s="1"/>
  <c r="BW90" i="3"/>
  <c r="BW93" i="3" s="1"/>
  <c r="BW95" i="3" s="1"/>
  <c r="BE103" i="2"/>
  <c r="BD108" i="2"/>
  <c r="X158" i="3"/>
  <c r="X161" i="3" s="1"/>
  <c r="Y155" i="3"/>
  <c r="Y158" i="3" s="1"/>
  <c r="Y161" i="3" s="1"/>
  <c r="AA155" i="3"/>
  <c r="AA158" i="3" s="1"/>
  <c r="Z155" i="3"/>
  <c r="Z158" i="3" s="1"/>
  <c r="Z161" i="3" s="1"/>
  <c r="BW58" i="3"/>
  <c r="N62" i="3"/>
  <c r="O56" i="3"/>
  <c r="O59" i="3" s="1"/>
  <c r="AW11" i="3"/>
  <c r="CP11" i="3" s="1"/>
  <c r="AW137" i="1"/>
  <c r="AZ26" i="1"/>
  <c r="AZ28" i="1"/>
  <c r="AZ125" i="1"/>
  <c r="BA25" i="1"/>
  <c r="BB25" i="1" s="1"/>
  <c r="BI106" i="48"/>
  <c r="BI115" i="48"/>
  <c r="CA104" i="2"/>
  <c r="BK109" i="2"/>
  <c r="CA109" i="2" s="1"/>
  <c r="BK112" i="48"/>
  <c r="BK24" i="3"/>
  <c r="CA24" i="3" s="1"/>
  <c r="BJ43" i="48"/>
  <c r="BJ44" i="48"/>
  <c r="BH108" i="48"/>
  <c r="BH107" i="48"/>
  <c r="BJ96" i="48"/>
  <c r="BJ97" i="48"/>
  <c r="BJ80" i="48"/>
  <c r="BJ81" i="48"/>
  <c r="BJ26" i="48"/>
  <c r="BJ25" i="48"/>
  <c r="BJ62" i="48"/>
  <c r="BJ105" i="48"/>
  <c r="BJ63" i="48"/>
  <c r="BK26" i="3"/>
  <c r="CA26" i="3" s="1"/>
  <c r="CA125" i="3" s="1"/>
  <c r="CA30" i="2"/>
  <c r="BK37" i="2"/>
  <c r="BY96" i="2"/>
  <c r="BD96" i="2"/>
  <c r="BC99" i="2"/>
  <c r="BY99" i="2" s="1"/>
  <c r="CA112" i="48"/>
  <c r="BJ123" i="3"/>
  <c r="BK27" i="48"/>
  <c r="BK24" i="48" s="1"/>
  <c r="BK82" i="48"/>
  <c r="BK79" i="48" s="1"/>
  <c r="BK45" i="48"/>
  <c r="BK42" i="48" s="1"/>
  <c r="BK64" i="48"/>
  <c r="BK61" i="48" s="1"/>
  <c r="BK98" i="48"/>
  <c r="BK95" i="48" s="1"/>
  <c r="BI97" i="2"/>
  <c r="BJ151" i="1"/>
  <c r="BK151" i="1" s="1"/>
  <c r="CA151" i="1" s="1"/>
  <c r="CS151" i="1"/>
  <c r="BB125" i="1" l="1"/>
  <c r="BB28" i="1"/>
  <c r="BB26" i="1"/>
  <c r="BW158" i="3"/>
  <c r="CA69" i="1"/>
  <c r="CA70" i="1" s="1"/>
  <c r="AT168" i="1"/>
  <c r="AT101" i="1"/>
  <c r="AT170" i="1"/>
  <c r="AT172" i="1" s="1"/>
  <c r="AT174" i="1" s="1"/>
  <c r="AT176" i="1" s="1"/>
  <c r="AT98" i="3" s="1"/>
  <c r="AT119" i="1"/>
  <c r="AT111" i="1"/>
  <c r="AS178" i="1"/>
  <c r="AS179" i="1" s="1"/>
  <c r="AS140" i="1"/>
  <c r="AS120" i="1"/>
  <c r="CA75" i="1"/>
  <c r="AX115" i="1"/>
  <c r="AX129" i="1" s="1"/>
  <c r="AX17" i="1"/>
  <c r="AY11" i="1"/>
  <c r="BX11" i="1" s="1"/>
  <c r="BX115" i="1" s="1"/>
  <c r="CP19" i="1"/>
  <c r="CP33" i="1"/>
  <c r="CP35" i="1"/>
  <c r="CP47" i="1"/>
  <c r="CP45" i="1"/>
  <c r="CP59" i="1"/>
  <c r="CP57" i="1"/>
  <c r="CP71" i="1"/>
  <c r="CP27" i="1"/>
  <c r="CP29" i="1"/>
  <c r="BK75" i="1"/>
  <c r="BW36" i="1"/>
  <c r="BW82" i="1"/>
  <c r="BW40" i="1"/>
  <c r="BW52" i="1"/>
  <c r="AT109" i="1"/>
  <c r="AT117" i="1"/>
  <c r="AT99" i="1"/>
  <c r="AV36" i="1"/>
  <c r="AV82" i="1"/>
  <c r="AV80" i="1"/>
  <c r="AV34" i="1"/>
  <c r="BK123" i="3"/>
  <c r="CQ25" i="1"/>
  <c r="AU165" i="1"/>
  <c r="AU100" i="1"/>
  <c r="AU83" i="1"/>
  <c r="AS99" i="3"/>
  <c r="AS100" i="3"/>
  <c r="CO119" i="1"/>
  <c r="CO101" i="1"/>
  <c r="CO111" i="1"/>
  <c r="CO170" i="1"/>
  <c r="CO172" i="1" s="1"/>
  <c r="CO174" i="1" s="1"/>
  <c r="CO176" i="1" s="1"/>
  <c r="CO98" i="3" s="1"/>
  <c r="AW27" i="1"/>
  <c r="AW71" i="1"/>
  <c r="AW47" i="1"/>
  <c r="AW59" i="1"/>
  <c r="AW29" i="1"/>
  <c r="AW45" i="1"/>
  <c r="AW35" i="1"/>
  <c r="AW57" i="1"/>
  <c r="AW33" i="1"/>
  <c r="CO99" i="1"/>
  <c r="CO117" i="1"/>
  <c r="CO109" i="1"/>
  <c r="BX135" i="1"/>
  <c r="BX137" i="1" s="1"/>
  <c r="BX131" i="1"/>
  <c r="BJ75" i="1"/>
  <c r="AU81" i="1"/>
  <c r="AU98" i="1"/>
  <c r="BW34" i="1"/>
  <c r="BW80" i="1"/>
  <c r="AS118" i="1"/>
  <c r="AS138" i="1"/>
  <c r="O62" i="3"/>
  <c r="P56" i="3"/>
  <c r="P59" i="3" s="1"/>
  <c r="AB155" i="3"/>
  <c r="AA161" i="3"/>
  <c r="BW161" i="3"/>
  <c r="BX155" i="3"/>
  <c r="CO56" i="3"/>
  <c r="CO59" i="3" s="1"/>
  <c r="CN62" i="3"/>
  <c r="AV88" i="3"/>
  <c r="AV102" i="3" s="1"/>
  <c r="AV58" i="3"/>
  <c r="CO161" i="3"/>
  <c r="CP155" i="3"/>
  <c r="BW56" i="3"/>
  <c r="BW59" i="3" s="1"/>
  <c r="BV62" i="3"/>
  <c r="AW110" i="3"/>
  <c r="AV130" i="3"/>
  <c r="AV157" i="3" s="1"/>
  <c r="BC102" i="2"/>
  <c r="BB107" i="2"/>
  <c r="BB110" i="2" s="1"/>
  <c r="BA125" i="1"/>
  <c r="BA26" i="1"/>
  <c r="BA28" i="1"/>
  <c r="CP90" i="3"/>
  <c r="CP93" i="3" s="1"/>
  <c r="CP31" i="3"/>
  <c r="CP110" i="3"/>
  <c r="CP130" i="3" s="1"/>
  <c r="CP157" i="3" s="1"/>
  <c r="CP158" i="3" s="1"/>
  <c r="AY127" i="2"/>
  <c r="AY131" i="1"/>
  <c r="AY135" i="1"/>
  <c r="AZ127" i="1"/>
  <c r="AZ116" i="1" s="1"/>
  <c r="AZ130" i="1"/>
  <c r="AW31" i="3"/>
  <c r="AW90" i="3"/>
  <c r="AW93" i="3" s="1"/>
  <c r="BF103" i="2"/>
  <c r="BE108" i="2"/>
  <c r="AX11" i="3"/>
  <c r="AX137" i="1"/>
  <c r="AV95" i="3"/>
  <c r="CA123" i="3"/>
  <c r="BK125" i="3"/>
  <c r="BK97" i="48"/>
  <c r="BK96" i="48"/>
  <c r="BK25" i="48"/>
  <c r="BK26" i="48"/>
  <c r="BK105" i="48"/>
  <c r="CA105" i="48" s="1"/>
  <c r="BK63" i="48"/>
  <c r="BK62" i="48"/>
  <c r="BJ106" i="48"/>
  <c r="BJ115" i="48"/>
  <c r="BJ97" i="2"/>
  <c r="BK44" i="48"/>
  <c r="BK43" i="48"/>
  <c r="CA56" i="2"/>
  <c r="CA37" i="2"/>
  <c r="BI107" i="48"/>
  <c r="BI108" i="48"/>
  <c r="BK81" i="48"/>
  <c r="BK80" i="48"/>
  <c r="BE96" i="2"/>
  <c r="BD99" i="2"/>
  <c r="BB127" i="1" l="1"/>
  <c r="BB116" i="1" s="1"/>
  <c r="BB130" i="1"/>
  <c r="CO99" i="3"/>
  <c r="CO100" i="3"/>
  <c r="AU168" i="1"/>
  <c r="CQ28" i="1"/>
  <c r="CQ125" i="1"/>
  <c r="CQ26" i="1"/>
  <c r="AV98" i="1"/>
  <c r="AV81" i="1"/>
  <c r="AV165" i="1"/>
  <c r="AV168" i="1" s="1"/>
  <c r="AV100" i="1"/>
  <c r="AV83" i="1"/>
  <c r="BW83" i="1"/>
  <c r="BW100" i="1"/>
  <c r="BW165" i="1"/>
  <c r="CP34" i="1"/>
  <c r="CP80" i="1"/>
  <c r="AX27" i="1"/>
  <c r="AX47" i="1"/>
  <c r="AX45" i="1"/>
  <c r="AX59" i="1"/>
  <c r="AX29" i="1"/>
  <c r="AX57" i="1"/>
  <c r="AX33" i="1"/>
  <c r="AX35" i="1"/>
  <c r="AX71" i="1"/>
  <c r="BW81" i="1"/>
  <c r="BW98" i="1"/>
  <c r="AU117" i="1"/>
  <c r="AU99" i="1"/>
  <c r="AU109" i="1"/>
  <c r="CO138" i="1"/>
  <c r="CO118" i="1"/>
  <c r="AW80" i="1"/>
  <c r="AW34" i="1"/>
  <c r="AW82" i="1"/>
  <c r="AW36" i="1"/>
  <c r="CO120" i="1"/>
  <c r="CO140" i="1"/>
  <c r="CO178" i="1"/>
  <c r="CO179" i="1" s="1"/>
  <c r="AU170" i="1"/>
  <c r="AU172" i="1" s="1"/>
  <c r="AU174" i="1" s="1"/>
  <c r="AU176" i="1" s="1"/>
  <c r="AU98" i="3" s="1"/>
  <c r="AU119" i="1"/>
  <c r="AU111" i="1"/>
  <c r="AU101" i="1"/>
  <c r="BC25" i="1"/>
  <c r="BY25" i="1" s="1"/>
  <c r="AT118" i="1"/>
  <c r="AT138" i="1"/>
  <c r="CP36" i="1"/>
  <c r="CP82" i="1"/>
  <c r="AY17" i="1"/>
  <c r="AY115" i="1"/>
  <c r="AY129" i="1" s="1"/>
  <c r="AZ11" i="1"/>
  <c r="AT178" i="1"/>
  <c r="AT179" i="1" s="1"/>
  <c r="AT140" i="1"/>
  <c r="AT120" i="1"/>
  <c r="AT99" i="3"/>
  <c r="AT100" i="3"/>
  <c r="BX56" i="3"/>
  <c r="BW62" i="3"/>
  <c r="AZ131" i="1"/>
  <c r="AZ135" i="1"/>
  <c r="AZ127" i="2"/>
  <c r="AY11" i="3"/>
  <c r="AY137" i="1"/>
  <c r="CP95" i="3"/>
  <c r="CO62" i="3"/>
  <c r="CP56" i="3"/>
  <c r="AD155" i="3"/>
  <c r="AD158" i="3" s="1"/>
  <c r="AD161" i="3" s="1"/>
  <c r="AB158" i="3"/>
  <c r="AB161" i="3" s="1"/>
  <c r="AE155" i="3"/>
  <c r="AE158" i="3" s="1"/>
  <c r="AC155" i="3"/>
  <c r="AC158" i="3" s="1"/>
  <c r="AC161" i="3" s="1"/>
  <c r="BY102" i="2"/>
  <c r="BD102" i="2"/>
  <c r="BC107" i="2"/>
  <c r="AW95" i="3"/>
  <c r="BX127" i="2"/>
  <c r="CP161" i="3"/>
  <c r="CQ155" i="3"/>
  <c r="BA130" i="1"/>
  <c r="BA127" i="1"/>
  <c r="BA116" i="1" s="1"/>
  <c r="P62" i="3"/>
  <c r="Q56" i="3"/>
  <c r="Q59" i="3" s="1"/>
  <c r="AX90" i="3"/>
  <c r="AX93" i="3" s="1"/>
  <c r="AX31" i="3"/>
  <c r="BX11" i="3"/>
  <c r="BG103" i="2"/>
  <c r="BF108" i="2"/>
  <c r="AW58" i="3"/>
  <c r="AW88" i="3"/>
  <c r="AW102" i="3" s="1"/>
  <c r="CP88" i="3"/>
  <c r="CP102" i="3" s="1"/>
  <c r="AX110" i="3"/>
  <c r="AW130" i="3"/>
  <c r="AW157" i="3" s="1"/>
  <c r="BK97" i="2"/>
  <c r="CA97" i="2" s="1"/>
  <c r="CA108" i="48"/>
  <c r="CA106" i="48"/>
  <c r="CA115" i="48"/>
  <c r="BK106" i="48"/>
  <c r="BK115" i="48"/>
  <c r="BF96" i="2"/>
  <c r="BE99" i="2"/>
  <c r="BJ108" i="48"/>
  <c r="BJ107" i="48"/>
  <c r="BB135" i="1" l="1"/>
  <c r="BB137" i="1" s="1"/>
  <c r="BB131" i="1"/>
  <c r="BA11" i="1"/>
  <c r="BB11" i="1" s="1"/>
  <c r="AZ17" i="1"/>
  <c r="AZ115" i="1"/>
  <c r="AZ129" i="1" s="1"/>
  <c r="AY29" i="1"/>
  <c r="AY47" i="1"/>
  <c r="AY45" i="1"/>
  <c r="AY33" i="1"/>
  <c r="AY35" i="1"/>
  <c r="AY71" i="1"/>
  <c r="AY57" i="1"/>
  <c r="AY19" i="1"/>
  <c r="AY59" i="1"/>
  <c r="AY27" i="1"/>
  <c r="CP100" i="1"/>
  <c r="CP83" i="1"/>
  <c r="CP165" i="1"/>
  <c r="CP168" i="1" s="1"/>
  <c r="BY125" i="1"/>
  <c r="BY127" i="1" s="1"/>
  <c r="BY116" i="1" s="1"/>
  <c r="BY26" i="1"/>
  <c r="BY28" i="1"/>
  <c r="AU120" i="1"/>
  <c r="AU178" i="1"/>
  <c r="AU179" i="1" s="1"/>
  <c r="AU140" i="1"/>
  <c r="AW83" i="1"/>
  <c r="AW165" i="1"/>
  <c r="AW168" i="1" s="1"/>
  <c r="AW100" i="1"/>
  <c r="BX17" i="1"/>
  <c r="AX34" i="1"/>
  <c r="AX80" i="1"/>
  <c r="CP81" i="1"/>
  <c r="CP98" i="1"/>
  <c r="BW111" i="1"/>
  <c r="BW101" i="1"/>
  <c r="BW119" i="1"/>
  <c r="BW170" i="1"/>
  <c r="BW172" i="1" s="1"/>
  <c r="BW174" i="1" s="1"/>
  <c r="BW176" i="1" s="1"/>
  <c r="BW98" i="3" s="1"/>
  <c r="AV109" i="1"/>
  <c r="AV99" i="1"/>
  <c r="AV117" i="1"/>
  <c r="CQ127" i="1"/>
  <c r="CQ116" i="1" s="1"/>
  <c r="CQ130" i="1"/>
  <c r="BD25" i="1"/>
  <c r="BC125" i="1"/>
  <c r="BC127" i="1" s="1"/>
  <c r="BC116" i="1" s="1"/>
  <c r="BC26" i="1"/>
  <c r="AU99" i="3"/>
  <c r="AU100" i="3"/>
  <c r="AW98" i="1"/>
  <c r="AW81" i="1"/>
  <c r="AU138" i="1"/>
  <c r="AU118" i="1"/>
  <c r="BW99" i="1"/>
  <c r="BW117" i="1"/>
  <c r="BW109" i="1"/>
  <c r="AX82" i="1"/>
  <c r="AX36" i="1"/>
  <c r="BW168" i="1"/>
  <c r="AV111" i="1"/>
  <c r="AV119" i="1"/>
  <c r="AV170" i="1"/>
  <c r="AV172" i="1" s="1"/>
  <c r="AV174" i="1" s="1"/>
  <c r="AV176" i="1" s="1"/>
  <c r="AV98" i="3" s="1"/>
  <c r="AV101" i="1"/>
  <c r="BE102" i="2"/>
  <c r="BD107" i="2"/>
  <c r="BD110" i="2" s="1"/>
  <c r="AZ11" i="3"/>
  <c r="AZ137" i="1"/>
  <c r="BX110" i="3"/>
  <c r="BX130" i="3" s="1"/>
  <c r="BX157" i="3" s="1"/>
  <c r="BX158" i="3" s="1"/>
  <c r="BX31" i="3"/>
  <c r="BX88" i="3" s="1"/>
  <c r="BX90" i="3"/>
  <c r="BX93" i="3" s="1"/>
  <c r="BA131" i="1"/>
  <c r="BA127" i="2"/>
  <c r="BA135" i="1"/>
  <c r="BA11" i="3" s="1"/>
  <c r="BA31" i="3" s="1"/>
  <c r="BA58" i="3" s="1"/>
  <c r="AY110" i="3"/>
  <c r="AY130" i="3" s="1"/>
  <c r="AY157" i="3" s="1"/>
  <c r="AX130" i="3"/>
  <c r="AX157" i="3" s="1"/>
  <c r="AX88" i="3"/>
  <c r="AX102" i="3" s="1"/>
  <c r="AX58" i="3"/>
  <c r="R56" i="3"/>
  <c r="R59" i="3" s="1"/>
  <c r="Q62" i="3"/>
  <c r="AF155" i="3"/>
  <c r="AE161" i="3"/>
  <c r="AY90" i="3"/>
  <c r="AY93" i="3" s="1"/>
  <c r="AY31" i="3"/>
  <c r="BH103" i="2"/>
  <c r="BZ103" i="2"/>
  <c r="BG108" i="2"/>
  <c r="BZ108" i="2" s="1"/>
  <c r="AX95" i="3"/>
  <c r="BC110" i="2"/>
  <c r="BY110" i="2" s="1"/>
  <c r="BY107" i="2"/>
  <c r="CP58" i="3"/>
  <c r="CP59" i="3" s="1"/>
  <c r="BG96" i="2"/>
  <c r="BF99" i="2"/>
  <c r="BK107" i="48"/>
  <c r="BK108" i="48"/>
  <c r="BB17" i="1" l="1"/>
  <c r="BB115" i="1"/>
  <c r="BB129" i="1" s="1"/>
  <c r="CQ11" i="1"/>
  <c r="CQ115" i="1" s="1"/>
  <c r="AV120" i="1"/>
  <c r="AV178" i="1"/>
  <c r="AV179" i="1" s="1"/>
  <c r="AV140" i="1"/>
  <c r="AX83" i="1"/>
  <c r="AX100" i="1"/>
  <c r="AX165" i="1"/>
  <c r="AX168" i="1" s="1"/>
  <c r="BW118" i="1"/>
  <c r="BW138" i="1"/>
  <c r="BE25" i="1"/>
  <c r="BD125" i="1"/>
  <c r="BD127" i="1" s="1"/>
  <c r="BD116" i="1" s="1"/>
  <c r="BD26" i="1"/>
  <c r="BW99" i="3"/>
  <c r="BW100" i="3"/>
  <c r="CP99" i="1"/>
  <c r="CP117" i="1"/>
  <c r="CP109" i="1"/>
  <c r="AX81" i="1"/>
  <c r="AX98" i="1"/>
  <c r="BX19" i="1"/>
  <c r="BX33" i="1"/>
  <c r="BX35" i="1"/>
  <c r="BX47" i="1"/>
  <c r="BX45" i="1"/>
  <c r="BX57" i="1"/>
  <c r="BX59" i="1"/>
  <c r="BX71" i="1"/>
  <c r="BX27" i="1"/>
  <c r="BX29" i="1"/>
  <c r="AY34" i="1"/>
  <c r="AY80" i="1"/>
  <c r="AZ29" i="1"/>
  <c r="AZ45" i="1"/>
  <c r="AZ33" i="1"/>
  <c r="AZ47" i="1"/>
  <c r="AZ35" i="1"/>
  <c r="AZ27" i="1"/>
  <c r="AZ71" i="1"/>
  <c r="AZ57" i="1"/>
  <c r="AZ59" i="1"/>
  <c r="AV99" i="3"/>
  <c r="AV100" i="3"/>
  <c r="AW99" i="1"/>
  <c r="AW109" i="1"/>
  <c r="AW117" i="1"/>
  <c r="CQ135" i="1"/>
  <c r="CQ137" i="1" s="1"/>
  <c r="CQ131" i="1"/>
  <c r="AV138" i="1"/>
  <c r="AV118" i="1"/>
  <c r="BW120" i="1"/>
  <c r="BW140" i="1"/>
  <c r="BW129" i="1"/>
  <c r="BW178" i="1"/>
  <c r="BW179" i="1" s="1"/>
  <c r="AW111" i="1"/>
  <c r="AW119" i="1"/>
  <c r="AW170" i="1"/>
  <c r="AW172" i="1" s="1"/>
  <c r="AW174" i="1" s="1"/>
  <c r="AW176" i="1" s="1"/>
  <c r="AW98" i="3" s="1"/>
  <c r="AW101" i="1"/>
  <c r="CP119" i="1"/>
  <c r="CP101" i="1"/>
  <c r="CP111" i="1"/>
  <c r="CP170" i="1"/>
  <c r="CP172" i="1" s="1"/>
  <c r="CP174" i="1" s="1"/>
  <c r="CP176" i="1" s="1"/>
  <c r="CP98" i="3" s="1"/>
  <c r="AY36" i="1"/>
  <c r="AY82" i="1"/>
  <c r="BA17" i="1"/>
  <c r="BA115" i="1"/>
  <c r="BA129" i="1" s="1"/>
  <c r="BI103" i="2"/>
  <c r="BH108" i="2"/>
  <c r="AG155" i="3"/>
  <c r="AG158" i="3" s="1"/>
  <c r="AG161" i="3" s="1"/>
  <c r="AH155" i="3"/>
  <c r="AH158" i="3" s="1"/>
  <c r="AH161" i="3" s="1"/>
  <c r="AI155" i="3"/>
  <c r="AI158" i="3" s="1"/>
  <c r="AF158" i="3"/>
  <c r="AF161" i="3" s="1"/>
  <c r="BX102" i="3"/>
  <c r="CQ127" i="2"/>
  <c r="AY58" i="3"/>
  <c r="BX58" i="3" s="1"/>
  <c r="BX59" i="3" s="1"/>
  <c r="AY88" i="3"/>
  <c r="AY102" i="3" s="1"/>
  <c r="BA137" i="1"/>
  <c r="BY155" i="3"/>
  <c r="BX161" i="3"/>
  <c r="AY95" i="3"/>
  <c r="AZ90" i="3"/>
  <c r="AZ93" i="3" s="1"/>
  <c r="AZ31" i="3"/>
  <c r="AZ110" i="3"/>
  <c r="CQ11" i="3"/>
  <c r="CP62" i="3"/>
  <c r="CQ56" i="3"/>
  <c r="R62" i="3"/>
  <c r="S56" i="3"/>
  <c r="S59" i="3" s="1"/>
  <c r="BX95" i="3"/>
  <c r="BB94" i="3"/>
  <c r="BF102" i="2"/>
  <c r="BE107" i="2"/>
  <c r="BE110" i="2" s="1"/>
  <c r="BZ96" i="2"/>
  <c r="BH96" i="2"/>
  <c r="BG99" i="2"/>
  <c r="BZ99" i="2" s="1"/>
  <c r="BB45" i="1" l="1"/>
  <c r="BB35" i="1"/>
  <c r="BB33" i="1"/>
  <c r="BB47" i="1"/>
  <c r="BB59" i="1"/>
  <c r="BB57" i="1"/>
  <c r="BB71" i="1"/>
  <c r="BB27" i="1"/>
  <c r="BB29" i="1"/>
  <c r="BA35" i="1"/>
  <c r="BA47" i="1"/>
  <c r="BA45" i="1"/>
  <c r="BA71" i="1"/>
  <c r="BA59" i="1"/>
  <c r="BA33" i="1"/>
  <c r="BA57" i="1"/>
  <c r="BA29" i="1"/>
  <c r="BA27" i="1"/>
  <c r="CQ17" i="1"/>
  <c r="AY100" i="1"/>
  <c r="AY83" i="1"/>
  <c r="AY165" i="1"/>
  <c r="AY168" i="1" s="1"/>
  <c r="CP140" i="1"/>
  <c r="CP120" i="1"/>
  <c r="CP178" i="1"/>
  <c r="CP179" i="1" s="1"/>
  <c r="AW120" i="1"/>
  <c r="AW178" i="1"/>
  <c r="AW179" i="1" s="1"/>
  <c r="AW140" i="1"/>
  <c r="BX36" i="1"/>
  <c r="BX82" i="1"/>
  <c r="BX40" i="1"/>
  <c r="BX52" i="1"/>
  <c r="CP118" i="1"/>
  <c r="CP138" i="1"/>
  <c r="CR25" i="1"/>
  <c r="BF25" i="1"/>
  <c r="BE125" i="1"/>
  <c r="BE127" i="1" s="1"/>
  <c r="BE116" i="1" s="1"/>
  <c r="BE26" i="1"/>
  <c r="BC11" i="1"/>
  <c r="CP99" i="3"/>
  <c r="CP100" i="3"/>
  <c r="AW99" i="3"/>
  <c r="AW100" i="3"/>
  <c r="AW138" i="1"/>
  <c r="AW118" i="1"/>
  <c r="AZ82" i="1"/>
  <c r="AZ36" i="1"/>
  <c r="AZ34" i="1"/>
  <c r="AZ80" i="1"/>
  <c r="AY98" i="1"/>
  <c r="AY81" i="1"/>
  <c r="BX34" i="1"/>
  <c r="BX80" i="1"/>
  <c r="AX99" i="1"/>
  <c r="AX117" i="1"/>
  <c r="AX109" i="1"/>
  <c r="AX119" i="1"/>
  <c r="AX111" i="1"/>
  <c r="AX170" i="1"/>
  <c r="AX172" i="1" s="1"/>
  <c r="AX174" i="1" s="1"/>
  <c r="AX176" i="1" s="1"/>
  <c r="AX98" i="3" s="1"/>
  <c r="AX101" i="1"/>
  <c r="BX62" i="3"/>
  <c r="BY56" i="3"/>
  <c r="S62" i="3"/>
  <c r="T56" i="3"/>
  <c r="T59" i="3" s="1"/>
  <c r="CQ90" i="3"/>
  <c r="CQ93" i="3" s="1"/>
  <c r="CQ95" i="3" s="1"/>
  <c r="CQ31" i="3"/>
  <c r="CQ88" i="3" s="1"/>
  <c r="CQ102" i="3" s="1"/>
  <c r="CQ110" i="3"/>
  <c r="CQ130" i="3" s="1"/>
  <c r="CQ157" i="3" s="1"/>
  <c r="CQ158" i="3" s="1"/>
  <c r="AJ155" i="3"/>
  <c r="AI161" i="3"/>
  <c r="AZ130" i="3"/>
  <c r="AZ157" i="3" s="1"/>
  <c r="BA110" i="3"/>
  <c r="BA130" i="3" s="1"/>
  <c r="BA157" i="3" s="1"/>
  <c r="BB112" i="3"/>
  <c r="AZ88" i="3"/>
  <c r="AZ102" i="3" s="1"/>
  <c r="AZ58" i="3"/>
  <c r="BJ103" i="2"/>
  <c r="BI108" i="2"/>
  <c r="BG102" i="2"/>
  <c r="BF107" i="2"/>
  <c r="BF110" i="2" s="1"/>
  <c r="AZ95" i="3"/>
  <c r="BA90" i="3"/>
  <c r="BA93" i="3" s="1"/>
  <c r="BI96" i="2"/>
  <c r="BH99" i="2"/>
  <c r="BB34" i="1" l="1"/>
  <c r="BB80" i="1"/>
  <c r="BB36" i="1"/>
  <c r="BB82" i="1"/>
  <c r="AX99" i="3"/>
  <c r="AX100" i="3"/>
  <c r="AX178" i="1"/>
  <c r="AX179" i="1" s="1"/>
  <c r="AX140" i="1"/>
  <c r="AX120" i="1"/>
  <c r="AY109" i="1"/>
  <c r="AY99" i="1"/>
  <c r="AY117" i="1"/>
  <c r="BD11" i="1"/>
  <c r="BC17" i="1"/>
  <c r="CR26" i="1"/>
  <c r="CR28" i="1"/>
  <c r="CR125" i="1"/>
  <c r="CR127" i="1" s="1"/>
  <c r="CR116" i="1" s="1"/>
  <c r="BX83" i="1"/>
  <c r="BX100" i="1"/>
  <c r="BX165" i="1"/>
  <c r="AY170" i="1"/>
  <c r="AY172" i="1" s="1"/>
  <c r="AY174" i="1" s="1"/>
  <c r="AY176" i="1" s="1"/>
  <c r="AY98" i="3" s="1"/>
  <c r="AY119" i="1"/>
  <c r="AY101" i="1"/>
  <c r="AY111" i="1"/>
  <c r="BA36" i="1"/>
  <c r="BA82" i="1"/>
  <c r="AX118" i="1"/>
  <c r="AX138" i="1"/>
  <c r="BX81" i="1"/>
  <c r="BX98" i="1"/>
  <c r="AZ98" i="1"/>
  <c r="AZ81" i="1"/>
  <c r="AZ83" i="1"/>
  <c r="AZ100" i="1"/>
  <c r="AZ165" i="1"/>
  <c r="AZ168" i="1" s="1"/>
  <c r="BY11" i="1"/>
  <c r="BF125" i="1"/>
  <c r="BF127" i="1" s="1"/>
  <c r="BF116" i="1" s="1"/>
  <c r="BG25" i="1"/>
  <c r="BF26" i="1"/>
  <c r="CQ19" i="1"/>
  <c r="CQ33" i="1"/>
  <c r="CQ35" i="1"/>
  <c r="CQ47" i="1"/>
  <c r="CQ45" i="1"/>
  <c r="CQ59" i="1"/>
  <c r="CQ57" i="1"/>
  <c r="CQ71" i="1"/>
  <c r="CQ27" i="1"/>
  <c r="CQ29" i="1"/>
  <c r="BA80" i="1"/>
  <c r="BA34" i="1"/>
  <c r="CQ58" i="3"/>
  <c r="CQ59" i="3" s="1"/>
  <c r="BA88" i="3"/>
  <c r="BA102" i="3" s="1"/>
  <c r="CR155" i="3"/>
  <c r="CQ161" i="3"/>
  <c r="BA95" i="3"/>
  <c r="BK103" i="2"/>
  <c r="BJ108" i="2"/>
  <c r="BZ102" i="2"/>
  <c r="BH102" i="2"/>
  <c r="BG107" i="2"/>
  <c r="AJ158" i="3"/>
  <c r="AJ161" i="3" s="1"/>
  <c r="AL155" i="3"/>
  <c r="AL158" i="3" s="1"/>
  <c r="AL161" i="3" s="1"/>
  <c r="AK155" i="3"/>
  <c r="AK158" i="3" s="1"/>
  <c r="AK161" i="3" s="1"/>
  <c r="AM155" i="3"/>
  <c r="AM158" i="3" s="1"/>
  <c r="U56" i="3"/>
  <c r="U59" i="3" s="1"/>
  <c r="T62" i="3"/>
  <c r="BJ96" i="2"/>
  <c r="BI99" i="2"/>
  <c r="BB81" i="1" l="1"/>
  <c r="BB98" i="1"/>
  <c r="BB165" i="1"/>
  <c r="BB168" i="1" s="1"/>
  <c r="BB83" i="1"/>
  <c r="BB100" i="1"/>
  <c r="BA81" i="1"/>
  <c r="BA98" i="1"/>
  <c r="CQ36" i="1"/>
  <c r="CQ82" i="1"/>
  <c r="AZ117" i="1"/>
  <c r="AZ99" i="1"/>
  <c r="AZ109" i="1"/>
  <c r="BX117" i="1"/>
  <c r="BX99" i="1"/>
  <c r="BX109" i="1"/>
  <c r="BA83" i="1"/>
  <c r="BA165" i="1"/>
  <c r="BA168" i="1" s="1"/>
  <c r="BA100" i="1"/>
  <c r="AY99" i="3"/>
  <c r="AY100" i="3"/>
  <c r="BX119" i="1"/>
  <c r="BX101" i="1"/>
  <c r="BX111" i="1"/>
  <c r="BX170" i="1"/>
  <c r="BX172" i="1" s="1"/>
  <c r="BX174" i="1" s="1"/>
  <c r="BX176" i="1" s="1"/>
  <c r="BX98" i="3" s="1"/>
  <c r="BE11" i="1"/>
  <c r="BD17" i="1"/>
  <c r="CQ34" i="1"/>
  <c r="CQ80" i="1"/>
  <c r="BG125" i="1"/>
  <c r="BG127" i="1" s="1"/>
  <c r="BG116" i="1" s="1"/>
  <c r="BH25" i="1"/>
  <c r="BG26" i="1"/>
  <c r="BZ25" i="1"/>
  <c r="AZ170" i="1"/>
  <c r="AZ172" i="1" s="1"/>
  <c r="AZ174" i="1" s="1"/>
  <c r="AZ176" i="1" s="1"/>
  <c r="AZ98" i="3" s="1"/>
  <c r="AZ101" i="1"/>
  <c r="AZ119" i="1"/>
  <c r="AZ111" i="1"/>
  <c r="AY178" i="1"/>
  <c r="AY179" i="1" s="1"/>
  <c r="AY120" i="1"/>
  <c r="AY140" i="1"/>
  <c r="BX168" i="1"/>
  <c r="BC19" i="1"/>
  <c r="BC47" i="1"/>
  <c r="BC45" i="1"/>
  <c r="BC57" i="1"/>
  <c r="BC29" i="1"/>
  <c r="BC59" i="1"/>
  <c r="BC35" i="1"/>
  <c r="BC33" i="1"/>
  <c r="BC71" i="1"/>
  <c r="BC27" i="1"/>
  <c r="BY17" i="1"/>
  <c r="AY138" i="1"/>
  <c r="AY118" i="1"/>
  <c r="U62" i="3"/>
  <c r="V56" i="3"/>
  <c r="V59" i="3" s="1"/>
  <c r="BB127" i="2"/>
  <c r="BB74" i="2"/>
  <c r="BG110" i="2"/>
  <c r="BZ110" i="2" s="1"/>
  <c r="BZ107" i="2"/>
  <c r="CA103" i="2"/>
  <c r="BK108" i="2"/>
  <c r="CA108" i="2" s="1"/>
  <c r="AN155" i="3"/>
  <c r="AM161" i="3"/>
  <c r="BI102" i="2"/>
  <c r="BH107" i="2"/>
  <c r="BH110" i="2" s="1"/>
  <c r="CQ62" i="3"/>
  <c r="CR56" i="3"/>
  <c r="BK96" i="2"/>
  <c r="BJ99" i="2"/>
  <c r="BB109" i="1" l="1"/>
  <c r="BB117" i="1"/>
  <c r="BB99" i="1"/>
  <c r="BB170" i="1"/>
  <c r="BB172" i="1" s="1"/>
  <c r="BB174" i="1" s="1"/>
  <c r="BB176" i="1" s="1"/>
  <c r="BB119" i="1"/>
  <c r="BB101" i="1"/>
  <c r="BB111" i="1"/>
  <c r="BC80" i="1"/>
  <c r="BC34" i="1"/>
  <c r="BZ125" i="1"/>
  <c r="BZ127" i="1" s="1"/>
  <c r="BZ116" i="1" s="1"/>
  <c r="BZ28" i="1"/>
  <c r="BZ26" i="1"/>
  <c r="BI25" i="1"/>
  <c r="CS25" i="1" s="1"/>
  <c r="BH125" i="1"/>
  <c r="BH127" i="1" s="1"/>
  <c r="BH116" i="1" s="1"/>
  <c r="BH26" i="1"/>
  <c r="BF11" i="1"/>
  <c r="BE17" i="1"/>
  <c r="CR11" i="1"/>
  <c r="BX99" i="3"/>
  <c r="BX100" i="3"/>
  <c r="BX118" i="1"/>
  <c r="BX138" i="1"/>
  <c r="CQ100" i="1"/>
  <c r="CQ83" i="1"/>
  <c r="CQ165" i="1"/>
  <c r="CQ168" i="1" s="1"/>
  <c r="BA117" i="1"/>
  <c r="BA99" i="1"/>
  <c r="BA109" i="1"/>
  <c r="BY19" i="1"/>
  <c r="BY45" i="1"/>
  <c r="BY47" i="1"/>
  <c r="BY35" i="1"/>
  <c r="BY33" i="1"/>
  <c r="BY59" i="1"/>
  <c r="BY57" i="1"/>
  <c r="BY71" i="1"/>
  <c r="BY27" i="1"/>
  <c r="BY29" i="1"/>
  <c r="BC82" i="1"/>
  <c r="AZ178" i="1"/>
  <c r="AZ179" i="1" s="1"/>
  <c r="AZ140" i="1"/>
  <c r="AZ120" i="1"/>
  <c r="AZ99" i="3"/>
  <c r="AZ100" i="3"/>
  <c r="CQ81" i="1"/>
  <c r="CQ98" i="1"/>
  <c r="BD19" i="1"/>
  <c r="BD57" i="1"/>
  <c r="BD47" i="1"/>
  <c r="BD59" i="1"/>
  <c r="BD45" i="1"/>
  <c r="BD29" i="1"/>
  <c r="BD35" i="1"/>
  <c r="BD33" i="1"/>
  <c r="BD71" i="1"/>
  <c r="BD27" i="1"/>
  <c r="BX129" i="1"/>
  <c r="BX140" i="1"/>
  <c r="BX120" i="1"/>
  <c r="BX178" i="1"/>
  <c r="BX179" i="1" s="1"/>
  <c r="BA170" i="1"/>
  <c r="BA172" i="1" s="1"/>
  <c r="BA174" i="1" s="1"/>
  <c r="BA176" i="1" s="1"/>
  <c r="BA98" i="3" s="1"/>
  <c r="BA119" i="1"/>
  <c r="BA101" i="1"/>
  <c r="BA111" i="1"/>
  <c r="AZ118" i="1"/>
  <c r="AZ138" i="1"/>
  <c r="AN158" i="3"/>
  <c r="AN161" i="3" s="1"/>
  <c r="AQ155" i="3"/>
  <c r="AQ158" i="3" s="1"/>
  <c r="AP155" i="3"/>
  <c r="AP158" i="3" s="1"/>
  <c r="AP161" i="3" s="1"/>
  <c r="AO155" i="3"/>
  <c r="AO158" i="3" s="1"/>
  <c r="AO161" i="3" s="1"/>
  <c r="BB11" i="3"/>
  <c r="BB82" i="2"/>
  <c r="BB83" i="2"/>
  <c r="BB84" i="2" s="1"/>
  <c r="BB76" i="2"/>
  <c r="BB77" i="2" s="1"/>
  <c r="W56" i="3"/>
  <c r="W59" i="3" s="1"/>
  <c r="V62" i="3"/>
  <c r="BJ102" i="2"/>
  <c r="BI107" i="2"/>
  <c r="BI110" i="2" s="1"/>
  <c r="BK99" i="2"/>
  <c r="CA99" i="2" s="1"/>
  <c r="CA96" i="2"/>
  <c r="BB178" i="1" l="1"/>
  <c r="BB179" i="1" s="1"/>
  <c r="BB138" i="1"/>
  <c r="BB118" i="1"/>
  <c r="BB140" i="1"/>
  <c r="BB120" i="1"/>
  <c r="BB98" i="3"/>
  <c r="BA140" i="1"/>
  <c r="BA120" i="1"/>
  <c r="BA178" i="1"/>
  <c r="BA179" i="1" s="1"/>
  <c r="BD80" i="1"/>
  <c r="BD34" i="1"/>
  <c r="BY36" i="1"/>
  <c r="BY82" i="1"/>
  <c r="BA138" i="1"/>
  <c r="BA118" i="1"/>
  <c r="BE19" i="1"/>
  <c r="BE47" i="1"/>
  <c r="BE59" i="1"/>
  <c r="BE57" i="1"/>
  <c r="BE45" i="1"/>
  <c r="BE35" i="1"/>
  <c r="BE29" i="1"/>
  <c r="BE33" i="1"/>
  <c r="BE71" i="1"/>
  <c r="BE27" i="1"/>
  <c r="CR17" i="1"/>
  <c r="CS125" i="1"/>
  <c r="CS127" i="1" s="1"/>
  <c r="CS116" i="1" s="1"/>
  <c r="CS28" i="1"/>
  <c r="CS26" i="1"/>
  <c r="BI125" i="1"/>
  <c r="BI127" i="1" s="1"/>
  <c r="BI116" i="1" s="1"/>
  <c r="BJ25" i="1"/>
  <c r="BI26" i="1"/>
  <c r="BC81" i="1"/>
  <c r="BA99" i="3"/>
  <c r="BA100" i="3"/>
  <c r="BD82" i="1"/>
  <c r="CQ117" i="1"/>
  <c r="CQ99" i="1"/>
  <c r="CQ109" i="1"/>
  <c r="BC83" i="1"/>
  <c r="BC165" i="1"/>
  <c r="BC168" i="1" s="1"/>
  <c r="BY34" i="1"/>
  <c r="BY80" i="1"/>
  <c r="BY40" i="1"/>
  <c r="BY52" i="1"/>
  <c r="CQ169" i="1"/>
  <c r="CQ101" i="1"/>
  <c r="CQ111" i="1"/>
  <c r="CQ119" i="1"/>
  <c r="CQ170" i="1"/>
  <c r="CQ172" i="1" s="1"/>
  <c r="CQ174" i="1" s="1"/>
  <c r="CQ176" i="1" s="1"/>
  <c r="CQ98" i="3" s="1"/>
  <c r="BG11" i="1"/>
  <c r="BF17" i="1"/>
  <c r="BB31" i="3"/>
  <c r="BB90" i="3"/>
  <c r="BB93" i="3" s="1"/>
  <c r="BB110" i="3"/>
  <c r="BB130" i="3" s="1"/>
  <c r="BB157" i="3" s="1"/>
  <c r="AR155" i="3"/>
  <c r="AQ161" i="3"/>
  <c r="BK102" i="2"/>
  <c r="BJ107" i="2"/>
  <c r="BJ110" i="2" s="1"/>
  <c r="X56" i="3"/>
  <c r="X59" i="3" s="1"/>
  <c r="W62" i="3"/>
  <c r="BH11" i="1" l="1"/>
  <c r="BG17" i="1"/>
  <c r="CQ99" i="3"/>
  <c r="CQ100" i="3"/>
  <c r="BY81" i="1"/>
  <c r="BD83" i="1"/>
  <c r="BD165" i="1"/>
  <c r="BD168" i="1" s="1"/>
  <c r="BK25" i="1"/>
  <c r="CA25" i="1" s="1"/>
  <c r="BJ125" i="1"/>
  <c r="BJ127" i="1" s="1"/>
  <c r="BJ116" i="1" s="1"/>
  <c r="BJ26" i="1"/>
  <c r="BE80" i="1"/>
  <c r="BE34" i="1"/>
  <c r="BE82" i="1"/>
  <c r="BY83" i="1"/>
  <c r="BY165" i="1"/>
  <c r="BD81" i="1"/>
  <c r="BZ11" i="1"/>
  <c r="BF19" i="1"/>
  <c r="BF47" i="1"/>
  <c r="BF59" i="1"/>
  <c r="BF57" i="1"/>
  <c r="BF45" i="1"/>
  <c r="BF29" i="1"/>
  <c r="BF35" i="1"/>
  <c r="BF33" i="1"/>
  <c r="BF71" i="1"/>
  <c r="BF27" i="1"/>
  <c r="CQ120" i="1"/>
  <c r="CQ140" i="1"/>
  <c r="CQ178" i="1"/>
  <c r="CQ179" i="1" s="1"/>
  <c r="CQ118" i="1"/>
  <c r="CQ138" i="1"/>
  <c r="CR19" i="1"/>
  <c r="CR59" i="1"/>
  <c r="CR47" i="1"/>
  <c r="CR57" i="1"/>
  <c r="CR45" i="1"/>
  <c r="CR33" i="1"/>
  <c r="CR35" i="1"/>
  <c r="CR71" i="1"/>
  <c r="CR27" i="1"/>
  <c r="CR29" i="1"/>
  <c r="AT155" i="3"/>
  <c r="AT158" i="3" s="1"/>
  <c r="AT161" i="3" s="1"/>
  <c r="AR158" i="3"/>
  <c r="AR161" i="3" s="1"/>
  <c r="AS155" i="3"/>
  <c r="AS158" i="3" s="1"/>
  <c r="AS161" i="3" s="1"/>
  <c r="AU155" i="3"/>
  <c r="AU158" i="3" s="1"/>
  <c r="BB99" i="3"/>
  <c r="BB95" i="3"/>
  <c r="BB100" i="3" s="1"/>
  <c r="CA102" i="2"/>
  <c r="BK107" i="2"/>
  <c r="BB58" i="3"/>
  <c r="BC86" i="1" s="1"/>
  <c r="BB88" i="3"/>
  <c r="BB102" i="3" s="1"/>
  <c r="Y56" i="3"/>
  <c r="Y59" i="3" s="1"/>
  <c r="X62" i="3"/>
  <c r="CR80" i="1" l="1"/>
  <c r="CR81" i="1" s="1"/>
  <c r="CR34" i="1"/>
  <c r="BF82" i="1"/>
  <c r="BY168" i="1"/>
  <c r="BE81" i="1"/>
  <c r="CA125" i="1"/>
  <c r="CA127" i="1" s="1"/>
  <c r="CA116" i="1" s="1"/>
  <c r="CA28" i="1"/>
  <c r="CA26" i="1"/>
  <c r="BH17" i="1"/>
  <c r="BI11" i="1"/>
  <c r="CS11" i="1" s="1"/>
  <c r="CR82" i="1"/>
  <c r="CR36" i="1"/>
  <c r="BF34" i="1"/>
  <c r="BF80" i="1"/>
  <c r="BE83" i="1"/>
  <c r="BE165" i="1"/>
  <c r="BE168" i="1" s="1"/>
  <c r="BK125" i="1"/>
  <c r="BK127" i="1" s="1"/>
  <c r="BK116" i="1" s="1"/>
  <c r="BK26" i="1"/>
  <c r="BG19" i="1"/>
  <c r="BG47" i="1"/>
  <c r="BG59" i="1"/>
  <c r="BG45" i="1"/>
  <c r="BG57" i="1"/>
  <c r="BG35" i="1"/>
  <c r="BG29" i="1"/>
  <c r="BG33" i="1"/>
  <c r="BG71" i="1"/>
  <c r="BG27" i="1"/>
  <c r="BZ17" i="1"/>
  <c r="BY86" i="1"/>
  <c r="Z56" i="3"/>
  <c r="Z59" i="3" s="1"/>
  <c r="Y62" i="3"/>
  <c r="BK110" i="2"/>
  <c r="CA110" i="2" s="1"/>
  <c r="CA107" i="2"/>
  <c r="AV155" i="3"/>
  <c r="AU161" i="3"/>
  <c r="BB160" i="3"/>
  <c r="BB85" i="2"/>
  <c r="BC113" i="2"/>
  <c r="BC115" i="2" s="1"/>
  <c r="BC118" i="2" s="1"/>
  <c r="BB61" i="3"/>
  <c r="BG80" i="1" l="1"/>
  <c r="BG34" i="1"/>
  <c r="BG82" i="1"/>
  <c r="BJ11" i="1"/>
  <c r="BI17" i="1"/>
  <c r="BF83" i="1"/>
  <c r="BF165" i="1"/>
  <c r="BF168" i="1" s="1"/>
  <c r="BZ19" i="1"/>
  <c r="BZ59" i="1"/>
  <c r="BZ45" i="1"/>
  <c r="BZ57" i="1"/>
  <c r="BZ47" i="1"/>
  <c r="BZ35" i="1"/>
  <c r="BZ33" i="1"/>
  <c r="BZ71" i="1"/>
  <c r="BZ27" i="1"/>
  <c r="BZ29" i="1"/>
  <c r="BF81" i="1"/>
  <c r="CR83" i="1"/>
  <c r="CR165" i="1"/>
  <c r="BH19" i="1"/>
  <c r="BH57" i="1"/>
  <c r="BH47" i="1"/>
  <c r="BH59" i="1"/>
  <c r="BH45" i="1"/>
  <c r="BH29" i="1"/>
  <c r="BH35" i="1"/>
  <c r="BH33" i="1"/>
  <c r="BH71" i="1"/>
  <c r="BH27" i="1"/>
  <c r="CS17" i="1"/>
  <c r="BC90" i="1"/>
  <c r="BY87" i="1"/>
  <c r="BB90" i="2"/>
  <c r="Z62" i="3"/>
  <c r="AA56" i="3"/>
  <c r="AA59" i="3" s="1"/>
  <c r="BB88" i="2"/>
  <c r="BB89" i="2" s="1"/>
  <c r="BB86" i="2"/>
  <c r="AW155" i="3"/>
  <c r="AW158" i="3" s="1"/>
  <c r="AW161" i="3" s="1"/>
  <c r="AX155" i="3"/>
  <c r="AX158" i="3" s="1"/>
  <c r="AX161" i="3" s="1"/>
  <c r="AY155" i="3"/>
  <c r="AY158" i="3" s="1"/>
  <c r="AV158" i="3"/>
  <c r="AV161" i="3" s="1"/>
  <c r="BH34" i="1" l="1"/>
  <c r="BH80" i="1"/>
  <c r="CR169" i="1"/>
  <c r="CR168" i="1"/>
  <c r="CR161" i="1"/>
  <c r="BZ80" i="1"/>
  <c r="BZ34" i="1"/>
  <c r="BZ40" i="1"/>
  <c r="BZ52" i="1"/>
  <c r="BJ17" i="1"/>
  <c r="BK11" i="1"/>
  <c r="BK17" i="1" s="1"/>
  <c r="BG81" i="1"/>
  <c r="CS19" i="1"/>
  <c r="CS57" i="1"/>
  <c r="CS59" i="1"/>
  <c r="CS47" i="1"/>
  <c r="CS45" i="1"/>
  <c r="CS35" i="1"/>
  <c r="CS33" i="1"/>
  <c r="CS71" i="1"/>
  <c r="CS27" i="1"/>
  <c r="CS29" i="1"/>
  <c r="BH82" i="1"/>
  <c r="BZ36" i="1"/>
  <c r="BZ82" i="1"/>
  <c r="BI19" i="1"/>
  <c r="BI57" i="1"/>
  <c r="BI45" i="1"/>
  <c r="BI47" i="1"/>
  <c r="BI59" i="1"/>
  <c r="BI29" i="1"/>
  <c r="BI35" i="1"/>
  <c r="BI33" i="1"/>
  <c r="BI71" i="1"/>
  <c r="BI27" i="1"/>
  <c r="BG83" i="1"/>
  <c r="BG165" i="1"/>
  <c r="BG168" i="1" s="1"/>
  <c r="BY90" i="1"/>
  <c r="BC85" i="1"/>
  <c r="BB71" i="3"/>
  <c r="BB49" i="2"/>
  <c r="AY161" i="3"/>
  <c r="AZ155" i="3"/>
  <c r="BA155" i="3" s="1"/>
  <c r="BA158" i="3" s="1"/>
  <c r="AB56" i="3"/>
  <c r="AB59" i="3" s="1"/>
  <c r="AA62" i="3"/>
  <c r="CA11" i="1" l="1"/>
  <c r="BI34" i="1"/>
  <c r="BI80" i="1"/>
  <c r="BZ83" i="1"/>
  <c r="BZ165" i="1"/>
  <c r="BH83" i="1"/>
  <c r="BH165" i="1"/>
  <c r="BH168" i="1" s="1"/>
  <c r="CS34" i="1"/>
  <c r="CS80" i="1"/>
  <c r="CS81" i="1" s="1"/>
  <c r="BJ19" i="1"/>
  <c r="BJ57" i="1"/>
  <c r="BJ47" i="1"/>
  <c r="BJ45" i="1"/>
  <c r="BJ59" i="1"/>
  <c r="BJ35" i="1"/>
  <c r="BJ29" i="1"/>
  <c r="BJ33" i="1"/>
  <c r="BJ71" i="1"/>
  <c r="BJ27" i="1"/>
  <c r="CA17" i="1"/>
  <c r="BZ81" i="1"/>
  <c r="BI82" i="1"/>
  <c r="CS36" i="1"/>
  <c r="CS82" i="1"/>
  <c r="BK19" i="1"/>
  <c r="BK57" i="1"/>
  <c r="BK59" i="1"/>
  <c r="BK47" i="1"/>
  <c r="BK35" i="1"/>
  <c r="BK82" i="1" s="1"/>
  <c r="BK29" i="1"/>
  <c r="BK45" i="1"/>
  <c r="BK33" i="1"/>
  <c r="BK71" i="1"/>
  <c r="BK27" i="1"/>
  <c r="BH81" i="1"/>
  <c r="BY85" i="1"/>
  <c r="BC91" i="1"/>
  <c r="BC96" i="1"/>
  <c r="BY91" i="1"/>
  <c r="BY96" i="1"/>
  <c r="AB62" i="3"/>
  <c r="AC56" i="3"/>
  <c r="AC59" i="3" s="1"/>
  <c r="BA161" i="3"/>
  <c r="BB155" i="3"/>
  <c r="BB158" i="3" s="1"/>
  <c r="BB161" i="3" s="1"/>
  <c r="BC155" i="3"/>
  <c r="AZ158" i="3"/>
  <c r="AZ161" i="3" s="1"/>
  <c r="BK34" i="1" l="1"/>
  <c r="BK80" i="1"/>
  <c r="BK81" i="1" s="1"/>
  <c r="CS83" i="1"/>
  <c r="CS165" i="1"/>
  <c r="CA19" i="1"/>
  <c r="CA57" i="1"/>
  <c r="CA59" i="1"/>
  <c r="CA47" i="1"/>
  <c r="CA45" i="1"/>
  <c r="CA33" i="1"/>
  <c r="CA35" i="1"/>
  <c r="CA71" i="1"/>
  <c r="CA27" i="1"/>
  <c r="CA29" i="1"/>
  <c r="BZ168" i="1"/>
  <c r="BK83" i="1"/>
  <c r="BK165" i="1"/>
  <c r="BK168" i="1" s="1"/>
  <c r="BI83" i="1"/>
  <c r="BI165" i="1"/>
  <c r="BI168" i="1" s="1"/>
  <c r="BJ34" i="1"/>
  <c r="BJ80" i="1"/>
  <c r="BJ82" i="1"/>
  <c r="BI81" i="1"/>
  <c r="BY97" i="1"/>
  <c r="BC97" i="1"/>
  <c r="BC103" i="1"/>
  <c r="BC113" i="1" s="1"/>
  <c r="BC105" i="1"/>
  <c r="BC106" i="1"/>
  <c r="BY93" i="1"/>
  <c r="BY100" i="1" s="1"/>
  <c r="BY94" i="1"/>
  <c r="BY98" i="1"/>
  <c r="BC93" i="1"/>
  <c r="BC100" i="1" s="1"/>
  <c r="BC94" i="1"/>
  <c r="BC98" i="1"/>
  <c r="AC62" i="3"/>
  <c r="AD56" i="3"/>
  <c r="AD59" i="3" s="1"/>
  <c r="BJ83" i="1" l="1"/>
  <c r="BJ165" i="1"/>
  <c r="BJ168" i="1" s="1"/>
  <c r="BJ81" i="1"/>
  <c r="CA82" i="1"/>
  <c r="CA36" i="1"/>
  <c r="CA52" i="1"/>
  <c r="CA40" i="1"/>
  <c r="CA80" i="1"/>
  <c r="CA34" i="1"/>
  <c r="CS169" i="1"/>
  <c r="CS168" i="1"/>
  <c r="CS161" i="1"/>
  <c r="BC94" i="3"/>
  <c r="BY99" i="1"/>
  <c r="BY101" i="1"/>
  <c r="BC114" i="1"/>
  <c r="BC130" i="1"/>
  <c r="BY103" i="1"/>
  <c r="BC108" i="1"/>
  <c r="BC109" i="1" s="1"/>
  <c r="BC110" i="1"/>
  <c r="BC111" i="1" s="1"/>
  <c r="BC99" i="1"/>
  <c r="BC101" i="1"/>
  <c r="BY106" i="1"/>
  <c r="BY115" i="1" s="1"/>
  <c r="BC115" i="1"/>
  <c r="BC129" i="1" s="1"/>
  <c r="BY105" i="1"/>
  <c r="BY122" i="1" s="1"/>
  <c r="BY123" i="1" s="1"/>
  <c r="BC122" i="1"/>
  <c r="BC123" i="1" s="1"/>
  <c r="BC170" i="1"/>
  <c r="BC172" i="1" s="1"/>
  <c r="BY94" i="3"/>
  <c r="AD62" i="3"/>
  <c r="AE56" i="3"/>
  <c r="AE59" i="3" s="1"/>
  <c r="BC173" i="1" l="1"/>
  <c r="BC119" i="1"/>
  <c r="BC140" i="1" s="1"/>
  <c r="BC117" i="1"/>
  <c r="BC138" i="1" s="1"/>
  <c r="CA81" i="1"/>
  <c r="CA83" i="1"/>
  <c r="CA165" i="1"/>
  <c r="BC13" i="3"/>
  <c r="BC112" i="3" s="1"/>
  <c r="BC120" i="1"/>
  <c r="BC131" i="1"/>
  <c r="BC135" i="1"/>
  <c r="BC137" i="1" s="1"/>
  <c r="BY104" i="1"/>
  <c r="BY108" i="1"/>
  <c r="BY110" i="1"/>
  <c r="BY113" i="1"/>
  <c r="BC174" i="1"/>
  <c r="BC176" i="1" s="1"/>
  <c r="BC98" i="3" s="1"/>
  <c r="AE62" i="3"/>
  <c r="AF56" i="3"/>
  <c r="AF59" i="3" s="1"/>
  <c r="BY170" i="1"/>
  <c r="BY172" i="1" s="1"/>
  <c r="BY13" i="3"/>
  <c r="BY173" i="1" l="1"/>
  <c r="BY174" i="1" s="1"/>
  <c r="BY176" i="1" s="1"/>
  <c r="BY98" i="3" s="1"/>
  <c r="BC118" i="1"/>
  <c r="BC72" i="2"/>
  <c r="BC127" i="2" s="1"/>
  <c r="CA168" i="1"/>
  <c r="BY114" i="1"/>
  <c r="BY130" i="1"/>
  <c r="BY109" i="1"/>
  <c r="BY117" i="1"/>
  <c r="BY111" i="1"/>
  <c r="BY119" i="1"/>
  <c r="BY112" i="3"/>
  <c r="AG56" i="3"/>
  <c r="AG59" i="3" s="1"/>
  <c r="AF62" i="3"/>
  <c r="BC178" i="1"/>
  <c r="BC179" i="1" s="1"/>
  <c r="BC11" i="3"/>
  <c r="BY72" i="2" l="1"/>
  <c r="BY127" i="2" s="1"/>
  <c r="BC74" i="2"/>
  <c r="BC45" i="2" s="1"/>
  <c r="BC82" i="2" s="1"/>
  <c r="BY120" i="1"/>
  <c r="BY129" i="1"/>
  <c r="BY140" i="1"/>
  <c r="BY118" i="1"/>
  <c r="BY138" i="1"/>
  <c r="BY131" i="1"/>
  <c r="BY135" i="1"/>
  <c r="BY137" i="1" s="1"/>
  <c r="BY178" i="1"/>
  <c r="BY179" i="1" s="1"/>
  <c r="AG62" i="3"/>
  <c r="AH56" i="3"/>
  <c r="AH59" i="3" s="1"/>
  <c r="BC31" i="3"/>
  <c r="BC90" i="3"/>
  <c r="BC93" i="3" s="1"/>
  <c r="BY11" i="3"/>
  <c r="BC110" i="3"/>
  <c r="BC130" i="3" s="1"/>
  <c r="BC157" i="3" s="1"/>
  <c r="BC158" i="3" s="1"/>
  <c r="BD155" i="3" s="1"/>
  <c r="BY74" i="2" l="1"/>
  <c r="BY45" i="2"/>
  <c r="BY47" i="2" s="1"/>
  <c r="BC47" i="2"/>
  <c r="BC83" i="2"/>
  <c r="BC84" i="2" s="1"/>
  <c r="BC76" i="2"/>
  <c r="BY76" i="2" s="1"/>
  <c r="BC58" i="3"/>
  <c r="BC88" i="3"/>
  <c r="BC102" i="3" s="1"/>
  <c r="BE155" i="3"/>
  <c r="BG155" i="3"/>
  <c r="BF155" i="3"/>
  <c r="BY110" i="3"/>
  <c r="BY130" i="3" s="1"/>
  <c r="BY157" i="3" s="1"/>
  <c r="BY158" i="3" s="1"/>
  <c r="BZ155" i="3" s="1"/>
  <c r="BY31" i="3"/>
  <c r="BY88" i="3" s="1"/>
  <c r="BY102" i="3" s="1"/>
  <c r="BY90" i="3"/>
  <c r="BY93" i="3" s="1"/>
  <c r="BC99" i="3"/>
  <c r="BC95" i="3"/>
  <c r="BC100" i="3" s="1"/>
  <c r="AI56" i="3"/>
  <c r="AI59" i="3" s="1"/>
  <c r="AH62" i="3"/>
  <c r="BY82" i="2" l="1"/>
  <c r="BY77" i="2"/>
  <c r="BY83" i="2"/>
  <c r="BY84" i="2" s="1"/>
  <c r="BC77" i="2"/>
  <c r="BY99" i="3"/>
  <c r="BY95" i="3"/>
  <c r="BY100" i="3" s="1"/>
  <c r="AI62" i="3"/>
  <c r="AJ56" i="3"/>
  <c r="AJ59" i="3" s="1"/>
  <c r="BY58" i="3"/>
  <c r="BY59" i="3" s="1"/>
  <c r="BZ56" i="3" s="1"/>
  <c r="BC11" i="2"/>
  <c r="BD86" i="1" s="1"/>
  <c r="AJ62" i="3" l="1"/>
  <c r="AK56" i="3"/>
  <c r="AK59" i="3" s="1"/>
  <c r="BC17" i="2"/>
  <c r="BD113" i="2"/>
  <c r="BD115" i="2" s="1"/>
  <c r="BD118" i="2" s="1"/>
  <c r="BD90" i="1" s="1"/>
  <c r="BY11" i="2"/>
  <c r="BC61" i="3"/>
  <c r="BC85" i="2"/>
  <c r="BC160" i="3"/>
  <c r="BC161" i="3" s="1"/>
  <c r="BD85" i="1" l="1"/>
  <c r="BC86" i="2"/>
  <c r="BC88" i="2"/>
  <c r="BC89" i="2" s="1"/>
  <c r="BC27" i="2"/>
  <c r="BC90" i="2"/>
  <c r="BY85" i="2"/>
  <c r="BY86" i="2" s="1"/>
  <c r="BY17" i="2"/>
  <c r="BY160" i="3"/>
  <c r="BY161" i="3" s="1"/>
  <c r="BZ113" i="2"/>
  <c r="BZ115" i="2" s="1"/>
  <c r="BZ118" i="2" s="1"/>
  <c r="BY61" i="3"/>
  <c r="BY62" i="3" s="1"/>
  <c r="AL56" i="3"/>
  <c r="AL59" i="3" s="1"/>
  <c r="AK62" i="3"/>
  <c r="BD91" i="1" l="1"/>
  <c r="BD96" i="1"/>
  <c r="AM56" i="3"/>
  <c r="AM59" i="3" s="1"/>
  <c r="AL62" i="3"/>
  <c r="BY27" i="2"/>
  <c r="BY90" i="2"/>
  <c r="BC49" i="2"/>
  <c r="BC71" i="3"/>
  <c r="BD97" i="1" l="1"/>
  <c r="BD103" i="1"/>
  <c r="BD105" i="1"/>
  <c r="BD106" i="1"/>
  <c r="BD94" i="1"/>
  <c r="BD93" i="1"/>
  <c r="BD100" i="1" s="1"/>
  <c r="BD98" i="1"/>
  <c r="BY49" i="2"/>
  <c r="BY71" i="3"/>
  <c r="AM62" i="3"/>
  <c r="AN56" i="3"/>
  <c r="AN59" i="3" s="1"/>
  <c r="BD94" i="3" l="1"/>
  <c r="BD99" i="1"/>
  <c r="BD115" i="1"/>
  <c r="BD129" i="1" s="1"/>
  <c r="BD108" i="1"/>
  <c r="BD109" i="1" s="1"/>
  <c r="BD110" i="1"/>
  <c r="BD111" i="1" s="1"/>
  <c r="BD101" i="1"/>
  <c r="BD113" i="1"/>
  <c r="BD122" i="1"/>
  <c r="AN62" i="3"/>
  <c r="AO56" i="3"/>
  <c r="AO59" i="3" s="1"/>
  <c r="BD170" i="1"/>
  <c r="BD172" i="1" s="1"/>
  <c r="BD173" i="1" l="1"/>
  <c r="BD123" i="1"/>
  <c r="BD13" i="3"/>
  <c r="BD112" i="3" s="1"/>
  <c r="BD117" i="1"/>
  <c r="BD114" i="1"/>
  <c r="BD130" i="1"/>
  <c r="BD119" i="1"/>
  <c r="BD174" i="1"/>
  <c r="BD176" i="1" s="1"/>
  <c r="BD98" i="3" s="1"/>
  <c r="AO62" i="3"/>
  <c r="AP56" i="3"/>
  <c r="AP59" i="3" s="1"/>
  <c r="BD138" i="1" l="1"/>
  <c r="BD72" i="2"/>
  <c r="BD74" i="2" s="1"/>
  <c r="BD45" i="2" s="1"/>
  <c r="BD83" i="2" s="1"/>
  <c r="BD84" i="2" s="1"/>
  <c r="BD118" i="1"/>
  <c r="BD120" i="1"/>
  <c r="BD140" i="1"/>
  <c r="BD131" i="1"/>
  <c r="BD135" i="1"/>
  <c r="BD178" i="1"/>
  <c r="BD179" i="1" s="1"/>
  <c r="AP62" i="3"/>
  <c r="AQ56" i="3"/>
  <c r="AQ59" i="3" s="1"/>
  <c r="BD82" i="2" l="1"/>
  <c r="BD76" i="2"/>
  <c r="BD77" i="2" s="1"/>
  <c r="BD47" i="2"/>
  <c r="BD127" i="2"/>
  <c r="BD137" i="1"/>
  <c r="BD11" i="3"/>
  <c r="AR56" i="3"/>
  <c r="AR59" i="3" s="1"/>
  <c r="AQ62" i="3"/>
  <c r="BD31" i="3" l="1"/>
  <c r="BD110" i="3"/>
  <c r="BD130" i="3" s="1"/>
  <c r="BD157" i="3" s="1"/>
  <c r="BD158" i="3" s="1"/>
  <c r="BD90" i="3"/>
  <c r="BD93" i="3" s="1"/>
  <c r="AS56" i="3"/>
  <c r="AS59" i="3" s="1"/>
  <c r="AR62" i="3"/>
  <c r="BD95" i="3" l="1"/>
  <c r="BD100" i="3" s="1"/>
  <c r="BD99" i="3"/>
  <c r="BD58" i="3"/>
  <c r="BD11" i="2" s="1"/>
  <c r="BD88" i="3"/>
  <c r="BD102" i="3" s="1"/>
  <c r="AT56" i="3"/>
  <c r="AT59" i="3" s="1"/>
  <c r="AS62" i="3"/>
  <c r="BE86" i="1" l="1"/>
  <c r="BE113" i="2"/>
  <c r="BE115" i="2" s="1"/>
  <c r="BE118" i="2" s="1"/>
  <c r="BE90" i="1" s="1"/>
  <c r="CR90" i="1" s="1"/>
  <c r="BD160" i="3"/>
  <c r="BD161" i="3" s="1"/>
  <c r="BD85" i="2"/>
  <c r="BD17" i="2"/>
  <c r="BD61" i="3"/>
  <c r="AT62" i="3"/>
  <c r="AU56" i="3"/>
  <c r="AU59" i="3" s="1"/>
  <c r="BD88" i="2" l="1"/>
  <c r="BD89" i="2" s="1"/>
  <c r="BD86" i="2"/>
  <c r="BD90" i="2"/>
  <c r="BD27" i="2"/>
  <c r="CR86" i="1"/>
  <c r="CR87" i="1" s="1"/>
  <c r="BE85" i="1"/>
  <c r="AV56" i="3"/>
  <c r="AV59" i="3" s="1"/>
  <c r="AU62" i="3"/>
  <c r="BE91" i="1" l="1"/>
  <c r="BE96" i="1"/>
  <c r="BD71" i="3"/>
  <c r="BD49" i="2"/>
  <c r="CR85" i="1"/>
  <c r="AW56" i="3"/>
  <c r="AW59" i="3" s="1"/>
  <c r="AV62" i="3"/>
  <c r="BE103" i="1" l="1"/>
  <c r="BE113" i="1" s="1"/>
  <c r="BE97" i="1"/>
  <c r="BE106" i="1"/>
  <c r="BE105" i="1"/>
  <c r="CR91" i="1"/>
  <c r="CR96" i="1"/>
  <c r="CR97" i="1" s="1"/>
  <c r="BE94" i="1"/>
  <c r="BE98" i="1"/>
  <c r="BE93" i="1"/>
  <c r="AX56" i="3"/>
  <c r="AX59" i="3" s="1"/>
  <c r="AW62" i="3"/>
  <c r="BE100" i="1" l="1"/>
  <c r="BE94" i="3"/>
  <c r="CR93" i="1"/>
  <c r="CR98" i="1"/>
  <c r="CR99" i="1" s="1"/>
  <c r="CR94" i="1"/>
  <c r="CR106" i="1"/>
  <c r="CR115" i="1" s="1"/>
  <c r="BE115" i="1"/>
  <c r="BE129" i="1" s="1"/>
  <c r="BE114" i="1"/>
  <c r="BE130" i="1"/>
  <c r="BE99" i="1"/>
  <c r="CR105" i="1"/>
  <c r="CR122" i="1" s="1"/>
  <c r="CR123" i="1" s="1"/>
  <c r="BE122" i="1"/>
  <c r="BE108" i="1"/>
  <c r="BE109" i="1" s="1"/>
  <c r="CR103" i="1"/>
  <c r="BE110" i="1"/>
  <c r="AY56" i="3"/>
  <c r="AY59" i="3" s="1"/>
  <c r="AX62" i="3"/>
  <c r="BE111" i="1" l="1"/>
  <c r="BE173" i="1"/>
  <c r="BE117" i="1"/>
  <c r="CR110" i="1"/>
  <c r="CR113" i="1"/>
  <c r="CR108" i="1"/>
  <c r="CR104" i="1"/>
  <c r="BE123" i="1"/>
  <c r="BE13" i="3"/>
  <c r="BE131" i="1"/>
  <c r="BE135" i="1"/>
  <c r="BE137" i="1" s="1"/>
  <c r="CR100" i="1"/>
  <c r="CR94" i="3"/>
  <c r="BE101" i="1"/>
  <c r="BE119" i="1"/>
  <c r="BE170" i="1"/>
  <c r="BE172" i="1" s="1"/>
  <c r="AY62" i="3"/>
  <c r="AZ56" i="3"/>
  <c r="AZ59" i="3" s="1"/>
  <c r="BA56" i="3" s="1"/>
  <c r="BA59" i="3" s="1"/>
  <c r="BE174" i="1" l="1"/>
  <c r="BE176" i="1" s="1"/>
  <c r="BE98" i="3" s="1"/>
  <c r="BE11" i="3"/>
  <c r="CR11" i="3" s="1"/>
  <c r="BE120" i="1"/>
  <c r="BE140" i="1"/>
  <c r="CR101" i="1"/>
  <c r="CR170" i="1"/>
  <c r="CR172" i="1" s="1"/>
  <c r="CR119" i="1"/>
  <c r="CR109" i="1"/>
  <c r="CR117" i="1"/>
  <c r="CR111" i="1"/>
  <c r="CR173" i="1"/>
  <c r="BE112" i="3"/>
  <c r="CR13" i="3"/>
  <c r="CR112" i="3" s="1"/>
  <c r="BE72" i="2"/>
  <c r="CR114" i="1"/>
  <c r="CR130" i="1"/>
  <c r="BE118" i="1"/>
  <c r="BE138" i="1"/>
  <c r="AZ62" i="3"/>
  <c r="BE178" i="1" l="1"/>
  <c r="BE179" i="1" s="1"/>
  <c r="BE90" i="3"/>
  <c r="BE93" i="3" s="1"/>
  <c r="BE95" i="3" s="1"/>
  <c r="BE100" i="3" s="1"/>
  <c r="BE110" i="3"/>
  <c r="BE130" i="3" s="1"/>
  <c r="BE157" i="3" s="1"/>
  <c r="BE158" i="3" s="1"/>
  <c r="BE31" i="3"/>
  <c r="BE58" i="3" s="1"/>
  <c r="CR174" i="1"/>
  <c r="CR176" i="1" s="1"/>
  <c r="CR98" i="3" s="1"/>
  <c r="CR135" i="1"/>
  <c r="CR137" i="1" s="1"/>
  <c r="CR131" i="1"/>
  <c r="BE127" i="2"/>
  <c r="CR72" i="2"/>
  <c r="BE74" i="2"/>
  <c r="BE45" i="2" s="1"/>
  <c r="CR138" i="1"/>
  <c r="CR118" i="1"/>
  <c r="CR140" i="1"/>
  <c r="CR120" i="1"/>
  <c r="BB56" i="3"/>
  <c r="BB59" i="3" s="1"/>
  <c r="BA62" i="3"/>
  <c r="CR110" i="3"/>
  <c r="CR130" i="3" s="1"/>
  <c r="CR157" i="3" s="1"/>
  <c r="CR158" i="3" s="1"/>
  <c r="CS155" i="3" s="1"/>
  <c r="CR31" i="3"/>
  <c r="CR90" i="3"/>
  <c r="CR93" i="3" s="1"/>
  <c r="CR178" i="1" l="1"/>
  <c r="CR179" i="1" s="1"/>
  <c r="BE99" i="3"/>
  <c r="BE88" i="3"/>
  <c r="BE102" i="3" s="1"/>
  <c r="BE76" i="2"/>
  <c r="BE47" i="2"/>
  <c r="BE82" i="2"/>
  <c r="BE83" i="2"/>
  <c r="BE84" i="2" s="1"/>
  <c r="CR45" i="2"/>
  <c r="CR127" i="2"/>
  <c r="CR74" i="2"/>
  <c r="BC56" i="3"/>
  <c r="BC59" i="3" s="1"/>
  <c r="BB62" i="3"/>
  <c r="CR99" i="3"/>
  <c r="CR95" i="3"/>
  <c r="CR100" i="3" s="1"/>
  <c r="CR58" i="3"/>
  <c r="CR59" i="3" s="1"/>
  <c r="CS56" i="3" s="1"/>
  <c r="BE11" i="2"/>
  <c r="BF86" i="1" s="1"/>
  <c r="CR88" i="3"/>
  <c r="CR102" i="3" s="1"/>
  <c r="CR82" i="2" l="1"/>
  <c r="CR47" i="2"/>
  <c r="CR83" i="2"/>
  <c r="CR84" i="2" s="1"/>
  <c r="BE77" i="2"/>
  <c r="CR76" i="2"/>
  <c r="CR77" i="2" s="1"/>
  <c r="BF113" i="2"/>
  <c r="BF115" i="2" s="1"/>
  <c r="BF118" i="2" s="1"/>
  <c r="BF90" i="1" s="1"/>
  <c r="BE17" i="2"/>
  <c r="BE61" i="3"/>
  <c r="BE160" i="3"/>
  <c r="BE161" i="3" s="1"/>
  <c r="BE85" i="2"/>
  <c r="CR11" i="2"/>
  <c r="BD56" i="3"/>
  <c r="BD59" i="3" s="1"/>
  <c r="BC62" i="3"/>
  <c r="BF85" i="1" l="1"/>
  <c r="CR17" i="2"/>
  <c r="CR160" i="3"/>
  <c r="CR161" i="3" s="1"/>
  <c r="CR85" i="2"/>
  <c r="CR86" i="2" s="1"/>
  <c r="CR61" i="3"/>
  <c r="CR62" i="3" s="1"/>
  <c r="BE90" i="2"/>
  <c r="BE27" i="2"/>
  <c r="BE86" i="2"/>
  <c r="BE88" i="2"/>
  <c r="BE89" i="2" s="1"/>
  <c r="BE56" i="3"/>
  <c r="BE59" i="3" s="1"/>
  <c r="BF56" i="3" s="1"/>
  <c r="BD62" i="3"/>
  <c r="BE62" i="3" l="1"/>
  <c r="BF91" i="1"/>
  <c r="BF96" i="1"/>
  <c r="BE71" i="3"/>
  <c r="BE49" i="2"/>
  <c r="CR27" i="2"/>
  <c r="CR90" i="2"/>
  <c r="BF97" i="1" l="1"/>
  <c r="BF103" i="1"/>
  <c r="BF105" i="1"/>
  <c r="BF106" i="1"/>
  <c r="BF94" i="1"/>
  <c r="BF93" i="1"/>
  <c r="BF100" i="1" s="1"/>
  <c r="BF98" i="1"/>
  <c r="CR71" i="3"/>
  <c r="CR49" i="2"/>
  <c r="BF94" i="3" l="1"/>
  <c r="BF99" i="1"/>
  <c r="BF115" i="1"/>
  <c r="BF129" i="1" s="1"/>
  <c r="BF108" i="1"/>
  <c r="BF109" i="1" s="1"/>
  <c r="BF110" i="1"/>
  <c r="BF111" i="1" s="1"/>
  <c r="BF101" i="1"/>
  <c r="BF113" i="1"/>
  <c r="BF122" i="1"/>
  <c r="BF170" i="1"/>
  <c r="BF172" i="1" s="1"/>
  <c r="BF173" i="1" l="1"/>
  <c r="BF174" i="1" s="1"/>
  <c r="BF176" i="1" s="1"/>
  <c r="BF98" i="3" s="1"/>
  <c r="BF123" i="1"/>
  <c r="BF13" i="3"/>
  <c r="BF112" i="3" s="1"/>
  <c r="BF117" i="1"/>
  <c r="BF118" i="1" s="1"/>
  <c r="BF114" i="1"/>
  <c r="BF130" i="1"/>
  <c r="BF119" i="1"/>
  <c r="BF72" i="2" l="1"/>
  <c r="BF74" i="2" s="1"/>
  <c r="BF45" i="2" s="1"/>
  <c r="BF83" i="2" s="1"/>
  <c r="BF84" i="2" s="1"/>
  <c r="BF138" i="1"/>
  <c r="BF120" i="1"/>
  <c r="BF140" i="1"/>
  <c r="BF131" i="1"/>
  <c r="BF135" i="1"/>
  <c r="BF137" i="1" s="1"/>
  <c r="BF127" i="2"/>
  <c r="BF178" i="1"/>
  <c r="BF179" i="1" s="1"/>
  <c r="BF47" i="2" l="1"/>
  <c r="BF82" i="2"/>
  <c r="BF76" i="2"/>
  <c r="BF77" i="2" s="1"/>
  <c r="BF11" i="3"/>
  <c r="BF110" i="3" s="1"/>
  <c r="BF130" i="3" s="1"/>
  <c r="BF157" i="3" s="1"/>
  <c r="BF158" i="3" s="1"/>
  <c r="BF31" i="3" l="1"/>
  <c r="BF88" i="3" s="1"/>
  <c r="BF102" i="3" s="1"/>
  <c r="BF90" i="3"/>
  <c r="BF93" i="3" s="1"/>
  <c r="BF95" i="3" s="1"/>
  <c r="BF100" i="3" s="1"/>
  <c r="BF58" i="3" l="1"/>
  <c r="BF11" i="2" s="1"/>
  <c r="BG86" i="1" s="1"/>
  <c r="BF99" i="3"/>
  <c r="BF59" i="3" l="1"/>
  <c r="BG56" i="3" s="1"/>
  <c r="BZ86" i="1"/>
  <c r="BF85" i="2"/>
  <c r="BF160" i="3"/>
  <c r="BF161" i="3" s="1"/>
  <c r="BF61" i="3"/>
  <c r="BF62" i="3" s="1"/>
  <c r="BF17" i="2"/>
  <c r="BG113" i="2"/>
  <c r="BG115" i="2" s="1"/>
  <c r="BG118" i="2" s="1"/>
  <c r="BG90" i="1" l="1"/>
  <c r="BZ87" i="1"/>
  <c r="BF90" i="2"/>
  <c r="BF27" i="2"/>
  <c r="BF88" i="2"/>
  <c r="BF89" i="2" s="1"/>
  <c r="BF86" i="2"/>
  <c r="BZ90" i="1" l="1"/>
  <c r="BG85" i="1"/>
  <c r="BF71" i="3"/>
  <c r="BF49" i="2"/>
  <c r="BZ85" i="1" l="1"/>
  <c r="BZ96" i="1" s="1"/>
  <c r="BG91" i="1"/>
  <c r="BG96" i="1"/>
  <c r="BZ91" i="1" l="1"/>
  <c r="BZ94" i="1" s="1"/>
  <c r="BG97" i="1"/>
  <c r="BG103" i="1"/>
  <c r="BG113" i="1" s="1"/>
  <c r="BG105" i="1"/>
  <c r="BG106" i="1"/>
  <c r="BZ97" i="1"/>
  <c r="BG93" i="1"/>
  <c r="BG100" i="1" s="1"/>
  <c r="BG94" i="1"/>
  <c r="BG98" i="1"/>
  <c r="BZ93" i="1" l="1"/>
  <c r="BZ100" i="1" s="1"/>
  <c r="BZ101" i="1" s="1"/>
  <c r="BG94" i="3"/>
  <c r="BZ98" i="1"/>
  <c r="BG99" i="1"/>
  <c r="BG101" i="1"/>
  <c r="BG114" i="1"/>
  <c r="BG130" i="1"/>
  <c r="BG108" i="1"/>
  <c r="BG109" i="1" s="1"/>
  <c r="BG110" i="1"/>
  <c r="BG111" i="1" s="1"/>
  <c r="BZ103" i="1"/>
  <c r="BG115" i="1"/>
  <c r="BG129" i="1" s="1"/>
  <c r="BZ106" i="1"/>
  <c r="BZ115" i="1" s="1"/>
  <c r="BG122" i="1"/>
  <c r="BG123" i="1" s="1"/>
  <c r="BZ105" i="1"/>
  <c r="BZ122" i="1" s="1"/>
  <c r="BZ123" i="1" s="1"/>
  <c r="BG170" i="1"/>
  <c r="BG172" i="1" s="1"/>
  <c r="BZ94" i="3" l="1"/>
  <c r="BZ99" i="1"/>
  <c r="BG13" i="3"/>
  <c r="BZ13" i="3" s="1"/>
  <c r="BG173" i="1"/>
  <c r="BG174" i="1" s="1"/>
  <c r="BG176" i="1" s="1"/>
  <c r="BG98" i="3" s="1"/>
  <c r="BG117" i="1"/>
  <c r="BG118" i="1" s="1"/>
  <c r="BG131" i="1"/>
  <c r="BG135" i="1"/>
  <c r="BG137" i="1" s="1"/>
  <c r="BG119" i="1"/>
  <c r="BZ104" i="1"/>
  <c r="BZ108" i="1"/>
  <c r="BZ110" i="1"/>
  <c r="BZ173" i="1" s="1"/>
  <c r="BZ113" i="1"/>
  <c r="BZ170" i="1"/>
  <c r="BZ172" i="1" s="1"/>
  <c r="BG72" i="2" l="1"/>
  <c r="BG127" i="2" s="1"/>
  <c r="BG112" i="3"/>
  <c r="BG178" i="1"/>
  <c r="BG179" i="1" s="1"/>
  <c r="BG138" i="1"/>
  <c r="BZ111" i="1"/>
  <c r="BZ119" i="1"/>
  <c r="BZ114" i="1"/>
  <c r="BZ130" i="1"/>
  <c r="BZ109" i="1"/>
  <c r="BZ117" i="1"/>
  <c r="BG120" i="1"/>
  <c r="BG140" i="1"/>
  <c r="BZ112" i="3"/>
  <c r="BZ174" i="1"/>
  <c r="BZ176" i="1" s="1"/>
  <c r="BZ98" i="3" s="1"/>
  <c r="BG11" i="3"/>
  <c r="BG74" i="2" l="1"/>
  <c r="BG45" i="2" s="1"/>
  <c r="BG82" i="2" s="1"/>
  <c r="BZ72" i="2"/>
  <c r="BZ74" i="2" s="1"/>
  <c r="BZ178" i="1"/>
  <c r="BZ179" i="1" s="1"/>
  <c r="BZ118" i="1"/>
  <c r="BZ138" i="1"/>
  <c r="BZ131" i="1"/>
  <c r="BZ135" i="1"/>
  <c r="BZ137" i="1" s="1"/>
  <c r="BZ129" i="1"/>
  <c r="BZ120" i="1"/>
  <c r="BZ140" i="1"/>
  <c r="BZ127" i="2"/>
  <c r="BG90" i="3"/>
  <c r="BG93" i="3" s="1"/>
  <c r="BZ11" i="3"/>
  <c r="BG110" i="3"/>
  <c r="BG130" i="3" s="1"/>
  <c r="BG157" i="3" s="1"/>
  <c r="BG158" i="3" s="1"/>
  <c r="BH155" i="3" s="1"/>
  <c r="BG31" i="3"/>
  <c r="BG83" i="2"/>
  <c r="BG84" i="2" s="1"/>
  <c r="BZ45" i="2" l="1"/>
  <c r="BG47" i="2"/>
  <c r="BG76" i="2"/>
  <c r="BZ76" i="2" s="1"/>
  <c r="BZ77" i="2" s="1"/>
  <c r="BJ155" i="3"/>
  <c r="BK155" i="3"/>
  <c r="BI155" i="3"/>
  <c r="BZ31" i="3"/>
  <c r="BZ88" i="3" s="1"/>
  <c r="BZ102" i="3" s="1"/>
  <c r="BZ90" i="3"/>
  <c r="BZ93" i="3" s="1"/>
  <c r="BZ110" i="3"/>
  <c r="BZ130" i="3" s="1"/>
  <c r="BZ157" i="3" s="1"/>
  <c r="BZ158" i="3" s="1"/>
  <c r="CA155" i="3" s="1"/>
  <c r="BG95" i="3"/>
  <c r="BG100" i="3" s="1"/>
  <c r="BG99" i="3"/>
  <c r="BZ47" i="2"/>
  <c r="BZ82" i="2"/>
  <c r="BZ83" i="2"/>
  <c r="BZ84" i="2" s="1"/>
  <c r="BG88" i="3"/>
  <c r="BG102" i="3" s="1"/>
  <c r="BG58" i="3"/>
  <c r="BG77" i="2" l="1"/>
  <c r="BG11" i="2"/>
  <c r="BH86" i="1" s="1"/>
  <c r="BG59" i="3"/>
  <c r="BH56" i="3" s="1"/>
  <c r="BZ58" i="3"/>
  <c r="BZ59" i="3" s="1"/>
  <c r="CA56" i="3" s="1"/>
  <c r="BZ95" i="3"/>
  <c r="BZ100" i="3" s="1"/>
  <c r="BZ99" i="3"/>
  <c r="BG85" i="2" l="1"/>
  <c r="BG17" i="2"/>
  <c r="BG160" i="3"/>
  <c r="BG161" i="3" s="1"/>
  <c r="BZ11" i="2"/>
  <c r="BH113" i="2"/>
  <c r="BH115" i="2" s="1"/>
  <c r="BH118" i="2" s="1"/>
  <c r="BH90" i="1" s="1"/>
  <c r="BG61" i="3"/>
  <c r="BG62" i="3" s="1"/>
  <c r="BH85" i="1" l="1"/>
  <c r="BG27" i="2"/>
  <c r="BG90" i="2"/>
  <c r="BZ61" i="3"/>
  <c r="BZ62" i="3" s="1"/>
  <c r="BZ85" i="2"/>
  <c r="BZ86" i="2" s="1"/>
  <c r="BZ17" i="2"/>
  <c r="BZ160" i="3"/>
  <c r="BZ161" i="3" s="1"/>
  <c r="CA113" i="2"/>
  <c r="CA115" i="2" s="1"/>
  <c r="CA118" i="2" s="1"/>
  <c r="BG86" i="2"/>
  <c r="BG88" i="2"/>
  <c r="BG89" i="2" s="1"/>
  <c r="BH91" i="1" l="1"/>
  <c r="BH96" i="1"/>
  <c r="BZ27" i="2"/>
  <c r="BZ90" i="2"/>
  <c r="BG71" i="3"/>
  <c r="BG49" i="2"/>
  <c r="BH97" i="1" l="1"/>
  <c r="BH103" i="1"/>
  <c r="BH105" i="1"/>
  <c r="BH106" i="1"/>
  <c r="BH94" i="1"/>
  <c r="BH93" i="1"/>
  <c r="BH100" i="1" s="1"/>
  <c r="BH98" i="1"/>
  <c r="BZ71" i="3"/>
  <c r="BZ49" i="2"/>
  <c r="BH94" i="3" l="1"/>
  <c r="BH99" i="1"/>
  <c r="BH115" i="1"/>
  <c r="BH129" i="1" s="1"/>
  <c r="BH108" i="1"/>
  <c r="BH109" i="1" s="1"/>
  <c r="BH110" i="1"/>
  <c r="BH111" i="1" s="1"/>
  <c r="BH101" i="1"/>
  <c r="BH113" i="1"/>
  <c r="BH122" i="1"/>
  <c r="BH170" i="1"/>
  <c r="BH172" i="1" s="1"/>
  <c r="BH173" i="1" l="1"/>
  <c r="BH174" i="1" s="1"/>
  <c r="BH176" i="1" s="1"/>
  <c r="BH123" i="1"/>
  <c r="BH13" i="3"/>
  <c r="BH117" i="1"/>
  <c r="BH118" i="1" s="1"/>
  <c r="BH114" i="1"/>
  <c r="BH130" i="1"/>
  <c r="BH119" i="1"/>
  <c r="BH98" i="3" l="1"/>
  <c r="BH178" i="1"/>
  <c r="BH179" i="1" s="1"/>
  <c r="BH138" i="1"/>
  <c r="BH112" i="3"/>
  <c r="BH72" i="2"/>
  <c r="BH131" i="1"/>
  <c r="BH135" i="1"/>
  <c r="BH137" i="1" s="1"/>
  <c r="BH120" i="1"/>
  <c r="BH140" i="1"/>
  <c r="BH11" i="3" l="1"/>
  <c r="BH110" i="3" s="1"/>
  <c r="BH130" i="3" s="1"/>
  <c r="BH157" i="3" s="1"/>
  <c r="BH158" i="3" s="1"/>
  <c r="BH74" i="2"/>
  <c r="BH45" i="2" s="1"/>
  <c r="BH127" i="2"/>
  <c r="BH31" i="3" l="1"/>
  <c r="BH58" i="3" s="1"/>
  <c r="BH90" i="3"/>
  <c r="BH93" i="3" s="1"/>
  <c r="BH95" i="3" s="1"/>
  <c r="BH100" i="3" s="1"/>
  <c r="BH83" i="2"/>
  <c r="BH84" i="2" s="1"/>
  <c r="BH76" i="2"/>
  <c r="BH77" i="2" s="1"/>
  <c r="BH82" i="2"/>
  <c r="BH47" i="2"/>
  <c r="BH88" i="3" l="1"/>
  <c r="BH102" i="3" s="1"/>
  <c r="BH99" i="3"/>
  <c r="BH59" i="3"/>
  <c r="BI56" i="3" s="1"/>
  <c r="BH11" i="2"/>
  <c r="BI86" i="1" s="1"/>
  <c r="CS86" i="1" l="1"/>
  <c r="BH17" i="2"/>
  <c r="BH85" i="2"/>
  <c r="BH160" i="3"/>
  <c r="BH161" i="3" s="1"/>
  <c r="BI113" i="2"/>
  <c r="BI115" i="2" s="1"/>
  <c r="BI118" i="2" s="1"/>
  <c r="BI90" i="1" s="1"/>
  <c r="BH61" i="3"/>
  <c r="BH62" i="3" s="1"/>
  <c r="CS87" i="1" l="1"/>
  <c r="CS90" i="1"/>
  <c r="CS85" i="1" s="1"/>
  <c r="BI85" i="1"/>
  <c r="BH88" i="2"/>
  <c r="BH89" i="2" s="1"/>
  <c r="BH86" i="2"/>
  <c r="BH27" i="2"/>
  <c r="BH90" i="2"/>
  <c r="CS91" i="1" l="1"/>
  <c r="CS96" i="1"/>
  <c r="BI91" i="1"/>
  <c r="BI96" i="1"/>
  <c r="BH71" i="3"/>
  <c r="BH49" i="2"/>
  <c r="BI97" i="1" l="1"/>
  <c r="BI103" i="1"/>
  <c r="BI113" i="1" s="1"/>
  <c r="BI106" i="1"/>
  <c r="BI105" i="1"/>
  <c r="CS97" i="1"/>
  <c r="BI93" i="1"/>
  <c r="BI100" i="1" s="1"/>
  <c r="BI94" i="1"/>
  <c r="BI98" i="1"/>
  <c r="CS94" i="1"/>
  <c r="CS93" i="1"/>
  <c r="CS100" i="1" s="1"/>
  <c r="CS98" i="1"/>
  <c r="CS101" i="1" l="1"/>
  <c r="BI99" i="1"/>
  <c r="BI101" i="1"/>
  <c r="BI114" i="1"/>
  <c r="BI130" i="1"/>
  <c r="BI108" i="1"/>
  <c r="BI109" i="1" s="1"/>
  <c r="BI110" i="1"/>
  <c r="BI111" i="1" s="1"/>
  <c r="CS103" i="1"/>
  <c r="CS99" i="1"/>
  <c r="BI122" i="1"/>
  <c r="BI123" i="1" s="1"/>
  <c r="CS105" i="1"/>
  <c r="CS122" i="1" s="1"/>
  <c r="CS123" i="1" s="1"/>
  <c r="BI115" i="1"/>
  <c r="BI129" i="1" s="1"/>
  <c r="CS106" i="1"/>
  <c r="CS115" i="1" s="1"/>
  <c r="BI94" i="3"/>
  <c r="BI117" i="1" l="1"/>
  <c r="BI138" i="1" s="1"/>
  <c r="BI131" i="1"/>
  <c r="BI135" i="1"/>
  <c r="BI137" i="1" s="1"/>
  <c r="BI119" i="1"/>
  <c r="CS104" i="1"/>
  <c r="CS108" i="1"/>
  <c r="CS110" i="1"/>
  <c r="CS113" i="1"/>
  <c r="CS94" i="3"/>
  <c r="BI173" i="1"/>
  <c r="BI170" i="1"/>
  <c r="BI172" i="1" s="1"/>
  <c r="BI13" i="3"/>
  <c r="BI118" i="1" l="1"/>
  <c r="BI174" i="1"/>
  <c r="BI176" i="1" s="1"/>
  <c r="BI98" i="3" s="1"/>
  <c r="CS111" i="1"/>
  <c r="CS119" i="1"/>
  <c r="CS114" i="1"/>
  <c r="CS130" i="1"/>
  <c r="CS109" i="1"/>
  <c r="CS117" i="1"/>
  <c r="BI120" i="1"/>
  <c r="BI140" i="1"/>
  <c r="CS170" i="1"/>
  <c r="CS172" i="1" s="1"/>
  <c r="CS13" i="3"/>
  <c r="CS112" i="3" s="1"/>
  <c r="BI112" i="3"/>
  <c r="BI72" i="2"/>
  <c r="BI11" i="3"/>
  <c r="BI178" i="1"/>
  <c r="BI179" i="1" s="1"/>
  <c r="CS173" i="1"/>
  <c r="CS118" i="1" l="1"/>
  <c r="CS138" i="1"/>
  <c r="CS131" i="1"/>
  <c r="CS135" i="1"/>
  <c r="CS137" i="1" s="1"/>
  <c r="CS120" i="1"/>
  <c r="CS140" i="1"/>
  <c r="CS174" i="1"/>
  <c r="CS176" i="1" s="1"/>
  <c r="CS98" i="3" s="1"/>
  <c r="BI110" i="3"/>
  <c r="BI130" i="3" s="1"/>
  <c r="BI157" i="3" s="1"/>
  <c r="BI158" i="3" s="1"/>
  <c r="BI31" i="3"/>
  <c r="BI90" i="3"/>
  <c r="BI93" i="3" s="1"/>
  <c r="CS11" i="3"/>
  <c r="BI127" i="2"/>
  <c r="CS72" i="2"/>
  <c r="BI74" i="2"/>
  <c r="BI45" i="2" s="1"/>
  <c r="CS178" i="1" l="1"/>
  <c r="CS179" i="1" s="1"/>
  <c r="CS31" i="3"/>
  <c r="CS88" i="3" s="1"/>
  <c r="CS102" i="3" s="1"/>
  <c r="CS110" i="3"/>
  <c r="CS130" i="3" s="1"/>
  <c r="CS157" i="3" s="1"/>
  <c r="CS158" i="3" s="1"/>
  <c r="CS90" i="3"/>
  <c r="CS93" i="3" s="1"/>
  <c r="CS45" i="2"/>
  <c r="BI47" i="2"/>
  <c r="BI83" i="2"/>
  <c r="BI84" i="2" s="1"/>
  <c r="BI76" i="2"/>
  <c r="BI82" i="2"/>
  <c r="BI95" i="3"/>
  <c r="BI100" i="3" s="1"/>
  <c r="BI99" i="3"/>
  <c r="CS127" i="2"/>
  <c r="CS74" i="2"/>
  <c r="BI58" i="3"/>
  <c r="BI88" i="3"/>
  <c r="BI102" i="3" s="1"/>
  <c r="BI59" i="3" l="1"/>
  <c r="BJ56" i="3" s="1"/>
  <c r="CS58" i="3"/>
  <c r="CS59" i="3" s="1"/>
  <c r="BI11" i="2"/>
  <c r="BJ86" i="1" s="1"/>
  <c r="CS99" i="3"/>
  <c r="CS95" i="3"/>
  <c r="CS100" i="3" s="1"/>
  <c r="CS47" i="2"/>
  <c r="CS82" i="2"/>
  <c r="CS83" i="2"/>
  <c r="CS84" i="2" s="1"/>
  <c r="BI77" i="2"/>
  <c r="CS76" i="2"/>
  <c r="CS77" i="2" s="1"/>
  <c r="CS11" i="2" l="1"/>
  <c r="BJ113" i="2"/>
  <c r="BJ115" i="2" s="1"/>
  <c r="BJ118" i="2" s="1"/>
  <c r="BJ90" i="1" s="1"/>
  <c r="BI61" i="3"/>
  <c r="BI62" i="3" s="1"/>
  <c r="BI85" i="2"/>
  <c r="BI17" i="2"/>
  <c r="BI160" i="3"/>
  <c r="BI161" i="3" s="1"/>
  <c r="BJ85" i="1" l="1"/>
  <c r="BI90" i="2"/>
  <c r="BI27" i="2"/>
  <c r="BI88" i="2"/>
  <c r="BI89" i="2" s="1"/>
  <c r="BI86" i="2"/>
  <c r="CS61" i="3"/>
  <c r="CS62" i="3" s="1"/>
  <c r="CS85" i="2"/>
  <c r="CS86" i="2" s="1"/>
  <c r="CS160" i="3"/>
  <c r="CS161" i="3" s="1"/>
  <c r="CS17" i="2"/>
  <c r="BJ91" i="1" l="1"/>
  <c r="BJ96" i="1"/>
  <c r="BI71" i="3"/>
  <c r="BI49" i="2"/>
  <c r="CS90" i="2"/>
  <c r="CS27" i="2"/>
  <c r="BJ97" i="1" l="1"/>
  <c r="BJ103" i="1"/>
  <c r="BJ105" i="1"/>
  <c r="BJ106" i="1"/>
  <c r="BJ94" i="1"/>
  <c r="BJ93" i="1"/>
  <c r="BJ100" i="1" s="1"/>
  <c r="BJ98" i="1"/>
  <c r="CS71" i="3"/>
  <c r="CS49" i="2"/>
  <c r="BJ94" i="3" l="1"/>
  <c r="BJ99" i="1"/>
  <c r="BJ115" i="1"/>
  <c r="BJ129" i="1" s="1"/>
  <c r="BJ108" i="1"/>
  <c r="BJ109" i="1" s="1"/>
  <c r="BJ110" i="1"/>
  <c r="BJ111" i="1" s="1"/>
  <c r="BJ101" i="1"/>
  <c r="BJ113" i="1"/>
  <c r="BJ122" i="1"/>
  <c r="BJ170" i="1"/>
  <c r="BJ172" i="1" s="1"/>
  <c r="BJ173" i="1" l="1"/>
  <c r="BJ174" i="1" s="1"/>
  <c r="BJ176" i="1" s="1"/>
  <c r="BJ98" i="3" s="1"/>
  <c r="BJ123" i="1"/>
  <c r="BJ13" i="3"/>
  <c r="BJ112" i="3" s="1"/>
  <c r="BJ117" i="1"/>
  <c r="BJ138" i="1" s="1"/>
  <c r="BJ114" i="1"/>
  <c r="BJ130" i="1"/>
  <c r="BJ119" i="1"/>
  <c r="BJ72" i="2" l="1"/>
  <c r="BJ127" i="2" s="1"/>
  <c r="BJ118" i="1"/>
  <c r="BJ120" i="1"/>
  <c r="BJ140" i="1"/>
  <c r="BJ131" i="1"/>
  <c r="BJ135" i="1"/>
  <c r="BJ137" i="1" s="1"/>
  <c r="BJ178" i="1"/>
  <c r="BJ179" i="1" s="1"/>
  <c r="BJ74" i="2" l="1"/>
  <c r="BJ45" i="2" s="1"/>
  <c r="BJ47" i="2" s="1"/>
  <c r="BJ11" i="3"/>
  <c r="BJ31" i="3" s="1"/>
  <c r="BJ82" i="2" l="1"/>
  <c r="BJ83" i="2"/>
  <c r="BJ84" i="2" s="1"/>
  <c r="BJ76" i="2"/>
  <c r="BJ77" i="2" s="1"/>
  <c r="BJ90" i="3"/>
  <c r="BJ93" i="3" s="1"/>
  <c r="BJ99" i="3" s="1"/>
  <c r="BJ110" i="3"/>
  <c r="BJ130" i="3" s="1"/>
  <c r="BJ157" i="3" s="1"/>
  <c r="BJ158" i="3" s="1"/>
  <c r="BJ58" i="3"/>
  <c r="BJ88" i="3"/>
  <c r="BJ102" i="3" s="1"/>
  <c r="BJ95" i="3" l="1"/>
  <c r="BJ100" i="3" s="1"/>
  <c r="BJ59" i="3"/>
  <c r="BK56" i="3" s="1"/>
  <c r="BJ11" i="2"/>
  <c r="BK86" i="1" s="1"/>
  <c r="CA86" i="1" l="1"/>
  <c r="BJ85" i="2"/>
  <c r="BJ17" i="2"/>
  <c r="BJ61" i="3"/>
  <c r="BJ62" i="3" s="1"/>
  <c r="BK113" i="2"/>
  <c r="BK115" i="2" s="1"/>
  <c r="BK118" i="2" s="1"/>
  <c r="BJ160" i="3"/>
  <c r="BJ161" i="3" s="1"/>
  <c r="BK90" i="1" l="1"/>
  <c r="CA87" i="1"/>
  <c r="BJ90" i="2"/>
  <c r="BJ27" i="2"/>
  <c r="BJ86" i="2"/>
  <c r="BJ88" i="2"/>
  <c r="BJ89" i="2" s="1"/>
  <c r="CA90" i="1" l="1"/>
  <c r="BK85" i="1"/>
  <c r="BJ71" i="3"/>
  <c r="BJ49" i="2"/>
  <c r="CA85" i="1" l="1"/>
  <c r="CA96" i="1" s="1"/>
  <c r="BK91" i="1"/>
  <c r="BK96" i="1"/>
  <c r="CA91" i="1" l="1"/>
  <c r="CA93" i="1" s="1"/>
  <c r="CA100" i="1" s="1"/>
  <c r="CA97" i="1"/>
  <c r="BK97" i="1"/>
  <c r="BK103" i="1"/>
  <c r="BK113" i="1" s="1"/>
  <c r="BK105" i="1"/>
  <c r="BK106" i="1"/>
  <c r="BK93" i="1"/>
  <c r="BK100" i="1" s="1"/>
  <c r="BK94" i="1"/>
  <c r="BK98" i="1"/>
  <c r="CA94" i="1" l="1"/>
  <c r="CA98" i="1"/>
  <c r="BK94" i="3"/>
  <c r="CA101" i="1"/>
  <c r="BK114" i="1"/>
  <c r="BK130" i="1"/>
  <c r="BK108" i="1"/>
  <c r="BK109" i="1" s="1"/>
  <c r="BK110" i="1"/>
  <c r="BK111" i="1" s="1"/>
  <c r="CA103" i="1"/>
  <c r="BK99" i="1"/>
  <c r="BK101" i="1"/>
  <c r="BK115" i="1"/>
  <c r="BK129" i="1" s="1"/>
  <c r="CA106" i="1"/>
  <c r="CA115" i="1" s="1"/>
  <c r="BK122" i="1"/>
  <c r="BK123" i="1" s="1"/>
  <c r="CA105" i="1"/>
  <c r="CA122" i="1" s="1"/>
  <c r="CA123" i="1" s="1"/>
  <c r="CA94" i="3"/>
  <c r="BK170" i="1"/>
  <c r="BK172" i="1" s="1"/>
  <c r="BK117" i="1" l="1"/>
  <c r="BK138" i="1" s="1"/>
  <c r="CA99" i="1"/>
  <c r="BK13" i="3"/>
  <c r="BK112" i="3" s="1"/>
  <c r="BK173" i="1"/>
  <c r="BK174" i="1" s="1"/>
  <c r="BK176" i="1" s="1"/>
  <c r="BK98" i="3" s="1"/>
  <c r="BK131" i="1"/>
  <c r="BK135" i="1"/>
  <c r="BK137" i="1" s="1"/>
  <c r="BK119" i="1"/>
  <c r="CA104" i="1"/>
  <c r="CA108" i="1"/>
  <c r="CA110" i="1"/>
  <c r="CA113" i="1"/>
  <c r="CA170" i="1"/>
  <c r="CA172" i="1" s="1"/>
  <c r="BK178" i="1" l="1"/>
  <c r="BK179" i="1" s="1"/>
  <c r="BK118" i="1"/>
  <c r="CA13" i="3"/>
  <c r="CA112" i="3" s="1"/>
  <c r="BK72" i="2"/>
  <c r="BK74" i="2" s="1"/>
  <c r="BK45" i="2" s="1"/>
  <c r="CA173" i="1"/>
  <c r="CA174" i="1" s="1"/>
  <c r="CA176" i="1" s="1"/>
  <c r="CA98" i="3" s="1"/>
  <c r="CA111" i="1"/>
  <c r="CA119" i="1"/>
  <c r="CA114" i="1"/>
  <c r="CA130" i="1"/>
  <c r="CA109" i="1"/>
  <c r="CA117" i="1"/>
  <c r="BK120" i="1"/>
  <c r="BK140" i="1"/>
  <c r="BK11" i="3"/>
  <c r="CA72" i="2" l="1"/>
  <c r="CA74" i="2" s="1"/>
  <c r="BK127" i="2"/>
  <c r="CA118" i="1"/>
  <c r="CA138" i="1"/>
  <c r="CA131" i="1"/>
  <c r="CA135" i="1"/>
  <c r="CA137" i="1" s="1"/>
  <c r="CA120" i="1"/>
  <c r="CA129" i="1"/>
  <c r="CA140" i="1"/>
  <c r="CA178" i="1"/>
  <c r="CA179" i="1" s="1"/>
  <c r="CA11" i="3"/>
  <c r="BK110" i="3"/>
  <c r="BK130" i="3" s="1"/>
  <c r="BK157" i="3" s="1"/>
  <c r="BK158" i="3" s="1"/>
  <c r="BK31" i="3"/>
  <c r="BK90" i="3"/>
  <c r="BK93" i="3" s="1"/>
  <c r="BK76" i="2"/>
  <c r="BK47" i="2"/>
  <c r="BK83" i="2"/>
  <c r="BK84" i="2" s="1"/>
  <c r="CA45" i="2"/>
  <c r="BK82" i="2"/>
  <c r="CA127" i="2" l="1"/>
  <c r="CA76" i="2"/>
  <c r="CA77" i="2" s="1"/>
  <c r="BK77" i="2"/>
  <c r="BK99" i="3"/>
  <c r="BK95" i="3"/>
  <c r="BK100" i="3" s="1"/>
  <c r="CA83" i="2"/>
  <c r="CA84" i="2" s="1"/>
  <c r="CA82" i="2"/>
  <c r="CA47" i="2"/>
  <c r="BK58" i="3"/>
  <c r="BK88" i="3"/>
  <c r="BK102" i="3" s="1"/>
  <c r="CA31" i="3"/>
  <c r="CA88" i="3" s="1"/>
  <c r="CA102" i="3" s="1"/>
  <c r="CA90" i="3"/>
  <c r="CA93" i="3" s="1"/>
  <c r="CA110" i="3"/>
  <c r="CA130" i="3" s="1"/>
  <c r="CA157" i="3" s="1"/>
  <c r="CA158" i="3" s="1"/>
  <c r="CA99" i="3" l="1"/>
  <c r="CA95" i="3"/>
  <c r="CA100" i="3" s="1"/>
  <c r="BK11" i="2"/>
  <c r="BK59" i="3"/>
  <c r="CA58" i="3"/>
  <c r="CA59" i="3" s="1"/>
  <c r="BK17" i="2" l="1"/>
  <c r="BK160" i="3"/>
  <c r="BK161" i="3" s="1"/>
  <c r="CA11" i="2"/>
  <c r="BK85" i="2"/>
  <c r="BK61" i="3"/>
  <c r="BK62" i="3" s="1"/>
  <c r="BK86" i="2" l="1"/>
  <c r="BK88" i="2"/>
  <c r="BK89" i="2" s="1"/>
  <c r="CA160" i="3"/>
  <c r="CA161" i="3" s="1"/>
  <c r="CA61" i="3"/>
  <c r="CA62" i="3" s="1"/>
  <c r="CA85" i="2"/>
  <c r="CA86" i="2" s="1"/>
  <c r="CA17" i="2"/>
  <c r="BK90" i="2"/>
  <c r="BK27" i="2"/>
  <c r="BK71" i="3" l="1"/>
  <c r="BK49" i="2"/>
  <c r="CA27" i="2"/>
  <c r="CA90" i="2"/>
  <c r="CA71" i="3" l="1"/>
  <c r="CA49" i="2"/>
  <c r="BL1" i="48" s="1"/>
  <c r="AZ1" i="48" l="1"/>
  <c r="H1" i="48"/>
  <c r="CJ1" i="1"/>
  <c r="BM1" i="1"/>
  <c r="P1" i="2"/>
  <c r="V1" i="3"/>
  <c r="J1" i="2"/>
  <c r="J1" i="48"/>
  <c r="V1" i="48"/>
  <c r="N1" i="48"/>
  <c r="AX1" i="1"/>
  <c r="AX1" i="3"/>
  <c r="AB1" i="1"/>
  <c r="T1" i="3"/>
  <c r="AT1" i="3"/>
  <c r="F1" i="3"/>
  <c r="CH1" i="1"/>
  <c r="BQ1" i="3"/>
  <c r="AZ1" i="3"/>
  <c r="AZ1" i="1"/>
  <c r="V1" i="1"/>
  <c r="AH1" i="1"/>
  <c r="H1" i="2"/>
  <c r="Z1" i="3"/>
  <c r="BJ1" i="1"/>
  <c r="BH1" i="1"/>
  <c r="AR1" i="48"/>
  <c r="BB1" i="48"/>
  <c r="AX1" i="48"/>
  <c r="P1" i="48"/>
  <c r="CP1" i="3"/>
  <c r="AV1" i="48"/>
  <c r="CL1" i="48"/>
  <c r="CO1" i="1"/>
  <c r="AH1" i="3"/>
  <c r="BJ1" i="3"/>
  <c r="AP1" i="3"/>
  <c r="AL1" i="2"/>
  <c r="CN1" i="48"/>
  <c r="CR1" i="2"/>
  <c r="Z1" i="48"/>
  <c r="AJ1" i="3"/>
  <c r="AB1" i="2"/>
  <c r="CJ1" i="3"/>
  <c r="BL1" i="1"/>
  <c r="AR1" i="3"/>
  <c r="T1" i="1"/>
  <c r="BF1" i="48"/>
  <c r="N1" i="3"/>
  <c r="BM1" i="48"/>
  <c r="J1" i="3"/>
  <c r="CL1" i="1"/>
  <c r="BY1" i="3"/>
  <c r="AD1" i="48"/>
  <c r="AD1" i="3"/>
  <c r="BO1" i="2"/>
  <c r="BO1" i="3"/>
  <c r="AN1" i="1"/>
  <c r="BB1" i="2"/>
  <c r="AF1" i="3"/>
  <c r="AF1" i="1"/>
  <c r="BU1" i="1"/>
  <c r="V1" i="2"/>
  <c r="BS1" i="1"/>
  <c r="AL1" i="48"/>
  <c r="CA1" i="1"/>
  <c r="CL1" i="2"/>
  <c r="CS1" i="3"/>
  <c r="BO1" i="1"/>
  <c r="CN1" i="1"/>
  <c r="AV1" i="3"/>
  <c r="BQ1" i="2"/>
  <c r="BY1" i="48"/>
  <c r="BQ1" i="48"/>
  <c r="X1" i="3"/>
  <c r="AR1" i="1"/>
  <c r="AP1" i="1"/>
  <c r="AZ1" i="2"/>
  <c r="CR1" i="1"/>
  <c r="AT1" i="1"/>
  <c r="R1" i="2"/>
  <c r="CQ1" i="48"/>
  <c r="CJ1" i="2"/>
  <c r="CS1" i="1"/>
  <c r="BD1" i="48"/>
  <c r="L1" i="2"/>
  <c r="T1" i="2"/>
  <c r="BB1" i="3"/>
  <c r="BQ1" i="1"/>
  <c r="BJ1" i="2"/>
  <c r="X1" i="2"/>
  <c r="F1" i="2"/>
  <c r="BH1" i="3"/>
  <c r="R1" i="1"/>
  <c r="L1" i="3"/>
  <c r="X1" i="48"/>
  <c r="CR1" i="48"/>
  <c r="CN1" i="2"/>
  <c r="AJ1" i="1"/>
  <c r="CO1" i="2"/>
  <c r="AH1" i="2"/>
  <c r="CQ1" i="1"/>
  <c r="BY1" i="1"/>
  <c r="H1" i="3"/>
  <c r="D1" i="48"/>
  <c r="D1" i="3"/>
  <c r="R1" i="3"/>
  <c r="BJ1" i="48"/>
  <c r="BH1" i="48"/>
  <c r="CH1" i="2"/>
  <c r="BF1" i="3"/>
  <c r="L1" i="1"/>
  <c r="L1" i="48"/>
  <c r="P1" i="1"/>
  <c r="CF1" i="3"/>
  <c r="T1" i="48"/>
  <c r="AB1" i="48"/>
  <c r="CH1" i="3"/>
  <c r="BS1" i="2"/>
  <c r="AD1" i="1"/>
  <c r="BB1" i="1"/>
  <c r="BS1" i="3"/>
  <c r="AP1" i="2"/>
  <c r="BL1" i="2"/>
  <c r="AV1" i="2"/>
  <c r="Z1" i="2"/>
  <c r="AN1" i="3"/>
  <c r="N1" i="1"/>
  <c r="CS1" i="48"/>
  <c r="AV1" i="1"/>
  <c r="D1" i="2"/>
  <c r="BZ1" i="3"/>
  <c r="BF1" i="1"/>
  <c r="AT1" i="48"/>
  <c r="AF1" i="48"/>
  <c r="CF1" i="1"/>
  <c r="CA1" i="48"/>
  <c r="AH1" i="48"/>
  <c r="BD1" i="3"/>
  <c r="CF1" i="2"/>
  <c r="CN1" i="3"/>
  <c r="CO1" i="48"/>
  <c r="CR1" i="3"/>
  <c r="CA1" i="2"/>
  <c r="H1" i="1"/>
  <c r="X1" i="1"/>
  <c r="BY1" i="2"/>
  <c r="BD1" i="2"/>
  <c r="CQ1" i="3"/>
  <c r="AF1" i="2"/>
  <c r="CO1" i="3"/>
  <c r="N1" i="2"/>
  <c r="AR1" i="2"/>
  <c r="F1" i="48"/>
  <c r="AJ1" i="2"/>
  <c r="CQ1" i="2"/>
  <c r="CP1" i="48"/>
  <c r="D1" i="1"/>
  <c r="CP1" i="2"/>
  <c r="AT1" i="2"/>
  <c r="BU1" i="48"/>
  <c r="AJ1" i="48"/>
  <c r="BD1" i="1"/>
  <c r="CA1" i="3"/>
  <c r="R1" i="48"/>
  <c r="BU1" i="2"/>
  <c r="AX1" i="2"/>
  <c r="AN1" i="48"/>
  <c r="AD1" i="2"/>
  <c r="Z1" i="1"/>
  <c r="CJ1" i="48"/>
  <c r="F1" i="1"/>
  <c r="BU1" i="3"/>
  <c r="BF1" i="2"/>
  <c r="BL1" i="3"/>
  <c r="AL1" i="1"/>
  <c r="BM1" i="3"/>
  <c r="J1" i="1"/>
  <c r="BM1" i="2"/>
  <c r="AB1" i="3"/>
  <c r="AN1" i="2"/>
  <c r="CP1" i="1"/>
  <c r="AL1" i="3"/>
  <c r="BS1" i="48"/>
  <c r="BH1" i="2"/>
  <c r="CL1" i="3"/>
  <c r="P1" i="3"/>
</calcChain>
</file>

<file path=xl/comments1.xml><?xml version="1.0" encoding="utf-8"?>
<comments xmlns="http://schemas.openxmlformats.org/spreadsheetml/2006/main">
  <authors>
    <author>josuev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卟䙄_x0003_＀＀蝥伕A噎䅄䙞彅卅䥔䅍䕔✨䍆❆✬䕍乁Ⱗ䌧䱁❁✬〲㤰ⰧⰰⰬⰧ啃剒久奃唽䑓✬착!＀＀ ＀＀	＀＀_x0008_＀＀_x0001_＀＀_x0001_＀＀_x0001_＀＀ધ╆彵䁱찀蝦伕C噎䅄䙞彅卅䥔䅍䕔✨偅䉓❇✬䕍乁Ⱗ䌧䱁❁✬〲㐱ⰧⰰⰬⰧ啃剒久奃唽䑓✬착!＀＀ ＀＀	＀＀_x0008_＀＀_x0001_＀＀_x0001_＀＀_x0001_＀＀豀碵꼝쐕찀蝩伕_x001C_䑁幉䙆䍟十彈呓儨剔〬ⰬⰬ单⥄ċ＀＀ ＀＀ó＀＀_x0008_＀＀_x0001_＀＀_x0001_＀＀_x0001_＀＀閁譃წ䂬摦畳㩰⼯楄敲瑣潩獮䘯捡却瑥䄠摵瑩湩⁧楖睥牥愿瑣潩㵮啁䥄彔䅖啌♅䉄ㄽ㤲䤦ㅄ〽㈳㔶ㄴ☰䅖啌䥅㵄㈰〰☱䑓呁㵅〲ㄱ㐰倦剅佉呄偙㵅呑归呓♄䍓呆㌽眦湩潤㵷潰異彰潮扟牡眦摩桴㌽㔸栦楥桧㵴㈱☰呓剁彔䅍䥘䥍䕚㵄䅆卌♅牣慥潴㵲慦瑣敳♴楤灳慬役瑳楲杮䄽摵瑩찀蝛伕C剁䡍䙞彅卅䥔䅍䕔✨偅䉓❇✬䕍乁Ⱗ䌧䱁❁✬〲㜰ⰧⰰⰬⰧ啃剒久奃唽䑓✬착!＀＀ ＀＀	＀＀_x0008_＀＀_x0001_＀＀_x0001_＀＀_x0001_＀＀猅뉏ἰ㿑찀蝢伕L㐲㐵吭䥁䙞彅卅䥔䅍䕔✨啃呓䵏䕟卐Ⱗ䴧䅅❎✬䅃䅌Ⱗ㈧㄰✰〬Ⱜ✬䌬剕䕒䍎㵙单ⱄ⤧!＀＀ ＀＀	＀＀_x0008_＀＀_x0001_＀＀_x0001_＀＀_x0001_＀＀豀碵꼝쐕찀蝛伕C剁䡍䙞彅卅䥔䅍䕔✨䅓䕌❓✬䕍乁Ⱗ䌧䱁❁✬〲㜰ⰧⰰⰬⰧ啃剒久奃唽䑓✬착!＀＀ ＀＀	＀＀_x0008_＀＀_x0001_＀＀_x0001_＀＀_x0001_＀＀癠ṏẖ䂀찀蝤伕G噎䅄䙞彅卅䥔䅍䕔✨义彃則协❓✬䕍乁Ⱗ䌧䱁❁✬〲ㄱⰧⰰⰬⰧ啃剒久奃唽䑓✬착!＀＀ ＀＀	＀＀_x0008_＀＀_x0001_＀＀_x0001_＀＀_x0001_＀＀_xD917_ᨓ䂠찀蝖伕_x0017_偉䥈偞灟楲散江睯㕟眲〨착!＀＀ ＀＀	＀＀_x0008_＀＀_x0001_＀＀_x0001_＀＀_x0001_＀＀＀＀＀＀耀䀜찀蝬伕C呓ⵍ剆䙞彅卅䥔䅍䕔✨䍆❆✬䕍乁Ⱗ䌧䱁❁✬〲〱ⰧⰰⰬⰧ啃剒久奃唽䑓✬착!＀＀ ＀＀	＀＀_x0008_＀＀_x0001_＀＀_x0001_＀＀_x0001_＀＀⋐呛䂐찀蝩伕$呓ⵍ剆䙞彆佃彍䡓当問彔偅当䥄⡌呑ⱒ⤰!＀＀ ＀＀	＀＀_x0008_＀＀_x0001_＀＀_x0001_＀＀_x0001_＀＀∔რ䴪䂌찀蝛伕C剁䡍䙞彅卅䥔䅍䕔✨䅃䕐❘✬䕍乁Ⱗ䌧䱁❁✬〲㜰ⰧⰰⰬⰧ啃剒久奃唽䑓✬착!＀＀ ＀＀	＀＀_x0008_＀＀_x0001_＀＀_x0001_＀＀_x0001_＀＀믽猾䟖䀩찀蝥伕A噎䅄䙞彅卅䥔䅍䕔✨䍆❆✬䕍乁Ⱗ䌧䱁❁✬〲㘰ⰧⰰⰬⰧ啃剒久奃唽䑓✬착!＀＀ ＀＀	＀＀_x0008_＀＀_x0001_＀＀_x0001_＀＀_x0001_＀＀㓗㣯빅䂀찀蝨伕_x001A_义䍔䙞彇剐䍉⡅〴㐵ⰴⰬ单⥄!＀＀ ＀＀	＀＀_x0008_＀＀_x0001_＀＀_x0001_＀＀_x0001_＀＀ᑺޮ䀵찀蝦伕C噎䅄䙞彅卅䥔䅍䕔✨偅䉓❇✬䕍乁Ⱗ䌧䱁❁✬〲ㄱⰧⰰⰬⰧ啃剒久奃唽䑓✬착!＀＀ ＀＀	＀＀_x0008_＀＀_x0001_＀＀_x0001_＀＀_x0001_＀＀䐠㫘㿳찀蝠伕E㐲㐵吭䥁䙞彅卅䥔䅍䕔✨䍆❆✬䕍乁Ⱗ䌧䱁❁✬〲㜰ⰧⰰⰬⰧ啃剒久奃唽䑓✬착!＀＀ ＀＀	＀＀_x0008_＀＀_x0001_＀＀_x0001_＀＀_x0001_＀＀棜漀咁䂆찀蝡伕G㐲㐵吭䥁䙞彅卅䥔䅍䕔✨偅䉓❇✬䕍乁Ⱗ䌧䱁❁✬〲㈱ⰧⰰⰬⰧ啃剒久奃唽䑓✬착!＀＀ ＀＀	＀＀_x0008_＀＀_x0001_＀＀_x0001_＀＀_x0001_＀＀鏇ﱀ㿠찀蝞伕G㐲㐵吭䥁䙞彅卅䥔䅍䕔✨䅓䕌❓✬䕍乁Ⱗ䌧䱁❁✬〲㠰ⰧⰰⰬⰧ啃剒久奃唽䑓✬착!＀＀ ＀＀	＀＀_x0008_＀＀_x0001_＀＀_x0001_＀＀_x0001_＀＀赐溗蓒䂥찀蝨伕_x001A_噎䅄䙞彇剐䍉⡅〴㈹ⰵⰬ单⥄!＀＀ ＀＀	＀＀_x0008_＀＀_x0001_＀＀_x0001_＀＀_x0001_＀＀⣶轜痂䀫찀蝣伕C噎䅄䙞彅卅䥔䅍䕔✨䅓䕌❓✬䕍乁Ⱗ䌧䱁❁✬〲ㄱⰧⰰⰬⰧ啃剒久奃唽䑓✬착!＀＀ ＀＀	＀＀_x0008_＀＀_x0001_＀＀_x0001_＀＀_x0001_＀＀ꇋ뙅ꥳ䂯찀蝠伕G㐲㐵吭䥁䙞彅卅䥔䅍䕔✨䅃䕐❘✬䕍乁Ⱗ䌧䱁❁✬〲㠰ⰧⰰⰬⰧ啃剒久奃唽䑓✬착!＀＀ ＀＀	＀＀_x0008_＀＀_x0001_＀＀_x0001_＀＀_x0001_＀＀䤽暺秲䁎찀蝥伕C噎䅄䙞彅卅䥔䅍䕔✨䅃䕐❘✬䕍乁Ⱗ䌧䱁❁✬〲ㄱⰧⰰⰬⰧ啃剒久奃唽䑓✬착!＀＀ ＀＀	＀＀_x0008_＀＀_x0001_＀＀_x0001_＀＀_x0001_＀＀䲙谕㱊䁟찀蝜伕C剁䡍䙞彅卅䥔䅍䕔✨偅䉓❇✬䕍乁Ⱗ䌧䱁❁✬〲㐱ⰧⰰⰬⰧ啃剒久奃唽䑓✬착!＀＀ ＀＀	＀＀_x0008_＀＀_x0001_＀＀_x0001_＀＀_x0001_＀＀뺃⋧㿱찀蝢伕"噎䅄䙞彆佃彍䡓当問彔偅当䥄⡌呑ⱒ⤰ċ＀＀ ＀＀ó＀＀_x0008_＀＀_x0001_＀＀_x0001_＀＀_x0001_＀＀긔ⱺ䂃摦畳㩰⼯楄敲瑣潩獮䘯捡却瑥䄠摵瑩湩⁧楖睥牥愿瑣潩㵮啁䥄彔䅖啌♅䉄ㄽ㤲䤦ㅄ㘽〷㘶ㅇ☰䅖啌䥅㵄㔰㤱☴䑓呁㵅〲ㄱ㌰倦剅佉呄偙㵅呑归呓♄䍓呆㌽眦湩潤㵷潰異彰潮扟牡眦摩桴㌽㔸栦楥桧㵴㈱☰呓剁彔䅍䥘䥍䕚㵄䅆卌♅牣慥潴㵲慦瑣敳♴楤灳慬役瑳楲杮䄽摵瑩찀蝬伕E呓ⵍ剆䙞彅卅䥔䅍䕔✨偅䉓❇✬䕍乁Ⱗ䌧䱁❁✬〲㘰ⰧⰰⰬⰧ啃剒久奃唽䑓✬착!＀＀ ＀＀	＀＀_x0008_＀＀_x0001_＀＀_x0001_＀＀_x0001_＀＀搲힆᤿㿭찀蝬伕C呓ⵍ剆䙞彅卅䥔䅍䕔✨䍆❆✬䕍乁Ⱗ䌧䱁❁✬〲㌱ⰧⰰⰬⰧ啃剒久奃唽䑓✬착!＀＀ ＀＀	＀＀_x0008_＀＀_x0001_＀＀_x0001_＀＀_x0001_＀＀顟ᕌ↌䂀찀蝞伕G义䍔䙞彅卅䥔䅍䕔✨义彃則协❓✬䕍乁Ⱗ䌧䱁❁✬〲㈱ⰧⰰⰬⰧ啃剒久奃唽䑓✬착!＀＀ ＀＀	＀＀_x0008_＀＀_x0001_＀＀_x0001_＀＀_x0001_＀＀ᑻ䞮ᩩ䃡찀蝪伕F䑁幉䕆䕟呓䵉呁⡅䤧䍎䝟佒卓Ⱗ䴧䅅❎✬䅃䅌Ⱗ㈧〰✶〬Ⱜ✬䌬剕䕒䍎㵙单ⱄ⤧!＀＀ ＀＀	＀＀_x0008_＀＀_x0001_＀＀_x0001_＀＀_x0001_＀＀豀碵꼝쐕찀蝖伕_x0018_䅃䵖偞灟楲散桟杩彨㈵⡷⤰!＀＀ ＀＀	＀＀_x0008_＀＀_x0001_＀＀_x0001_＀＀_x0001_＀＀晧晦♦䁈찀蝜伕&amp;㐲㐵吭䥁䙞彆佃彍䡓当問彔偅当䥄⡌呑ⱒ⤰ĉ＀＀ ＀＀ñ＀＀_x0008_＀＀_x0001_＀＀_x0001_＀＀_x0001_＀＀棨䭕㱪䂑摦畳㩰⼯楄敲瑣潩獮䘯捡却瑥䄠摵瑩湩⁧楖睥牥愿瑣潩㵮啁䥄彔䅖啌♅䉄ㄽ㤲䤦ㅄ㘽㜳㐲☸䅖啌䥅㵄㔰㤱☴䑓呁㵅〲ㄱ㌰倦剅佉呄偙㵅呑归呓♄䍓呆㌽眦湩潤㵷潰異彰潮扟牡眦摩桴㌽㔸栦楥桧㵴㈱☰呓剁彔䅍䥘䥍䕚㵄䅆卌♅牣慥潴㵲慦瑣敳♴楤灳慬役瑳楲杮䄽摵瑩찀蝨伕_x0014_䱁剔䙞彇剐䍉⡅〴㈹⤵!＀＀ ＀＀	＀＀_x0008_＀＀_x0001_＀＀_x0001_＀＀_x0001_＀＀ᑺꞮ䁂찀蝠伕E㐲㐵吭䥁䙞彅卅䥔䅍䕔✨䍆❆✬䕍乁Ⱗ䌧䱁❁✬〲㐱ⰧⰰⰬⰧ啃剒久奃唽䑓✬착!＀＀ ＀＀	＀＀_x0008_＀＀_x0001_＀＀_x0001_＀＀_x0001_＀＀豀碵꼝쐕찀蝦伕C䍑䵏䙞彅卅䥔䅍䕔✨偅䉓❇✬䕍乁Ⱗ䌧䱁❁✬〲㜰ⰧⰰⰬⰧ啃剒久奃唽䑓✬착!＀＀ ＀＀	＀＀_x0008_＀＀_x0001_＀＀_x0001_＀＀_x0001_＀＀ଜ茊贲䀀찀蝪伕A䑁幉䕆䕟呓䵉呁⡅攧楢❴✬䕍乁Ⱗ䌧䱁❁✬〲㘰ⰧⰰⰬⰧ啃剒久奃唽䑓✬착!＀＀ ＀＀	＀＀_x0008_＀＀_x0001_＀＀_x0001_＀＀_x0001_＀＀䯇褷ꥁ䂂찀蝠伕A义䍔䙞彅卅䥔䅍䕔✨䍆❆✬䕍乁Ⱗ䌧䱁❁✬〲㜰ⰧⰰⰬⰧ啃剒久奃唽䑓✬착!＀＀ ＀＀	＀＀_x0008_＀＀_x0001_＀＀_x0001_＀＀_x0001_＀＀㽼덕䂽찀蝜伕C剁䡍䙞彅卅䥔䅍䕔✨偅䉓❇✬䕍乁Ⱗ䌧䱁❁✬〲ㄱⰧⰰⰬⰧ啃剒久奃唽䑓✬착!＀＀ ＀＀	＀＀_x0008_＀＀_x0001_＀＀_x0001_＀＀_x0001_＀＀衙脎섣㿠찀蝤伕C䍑䵏䙞彅卅䥔䅍䕔✨䅓䕌❓✬䕍乁Ⱗ䌧䱁❁✬〲㜰ⰧⰰⰬⰧ啃剒久奃唽䑓✬착!＀＀ ＀＀	＀＀_x0008_＀＀_x0001_＀＀_x0001_＀＀_x0001_＀＀빷᪟淟䃂찀蝥伕C噎䅄䙞彅卅䥔䅍䕔✨䅃䕐❘✬䕍乁Ⱗ䌧䱁❁✬〲㐱ⰧⰰⰬⰧ啃剒久奃唽䑓✬착!＀＀ ＀＀	＀＀_x0008_＀＀_x0001_＀＀_x0001_＀＀_x0001_＀＀豀碵꼝쐕찀蝟伕B义䍔䙞彅卅䥔䅍䕔✨扥瑩Ⱗ䴧䅅❎✬䅃䅌Ⱗ㈧〰✷〬Ⱜ✬䌬剕䕒䍎㵙单ⱄ⤧!＀＀ ＀＀	＀＀_x0008_＀＀_x0001_＀＀_x0001_＀＀_x0001_＀＀䷓ၢ똸䃀찀蝛伕C剁䡍䙞彅卅䥔䅍䕔✨䅓䕌❓✬䕍乁Ⱗ䌧䱁❁✬〲ㄱⰧⰰⰬⰧ啃剒久奃唽䑓✬착!＀＀ ＀＀	＀＀_x0008_＀＀_x0001_＀＀_x0001_＀＀_x0001_＀＀罣㷙筹䂇찀蝥伕C䍑䵏䙞彅卅䥔䅍䕔✨䅃䕐❘✬䕍乁Ⱗ䌧䱁❁✬〲㜰ⰧⰰⰬⰧ啃剒久奃唽䑓✬착!＀＀ ＀＀	＀＀_x0008_＀＀_x0001_＀＀_x0001_＀＀_x0001_＀＀Ƥּ餒䂌찀蝛伕C剁䡍䙞彅卅䥔䅍䕔✨䅃䕐❘✬䕍乁Ⱗ䌧䱁❁✬〲ㄱⰧⰰⰬⰧ啃剒久奃唽䑓✬착!＀＀ ＀＀	＀＀_x0008_＀＀_x0001_＀＀_x0001_＀＀_x0001_＀＀롑┞䀱찀蝬伕E呓ⵍ剆䙞彅卅䥔䅍䕔✨偅䉓❇✬䕍乁Ⱗ䌧䱁❁✬〲㤰ⰧⰰⰬⰧ啃剒久奃唽䑓✬착!＀＀ ＀＀	＀＀_x0008_＀＀_x0001_＀＀_x0001_＀＀_x0001_＀＀㫮뿪찀蝥伕A噎䅄䙞彅卅䥔䅍䕔✨䍆❆✬䕍乁Ⱗ䌧䱁❁✬〲〱ⰧⰰⰬⰧ啃剒久奃唽䑓✬착!＀＀ ＀＀	＀＀_x0008_＀＀_x0001_＀＀_x0001_＀＀_x0001_＀＀_xDABA_ﶊ쿥䂀찀蝨伕_x001E_䍑䵏偞灟楲散桟杩彨㈵⡷ⰰⰬ单⥄!＀＀ ＀＀	＀＀_x0008_＀＀_x0001_＀＀_x0001_＀＀_x0001_＀＀凬Ẹ䁍찀蝠伕E㐲㐵吭䥁䙞彅卅䥔䅍䕔✨䍆❆✬䕍乁Ⱗ䌧䱁❁✬〲ㄱⰧⰰⰬⰧ啃剒久奃唽䑓✬착!＀＀ ＀＀	＀＀_x0008_＀＀_x0001_＀＀_x0001_＀＀_x0001_＀＀윑뢺č䂀찀蝭伕@䑁幉䕆䕟呓䵉呁⡅䐧卐Ⱗ䴧䅅❎✬䅃䅌Ⱗ㈧㄰✱〬Ⱜ✬䌬剕䕒䍎㵙单ⱄ⤧!＀＀ ＀＀	＀＀_x0008_＀＀_x0001_＀＀_x0001_＀＀_x0001_＀＀此ệ㿭찀蝫伕D呓ⵍ剆䙞彅卅䥔䅍䕔✨扥瑩Ⱗ䴧䅅❎✬䅃䅌Ⱗ㈧〰✷〬Ⱜ✬䌬剕䕒䍎㵙单ⱄ⤧!＀＀ ＀＀	＀＀_x0008_＀＀_x0001_＀＀_x0001_＀＀_x0001_＀＀さꤪ搓삀찀蝪伕F䑁幉䕆䕟呓䵉呁⡅䤧䍎䝟佒卓Ⱗ䴧䅅❎✬䅃䅌Ⱗ㈧〰✹〬Ⱜ✬䌬剕䕒䍎㵙单ⱄ⤧!＀＀ ＀＀	＀＀_x0008_＀＀_x0001_＀＀_x0001_＀＀_x0001_＀＀좴빶䆟䂓찀蝧伕H噎䅄䙞彅卅䥔䅍䕔✨啃呓䵏䕟卐Ⱗ䴧䅅❎✬䅃䅌Ⱗ㈧㄰✲〬Ⱜ✬䌬剕䕒䍎㵙单ⱄ⤧!＀＀ ＀＀	＀＀_x0008_＀＀_x0001_＀＀_x0001_＀＀_x0001_＀＀翐帏뒻㿱찀蝪伕E呓ⵍ剆䙞彅卅䥔䅍䕔✨䅓䕌❓✬䕍乁Ⱗ䌧䱁❁✬〲㤰ⰧⰰⰬⰧ啃剒久奃唽䑓✬착!＀＀ ＀＀	＀＀_x0008_＀＀_x0001_＀＀_x0001_＀＀_x0001_＀＀酩糭衿䃀찀蝞伕G㐲㐵吭䥁䙞彅卅䥔䅍䕔✨䅓䕌❓✬䕍乁Ⱗ䌧䱁❁✬〲㈱ⰧⰰⰬⰧ啃剒久奃唽䑓✬착!＀＀ ＀＀	＀＀_x0008_＀＀_x0001_＀＀_x0001_＀＀_x0001_＀＀蜫_xD916_夎䂪찀蝨伕_x001A_噎䅄䙞彇剐䍉⡅〴㐵ⰴⰬ单⥄!＀＀ ＀＀	＀＀_x0008_＀＀_x0001_＀＀_x0001_＀＀_x0001_＀＀쳍쳌쳌䀮찀蝪伕A䑁幉䕆䕟呓䵉呁⡅攧楢❴✬䕍乁Ⱗ䌧䱁❁✬〲㤰ⰧⰰⰬⰧ啃剒久奃唽䑓✬착!＀＀ ＀＀	＀＀_x0008_＀＀_x0001_＀＀_x0001_＀＀_x0001_＀＀혹淅昴䁺찀蝭伕J呓ⵍ剆䙞彅卅䥔䅍䕔✨啃呓䵏䕟卐Ⱗ䴧䅅❎✬䅃䅌Ⱗ㈧〰✷〬Ⱜ✬䌬剕䕒䍎㵙单ⱄ⤧!＀＀ ＀＀	＀＀_x0008_＀＀_x0001_＀＀_x0001_＀＀_x0001_＀＀豀碵꼝쐕찀蝬伕B䑁幉䕆䕟呓䵉呁⡅䔧卐䝂Ⱗ䴧䅅❎✬䅃䅌Ⱗ㈧〰✸〬Ⱜ✬䌬剕䕒䍎㵙单ⱄ⤧!＀＀ ＀＀	＀＀_x0008_＀＀_x0001_＀＀_x0001_＀＀_x0001_＀＀壪潌㿼찀蝦伕C䍑䵏䙞彅卅䥔䅍䕔✨偅䉓❇✬䕍乁Ⱗ䌧䱁❁✬〲㐱ⰧⰰⰬⰧ啃剒久奃唽䑓✬착!＀＀ ＀＀	＀＀_x0008_＀＀_x0001_＀＀_x0001_＀＀_x0001_＀＀䭙椁菿䀒찀蝫伕E呓ⵍ剆䙞彅卅䥔䅍䕔✨䅃䕐❘✬䕍乁Ⱗ䌧䱁❁✬〲㤰ⰧⰰⰬⰧ啃剒久奃唽䑓✬착!＀＀ ＀＀	＀＀_x0008_＀＀_x0001_＀＀_x0001_＀＀_x0001_＀＀趹䁼찀蝨伕!㐲㐵吭䥁偞灟楲散江睯㕟眲〨Ⱜ唬䑓착!＀＀ ＀＀	＀＀_x0008_＀＀_x0001_＀＀_x0001_＀＀_x0001_＀＀駵㺳磥䀞찀蝠伕A义䍔䙞彅卅䥔䅍䕔✨䍆❆✬䕍乁Ⱗ䌧䱁❁✬〲㐱ⰧⰰⰬⰧ啃剒久奃唽䑓✬착!＀＀ ＀＀	＀＀_x0008_＀＀_x0001_＀＀_x0001_＀＀_x0001_＀＀晧晦̦䃌찀蝠伕G㐲㐵吭䥁䙞彅卅䥔䅍䕔✨䅃䕐❘✬䕍乁Ⱗ䌧䱁❁✬〲㈱ⰧⰰⰬⰧ啃剒久奃唽䑓✬착!＀＀ ＀＀	＀＀_x0008_＀＀_x0001_＀＀_x0001_＀＀_x0001_＀＀嗆_xDF65_洛䁐찀蝛伕C剁䡍䙞彅卅䥔䅍䕔✨䅓䕌❓✬䕍乁Ⱗ䌧䱁❁✬〲㐱ⰧⰰⰬⰧ啃剒久奃唽䑓✬착!＀＀ ＀＀	＀＀_x0008_＀＀_x0001_＀＀_x0001_＀＀_x0001_＀＀晧晦컦䂑찀蝪伕I呓ⵍ剆䙞彅卅䥔䅍䕔✨义彃則协❓✬䕍乁Ⱗ䌧䱁❁✬〲㠰ⰧⰰⰬⰧ啃剒久奃唽䑓✬착!＀＀ ＀＀	＀＀_x0008_＀＀_x0001_＀＀_x0001_＀＀_x0001_＀＀摚_xDF3B_問䂯찀蝬伕E呓ⵍ剆䙞彅卅䥔䅍䕔✨偅䉓❇✬䕍乁Ⱗ䌧䱁❁✬〲〱ⰧⰰⰬⰧ啃剒久奃唽䑓✬착!＀＀ ＀＀	＀＀_x0008_＀＀_x0001_＀＀_x0001_＀＀_x0001_＀＀咽䣦챸㿨찀蝥伕B䍑䵏䙞彅卅䥔䅍䕔✨扥瑩Ⱗ䴧䅅❎✬䅃䅌Ⱗ㈧〰✶〬Ⱜ✬䌬剕䕒䍎㵙单ⱄ⤧!＀＀ ＀＀	＀＀_x0008_＀＀_x0001_＀＀_x0001_＀＀_x0001_＀＀率橾燼䂩찀蝢伕H义䍔䙞彅卅䥔䅍䕔✨啃呓䵏䕟卐Ⱗ䴧䅅❎✬䅃䅌Ⱗ㈧〰✸〬Ⱜ✬䌬剕䕒䍎㵙单ⱄ⤧!＀＀ ＀＀	＀＀_x0008_＀＀_x0001_＀＀_x0001_＀＀_x0001_＀＀㵱휊炣㿭찀蝛伕C剁䡍䙞彅卅䥔䅍䕔✨䅃䕐❘✬䕍乁Ⱗ䌧䱁❁✬〲㐱ⰧⰰⰬⰧ啃剒久奃唽䑓✬착!＀＀ ＀＀	＀＀_x0008_＀＀_x0001_＀＀_x0001_＀＀_x0001_＀＀ꮠ_xD8AD_칟䁁찀蝪伕F䑁幉䕆䕟呓䵉呁⡅䤧䍎䝟佒卓Ⱗ䴧䅅❎✬䅃䅌Ⱗ㈧㄰✰〬Ⱜ✬䌬剕䕒䍎㵙单ⱄ⤧!＀＀ ＀＀	＀＀_x0008_＀＀_x0001_＀＀_x0001_＀＀_x0001_＀＀䆉飐䂜찀蝪伕E呓ⵍ剆䙞彅卅䥔䅍䕔✨䅓䕌❓✬䕍乁Ⱗ䌧䱁❁✬〲㘰ⰧⰰⰬⰧ啃剒久奃唽䑓✬착!＀＀ ＀＀	＀＀_x0008_＀＀_x0001_＀＀_x0001_＀＀_x0001_＀＀尨㻿䃃찀蝥伕A噎䅄䙞彅卅䥔䅍䕔✨䍆❆✬䕍乁Ⱗ䌧䱁❁✬〲㌱ⰧⰰⰬⰧ啃剒久奃唽䑓✬착!＀＀ ＀＀	＀＀_x0008_＀＀_x0001_＀＀_x0001_＀＀_x0001_＀＀뇅渮쨣䂊찀蝦伕C䍑䵏䙞彅卅䥔䅍䕔✨偅䉓❇✬䕍乁Ⱗ䌧䱁❁✬〲ㄱⰧⰰⰬⰧ啃剒久奃唽䑓✬착!＀＀ ＀＀	＀＀_x0008_＀＀_x0001_＀＀_x0001_＀＀_x0001_＀＀⣃Ḉ廟䀊찀蝫伕E呓ⵍ剆䙞彅卅䥔䅍䕔✨䅃䕐❘✬䕍乁Ⱗ䌧䱁❁✬〲㘰ⰧⰰⰬⰧ啃剒久奃唽䑓✬착!＀＀ ＀＀	＀＀_x0008_＀＀_x0001_＀＀_x0001_＀＀_x0001_＀＀璽ᢓ焄䂘찀蝪伕A䑁幉䕆䕟呓䵉呁⡅攧楢❴✬䕍乁Ⱗ䌧䱁❁✬〲〱ⰧⰰⰬⰧ啃剒久奃唽䑓✬착!＀＀ ＀＀	＀＀_x0008_＀＀_x0001_＀＀_x0001_＀＀_x0001_＀＀箳냲懐䂍찀蝠伕A义䍔䙞彅卅䥔䅍䕔✨䍆❆✬䕍乁Ⱗ䌧䱁❁✬〲ㄱⰧⰰⰬⰧ啃剒久奃唽䑓✬착!＀＀ ＀＀	＀＀_x0008_＀＀_x0001_＀＀_x0001_＀＀_x0001_＀＀퓽었䃀찀蝨伕_x001E_剁䡍偞灟楲散桟杩彨㈵⡷ⰰⰬ单⥄!＀＀ ＀＀	＀＀_x0008_＀＀_x0001_＀＀_x0001_＀＀_x0001_＀＀ꏗ㵰ᜊ䁀찀蝤伕C䍑䵏䙞彅卅䥔䅍䕔✨䅓䕌❓✬䕍乁Ⱗ䌧䱁❁✬〲ㄱⰧⰰⰬⰧ啃剒久奃唽䑓✬착!＀＀ ＀＀	＀＀_x0008_＀＀_x0001_＀＀_x0001_＀＀_x0001_＀＀帵䦺䃎찀蝖伕"剁䡍䙞彆佃彍䡓当問彔偅当䥄⡌呑ⱒ⤰!＀＀ ＀＀	＀＀_x0008_＀＀_x0001_＀＀_x0001_＀＀_x0001_＀＀鼊坡ꪀ䁼찀蝟伕B义䍔䙞彅卅䥔䅍䕔✨扥瑩Ⱗ䴧䅅❎✬䅃䅌Ⱗ㈧㄰✱〬Ⱜ✬䌬剕䕒䍎㵙单ⱄ⤧!＀＀ ＀＀	＀＀_x0008_＀＀_x0001_＀＀_x0001_＀＀_x0001_＀＀尨ク䃑찀蝛伕B剁䡍䙞彅卅䥔䅍䕔✨扥瑩Ⱗ䴧䅅❎✬䅃䅌Ⱗ㈧〰✸〬Ⱜ✬䌬剕䕒䍎㵙单ⱄ⤧!＀＀ ＀＀	＀＀_x0008_＀＀_x0001_＀＀_x0001_＀＀_x0001_＀＀钰补㵣䁞찀蝥伕C䍑䵏䙞彅卅䥔䅍䕔✨䅃䕐❘✬䕍乁Ⱗ䌧䱁❁✬〲ㄱⰧⰰⰬⰧ啃剒久奃唽䑓✬착!＀＀ ＀＀	＀＀_x0008_＀＀_x0001_＀＀_x0001_＀＀_x0001_＀＀ꇋ뙅䂄찀蝩伕_x001F_呓ⵍ剆偞灟楲散江睯㕟眲〨Ⱜ唬䑓착!＀＀ ＀＀	＀＀_x0008_＀＀_x0001_＀＀_x0001_＀＀_x0001_＀＀ਜ਼רּ뀟䀕찀蝬伕E呓ⵍ剆䙞彅卅䥔䅍䕔✨偅䉓❇✬䕍乁Ⱗ䌧䱁❁✬〲㌱ⰧⰰⰬⰧ啃剒久奃唽䑓✬착!＀＀ ＀＀	＀＀_x0008_＀＀_x0001_＀＀_x0001_＀＀_x0001_＀＀赇ㄉ钗㿢찀蝥伕B䍑䵏䙞彅卅䥔䅍䕔✨扥瑩Ⱗ䴧䅅❎✬䅃䅌Ⱗ㈧〰✹〬Ⱜ✬䌬剕䕒䍎㵙单ⱄ⤧!＀＀ ＀＀	＀＀_x0008_＀＀_x0001_＀＀_x0001_＀＀_x0001_＀＀ᚇ컙ﻷ䂪찀蝛伕A剁䡍䙞彅卅䥔䅍䕔✨䍆❆✬䕍乁Ⱗ䌧䱁❁✬〲㜰ⰧⰰⰬⰧ啃剒久奃唽䑓✬착!＀＀ ＀＀	＀＀_x0008_＀＀_x0001_＀＀_x0001_＀＀_x0001_＀＀ꃹ덧㏪䁤찀蝫伕@䑁幉䕆䕟呓䵉呁⡅䘧䙃Ⱗ䴧䅅❎✬䅃䅌Ⱗ㈧〰✸〬Ⱜ✬䌬剕䕒䍎㵙单ⱄ⤧!＀＀ ＀＀	＀＀_x0008_＀＀_x0001_＀＀_x0001_＀＀_x0001_＀＀땳閕䂃찀蝫伕D呓ⵍ剆䙞彅卅䥔䅍䕔✨扥瑩Ⱗ䴧䅅❎✬䅃䅌Ⱗ㈧㄰✱〬Ⱜ✬䌬剕䕒䍎㵙单ⱄ⤧!＀＀ ＀＀	＀＀_x0008_＀＀_x0001_＀＀_x0001_＀＀_x0001_＀＀닿°䁢찀蝪伕F䑁幉䕆䕟呓䵉呁⡅䤧䍎䝟佒卓Ⱗ䴧䅅❎✬䅃䅌Ⱗ㈧㄰✳〬Ⱜ✬䌬剕䕒䍎㵙单ⱄ⤧!＀＀ ＀＀	＀＀_x0008_＀＀_x0001_＀＀_x0001_＀＀_x0001_＀＀璽ᢓ鰄䂟찀蝡伕C义䍔䙞彅卅䥔䅍䕔✨偅䉓❇✬䕍乁Ⱗ䌧䱁❁✬〲㠰ⰧⰰⰬⰧ啃剒久奃唽䑓✬착!＀＀ ＀＀	＀＀_x0008_＀＀_x0001_＀＀_x0001_＀＀_x0001_＀＀尩슏⣵㿰찀蝖伕_x0017_䅃䵖偞灟楲散江睯㕟眲〨착!＀＀ ＀＀	＀＀_x0008_＀＀_x0001_＀＀_x0001_＀＀_x0001_＀＀㌴㌳㌳䀸찀蝪伕A䑁幉䕆䕟呓䵉呁⡅攧楢❴✬䕍乁Ⱗ䌧䱁❁✬〲㌱ⰧⰰⰬⰧ啃剒久奃唽䑓✬착!＀＀ ＀＀	＀＀_x0008_＀＀_x0001_＀＀_x0001_＀＀_x0001_＀＀_xDB23_绹䂐찀蝤伕B噎䅄䙞彅卅䥔䅍䕔✨扥瑩Ⱗ䴧䅅❎✬䅃䅌Ⱗ㈧〰✹〬Ⱜ✬䌬剕䕒䍎㵙单ⱄ⤧!＀＀ ＀＀	＀＀_x0008_＀＀_x0001_＀＀_x0001_＀＀_x0001_＀＀泋䦐ቆ䁝찀蝭伕J呓ⵍ剆䙞彅卅䥔䅍䕔✨啃呓䵏䕟卐Ⱗ䴧䅅❎✬䅃䅌Ⱗ㈧㄰✱〬Ⱜ✬䌬剕䕒䍎㵙单ⱄ⤧!＀＀ ＀＀	＀＀_x0008_＀＀_x0001_＀＀_x0001_＀＀_x0001_＀＀豀碵꼝쐕찀蝬伕B䑁幉䕆䕟呓䵉呁⡅䔧卐䝂Ⱗ䴧䅅❎✬䅃䅌Ⱗ㈧㄰✲〬Ⱜ✬䌬剕䕒䍎㵙单ⱄ⤧!＀＀ ＀＀	＀＀_x0008_＀＀_x0001_＀＀_x0001_＀＀_x0001_＀＀휣⥍疯䀃찀蝫伕E呓ⵍ剆䙞彅卅䥔䅍䕔✨䅃䕐❘✬䕍乁Ⱗ䌧䱁❁✬〲㌱ⰧⰰⰬⰧ啃剒久奃唽䑓✬착!＀＀ ＀＀	＀＀_x0008_＀＀_x0001_＀＀_x0001_＀＀_x0001_＀＀梅ዀ䂎찀蝩伕_x0018_䱘塎偞灟楲散桟杩彨㈵⡷⤰!＀＀ ＀＀	＀＀_x0008_＀＀_x0001_＀＀_x0001_＀＀_x0001_＀＀슏⣵꽜䁂찀蝩伕B䑁幉䕆䕟呓䵉呁⡅匧䱁卅Ⱗ䴧䅅❎✬䅃䅌Ⱗ㈧〰✸〬Ⱜ✬䌬剕䕒䍎㵙单ⱄ⤧!＀＀ ＀＀	＀＀_x0008_＀＀_x0001_＀＀_x0001_＀＀_x0001_＀＀⋐牛䂣찀蝤伕C䍑䵏䙞彅卅䥔䅍䕔✨䅓䕌❓✬䕍乁Ⱗ䌧䱁❁✬〲㐱ⰧⰰⰬⰧ啃剒久奃唽䑓✬착!＀＀ ＀＀	＀＀_x0008_＀＀_x0001_＀＀_x0001_＀＀_x0001_＀＀䞮竡ᝄ䃗찀蝞伕K㐲㐵吭䥁䙞彅卅䥔䅍䕔✨义彃則协❓✬䕍乁Ⱗ䌧䱁❁✬〲㠰ⰧⰰⰬⰧ啃剒久奃唽䑓✬착!＀＀ ＀＀	＀＀_x0008_＀＀_x0001_＀＀_x0001_＀＀_x0001_＀＀⃅犰䫨䂗찀蝜伕H剁䡍䙞彅卅䥔䅍䕔✨啃呓䵏䕟卐Ⱗ䴧䅅❎✬䅃䅌Ⱗ㈧〰✸〬Ⱜ✬䌬剕䕒䍎㵙单ⱄ⤧!＀＀ ＀＀	＀＀_x0008_＀＀_x0001_＀＀_x0001_＀＀_x0001_＀＀豀碵꼝쐕찀蝟伕B义䍔䙞彅卅䥔䅍䕔✨扥瑩Ⱗ䴧䅅❎✬䅃䅌Ⱗ㈧㄰✴〬Ⱜ✬䌬剕䕒䍎㵙单ⱄ⤧!＀＀ ＀＀	＀＀_x0008_＀＀_x0001_＀＀_x0001_＀＀_x0001_＀＀㌴㌳竓䃔찀蝫伕B䑁幉䕆䕟呓䵉呁⡅䌧偁塅Ⱗ䴧䅅❎✬䅃䅌Ⱗ㈧〰✸〬Ⱜ✬䌬剕䕒䍎㵙单ⱄ⤧!＀＀ ＀＀	＀＀_x0008_＀＀_x0001_＀＀_x0001_＀＀_x0001_＀＀ꏗ㵰䌊䁡찀蝪伕I呓ⵍ剆䙞彅卅䥔䅍䕔✨义彃則协❓✬䕍乁Ⱗ䌧䱁❁✬〲㈱ⰧⰰⰬⰧ啃剒久奃唽䑓✬착!＀＀ ＀＀	＀＀_x0008_＀＀_x0001_＀＀_x0001_＀＀_x0001_＀＀ᑺ⓮䂫찀蝦伕A䍑䵏䙞彅卅䥔䅍䕔✨䍆❆✬䕍乁Ⱗ䌧䱁❁✬〲㘰ⰧⰰⰬⰧ啃剒久奃唽䑓✬착!＀＀ ＀＀	＀＀_x0008_＀＀_x0001_＀＀_x0001_＀＀_x0001_＀＀Წ摚牻䂤찀蝥伕C䍑䵏䙞彅卅䥔䅍䕔✨䅃䕐❘✬䕍乁Ⱗ䌧䱁❁✬〲㐱ⰧⰰⰬⰧ啃剒久奃唽䑓✬착!＀＀ ＀＀	＀＀_x0008_＀＀_x0001_＀＀_x0001_＀＀_x0001_＀＀薈퍚䂋찀蝥伕B䍑䵏䙞彅卅䥔䅍䕔✨扥瑩Ⱗ䴧䅅❎✬䅃䅌Ⱗ㈧㄰✰〬Ⱜ✬䌬剕䕒䍎㵙单ⱄ⤧!＀＀ ＀＀	＀＀_x0008_＀＀_x0001_＀＀_x0001_＀＀_x0001_＀＀褷恁⹥䂱찀蝢伕"䍑䵏䙞彆佃彍䡓当問彔偅当䥄⡌呑ⱒ⤰ċ＀＀ ＀＀ó＀＀_x0008_＀＀_x0001_＀＀_x0001_＀＀_x0001_＀＀＀＀＀＀氀䂚摦畳㩰⼯楄敲瑣潩獮䘯捡却瑥䄠摵瑩湩⁧楖睥牥愿瑣潩㵮啁䥄彔䅖啌♅䉄ㄽ㤲䤦ㅄ㜽㜴㈵ㄵ☰䅖啌䥅㵄㔰㤱☴䑓呁㵅〲ㄱ㐰倦剅佉呄偙㵅呑归呓♄䍓呆㌽眦湩潤㵷潰異彰潮扟牡眦摩桴㌽㔸栦楥桧㵴㈱☰呓剁彔䅍䥘䥍䕚㵄䅆卌♅牣慥潴㵲慦瑣敳♴楤灳慬役瑳楲杮䄽摵瑩찀蝢伕H义䍔䙞彅卅䥔䅍䕔✨啃呓䵏䕟卐Ⱗ䴧䅅❎✬䅃䅌Ⱗ㈧㄰✲〬Ⱜ✬䌬剕䕒䍎㵙单ⱄ⤧!＀＀ ＀＀	＀＀_x0008_＀＀_x0001_＀＀_x0001_＀＀_x0001_＀＀䳛碅縤䀃찀蝟伕F㐲㐵吭䥁䙞彅卅䥔䅍䕔✨扥瑩Ⱗ䴧䅅❎✬䅃䅌Ⱗ㈧〰✸〬Ⱜ✬䌬剕䕒䍎㵙单ⱄ⤧!＀＀ ＀＀	＀＀_x0008_＀＀_x0001_＀＀_x0001_＀＀_x0001_＀＀⛪࠱▬䂅찀蝪伕E呓ⵍ剆䙞彅卅䥔䅍䕔✨䅓䕌❓✬䕍乁Ⱗ䌧䱁❁✬〲〱ⰧⰰⰬⰧ啃剒久奃唽䑓✬착!＀＀ ＀＀	＀＀_x0008_＀＀_x0001_＀＀_x0001_＀＀_x0001_＀＀빷᪟㓿䃄찀蝫伕D呓ⵍ剆䙞彅卅䥔䅍䕔✨扥瑩Ⱗ䴧䅅❎✬䅃䅌Ⱗ㈧㄰✴〬Ⱜ✬䌬剕䕒䍎㵙单ⱄ⤧!＀＀ ＀＀	＀＀_x0008_＀＀_x0001_＀＀_x0001_＀＀_x0001_＀＀ꇋ뙅࿳䂚찀蝤伕B噎䅄䙞彅卅䥔䅍䕔✨扥瑩Ⱗ䴧䅅❎✬䅃䅌Ⱗ㈧〰✶〬Ⱜ✬䌬剕䕒䍎㵙单ⱄ⤧!＀＀ ＀＀	＀＀_x0008_＀＀_x0001_＀＀_x0001_＀＀_x0001_＀＀덨珪辵䁾찀蝫伕E呓ⵍ剆䙞彅卅䥔䅍䕔✨䅃䕐❘✬䕍乁Ⱗ䌧䱁❁✬〲〱ⰧⰰⰬⰧ啃剒久奃唽䑓✬착!＀＀ ＀＀	＀＀_x0008_＀＀_x0001_＀＀_x0001_＀＀_x0001_＀＀痷鳠ﲑ䂎찀蝭伕J呓ⵍ剆䙞彅卅䥔䅍䕔✨啃呓䵏䕟卐Ⱗ䴧䅅❎✬䅃䅌Ⱗ㈧㄰✴〬Ⱜ✬䌬剕䕒䍎㵙单ⱄ⤧!＀＀ ＀＀	＀＀_x0008_＀＀_x0001_＀＀_x0001_＀＀_x0001_＀＀豀碵꼝쐕찀蝧伕H䍑䵏䙞彅卅䥔䅍䕔✨啃呓䵏䕟卐Ⱗ䴧䅅❎✬䅃䅌Ⱗ㈧〰✷〬Ⱜ✬䌬剕䕒䍎㵙单ⱄ⤧!＀＀ ＀＀	＀＀_x0008_＀＀_x0001_＀＀_x0001_＀＀_x0001_＀＀ꈍꊵ㿽찀蝛伕B剁䡍䙞彅卅䥔䅍䕔✨扥瑩Ⱗ䴧䅅❎✬䅃䅌Ⱗ㈧㄰✲〬Ⱜ✬䌬剕䕒䍎㵙单ⱄ⤧!＀＀ ＀＀	＀＀_x0008_＀＀_x0001_＀＀_x0001_＀＀_x0001_＀＀툟큯䁶찀蝤伕G䍑䵏䙞彅卅䥔䅍䕔✨义彃則协❓✬䕍乁Ⱗ䌧䱁❁✬〲㠰ⰧⰰⰬⰧ啃剒久奃唽䑓✬착!＀＀ ＀＀	＀＀_x0008_＀＀_x0001_＀＀_x0001_＀＀_x0001_＀＀삃ꇊ㏅䂾찀蝛伕G剁䡍䙞彅卅䥔䅍䕔✨义彃則协❓✬䕍乁Ⱗ䌧䱁❁✬〲㠰ⰧⰰⰬⰧ啃剒久奃唽䑓✬착!＀＀ ＀＀	＀＀_x0008_＀＀_x0001_＀＀_x0001_＀＀_x0001_＀＀縨릌扫䁸찀蝦伕A䍑䵏䙞彅卅䥔䅍䕔✨䍆❆✬䕍乁Ⱗ䌧䱁❁✬〲㤰ⰧⰰⰬⰧ啃剒久奃唽䑓✬착!＀＀ ＀＀	＀＀_x0008_＀＀_x0001_＀＀_x0001_＀＀_x0001_＀＀褷恁싥䂳찀蝬伕G䑁幉䕆䕟呓䵉呁⡅䌧单佔彍偅❓✬䕍乁Ⱗ䌧䱁❁✬〲㠰ⰧⰰⰬⰧ啃剒久奃唽䑓✬착!＀＀ ＀＀	＀＀_x0008_＀＀_x0001_＀＀_x0001_＀＀_x0001_＀＀䗡䅟㆚㿺찀蝥伕B䍑䵏䙞彅卅䥔䅍䕔✨扥瑩Ⱗ䴧䅅❎✬䅃䅌Ⱗ㈧㄰✳〬Ⱜ✬䌬剕䕒䍎㵙单ⱄ⤧!＀＀ ＀＀	＀＀_x0008_＀＀_x0001_＀＀_x0001_＀＀_x0001_＀＀嘄ⴎ躲䂿찀蝫伕@䑁幉䕆䕟呓䵉呁⡅䘧䙃Ⱗ䴧䅅❎✬䅃䅌Ⱗ㈧㄰✲〬Ⱜ✬䌬剕䕒䍎㵙单ⱄ⤧!＀＀ ＀＀	＀＀_x0008_＀＀_x0001_＀＀_x0001_＀＀_x0001_＀＀䪌ӪẴ䂈찀蝪伕E呓ⵍ剆䙞彅卅䥔䅍䕔✨䅓䕌❓✬䕍乁Ⱗ䌧䱁❁✬〲㌱ⰧⰰⰬⰧ啃剒久奃唽䑓✬착!＀＀ ＀＀	＀＀_x0008_＀＀_x0001_＀＀_x0001_＀＀_x0001_＀＀쒜뀠贲䃄찀蝤伕G噎䅄䙞彅卅䥔䅍䕔✨义彃則协❓✬䕍乁Ⱗ䌧䱁❁✬〲㘰ⰧⰰⰬⰧ啃剒久奃唽䑓✬착!＀＀ ＀＀	＀＀_x0008_＀＀_x0001_＀＀_x0001_＀＀_x0001_＀＀豀碵꼝쐕찀蝡伕C义䍔䙞彅卅䥔䅍䕔✨偅䉓❇✬䕍乁Ⱗ䌧䱁❁✬〲㈱ⰧⰰⰬⰧ啃剒久奃唽䑓✬착!＀＀ ＀＀	＀＀_x0008_＀＀_x0001_＀＀_x0001_＀＀_x0001_＀＀疟隍ᴃ䀄찀蝨伕_x0014_剂䵃䙞彇剐䍉⡅〴㐵⤴!＀＀ ＀＀	＀＀_x0008_＀＀_x0001_＀＀_x0001_＀＀_x0001_＀＀晦晦왦䁅찀蝤伕B噎䅄䙞彅卅䥔䅍䕔✨扥瑩Ⱗ䴧䅅❎✬䅃䅌Ⱗ㈧㄰✳〬Ⱜ✬䌬剕䕒䍎㵙单ⱄ⤧!＀＀ ＀＀	＀＀_x0008_＀＀_x0001_＀＀_x0001_＀＀_x0001_＀＀ែ匦炅䂌찀蝝伕C义䍔䙞彅卅䥔䅍䕔✨䅓䕌❓✬䕍乁Ⱗ䌧䱁❁✬〲㠰ⰧⰰⰬⰧ啃剒久奃唽䑓✬착!＀＀ ＀＀	＀＀_x0008_＀＀_x0001_＀＀_x0001_＀＀_x0001_＀＀＀＀＀＀婀䃢찀蝦伕C噎䅄䙞彅卅䥔䅍䕔✨偅䉓❇✬䕍乁Ⱗ䌧䱁❁✬〲㘰ⰧⰰⰬⰧ啃剒久奃唽䑓✬착!＀＀ ＀＀	＀＀_x0008_＀＀_x0001_＀＀_x0001_＀＀_x0001_＀＀豀碵꼝쐕찀蝩伕B䑁幉䕆䕟呓䵉呁⡅匧䱁卅Ⱗ䴧䅅❎✬䅃䅌Ⱗ㈧㄰✲〬Ⱜ✬䌬剕䕒䍎㵙单ⱄ⤧!＀＀ ＀＀	＀＀_x0008_＀＀_x0001_＀＀_x0001_＀＀_x0001_＀＀_xD917_㜓䂦찀蝞伕K㐲㐵吭䥁䙞彅卅䥔䅍䕔✨义彃則协❓✬䕍乁Ⱗ䌧䱁❁✬〲㈱ⰧⰰⰬⰧ啃剒久奃唽䑓✬착!＀＀ ＀＀	＀＀_x0008_＀＀_x0001_＀＀_x0001_＀＀_x0001_＀＀恂탥堢䂘찀蝠伕C义䍔䙞彅卅䥔䅍䕔✨䅃䕐❘✬䕍乁Ⱗ䌧䱁❁✬〲㠰ⰧⰰⰬⰧ啃剒久奃唽䑓✬착!＀＀ ＀＀	＀＀_x0008_＀＀_x0001_＀＀_x0001_＀＀_x0001_＀＀＀＀＀＀䷀䂴찀蝩伕_x0019_䑁幉䝆偟䥒䕃㐨㤰㔲Ⱜ唬䑓착!＀＀ ＀＀	＀＀_x0008_＀＀_x0001_＀＀_x0001_＀＀_x0001_＀＀슏⣵作䁂찀蝨伕_x001E_噎䅄偞灟楲散桟杩彨㈵⡷ⰰⰬ单⥄!＀＀ ＀＀	＀＀_x0008_＀＀_x0001_＀＀_x0001_＀＀_x0001_＀＀凬Ẹ⮅䀺찀蝧伕H䍑䵏䙞彅卅䥔䅍䕔✨啃呓䵏䕟卐Ⱗ䴧䅅❎✬䅃䅌Ⱗ㈧㄰✴〬Ⱜ✬䌬剕䕒䍎㵙单ⱄ⤧!＀＀ ＀＀	＀＀_x0008_＀＀_x0001_＀＀_x0001_＀＀_x0001_＀＀豀碵꼝쐕찀蝫伕B䑁幉䕆䕟呓䵉呁⡅䌧偁塅Ⱗ䴧䅅❎✬䅃䅌Ⱗ㈧㄰✲〬Ⱜ✬䌬剕䕒䍎㵙单ⱄ⤧!＀＀ ＀＀	＀＀_x0008_＀＀_x0001_＀＀_x0001_＀＀_x0001_＀＀ꧼ틱ٍ䁠찀蝦伕A䍑䵏䙞彅卅䥔䅍䕔✨䍆❆✬䕍乁Ⱗ䌧䱁❁✬〲〱ⰧⰰⰬⰧ啃剒久奃唽䑓✬착!＀＀ ＀＀	＀＀_x0008_＀＀_x0001_＀＀_x0001_＀＀_x0001_＀＀竡긔椇䂯찀蝟伕F㐲㐵吭䥁䙞彅卅䥔䅍䕔✨扥瑩Ⱗ䴧䅅❎✬䅃䅌Ⱗ㈧㄰✲〬Ⱜ✬䌬剕䕒䍎㵙单ⱄ⤧!＀＀ ＀＀	＀＀_x0008_＀＀_x0001_＀＀_x0001_＀＀_x0001_＀＀猙዗睲䂁찀蝢伕L㐲㐵吭䥁䙞彅卅䥔䅍䕔✨啃呓䵏䕟卐Ⱗ䴧䅅❎✬䅃䅌Ⱗ㈧〰✸〬Ⱜ✬䌬剕䕒䍎㵙单ⱄ⤧!＀＀ ＀＀	＀＀_x0008_＀＀_x0001_＀＀_x0001_＀＀_x0001_＀＀豀碵꼝쐕찀蝛伕A剁䡍䙞彅卅䥔䅍䕔✨䍆❆✬䕍乁Ⱗ䌧䱁❁✬〲㐱ⰧⰰⰬⰧ啃剒久奃唽䑓✬착!＀＀ ＀＀	＀＀_x0008_＀＀_x0001_＀＀_x0001_＀＀_x0001_＀＀㪓䴁_xDA84_䁹찀蝤伕B噎䅄䙞彅卅䥔䅍䕔✨扥瑩Ⱗ䴧䅅❎✬䅃䅌Ⱗ㈧㄰✰〬Ⱜ✬䌬剕䕒䍎㵙单ⱄ⤧!＀＀ ＀＀	＀＀_x0008_＀＀_x0001_＀＀_x0001_＀＀_x0001_＀＀땴ﬕ䁴찀蝤伕G噎䅄䙞彅卅䥔䅍䕔✨义彃則协❓✬䕍乁Ⱗ䌧䱁❁✬〲㤰ⰧⰰⰬⰧ啃剒久奃唽䑓✬착!＀＀ ＀＀	＀＀_x0008_＀＀_x0001_＀＀_x0001_＀＀_x0001_＀＀鮦⃄憰䂒찀蝭伕C呓ⵍ剆䙞彅卅䥔䅍䕔✨偄❓✬䕍乁Ⱗ䌧䱁❁✬〲ㄱⰧⰰⰬⰧ啃剒久奃唽䑓✬착!＀＀ ＀＀	＀＀_x0008_＀＀_x0001_＀＀_x0001_＀＀_x0001_＀＀⽨竬ឳ㿙찀蝩伕_x001A_䑁幉杦摟扥彴潴慴⡬ⰰⰬ单⥄!＀＀ ＀＀	＀＀_x0008_＀＀_x0001_＀＀_x0001_＀＀_x0001_＀＀멞౉댂䂋찀蝬伕C呓ⵍ剆䙞彅卅䥔䅍䕔✨䍆❆✬䕍乁Ⱗ䌧䱁❁✬〲㠰ⰧⰰⰬⰧ啃剒久奃唽䑓✬착!＀＀ ＀＀	＀＀_x0008_＀＀_x0001_＀＀_x0001_＀＀_x0001_＀＀Ƥּ鄒䂂찀蝦伕C噎䅄䙞彅卅䥔䅍䕔✨偅䉓❇✬䕍乁Ⱗ䌧䱁❁✬〲㤰ⰧⰰⰬⰧ啃剒久奃唽䑓✬착!＀＀ ＀＀	＀＀_x0008_＀＀_x0001_＀＀_x0001_＀＀_x0001_＀＀ኋ៴㿛찀蝧伕H䍑䵏䙞彅卅䥔䅍䕔✨啃呓䵏䕟卐Ⱗ䴧䅅❎✬䅃䅌Ⱗ㈧㄰✱〬Ⱜ✬䌬剕䕒䍎㵙单ⱄ⤧!＀＀ ＀＀	＀＀_x0008_＀＀_x0001_＀＀_x0001_＀＀_x0001_＀＀슨嫍䀇찀蝣伕C噎䅄䙞彅卅䥔䅍䕔✨䅓䕌❓✬䕍乁Ⱗ䌧䱁❁✬〲㤰ⰧⰰⰬⰧ啃剒久奃唽䑓✬착!＀＀ ＀＀	＀＀_x0008_＀＀_x0001_＀＀_x0001_＀＀_x0001_＀＀䯇褷ఁ䂪찀蝤伕G䍑䵏䙞彅卅䥔䅍䕔✨义彃則协❓✬䕍乁Ⱗ䌧䱁❁✬〲㈱ⰧⰰⰬⰧ啃剒久奃唽䑓✬착!＀＀ ＀＀	＀＀_x0008_＀＀_x0001_＀＀_x0001_＀＀_x0001_＀＀_xD917_䋃䃈찀蝛伕G剁䡍䙞彅卅䥔䅍䕔✨义彃則协❓✬䕍乁Ⱗ䌧䱁❁✬〲㈱ⰧⰰⰬⰧ啃剒久奃唽䑓✬착!＀＀ ＀＀	＀＀_x0008_＀＀_x0001_＀＀_x0001_＀＀_x0001_＀＀⢍෭⌾䂉찀蝛伕A剁䡍䙞彅卅䥔䅍䕔✨䍆❆✬䕍乁Ⱗ䌧䱁❁✬〲ㄱⰧⰰⰬⰧ啃剒久奃唽䑓✬착!＀＀ ＀＀	＀＀_x0008_＀＀_x0001_＀＀_x0001_＀＀_x0001_＀＀瀻裎䏒䁱찀蝦伕A䍑䵏䙞彅卅䥔䅍䕔✨䍆❆✬䕍乁Ⱗ䌧䱁❁✬〲㌱ⰧⰰⰬⰧ啃剒久奃唽䑓✬착!＀＀ ＀＀	＀＀_x0008_＀＀_x0001_＀＀_x0001_＀＀_x0001_＀＀㽼煕䂻찀蝬伕G䑁幉䕆䕟呓䵉呁⡅䌧单佔彍偅❓✬䕍乁Ⱗ䌧䱁❁✬〲㈱ⰧⰰⰬⰧ啃剒久奃唽䑓✬착!＀＀ ＀＀	＀＀_x0008_＀＀_x0001_＀＀_x0001_＀＀_x0001_＀＀딱ລ_xDAF2_䀂찀蝥伕C噎䅄䙞彅卅䥔䅍䕔✨䅃䕐❘✬䕍乁Ⱗ䌧䱁❁✬〲㤰ⰧⰰⰬⰧ啃剒久奃唽䑓✬착!＀＀ ＀＀	＀＀_x0008_＀＀_x0001_＀＀_x0001_＀＀_x0001_＀＀蒡뚙_xD97F_䁘찀蝢伕_x001B_䍑䵏晞彧敤瑢瑟瑯污〨Ⱜ唬䑓착!＀＀ ＀＀	＀＀_x0008_＀＀_x0001_＀＀_x0001_＀＀_x0001_＀＀＀＀＀＀က䂏찀蝡伕G㐲㐵吭䥁䙞彅卅䥔䅍䕔✨偅䉓❇✬䕍乁Ⱗ䌧䱁❁✬〲㜰ⰧⰰⰬⰧ啃剒久奃唽䑓✬착!＀＀ ＀＀	＀＀_x0008_＀＀_x0001_＀＀_x0001_＀＀_x0001_＀＀貀韊ⵡ㿫찀蝝伕C义䍔䙞彅卅䥔䅍䕔✨䅓䕌❓✬䕍乁Ⱗ䌧䱁❁✬〲㈱ⰧⰰⰬⰧ啃剒久奃唽䑓✬착!＀＀ ＀＀	＀＀_x0008_＀＀_x0001_＀＀_x0001_＀＀_x0001_＀＀⣶轜ၚ䃫찀蝦伕C噎䅄䙞彅卅䥔䅍䕔✨偅䉓❇✬䕍乁Ⱗ䌧䱁❁✬〲〱ⰧⰰⰬⰧ啃剒久奃唽䑓✬착!＀＀ ＀＀	＀＀_x0008_＀＀_x0001_＀＀_x0001_＀＀_x0001_＀＀厙풸탷㿤찀蝠伕E㐲㐵吭䥁䙞彅卅䥔䅍䕔✨䍆❆✬䕍乁Ⱗ䌧䱁❁✬〲㘰ⰧⰰⰬⰧ啃剒久奃唽䑓✬착!＀＀ ＀＀	＀＀_x0008_＀＀_x0001_＀＀_x0001_＀＀_x0001_＀＀儚ᯚ뛼䂃찀蝜伕H剁䡍䙞彅卅䥔䅍䕔✨啃呓䵏䕟卐Ⱗ䴧䅅❎✬䅃䅌Ⱗ㈧㄰✲〬Ⱜ✬䌬剕䕒䍎㵙单ⱄ⤧!＀＀ ＀＀	＀＀_x0008_＀＀_x0001_＀＀_x0001_＀＀_x0001_＀＀豀碵꼝쐕찀蝨伕"㐲㐵吭䥁偞灟楲散桟杩彨㈵⡷ⰰⰬ单⥄!＀＀ ＀＀	＀＀_x0008_＀＀_x0001_＀＀_x0001_＀＀_x0001_＀＀졏_xDBCE_峘䀬찀蝧伕H噎䅄䙞彅卅䥔䅍䕔✨啃呓䵏䕟卐Ⱗ䴧䅅❎✬䅃䅌Ⱗ㈧〰✷〬Ⱜ✬䌬剕䕒䍎㵙单ⱄ⤧!＀＀ ＀＀	＀＀_x0008_＀＀_x0001_＀＀_x0001_＀＀_x0001_＀＀꟣潱;㿵찀蝣伕C噎䅄䙞彅卅䥔䅍䕔✨䅓䕌❓✬䕍乁Ⱗ䌧䱁❁✬〲㘰ⰧⰰⰬⰧ啃剒久奃唽䑓✬착!＀＀ ＀＀	＀＀_x0008_＀＀_x0001_＀＀_x0001_＀＀_x0001_＀＀尨菏䂧찀蝞伕G㐲㐵吭䥁䙞彅卅䥔䅍䕔✨䅓䕌❓✬䕍乁Ⱗ䌧䱁❁✬〲㜰ⰧⰰⰬⰧ啃剒久奃唽䑓✬착!＀＀ ＀＀	＀＀_x0008_＀＀_x0001_＀＀_x0001_＀＀_x0001_＀＀⃅犰⵨䂣찀蝠伕C义䍔䙞彅卅䥔䅍䕔✨䅃䕐❘✬䕍乁Ⱗ䌧䱁❁✬〲㈱ⰧⰰⰬⰧ啃剒久奃唽䑓✬착!＀＀ ＀＀	＀＀_x0008_＀＀_x0001_＀＀_x0001_＀＀_x0001_＀＀䖢똝䃀찀蝩伕_x0019_䑁幉䝆偟䥒䕃㐨㔰㐴Ⱜ唬䑓착!＀＀ ＀＀	＀＀_x0008_＀＀_x0001_＀＀_x0001_＀＀_x0001_＀＀⣶轜헂䁂찀蝥伕C噎䅄䙞彅卅䥔䅍䕔✨䅃䕐❘✬䕍乁Ⱗ䌧䱁❁✬〲㘰ⰧⰰⰬⰧ啃剒久奃唽䑓✬착!＀＀ ＀＀	＀＀_x0008_＀＀_x0001_＀＀_x0001_＀＀_x0001_＀＀凗ӕꝑ䁞찀蝛伕C剁䡍䙞彅卅䥔䅍䕔✨偅䉓❇✬䕍乁Ⱗ䌧䱁❁✬〲㤰ⰧⰰⰬⰧ啃剒久奃唽䑓✬착!＀＀ ＀＀	＀＀_x0008_＀＀_x0001_＀＀_x0001_＀＀_x0001_＀＀ᘣꖌ瞣㿐찀蝠伕G㐲㐵吭䥁䙞彅卅䥔䅍䕔✨䅃䕐❘✬䕍乁Ⱗ䌧䱁❁✬〲㜰ⰧⰰⰬⰧ啃剒久奃唽䑓✬착!＀＀ ＀＀	＀＀_x0008_＀＀_x0001_＀＀_x0001_＀＀_x0001_＀＀꒔♫죟䁉찀蝢伕L㐲㐵吭䥁䙞彅卅䥔䅍䕔✨啃呓䵏䕟卐Ⱗ䴧䅅❎✬䅃䅌Ⱗ㈧㄰✲〬Ⱜ✬䌬剕䕒䍎㵙单ⱄ⤧!＀＀ ＀＀	＀＀_x0008_＀＀_x0001_＀＀_x0001_＀＀_x0001_＀＀豀碵꼝쐕찀蝤伕G噎䅄䙞彅卅䥔䅍䕔✨义彃則协❓✬䕍乁Ⱗ䌧䱁❁✬〲㌱ⰧⰰⰬⰧ啃剒久奃唽䑓✬착!＀＀ ＀＀	＀＀_x0008_＀＀_x0001_＀＀_x0001_＀＀_x0001_＀＀إ閁⩃䂣찀蝞伕G义䍔䙞彅卅䥔䅍䕔✨义彃則协❓✬䕍乁Ⱗ䌧䱁❁✬〲㜰ⰧⰰⰬⰧ啃剒久奃唽䑓✬착!＀＀ ＀＀	＀＀_x0008_＀＀_x0001_＀＀_x0001_＀＀_x0001_＀＀䞮竡愴䃓찀蝧伕A噎䅄䙞彅卅䥔䅍䕔✨偄❓✬䕍乁Ⱗ䌧䱁❁✬〲ㄱⰧⰰⰬⰧ啃剒久奃唽䑓✬착!＀＀ ＀＀	＀＀_x0008_＀＀_x0001_＀＀_x0001_＀＀_x0001_＀＀＀＀＀＀＀＀＀＀찀蝥伕A噎䅄䙞彅卅䥔䅍䕔✨䍆❆✬䕍乁Ⱗ䌧䱁❁✬〲㠰ⰧⰰⰬⰧ啃剒久奃唽䑓✬착!＀＀ ＀＀	＀＀_x0008_＀＀_x0001_＀＀_x0001_＀＀_x0001_＀＀營躊⣤䁔찀蝦伕C噎䅄䙞彅卅䥔䅍䕔✨偅䉓❇✬䕍乁Ⱗ䌧䱁❁✬〲㌱ⰧⰰⰬⰧ啃剒久奃唽䑓✬착!＀＀ ＀＀	＀＀_x0008_＀＀_x0001_＀＀_x0001_＀＀_x0001_＀＀枉㿵찀蝠伕E㐲㐵吭䥁䙞彅卅䥔䅍䕔✨䍆❆✬䕍乁Ⱗ䌧䱁❁✬〲㤰ⰧⰰⰬⰧ啃剒久奃唽䑓✬착!＀＀ ＀＀	＀＀_x0008_＀＀_x0001_＀＀_x0001_＀＀_x0001_＀＀鮦⃄㞰䂘찀蝨伕_x0014_剂䵃䙞彇剐䍉⡅〴㈹⤵!＀＀ ＀＀	＀＀_x0008_＀＀_x0001_＀＀_x0001_＀＀_x0001_＀＀긔푺䀿찀蝛伕C剁䡍䙞彅卅䥔䅍䕔✨偅䉓❇✬䕍乁Ⱗ䌧䱁❁✬〲㘰ⰧⰰⰬⰧ啃剒久奃唽䑓✬착!＀＀ ＀＀	＀＀_x0008_＀＀_x0001_＀＀_x0001_＀＀_x0001_＀＀䦶捅㿐찀蝨伕_x0018_䱁剔偞灟楲散桟杩彨㈵⡷⤰!＀＀ ＀＀	＀＀_x0008_＀＀_x0001_＀＀_x0001_＀＀_x0001_＀＀凬Ẹ쮅䁈찀蝣伕C噎䅄䙞彅卅䥔䅍䕔✨䅓䕌❓✬䕍乁Ⱗ䌧䱁❁✬〲㌱ⰧⰰⰬⰧ啃剒久奃唽䑓✬착!＀＀ ＀＀	＀＀_x0008_＀＀_x0001_＀＀_x0001_＀＀_x0001_＀＀᪠_xDD2F_㎤䂲찀蝠伕A义䍔䙞彅卅䥔䅍䕔✨䍆❆✬䕍乁Ⱗ䌧䱁❁✬〲㘰ⰧⰰⰬⰧ啃剒久奃唽䑓✬착!＀＀ ＀＀	＀＀_x0008_＀＀_x0001_＀＀_x0001_＀＀_x0001_＀＀＀＀＀＀䂲찀蝛伕C剁䡍䙞彅卅䥔䅍䕔✨䅓䕌❓✬䕍乁Ⱗ䌧䱁❁✬〲㘰ⰧⰰⰬⰧ啃剒久奃唽䑓✬착!＀＀ ＀＀	＀＀_x0008_＀＀_x0001_＀＀_x0001_＀＀_x0001_＀＀ẹ᧑䂀찀蝥伕C噎䅄䙞彅卅䥔䅍䕔✨䅃䕐❘✬䕍乁Ⱗ䌧䱁❁✬〲㌱ⰧⰰⰬⰧ啃剒久奃唽䑓✬착!＀＀ ＀＀	＀＀_x0008_＀＀_x0001_＀＀_x0001_＀＀_x0001_＀＀㯍텎ґ䁣찀蝤伕G噎䅄䙞彅卅䥔䅍䕔✨义彃則协❓✬䕍乁Ⱗ䌧䱁❁✬〲〱ⰧⰰⰬⰧ啃剒久奃唽䑓✬착!＀＀ ＀＀	＀＀_x0008_＀＀_x0001_＀＀_x0001_＀＀_x0001_＀＀譄땻䂕찀蝛伕C剁䡍䙞彅卅䥔䅍䕔✨䅃䕐❘✬䕍乁Ⱗ䌧䱁❁✬〲㘰ⰧⰰⰬⰧ啃剒久奃唽䑓✬착!＀＀ ＀＀	＀＀_x0008_＀＀_x0001_＀＀_x0001_＀＀_x0001_＀＀ꐕ鬙䀶찀蝖伕_x0014_䅃䵖䙞彇剐䍉⡅〴㐵⤴!＀＀ ＀＀	＀＀_x0008_＀＀_x0001_＀＀_x0001_＀＀_x0001_＀＀ꏗ㵰휊䁂찀蝩伕_x001C_呓ⵍ剆䙞彇剐䍉⡅〴㈹ⰵⰬ单⥄!＀＀ ＀＀	＀＀_x0008_＀＀_x0001_＀＀_x0001_＀＀_x0001_＀＀ൢ_xFFFF_ﾼ刴䀛찀蝡伕G㐲㐵吭䥁䙞彅卅䥔䅍䕔✨偅䉓❇✬䕍乁Ⱗ䌧䱁❁✬〲ㄱⰧⰰⰬⰧ啃剒久奃唽䑓✬착!＀＀ ＀＀	＀＀_x0008_＀＀_x0001_＀＀_x0001_＀＀_x0001_＀＀޾췴㿚찀蝧伕H噎䅄䙞彅卅䥔䅍䕔✨啃呓䵏䕟卐Ⱗ䴧䅅❎✬䅃䅌Ⱗ㈧㄰✱〬Ⱜ✬䌬剕䕒䍎㵙单ⱄ⤧!＀＀ ＀＀	＀＀_x0008_＀＀_x0001_＀＀_x0001_＀＀_x0001_＀＀줥絳ฟ㿰찀蝣伕C噎䅄䙞彅卅䥔䅍䕔✨䅓䕌❓✬䕍乁Ⱗ䌧䱁❁✬〲〱ⰧⰰⰬⰧ啃剒久奃唽䑓✬착!＀＀ ＀＀	＀＀_x0008_＀＀_x0001_＀＀_x0001_＀＀_x0001_＀＀إ閁觃䂫찀蝖伕_x001D_剁䡍䙞彆䅃䡓卟⡔呑ⱒⰰⰬ唬䑓착!＀＀ ＀＀	＀＀_x0008_＀＀_x0001_＀＀_x0001_＀＀_x0001_＀＀ᶵ鏉䁿찀蝩伕_x0014_䱘塎䙞彇剐䍉⡅〴㐵⤴!＀＀ ＀＀	＀＀_x0008_＀＀_x0001_＀＀_x0001_＀＀_x0001_＀＀ᑻ䞮﫡䀼찀蝩伕!䑁幉䙆䍟䵏卟午佟呕䕟卐䑟䱉儨剔〬착ċ＀＀ ＀＀ó＀＀_x0008_＀＀_x0001_＀＀_x0001_＀＀_x0001_＀＀됹盈ᮾ䁳摦畳㩰⼯楄敲瑣潩獮䘯捡却瑥䄠摵瑩湩⁧楖睥牥愿瑣潩㵮啁䥄彔䅖啌♅䉄ㄽ㤲䤦ㅄ〽㈳㔶ㄴ☰䅖啌䥅㵄㔰㤱☴䑓呁㵅〲ㄱ㐰倦剅佉呄偙㵅呑归呓♄䍓呆㌽眦湩潤㵷潰異彰潮扟牡眦摩桴㌽㔸栦楥桧㵴㈱☰呓剁彔䅍䥘䥍䕚㵄䅆卌♅牣慥潴㵲慦瑣敳♴楤灳慬役瑳楲杮䄽摵瑩찀蝦伕C䍑䵏䙞彅卅䥔䅍䕔✨偅䉓❇✬䕍乁Ⱗ䌧䱁❁✬〲㤰ⰧⰰⰬⰧ啃剒久奃唽䑓✬착!＀＀ ＀＀	＀＀_x0008_＀＀_x0001_＀＀_x0001_＀＀_x0001_＀＀듔榋ﮦ㿾찀蝪伕A䑁幉䕆䕟呓䵉呁⡅攧楢❴✬䕍乁Ⱗ䌧䱁❁✬〲㠰ⰧⰰⰬⰧ啃剒久奃唽䑓✬착!＀＀ ＀＀	＀＀_x0008_＀＀_x0001_＀＀_x0001_＀＀_x0001_＀＀앮닾⵻䂂찀蝠伕A义䍔䙞彅卅䥔䅍䕔✨䍆❆✬䕍乁Ⱗ䌧䱁❁✬〲㤰ⰧⰰⰬⰧ啃剒久奃唽䑓✬착!＀＀ ＀＀	＀＀_x0008_＀＀_x0001_＀＀_x0001_＀＀_x0001_＀＀鮥졄䂴찀蝥伕C噎䅄䙞彅卅䥔䅍䕔✨䅃䕐❘✬䕍乁Ⱗ䌧䱁❁✬〲〱ⰧⰰⰬⰧ啃剒久奃唽䑓✬착!＀＀ ＀＀	＀＀_x0008_＀＀_x0001_＀＀_x0001_＀＀_x0001_＀＀꽥罷䁗찀蝜伕C剁䡍䙞彅卅䥔䅍䕔✨偅䉓❇✬䕍乁Ⱗ䌧䱁❁✬〲㌱ⰧⰰⰬⰧ啃剒久奃唽䑓✬착!＀＀ ＀＀	＀＀_x0008_＀＀_x0001_＀＀_x0001_＀＀_x0001_＀＀鲉堙⬢㿨찀蝛伕C剁䡍䙞彅卅䥔䅍䕔✨䅓䕌❓✬䕍乁Ⱗ䌧䱁❁✬〲㤰ⰧⰰⰬⰧ啃剒久奃唽䑓✬착!＀＀ ＀＀	＀＀_x0008_＀＀_x0001_＀＀_x0001_＀＀_x0001_＀＀豿殹줉䁾찀蝢伕_x001D_䍑䵏䙞彆䅃䡓卟⡔呑ⱒⰰⰬ唬䑓착ċ＀＀ ＀＀ó＀＀_x0008_＀＀_x0001_＀＀_x0001_＀＀_x0001_＀＀＀＀＀＀숀䃆摦畳㩰⼯楄敲瑣潩獮䘯捡却瑥䄠摵瑩湩⁧楖睥牥愿瑣潩㵮啁䥄彔䅖啌♅䉄ㄽ㤲䤦ㅄ㜽㜴㈵ㄵ☰䅖啌䥅㵄㈰〰☱䑓呁㵅〲ㄱ㐰倦剅佉呄偙㵅呑归呓♄䍓呆㌽眦湩潤㵷潰異彰潮扟牡眦摩桴㌽㔸栦楥桧㵴㈱☰呓剁彔䅍䥘䥍䕚㵄䅆卌♅牣慥潴㵲慦瑣敳♴楤灳慬役瑳楲杮䄽摵瑩찀蝟伕B义䍔䙞彅卅䥔䅍䕔✨扥瑩Ⱗ䴧䅅❎✬䅃䅌Ⱗ㈧〰✹〬Ⱜ✬䌬剕䕒䍎㵙单ⱄ⤧!＀＀ ＀＀	＀＀_x0008_＀＀_x0001_＀＀_x0001_＀＀_x0001_＀＀褷恁㛅䂼찀蝬伕C呓ⵍ剆䙞彅卅䥔䅍䕔✨䍆❆✬䕍乁Ⱗ䌧䱁❁✬〲㈱ⰧⰰⰬⰧ啃剒久奃唽䑓✬착!＀＀ ＀＀	＀＀_x0008_＀＀_x0001_＀＀_x0001_＀＀_x0001_＀＀쯻짮⇃䁻찀蝞伕G义䍔䙞彅卅䥔䅍䕔✨义彃則协❓✬䕍乁Ⱗ䌧䱁❁✬〲ㄱⰧⰰⰬⰧ啃剒久奃唽䑓✬착!＀＀ ＀＀	＀＀_x0008_＀＀_x0001_＀＀_x0001_＀＀_x0001_＀＀蔟凫绠䃠찀蝛伕C剁䡍䙞彅卅䥔䅍䕔✨䅃䕐❘✬䕍乁Ⱗ䌧䱁❁✬〲㤰ⰧⰰⰬⰧ啃剒久奃唽䑓✬착!＀＀ ＀＀	＀＀_x0008_＀＀_x0001_＀＀_x0001_＀＀_x0001_＀＀돻⤟쌢䀩찀蝗伕_x001B_剁䡍晞彧敤瑢瑟瑯污〨Ⱜ唬䑓착!＀＀ ＀＀	＀＀_x0008_＀＀_x0001_＀＀_x0001_＀＀_x0001_＀＀＀＀＀＀＀＀＀＀찀蝥伕A噎䅄䙞彅卅䥔䅍䕔✨䍆❆✬䕍乁Ⱗ䌧䱁❁✬〲㈱ⰧⰰⰬⰧ啃剒久奃唽䑓✬착!＀＀ ＀＀	＀＀_x0008_＀＀_x0001_＀＀_x0001_＀＀_x0001_＀＀༨딋鎦䂉찀蝡伕G㐲㐵吭䥁䙞彅卅䥔䅍䕔✨偅䉓❇✬䕍乁Ⱗ䌧䱁❁✬〲㐱ⰧⰰⰬⰧ啃剒久奃唽䑓✬착!＀＀ ＀＀	＀＀_x0008_＀＀_x0001_＀＀_x0001_＀＀_x0001_＀＀⪯껻︈㿢찀蝠伕E㐲㐵吭䥁䙞彅卅䥔䅍䕔✨䍆❆✬䕍乁Ⱗ䌧䱁❁✬〲㌱ⰧⰰⰬⰧ啃剒久奃唽䑓✬착!＀＀ ＀＀	＀＀_x0008_＀＀_x0001_＀＀_x0001_＀＀_x0001_＀＀㌳㌳贳䂆찀蝫伕D呓ⵍ剆䙞彅卅䥔䅍䕔✨扥瑩Ⱗ䴧䅅❎✬䅃䅌Ⱗ㈧〰✹〬Ⱜ✬䌬剕䕒䍎㵙单ⱄ⤧!＀＀ ＀＀	＀＀_x0008_＀＀_x0001_＀＀_x0001_＀＀_x0001_＀＀⚁蛂괧삋찀蝦伕C䍑䵏䙞彅卅䥔䅍䕔✨偅䉓❇✬䕍乁Ⱗ䌧䱁❁✬〲㘰ⰧⰰⰬⰧ啃剒久奃唽䑓✬착!＀＀ ＀＀	＀＀_x0008_＀＀_x0001_＀＀_x0001_＀＀_x0001_＀＀灻홷뭮㿻찀蝧伕H噎䅄䙞彅卅䥔䅍䕔✨啃呓䵏䕟卐Ⱗ䴧䅅❎✬䅃䅌Ⱗ㈧㄰✴〬Ⱜ✬䌬剕䕒䍎㵙单ⱄ⤧!＀＀ ＀＀	＀＀_x0008_＀＀_x0001_＀＀_x0001_＀＀_x0001_＀＀豀碵꼝쐕찀蝞伕G㐲㐵吭䥁䙞彅卅䥔䅍䕔✨䅓䕌❓✬䕍乁Ⱗ䌧䱁❁✬〲㐱ⰧⰰⰬⰧ啃剒久奃唽䑓✬착!＀＀ ＀＀	＀＀_x0008_＀＀_x0001_＀＀_x0001_＀＀_x0001_＀＀鮥⪄䂭찀蝜伕C剁䡍䙞彅卅䥔䅍䕔✨偅䉓❇✬䕍乁Ⱗ䌧䱁❁✬〲〱ⰧⰰⰬⰧ啃剒久奃唽䑓✬착!＀＀ ＀＀	＀＀_x0008_＀＀_x0001_＀＀_x0001_＀＀_x0001_＀＀蝠登̊㿛찀蝤伕C䍑䵏䙞彅卅䥔䅍䕔✨䅓䕌❓✬䕍乁Ⱗ䌧䱁❁✬〲㘰ⰧⰰⰬⰧ啃剒久奃唽䑓✬착!＀＀ ＀＀	＀＀_x0008_＀＀_x0001_＀＀_x0001_＀＀_x0001_＀＀إ閁뤃䂾찀蝖伕_x0016_塍幌彐牰捩彥潬彷㈵⡷⤰!＀＀ ＀＀	＀＀_x0008_＀＀_x0001_＀＀_x0001_＀＀_x0001_＀＀롑蔞䀐찀蝨伕_x0018_剂䵃偞灟楲散桟杩彨㈵⡷⤰!＀＀ ＀＀	＀＀_x0008_＀＀_x0001_＀＀_x0001_＀＀_x0001_＀＀롒蔞뇫䁇찀蝭伕J呓ⵍ剆䙞彅卅䥔䅍䕔✨啃呓䵏䕟卐Ⱗ䴧䅅❎✬䅃䅌Ⱗ㈧〰✹〬Ⱜ✬䌬剕䕒䍎㵙单ⱄ⤧!＀＀ ＀＀	＀＀_x0008_＀＀_x0001_＀＀_x0001_＀＀_x0001_＀＀豀碵꼝쐕찀蝟伕B义䍔䙞彅卅䥔䅍䕔✨扥瑩Ⱗ䴧䅅❎✬䅃䅌Ⱗ㈧〰✶〬Ⱜ✬䌬剕䕒䍎㵙单ⱄ⤧!＀＀ ＀＀	＀＀_x0008_＀＀_x0001_＀＀_x0001_＀＀_x0001_＀＀磕⛩ꘑ䂸찀蝛伕C剁䡍䙞彅卅䥔䅍䕔✨䅓䕌❓✬䕍乁Ⱗ䌧䱁❁✬〲〱ⰧⰰⰬⰧ啃剒久奃唽䑓✬착!＀＀ ＀＀	＀＀_x0008_＀＀_x0001_＀＀_x0001_＀＀_x0001_＀＀䂃찀蝠伕G㐲㐵吭䥁䙞彅卅䥔䅍䕔✨䅃䕐❘✬䕍乁Ⱗ䌧䱁❁✬〲㐱ⰧⰰⰬⰧ啃剒久奃唽䑓✬착!＀＀ ＀＀	＀＀_x0008_＀＀_x0001_＀＀_x0001_＀＀_x0001_＀＀㎱캅葫䁓찀蝥伕C䍑䵏䙞彅卅䥔䅍䕔✨䅃䕐❘✬䕍乁Ⱗ䌧䱁❁✬〲㘰ⰧⰰⰬⰧ啃剒久奃唽䑓✬착!＀＀ ＀＀	＀＀_x0008_＀＀_x0001_＀＀_x0001_＀＀_x0001_＀＀嵤䛜ꮃ䂃찀蝛伕C剁䡍䙞彅卅䥔䅍䕔✨䅃䕐❘✬䕍乁Ⱗ䌧䱁❁✬〲〱ⰧⰰⰬⰧ啃剒久奃唽䑓✬착!＀＀ ＀＀	＀＀_x0008_＀＀_x0001_＀＀_x0001_＀＀_x0001_＀＀ټ쏔䀫찀蝬伕E呓ⵍ剆䙞彅卅䥔䅍䕔✨偅䉓❇✬䕍乁Ⱗ䌧䱁❁✬〲㠰ⰧⰰⰬⰧ啃剒久奃唽䑓✬착!＀＀ ＀＀	＀＀_x0008_＀＀_x0001_＀＀_x0001_＀＀_x0001_＀＀ဌꖻ΋㿕찀蝞伕G义䍔䙞彅卅䥔䅍䕔✨义彃則协❓✬䕍乁Ⱗ䌧䱁❁✬〲㐱ⰧⰰⰬⰧ啃剒久奃唽䑓✬착!＀＀ ＀＀	＀＀_x0008_＀＀_x0001_＀＀_x0001_＀＀_x0001_＀＀㌴㌳㳣䃣찀蝩伕_x001C_呓ⵍ剆䙞彇剐䍉⡅〴㐵ⰴⰬ单⥄!＀＀ ＀＀	＀＀_x0008_＀＀_x0001_＀＀_x0001_＀＀_x0001_＀＀晉໵쎷䀤찀蝠伕E㐲㐵吭䥁䙞彅卅䥔䅍䕔✨䍆❆✬䕍乁Ⱗ䌧䱁❁✬〲〱ⰧⰰⰬⰧ啃剒久奃唽䑓✬착!＀＀ ＀＀	＀＀_x0008_＀＀_x0001_＀＀_x0001_＀＀_x0001_＀＀ᢔ嘄쮎䂎찀蝫伕D呓ⵍ剆䙞彅卅䥔䅍䕔✨扥瑩Ⱗ䴧䅅❎✬䅃䅌Ⱗ㈧〰✶〬Ⱜ✬䌬剕䕒䍎㵙单ⱄ⤧!＀＀ ＀＀	＀＀_x0008_＀＀_x0001_＀＀_x0001_＀＀_x0001_＀＀歑瞚릜䂆찀蝪伕F䑁幉䕆䕟呓䵉呁⡅䤧䍎䝟佒卓Ⱗ䴧䅅❎✬䅃䅌Ⱗ㈧〰✸〬Ⱜ✬䌬剕䕒䍎㵙单ⱄ⤧!＀＀ ＀＀	＀＀_x0008_＀＀_x0001_＀＀_x0001_＀＀_x0001_＀＀龿⼚畝䂗찀蝥伕B䍑䵏䙞彅卅䥔䅍䕔✨扥瑩Ⱗ䴧䅅❎✬䅃䅌Ⱗ㈧〰✸〬Ⱜ✬䌬剕䕒䍎㵙单ⱄ⤧!＀＀ ＀＀	＀＀_x0008_＀＀_x0001_＀＀_x0001_＀＀_x0001_＀＀꟰䯆ط䂰찀蝪伕E呓ⵍ剆䙞彅卅䥔䅍䕔✨䅓䕌❓✬䕍乁Ⱗ䌧䱁❁✬〲㠰ⰧⰰⰬⰧ啃剒久奃唽䑓✬착!＀＀ ＀＀	＀＀_x0008_＀＀_x0001_＀＀_x0001_＀＀_x0001_＀＀＀＀＀＀㤀䃃찀蝞伕G㐲㐵吭䥁䙞彅卅䥔䅍䕔✨䅓䕌❓✬䕍乁Ⱗ䌧䱁❁✬〲ㄱⰧⰰⰬⰧ啃剒久奃唽䑓✬착!＀＀ ＀＀	＀＀_x0008_＀＀_x0001_＀＀_x0001_＀＀_x0001_＀＀尨꼏䂦찀蝭伕J呓ⵍ剆䙞彅卅䥔䅍䕔✨啃呓䵏䕟卐Ⱗ䴧䅅❎✬䅃䅌Ⱗ㈧〰✶〬Ⱜ✬䌬剕䕒䍎㵙单ⱄ⤧!＀＀ ＀＀	＀＀_x0008_＀＀_x0001_＀＀_x0001_＀＀_x0001_＀＀豀碵꼝쐕찀蝬伕B䑁幉䕆䕟呓䵉呁⡅䔧卐䝂Ⱗ䴧䅅❎✬䅃䅌Ⱗ㈧〰✷〬Ⱜ✬䌬剕䕒䍎㵙单ⱄ⤧!＀＀ ＀＀	＀＀_x0008_＀＀_x0001_＀＀_x0001_＀＀_x0001_＀＀ᖱⴴ㿺찀蝦伕C䍑䵏䙞彅卅䥔䅍䕔✨偅䉓❇✬䕍乁Ⱗ䌧䱁❁✬〲㌱ⰧⰰⰬⰧ啃剒久奃唽䑓✬착!＀＀ ＀＀	＀＀_x0008_＀＀_x0001_＀＀_x0001_＀＀_x0001_＀＀Ᾰ샰舀䀐찀蝫伕E呓ⵍ剆䙞彅卅䥔䅍䕔✨䅃䕐❘✬䕍乁Ⱗ䌧䱁❁✬〲㠰ⰧⰰⰬⰧ啃剒久奃唽䑓✬착!＀＀ ＀＀	＀＀_x0008_＀＀_x0001_＀＀_x0001_＀＀_x0001_＀＀멞౉ং䂐찀蝨伕_x001D_前䱖偞灟楲散江睯㕟眲〨Ⱜ唬䑓착!＀＀ ＀＀	＀＀_x0008_＀＀_x0001_＀＀_x0001_＀＀_x0001_＀＀⣶轜痂䀦찀蝠伕A义䍔䙞彅卅䥔䅍䕔✨䍆❆✬䕍乁Ⱗ䌧䱁❁✬〲㌱ⰧⰰⰬⰧ啃剒久奃唽䑓✬착!＀＀ ＀＀	＀＀_x0008_＀＀_x0001_＀＀_x0001_＀＀_x0001_＀＀빷᪟祏䃈찀蝠伕G㐲㐵吭䥁䙞彅卅䥔䅍䕔✨䅃䕐❘✬䕍乁Ⱗ䌧䱁❁✬〲ㄱⰧⰰⰬⰧ啃剒久奃唽䑓✬착!＀＀ ＀＀	＀＀_x0008_＀＀_x0001_＀＀_x0001_＀＀_x0001_＀＀䱚㹬厮䁒찀蝤伕C䍑䵏䙞彅卅䥔䅍䕔✨䅓䕌❓✬䕍乁Ⱗ䌧䱁❁✬〲㤰ⰧⰰⰬⰧ啃剒久奃唽䑓✬착!＀＀ ＀＀	＀＀_x0008_＀＀_x0001_＀＀_x0001_＀＀_x0001_＀＀꟰䯆ꁷ䃄찀蝞伕K㐲㐵吭䥁䙞彅卅䥔䅍䕔✨义彃則协❓✬䕍乁Ⱗ䌧䱁❁✬〲㜰ⰧⰰⰬⰧ啃剒久奃唽䑓✬착!＀＀ ＀＀	＀＀_x0008_＀＀_x0001_＀＀_x0001_＀＀_x0001_＀＀좴빶휟䂕찀蝛伕C剁䡍䙞彅卅䥔䅍䕔✨䅓䕌❓✬䕍乁Ⱗ䌧䱁❁✬〲㌱ⰧⰰⰬⰧ啃剒久奃唽䑓✬착!＀＀ ＀＀	＀＀_x0008_＀＀_x0001_＀＀_x0001_＀＀_x0001_＀＀ꐿ፟䂎찀蝪伕I呓ⵍ剆䙞彅卅䥔䅍䕔✨义彃則协❓✬䕍乁Ⱗ䌧䱁❁✬〲㜰ⰧⰰⰬⰧ啃剒久奃唽䑓✬착!＀＀ ＀＀	＀＀_x0008_＀＀_x0001_＀＀_x0001_＀＀_x0001_＀＀⋑率鉾䂰찀蝨伕_x001E_义䍔偞灟楲散桟杩彨㈵⡷ⰰⰬ单⥄!＀＀ ＀＀	＀＀_x0008_＀＀_x0001_＀＀_x0001_＀＀_x0001_＀＀凬Ẹ䀹찀蝥伕C䍑䵏䙞彅卅䥔䅍䕔✨䅃䕐❘✬䕍乁Ⱗ䌧䱁❁✬〲㤰ⰧⰰⰬⰧ啃剒久奃唽䑓✬착!＀＀ ＀＀	＀＀_x0008_＀＀_x0001_＀＀_x0001_＀＀_x0001_＀＀奋㢆ᅖ䂅찀蝢伕H义䍔䙞彅卅䥔䅍䕔✨啃呓䵏䕟卐Ⱗ䴧䅅❎✬䅃䅌Ⱗ㈧〰✷〬Ⱜ✬䌬剕䕒䍎㵙单ⱄ⤧!＀＀ ＀＀	＀＀_x0008_＀＀_x0001_＀＀_x0001_＀＀_x0001_＀＀ᑺ䞮㿳찀蝛伕C剁䡍䙞彅卅䥔䅍䕔✨䅃䕐❘✬䕍乁Ⱗ䌧䱁❁✬〲㌱ⰧⰰⰬⰧ啃剒久奃唽䑓✬착!＀＀ ＀＀	＀＀_x0008_＀＀_x0001_＀＀_x0001_＀＀_x0001_＀＀퟇妞젒䀲찀蝫伕D呓ⵍ剆䙞彅卅䥔䅍䕔✨扥瑩Ⱗ䴧䅅❎✬䅃䅌Ⱗ㈧㄰✳〬Ⱜ✬䌬剕䕒䍎㵙单ⱄ⤧!＀＀ ＀＀	＀＀_x0008_＀＀_x0001_＀＀_x0001_＀＀_x0001_＀＀㹃_xD9E8_뒬䁾찀蝦伕C䍑䵏䙞彅卅䥔䅍䕔✨偅䉓❇✬䕍乁Ⱗ䌧䱁❁✬〲〱ⰧⰰⰬⰧ啃剒久奃唽䑓✬착!＀＀ ＀＀	＀＀_x0008_＀＀_x0001_＀＀_x0001_＀＀_x0001_＀＀櫰㎹Ⱃ䀅찀蝖伕_x0014_䅃䵖䙞彇剐䍉⡅〴㈹⤵!＀＀ ＀＀	＀＀_x0008_＀＀_x0001_＀＀_x0001_＀＀_x0001_＀＀슏⣵콜䀿찀蝠伕A义䍔䙞彅卅䥔䅍䕔✨䍆❆✬䕍乁Ⱗ䌧䱁❁✬〲〱ⰧⰰⰬⰧ啃剒久奃唽䑓✬착!＀＀ ＀＀	＀＀_x0008_＀＀_x0001_＀＀_x0001_＀＀_x0001_＀＀晧晦㏦䃂찀蝩伕 呓ⵍ剆偞灟楲散桟杩彨㈵⡷ⰰⰬ单⥄!＀＀ ＀＀	＀＀_x0008_＀＀_x0001_＀＀_x0001_＀＀_x0001_＀＀갭᜛䀫찀蝨伕_x001A_前䱖䙞彇剐䍉⡅〴㈹ⰵⰬ单⥄!＀＀ ＀＀	＀＀_x0008_＀＀_x0001_＀＀_x0001_＀＀_x0001_＀＀슏⣵轜䀭찀蝤伕C䍑䵏䙞彅卅䥔䅍䕔✨䅓䕌❓✬䕍乁Ⱗ䌧䱁❁✬〲〱ⰧⰰⰬⰧ啃剒久奃唽䑓✬착!＀＀ ＀＀	＀＀_x0008_＀＀_x0001_＀＀_x0001_＀＀_x0001_＀＀鞍ቮ歓䃇찀蝭伕J呓ⵍ剆䙞彅卅䥔䅍䕔✨啃呓䵏䕟卐Ⱗ䴧䅅❎✬䅃䅌Ⱗ㈧㄰✳〬Ⱜ✬䌬剕䕒䍎㵙单ⱄ⤧!＀＀ ＀＀	＀＀_x0008_＀＀_x0001_＀＀_x0001_＀＀_x0001_＀＀豀碵꼝쐕찀蝟伕B义䍔䙞彅卅䥔䅍䕔✨扥瑩Ⱗ䴧䅅❎✬䅃䅌Ⱗ㈧㄰✰〬Ⱜ✬䌬剕䕒䍎㵙单ⱄ⤧!＀＀ ＀＀	＀＀_x0008_＀＀_x0001_＀＀_x0001_＀＀_x0001_＀＀鞍ቮ_xD9E3_䃎찀蝛伕B剁䡍䙞彅卅䥔䅍䕔✨扥瑩Ⱗ䴧䅅❎✬䅃䅌Ⱗ㈧〰✷〬Ⱜ✬䌬剕䕒䍎㵙单ⱄ⤧!＀＀ ＀＀	＀＀_x0008_＀＀_x0001_＀＀_x0001_＀＀_x0001_＀＀壢뜗壑䁡찀蝩伕_x0014_䱘塎䙞彇剐䍉⡅〴㈹⤵!＀＀ ＀＀	＀＀_x0008_＀＀_x0001_＀＀_x0001_＀＀_x0001_＀＀蔟凫纸䁀찀蝧伕H䍑䵏䙞彅卅䥔䅍䕔✨啃呓䵏䕟卐Ⱗ䴧䅅❎✬䅃䅌Ⱗ㈧〰✶〬Ⱜ✬䌬剕䕒䍎㵙单ⱄ⤧!＀＀ ＀＀	＀＀_x0008_＀＀_x0001_＀＀_x0001_＀＀_x0001_＀＀饰旓넱㿸찀蝥伕C䍑䵏䙞彅卅䥔䅍䕔✨䅃䕐❘✬䕍乁Ⱗ䌧䱁❁✬〲〱ⰧⰰⰬⰧ啃剒久奃唽䑓✬착!＀＀ ＀＀	＀＀_x0008_＀＀_x0001_＀＀_x0001_＀＀_x0001_＀＀폄攫_xFFFF_９䁼찀蝬伕E呓ⵍ剆䙞彅卅䥔䅍䕔✨偅䉓❇✬䕍乁Ⱗ䌧䱁❁✬〲㈱ⰧⰰⰬⰧ啃剒久奃唽䑓✬착!＀＀ ＀＀	＀＀_x0008_＀＀_x0001_＀＀_x0001_＀＀_x0001_＀＀꿌胦㿔찀蝨伕A䍑䵏䙞彅卅䥔䅍䕔✨偄❓✬䕍乁Ⱗ䌧䱁❁✬〲ㄱⰧⰰⰬⰧ啃剒久奃唽䑓✬착!＀＀ ＀＀	＀＀_x0008_＀＀_x0001_＀＀_x0001_＀＀_x0001_＀＀堆ϵ敨㿪찀蝛伕A剁䡍䙞彅卅䥔䅍䕔✨䍆❆✬䕍乁Ⱗ䌧䱁❁✬〲㘰ⰧⰰⰬⰧ啃剒久奃唽䑓✬착!＀＀ ＀＀	＀＀_x0008_＀＀_x0001_＀＀_x0001_＀＀_x0001_＀＀슐⣵赜䁠찀蝫伕@䑁幉䕆䕟呓䵉呁⡅䘧䙃Ⱗ䴧䅅❎✬䅃䅌Ⱗ㈧〰✷〬Ⱜ✬䌬剕䕒䍎㵙单ⱄ⤧!＀＀ ＀＀	＀＀_x0008_＀＀_x0001_＀＀_x0001_＀＀_x0001_＀＀ᚇ컙⿷䂅찀蝦伕A䍑䵏䙞彅卅䥔䅍䕔✨䍆❆✬䕍乁Ⱗ䌧䱁❁✬〲㠰ⰧⰰⰬⰧ啃剒久奃唽䑓✬착!＀＀ ＀＀	＀＀_x0008_＀＀_x0001_＀＀_x0001_＀＀_x0001_＀＀㌴㌳砳䂧찀蝫伕D呓ⵍ剆䙞彅卅䥔䅍䕔✨扥瑩Ⱗ䴧䅅❎✬䅃䅌Ⱗ㈧㄰✰〬Ⱜ✬䌬剕䕒䍎㵙单ⱄ⤧!＀＀ ＀＀	＀＀_x0008_＀＀_x0001_＀＀_x0001_＀＀_x0001_＀＀摚_xDF3B_䧏䂁찀蝪伕F䑁幉䕆䕟呓䵉呁⡅䤧䍎䝟佒卓Ⱗ䴧䅅❎✬䅃䅌Ⱗ㈧㄰✲〬Ⱜ✬䌬剕䕒䍎㵙单ⱄ⤧!＀＀ ＀＀	＀＀_x0008_＀＀_x0001_＀＀_x0001_＀＀_x0001_＀＀竡긔_xDDC7_䂜찀蝖伕_x0013_塍幌䝆偟䥒䕃㐨㔰㐴착!＀＀ ＀＀	＀＀_x0008_＀＀_x0001_＀＀_x0001_＀＀_x0001_＀＀롑蔞䀥찀蝪伕E呓ⵍ剆䙞彅卅䥔䅍䕔✨䅓䕌❓✬䕍乁Ⱗ䌧䱁❁✬〲㈱ⰧⰰⰬⰧ啃剒久奃唽䑓✬착!＀＀ ＀＀	＀＀_x0008_＀＀_x0001_＀＀_x0001_＀＀_x0001_＀＀凬Ẹ♅䃃찀蝡伕C义䍔䙞彅卅䥔䅍䕔✨偅䉓❇✬䕍乁Ⱗ䌧䱁❁✬〲㜰ⰧⰰⰬⰧ啃剒久奃唽䑓✬착!＀＀ ＀＀	＀＀_x0008_＀＀_x0001_＀＀_x0001_＀＀_x0001_＀＀豀碵꼝쐕찀蝪伕A䑁幉䕆䕟呓䵉呁⡅攧楢❴✬䕍乁Ⱗ䌧䱁❁✬〲㈱ⰧⰰⰬⰧ啃剒久奃唽䑓✬착!＀＀ ＀＀	＀＀_x0008_＀＀_x0001_＀＀_x0001_＀＀_x0001_＀＀鍵Иⷖ䂍찀蝤伕B噎䅄䙞彅卅䥔䅍䕔✨扥瑩Ⱗ䴧䅅❎✬䅃䅌Ⱗ㈧〰✸〬Ⱜ✬䌬剕䕒䍎㵙单ⱄ⤧!＀＀ ＀＀	＀＀_x0008_＀＀_x0001_＀＀_x0001_＀＀_x0001_＀＀錋悩䁫찀蝭伕J呓ⵍ剆䙞彅卅䥔䅍䕔✨啃呓䵏䕟卐Ⱗ䴧䅅❎✬䅃䅌Ⱗ㈧㄰✰〬Ⱜ✬䌬剕䕒䍎㵙单ⱄ⤧!＀＀ ＀＀	＀＀_x0008_＀＀_x0001_＀＀_x0001_＀＀_x0001_＀＀豀碵꼝쐕찀蝬伕B䑁幉䕆䕟呓䵉呁⡅䔧卐䝂Ⱗ䴧䅅❎✬䅃䅌Ⱗ㈧㄰✱〬Ⱜ✬䌬剕䕒䍎㵙单ⱄ⤧!＀＀ ＀＀	＀＀_x0008_＀＀_x0001_＀＀_x0001_＀＀_x0001_＀＀㆐⵷ἡ䀆찀蝫伕E呓ⵍ剆䙞彅卅䥔䅍䕔✨䅃䕐❘✬䕍乁Ⱗ䌧䱁❁✬〲㈱ⰧⰰⰬⰧ啃剒久奃唽䑓✬착!＀＀ ＀＀	＀＀_x0008_＀＀_x0001_＀＀_x0001_＀＀_x0001_＀＀⛪࠱焬䂊찀蝝伕C义䍔䙞彅卅䥔䅍䕔✨䅓䕌❓✬䕍乁Ⱗ䌧䱁❁✬〲㜰ⰧⰰⰬⰧ啃剒久奃唽䑓✬착!＀＀ ＀＀	＀＀_x0008_＀＀_x0001_＀＀_x0001_＀＀_x0001_＀＀＀＀＀＀럀䃢찀蝩伕B䑁幉䕆䕟呓䵉呁⡅匧䱁卅Ⱗ䴧䅅❎✬䅃䅌Ⱗ㈧〰✷〬Ⱜ✬䌬剕䕒䍎㵙单ⱄ⤧!＀＀ ＀＀	＀＀_x0008_＀＀_x0001_＀＀_x0001_＀＀_x0001_＀＀䦺Ȍ䂣찀蝤伕C䍑䵏䙞彅卅䥔䅍䕔✨䅓䕌❓✬䕍乁Ⱗ䌧䱁❁✬〲㌱ⰧⰰⰬⰧ啃剒久奃唽䑓✬착!＀＀ ＀＀	＀＀_x0008_＀＀_x0001_＀＀_x0001_＀＀_x0001_＀＀슏⣵왼䃔찀蝨伕_x001D_噎䅄偞灟楲散江睯㕟眲〨Ⱜ唬䑓착!＀＀ ＀＀	＀＀_x0008_＀＀_x0001_＀＀_x0001_＀＀_x0001_＀＀㵱휊䀦찀蝜伕H剁䡍䙞彅卅䥔䅍䕔✨啃呓䵏䕟卐Ⱗ䴧䅅❎✬䅃䅌Ⱗ㈧〰✷〬Ⱜ✬䌬剕䕒䍎㵙单ⱄ⤧!＀＀ ＀＀	＀＀_x0008_＀＀_x0001_＀＀_x0001_＀＀_x0001_＀＀豀碵꼝쐕찀蝟伕B义䍔䙞彅卅䥔䅍䕔✨扥瑩Ⱗ䴧䅅❎✬䅃䅌Ⱗ㈧㄰✳〬Ⱜ✬䌬剕䕒䍎㵙单ⱄ⤧!＀＀ ＀＀	＀＀_x0008_＀＀_x0001_＀＀_x0001_＀＀_x0001_＀＀＀＀＀＀炐䃒찀蝞伕K㐲㐵吭䥁䙞彅卅䥔䅍䕔✨义彃則协❓✬䕍乁Ⱗ䌧䱁❁✬〲ㄱⰧⰰⰬⰧ啃剒久奃唽䑓✬착!＀＀ ＀＀	＀＀_x0008_＀＀_x0001_＀＀_x0001_＀＀_x0001_＀＀蔟凫锸䂔찀蝧伕H䍑䵏䙞彅卅䥔䅍䕔✨啃呓䵏䕟卐Ⱗ䴧䅅❎✬䅃䅌Ⱗ㈧〰✹〬Ⱜ✬䌬剕䕒䍎㵙单ⱄ⤧!＀＀ ＀＀	＀＀_x0008_＀＀_x0001_＀＀_x0001_＀＀_x0001_＀＀鄲泒䜞㿵찀蝠伕C义䍔䙞彅卅䥔䅍䕔✨䅃䕐❘✬䕍乁Ⱗ䌧䱁❁✬〲㜰ⰧⰰⰬⰧ啃剒久奃唽䑓✬착!＀＀ ＀＀	＀＀_x0008_＀＀_x0001_＀＀_x0001_＀＀_x0001_＀＀＀＀＀＀蠀䂳찀蝛伕B剁䡍䙞彅卅䥔䅍䕔✨扥瑩Ⱗ䴧䅅❎✬䅃䅌Ⱗ㈧㄰✴〬Ⱜ✬䌬剕䕒䍎㵙单ⱄ⤧!＀＀ ＀＀	＀＀_x0008_＀＀_x0001_＀＀_x0001_＀＀_x0001_＀＀耵䂷⸂䂂찀蝫伕B䑁幉䕆䕟呓䵉呁⡅䌧偁塅Ⱗ䴧䅅❎✬䅃䅌Ⱗ㈧〰✷〬Ⱜ✬䌬剕䕒䍎㵙单ⱄ⤧!＀＀ ＀＀	＀＀_x0008_＀＀_x0001_＀＀_x0001_＀＀_x0001_＀＀攬_xFFFF_ｘ䁡찀蝪伕I呓ⵍ剆䙞彅卅䥔䅍䕔✨义彃則协❓✬䕍乁Ⱗ䌧䱁❁✬〲ㄱⰧⰰⰬⰧ啃剒久奃唽䑓✬착!＀＀ ＀＀	＀＀_x0008_＀＀_x0001_＀＀_x0001_＀＀_x0001_＀＀⣶轜如䂬찀蝥伕C䍑䵏䙞彅卅䥔䅍䕔✨䅃䕐❘✬䕍乁Ⱗ䌧䱁❁✬〲㌱ⰧⰰⰬⰧ啃剒久奃唽䑓✬착!＀＀ ＀＀	＀＀_x0008_＀＀_x0001_＀＀_x0001_＀＀_x0001_＀＀ꣂ交䂊찀蝢伕H义䍔䙞彅卅䥔䅍䕔✨啃呓䵏䕟卐Ⱗ䴧䅅❎✬䅃䅌Ⱗ㈧㄰✱〬Ⱜ✬䌬剕䕒䍎㵙单ⱄ⤧!＀＀ ＀＀	＀＀_x0008_＀＀_x0001_＀＀_x0001_＀＀_x0001_＀＀떀흪钄䀃찀蝟伕F㐲㐵吭䥁䙞彅卅䥔䅍䕔✨扥瑩Ⱗ䴧䅅❎✬䅃䅌Ⱗ㈧〰✷〬Ⱜ✬䌬剕䕒䍎㵙单ⱄ⤧!＀＀ ＀＀	＀＀_x0008_＀＀_x0001_＀＀_x0001_＀＀_x0001_＀＀凬Ẹ붅䂎찀蝛伕A剁䡍䙞彅卅䥔䅍䕔✨䍆❆✬䕍乁Ⱗ䌧䱁❁✬〲㤰ⰧⰰⰬⰧ啃剒久奃唽䑓✬착!＀＀ ＀＀	＀＀_x0008_＀＀_x0001_＀＀_x0001_＀＀_x0001_＀＀㲟퐬沚䁠찀蝜伕!㐲㐵吭䥁䙞彆䅃䡓卟⡔呑ⱒⰰⰬ唬䑓착ĉ＀＀ ＀＀ñ＀＀_x0008_＀＀_x0001_＀＀_x0001_＀＀_x0001_＀＀뀐_xDC04_詧䂣摦畳㩰⼯楄敲瑣潩獮䘯捡却瑥䄠摵瑩湩⁧楖睥牥愿瑣潩㵮啁䥄彔䅖啌♅䉄ㄽ㤲䤦ㅄ㘽㜳㐲☸䅖啌䥅㵄㈰〰☱䑓呁㵅〲ㄱ㌰倦剅佉呄偙㵅呑归呓♄䍓呆㌽眦湩潤㵷潰異彰潮扟牡眦摩桴㌽㔸栦楥桧㵴㈱☰呓剁彔䅍䥘䥍䕚㵄䅆卌♅牣慥潴㵲慦瑣敳♴楤灳慬役瑳楲杮䄽摵瑩찀蝖伕_x0014_偉䥈䙞彇剐䍉⡅〴㐵⤴!＀＀ ＀＀	＀＀_x0008_＀＀_x0001_＀＀_x0001_＀＀_x0001_＀＀ꏗ㵰ᜊ䀴찀蝨伕_x001D_义䍔偞灟楲散江睯㕟眲〨Ⱜ唬䑓착!＀＀ ＀＀	＀＀_x0008_＀＀_x0001_＀＀_x0001_＀＀_x0001_＀＀尩슏⣵䀳찀蝨伕_x001A_前䱖䙞彇剐䍉⡅〴㐵ⰴⰬ单⥄!＀＀ ＀＀	＀＀_x0008_＀＀_x0001_＀＀_x0001_＀＀_x0001_＀＀쳍쳌賌䀲찀蝬伕B䑁幉䕆䕟呓䵉呁⡅䔧卐䝂Ⱗ䴧䅅❎✬䅃䅌Ⱗ㈧㄰✴〬Ⱜ✬䌬剕䕒䍎㵙单ⱄ⤧!＀＀ ＀＀	＀＀_x0008_＀＀_x0001_＀＀_x0001_＀＀_x0001_＀＀豀碵꼝쐕찀蝛伕B剁䡍䙞彅卅䥔䅍䕔✨扥瑩Ⱗ䴧䅅❎✬䅃䅌Ⱗ㈧㄰✱〬Ⱜ✬䌬剕䕒䍎㵙单ⱄ⤧!＀＀ ＀＀	＀＀_x0008_＀＀_x0001_＀＀_x0001_＀＀_x0001_＀＀헐霯䁲찀蝞伕K㐲㐵吭䥁䙞彅卅䥔䅍䕔✨义彃則协❓✬䕍乁Ⱗ䌧䱁❁✬〲㐱ⰧⰰⰬⰧ啃剒久奃唽䑓✬착!＀＀ ＀＀	＀＀_x0008_＀＀_x0001_＀＀_x0001_＀＀_x0001_＀＀ਾꏗ런䂚찀蝤伕G䍑䵏䙞彅卅䥔䅍䕔✨义彃則协❓✬䕍乁Ⱗ䌧䱁❁✬〲㜰ⰧⰰⰬⰧ啃剒久奃唽䑓✬착!＀＀ ＀＀	＀＀_x0008_＀＀_x0001_＀＀_x0001_＀＀_x0001_＀＀탦_xDB22_ཙ䂺찀蝛伕G剁䡍䙞彅卅䥔䅍䕔✨义彃則协❓✬䕍乁Ⱗ䌧䱁❁✬〲㜰ⰧⰰⰬⰧ啃剒久奃唽䑓✬착!＀＀ ＀＀	＀＀_x0008_＀＀_x0001_＀＀_x0001_＀＀_x0001_＀＀䷒퉢䁼찀蝪伕I呓ⵍ剆䙞彅卅䥔䅍䕔✨义彃則协❓✬䕍乁Ⱗ䌧䱁❁✬〲㐱ⰧⰰⰬⰧ啃剒久奃唽䑓✬착!＀＀ ＀＀	＀＀_x0008_＀＀_x0001_＀＀_x0001_＀＀_x0001_＀＀豀碵꼝쐕찀蝬伕G䑁幉䕆䕟呓䵉呁⡅䌧单佔彍偅❓✬䕍乁Ⱗ䌧䱁❁✬〲㜰ⰧⰰⰬⰧ啃剒久奃唽䑓✬착!＀＀ ＀＀	＀＀_x0008_＀＀_x0001_＀＀_x0001_＀＀_x0001_＀＀遵菗煉㿸찀蝥伕B䍑䵏䙞彅卅䥔䅍䕔✨扥瑩Ⱗ䴧䅅❎✬䅃䅌Ⱗ㈧㄰✲〬Ⱜ✬䌬剕䕒䍎㵙单ⱄ⤧!＀＀ ＀＀	＀＀_x0008_＀＀_x0001_＀＀_x0001_＀＀_x0001_＀＀率橾ꍼ䂻찀蝛伕A剁䡍䙞彅卅䥔䅍䕔✨䍆❆✬䕍乁Ⱗ䌧䱁❁✬〲〱ⰧⰰⰬⰧ啃剒久奃唽䑓✬착!＀＀ ＀＀	＀＀_x0008_＀＀_x0001_＀＀_x0001_＀＀_x0001_＀＀ધ╆≵䁫찀蝫伕@䑁幉䕆䕟呓䵉呁⡅䘧䙃Ⱗ䴧䅅❎✬䅃䅌Ⱗ㈧㄰✱〬Ⱜ✬䌬剕䕒䍎㵙单ⱄ⤧!＀＀ ＀＀	＀＀_x0008_＀＀_x0001_＀＀_x0001_＀＀_x0001_＀＀凬Ẹ皅䂈찀蝫伕B䑁幉䕆䕟呓䵉呁⡅䌧偁塅Ⱗ䴧䅅❎✬䅃䅌Ⱗ㈧㄰✴〬Ⱜ✬䌬剕䕒䍎㵙单ⱄ⤧!＀＀ ＀＀	＀＀_x0008_＀＀_x0001_＀＀_x0001_＀＀_x0001_＀＀豀碵꼝쐕찀蝩伕_x0017_䱘塎偞灟楲散江睯㕟眲〨착!＀＀ ＀＀	＀＀_x0008_＀＀_x0001_＀＀_x0001_＀＀_x0001_＀＀쳍쳌賌䀺찀蝢伕H义䍔䙞彅卅䥔䅍䕔✨啃呓䵏䕟卐Ⱗ䴧䅅❎✬䅃䅌Ⱗ㈧㄰✴〬Ⱜ✬䌬剕䕒䍎㵙单ⱄ⤧!＀＀ ＀＀	＀＀_x0008_＀＀_x0001_＀＀_x0001_＀＀_x0001_＀＀豀碵꼝쐕찀蝨伕_x001E_㐲㐵吭䥁䙞彇剐䍉⡅〴㈹ⰵⰬ单⥄!＀＀ ＀＀	＀＀_x0008_＀＀_x0001_＀＀_x0001_＀＀_x0001_＀＀㍶ᾣ輍䀡찀蝡伕C义䍔䙞彅卅䥔䅍䕔✨偅䉓❇✬䕍乁Ⱗ䌧䱁❁✬〲ㄱⰧⰰⰬⰧ啃剒久奃唽䑓✬착!＀＀ ＀＀	＀＀_x0008_＀＀_x0001_＀＀_x0001_＀＀_x0001_＀＀芐邧딫䀄찀蝤伕B噎䅄䙞彅卅䥔䅍䕔✨扥瑩Ⱗ䴧䅅❎✬䅃䅌Ⱗ㈧㄰✲〬Ⱜ✬䌬剕䕒䍎㵙单ⱄ⤧!＀＀ ＀＀	＀＀_x0008_＀＀_x0001_＀＀_x0001_＀＀_x0001_＀＀땳䲕䂉찀蝩伕_x001F_呓ⵍ剆䙞彆䅃䡓卟⡔呑ⱒⰰⰬ唬䑓착ĉ＀＀ ＀＀ñ＀＀_x0008_＀＀_x0001_＀＀_x0001_＀＀_x0001_＀＀퓞@였䂣摦畳㩰⼯楄敲瑣潩獮䘯捡却瑥䄠摵瑩湩⁧楖睥牥愿瑣潩㵮啁䥄彔䅖啌♅䉄ㄽ㤲䤦ㅄ㔽㘹㌲☳䅖啌䥅㵄㈰〰☱䑓呁㵅〲ㄱ㌰倦剅佉呄偙㵅呑归呓♄䍓呆㌽眦湩潤㵷潰異彰潮扟牡眦摩桴㌽㔸栦楥桧㵴㈱☰呓剁彔䅍䥘䥍䕚㵄䅆卌♅牣慥潴㵲慦瑣敳♴楤灳慬役瑳楲杮䄽摵瑩찀蝩伕B䑁幉䕆䕟呓䵉呁⡅匧䱁卅Ⱗ䴧䅅❎✬䅃䅌Ⱗ㈧㄰✱〬Ⱜ✬䌬剕䕒䍎㵙单ⱄ⤧!＀＀ ＀＀	＀＀_x0008_＀＀_x0001_＀＀_x0001_＀＀_x0001_＀＀桳ᾼ䂧찀蝜伕H剁䡍䙞彅卅䥔䅍䕔✨啃呓䵏䕟卐Ⱗ䴧䅅❎✬䅃䅌Ⱗ㈧㄰✱〬Ⱜ✬䌬剕䕒䍎㵙单ⱄ⤧!＀＀ ＀＀	＀＀_x0008_＀＀_x0001_＀＀_x0001_＀＀_x0001_＀＀豀碵꼝쐕찀蝖伕_x0018_偉䥈偞灟楲散桟杩彨㈵⡷⤰!＀＀ ＀＀	＀＀_x0008_＀＀_x0001_＀＀_x0001_＀＀_x0001_＀＀㌴㌳㌳䀻찀蝧伕H䍑䵏䙞彅卅䥔䅍䕔✨啃呓䵏䕟卐Ⱗ䴧䅅❎✬䅃䅌Ⱗ㈧㄰✳〬Ⱜ✬䌬剕䕒䍎㵙单ⱄ⤧!＀＀ ＀＀	＀＀_x0008_＀＀_x0001_＀＀_x0001_＀＀_x0001_＀＀ᤕ逝분䀎찀蝫伕B䑁幉䕆䕟呓䵉呁⡅䌧偁塅Ⱗ䴧䅅❎✬䅃䅌Ⱗ㈧㄰✱〬Ⱜ✬䌬剕䕒䍎㵙单ⱄ⤧!＀＀ ＀＀	＀＀_x0008_＀＀_x0001_＀＀_x0001_＀＀_x0001_＀＀➧₀䁟찀蝟伕F㐲㐵吭䥁䙞彅卅䥔䅍䕔✨扥瑩Ⱗ䴧䅅❎✬䅃䅌Ⱗ㈧㄰✱〬Ⱜ✬䌬剕䕒䍎㵙单ⱄ⤧!＀＀ ＀＀	＀＀_x0008_＀＀_x0001_＀＀_x0001_＀＀_x0001_＀＀㵱휊ಣ䁻찀蝛伕G剁䡍䙞彅卅䥔䅍䕔✨义彃則协❓✬䕍乁Ⱗ䌧䱁❁✬〲㐱ⰧⰰⰬⰧ啃剒久奃唽䑓✬착!＀＀ ＀＀	＀＀_x0008_＀＀_x0001_＀＀_x0001_＀＀_x0001_＀＀閁譃罬䂓찀蝢伕L㐲㐵吭䥁䙞彅卅䥔䅍䕔✨啃呓䵏䕟卐Ⱗ䴧䅅❎✬䅃䅌Ⱗ㈧〰✷〬Ⱜ✬䌬剕䕒䍎㵙单ⱄ⤧!＀＀ ＀＀	＀＀_x0008_＀＀_x0001_＀＀_x0001_＀＀_x0001_＀＀豀碵꼝쐕찀蝛伕A剁䡍䙞彅卅䥔䅍䕔✨䍆❆✬䕍乁Ⱗ䌧䱁❁✬〲㌱ⰧⰰⰬⰧ啃剒久奃唽䑓✬착!＀＀ ＀＀	＀＀_x0008_＀＀_x0001_＀＀_x0001_＀＀_x0001_＀＀偈᣼ၳ䁶찀蝫伕@䑁幉䕆䕟呓䵉呁⡅䘧䙃Ⱗ䴧䅅❎✬䅃䅌Ⱗ㈧㄰✴〬Ⱜ✬䌬剕䕒䍎㵙单ⱄ⤧!＀＀ ＀＀	＀＀_x0008_＀＀_x0001_＀＀_x0001_＀＀_x0001_＀＀豀碵꼝쐕찀蝬伕G䑁幉䕆䕟呓䵉呁⡅䌧单佔彍偅❓✬䕍乁Ⱗ䌧䱁❁✬〲㐱ⰧⰰⰬⰧ啃剒久奃唽䑓✬착!＀＀ ＀＀	＀＀_x0008_＀＀_x0001_＀＀_x0001_＀＀_x0001_＀＀豀碵꼝쐕찀蝤伕G噎䅄䙞彅卅䥔䅍䕔✨义彃則协❓✬䕍乁Ⱗ䌧䱁❁✬〲㠰ⰧⰰⰬⰧ啃剒久奃唽䑓✬착!＀＀ ＀＀	＀＀_x0008_＀＀_x0001_＀＀_x0001_＀＀_x0001_＀＀䖢䥽䂓찀蝨伕_x001A_剁䡍䙞彇剐䍉⡅〴㈹ⰵⰬ单⥄!＀＀ ＀＀	＀＀_x0008_＀＀_x0001_＀＀_x0001_＀＀_x0001_＀＀롑䔞䀺찀蝬伕C呓ⵍ剆䙞彅卅䥔䅍䕔✨䍆❆✬䕍乁Ⱗ䌧䱁❁✬〲㜰ⰧⰰⰬⰧ啃剒久奃唽䑓✬착!＀＀ ＀＀	＀＀_x0008_＀＀_x0001_＀＀_x0001_＀＀_x0001_＀＀轜芨䂄찀蝡伕C义䍔䙞彅卅䥔䅍䕔✨偅䉓❇✬䕍乁Ⱗ䌧䱁❁✬〲㐱ⰧⰰⰬⰧ啃剒久奃唽䑓✬착!＀＀ ＀＀	＀＀_x0008_＀＀_x0001_＀＀_x0001_＀＀_x0001_＀＀豀碵꼝쐕찀蝖伕_x0013_塍幌䝆偟䥒䕃㐨㤰㔲착!＀＀ ＀＀	＀＀_x0008_＀＀_x0001_＀＀_x0001_＀＀_x0001_＀＀Ẹ롑䀔찀蝦伕C噎䅄䙞彅卅䥔䅍䕔✨偅䉓❇✬䕍乁Ⱗ䌧䱁❁✬〲㠰ⰧⰰⰬⰧ啃剒久奃唽䑓✬착!＀＀ ＀＀	＀＀_x0008_＀＀_x0001_＀＀_x0001_＀＀_x0001_＀＀쮨ᮽ썦㿣찀蝧伕H䍑䵏䙞彅卅䥔䅍䕔✨啃呓䵏䕟卐Ⱗ䴧䅅❎✬䅃䅌Ⱗ㈧㄰✰〬Ⱜ✬䌬剕䕒䍎㵙单ⱄ⤧!＀＀ ＀＀	＀＀_x0008_＀＀_x0001_＀＀_x0001_＀＀_x0001_＀＀섁㴜콾䀂찀蝢伕E㐲㐵吭䥁䙞彅卅䥔䅍䕔✨偄❓✬䕍乁Ⱗ䌧䱁❁✬〲ㄱⰧⰰⰬⰧ啃剒久奃唽䑓✬착!＀＀ ＀＀	＀＀_x0008_＀＀_x0001_＀＀_x0001_＀＀_x0001_＀＀䖾里☺㿞찀蝡伕G㐲㐵吭䥁䙞彅卅䥔䅍䕔✨偅䉓❇✬䕍乁Ⱗ䌧䱁❁✬〲㤰ⰧⰰⰬⰧ啃剒久奃唽䑓✬착!＀＀ ＀＀	＀＀_x0008_＀＀_x0001_＀＀_x0001_＀＀_x0001_＀＀尵黤㿰찀蝝伕C义䍔䙞彅卅䥔䅍䕔✨䅓䕌❓✬䕍乁Ⱗ䌧䱁❁✬〲㐱ⰧⰰⰬⰧ啃剒久奃唽䑓✬착!＀＀ ＀＀	＀＀_x0008_＀＀_x0001_＀＀_x0001_＀＀_x0001_＀＀㌴㌳⸣䃯찀蝜伕H剁䡍䙞彅卅䥔䅍䕔✨啃呓䵏䕟卐Ⱗ䴧䅅❎✬䅃䅌Ⱗ㈧㄰✴〬Ⱜ✬䌬剕䕒䍎㵙单ⱄ⤧!＀＀ ＀＀	＀＀_x0008_＀＀_x0001_＀＀_x0001_＀＀_x0001_＀＀豀碵꼝쐕찀蝣伕C噎䅄䙞彅卅䥔䅍䕔✨䅓䕌❓✬䕍乁Ⱗ䌧䱁❁✬〲㠰ⰧⰰⰬⰧ啃剒久奃唽䑓✬착!＀＀ ＀＀	＀＀_x0008_＀＀_x0001_＀＀_x0001_＀＀_x0001_＀＀司ꗣ㖛䂫찀蝤伕G䍑䵏䙞彅卅䥔䅍䕔✨义彃則协❓✬䕍乁Ⱗ䌧䱁❁✬〲ㄱⰧⰰⰬⰧ啃剒久奃唽䑓✬착!＀＀ ＀＀	＀＀_x0008_＀＀_x0001_＀＀_x0001_＀＀_x0001_＀＀뙆ﷳ뾄䃄찀蝛伕G剁䡍䙞彅卅䥔䅍䕔✨义彃則协❓✬䕍乁Ⱗ䌧䱁❁✬〲ㄱⰧⰰⰬⰧ啃剒久奃唽䑓✬착!＀＀ ＀＀	＀＀_x0008_＀＀_x0001_＀＀_x0001_＀＀_x0001_＀＀㛢㰚䂆찀蝠伕C义䍔䙞彅卅䥔䅍䕔✨䅃䕐❘✬䕍乁Ⱗ䌧䱁❁✬〲㐱ⰧⰰⰬⰧ啃剒久奃唽䑓✬착!＀＀ ＀＀	＀＀_x0008_＀＀_x0001_＀＀_x0001_＀＀_x0001_＀＀쳍쳌먌䃀찀蝦伕A䍑䵏䙞彅卅䥔䅍䕔✨䍆❆✬䕍乁Ⱗ䌧䱁❁✬〲㈱ⰧⰰⰬⰧ啃剒久奃唽䑓✬착!＀＀ ＀＀	＀＀_x0008_＀＀_x0001_＀＀_x0001_＀＀_x0001_＀＀ㄧ갈䂸찀蝬伕G䑁幉䕆䕟呓䵉呁⡅䌧单佔彍偅❓✬䕍乁Ⱗ䌧䱁❁✬〲ㄱⰧⰰⰬⰧ啃剒久奃唽䑓✬착!＀＀ ＀＀	＀＀_x0008_＀＀_x0001_＀＀_x0001_＀＀_x0001_＀＀踲⨑䀅찀蝩伕_x001C_䑁幉彐牰捩彥潬彷㈵⡷ⰰⰬ单⥄!＀＀ ＀＀	＀＀_x0008_＀＀_x0001_＀＀_x0001_＀＀_x0001_＀＀ᑻ䞮㫡䀽찀蝥伕C噎䅄䙞彅卅䥔䅍䕔✨䅃䕐❘✬䕍乁Ⱗ䌧䱁❁✬〲㠰ⰧⰰⰬⰧ啃剒久奃唽䑓✬착!＀＀ ＀＀	＀＀_x0008_＀＀_x0001_＀＀_x0001_＀＀_x0001_＀＀楅墅䁷찀蝟伕F㐲㐵吭䥁䙞彅卅䥔䅍䕔✨扥瑩Ⱗ䴧䅅❎✬䅃䅌Ⱗ㈧㄰✴〬Ⱜ✬䌬剕䕒䍎㵙单ⱄ⤧!＀＀ ＀＀	＀＀_x0008_＀＀_x0001_＀＀_x0001_＀＀_x0001_＀＀˞訉䊟䂂찀蝨伕_x001E_㐲㐵吭䥁䙞彇剐䍉⡅〴㐵ⰴⰬ单⥄!＀＀ ＀＀	＀＀_x0008_＀＀_x0001_＀＀_x0001_＀＀_x0001_＀＀ꨢ柰ꍸ䀬찀蝡伕G㐲㐵吭䥁䙞彅卅䥔䅍䕔✨偅䉓❇✬䕍乁Ⱗ䌧䱁❁✬〲㘰ⰧⰰⰬⰧ啃剒久奃唽䑓✬착!＀＀ ＀＀	＀＀_x0008_＀＀_x0001_＀＀_x0001_＀＀_x0001_＀＀ᆈꏂ⎍㿤찀蝞伕G义䍔䙞彅卅䥔䅍䕔✨义彃則协❓✬䕍乁Ⱗ䌧䱁❁✬〲㤰ⰧⰰⰬⰧ啃剒久奃唽䑓✬착!＀＀ ＀＀	＀＀_x0008_＀＀_x0001_＀＀_x0001_＀＀_x0001_＀＀＀＀＀＀ᩀ䃓찀蝝伕C义䍔䙞彅卅䥔䅍䕔✨䅓䕌❓✬䕍乁Ⱗ䌧䱁❁✬〲ㄱⰧⰰⰬⰧ啃剒久奃唽䑓✬착!＀＀ ＀＀	＀＀_x0008_＀＀_x0001_＀＀_x0001_＀＀_x0001_＀＀＀＀＀＀匰䃪찀蝧伕H噎䅄䙞彅卅䥔䅍䕔✨啃呓䵏䕟卐Ⱗ䴧䅅❎✬䅃䅌Ⱗ㈧〰✶〬Ⱜ✬䌬剕䕒䍎㵙单ⱄ⤧!＀＀ ＀＀	＀＀_x0008_＀＀_x0001_＀＀_x0001_＀＀_x0001_＀＀豀碵꼝쐕찀蝞伕G㐲㐵吭䥁䙞彅卅䥔䅍䕔✨䅓䕌❓✬䕍乁Ⱗ䌧䱁❁✬〲㘰ⰧⰰⰬⰧ啃剒久奃唽䑓✬착!＀＀ ＀＀	＀＀_x0008_＀＀_x0001_＀＀_x0001_＀＀_x0001_＀＀ꧻ_xDFF1_䂙찀蝖伕_x0014_偉䥈䙞彇剐䍉⡅〴㈹⤵!＀＀ ＀＀	＀＀_x0008_＀＀_x0001_＀＀_x0001_＀＀_x0001_＀＀Ẹ㡑䀨찀蝠伕C义䍔䙞彅卅䥔䅍䕔✨䅃䕐❘✬䕍乁Ⱗ䌧䱁❁✬〲ㄱⰧⰰⰬⰧ啃剒久奃唽䑓✬착!＀＀ ＀＀	＀＀_x0008_＀＀_x0001_＀＀_x0001_＀＀_x0001_＀＀娝㭤夏䃃찀蝤伕G䍑䵏䙞彅卅䥔䅍䕔✨义彃則协❓✬䕍乁Ⱗ䌧䱁❁✬〲㐱ⰧⰰⰬⰧ啃剒久奃唽䑓✬착!＀＀ ＀＀	＀＀_x0008_＀＀_x0001_＀＀_x0001_＀＀_x0001_＀＀閁譃䃍찀蝢伕A义䍔䙞彅卅䥔䅍䕔✨偄❓✬䕍乁Ⱗ䌧䱁❁✬〲ㄱⰧⰰⰬⰧ啃剒久奃唽䑓✬착!＀＀ ＀＀	＀＀_x0008_＀＀_x0001_＀＀_x0001_＀＀_x0001_＀＀篂㊳㿩찀蝛伕C剁䡍䙞彅卅䥔䅍䕔✨偅䉓❇✬䕍乁Ⱗ䌧䱁❁✬〲㠰ⰧⰰⰬⰧ啃剒久奃唽䑓✬착!＀＀ ＀＀	＀＀_x0008_＀＀_x0001_＀＀_x0001_＀＀_x0001_＀＀္֒㿎찀蝠伕G㐲㐵吭䥁䙞彅卅䥔䅍䕔✨䅃䕐❘✬䕍乁Ⱗ䌧䱁❁✬〲㘰ⰧⰰⰬⰧ啃剒久奃唽䑓✬착!＀＀ ＀＀	＀＀_x0008_＀＀_x0001_＀＀_x0001_＀＀_x0001_＀＀Ꝉ粮䁈찀蝢伕L㐲㐵吭䥁䙞彅卅䥔䅍䕔✨啃呓䵏䕟卐Ⱗ䴧䅅❎✬䅃䅌Ⱗ㈧㄰✱〬Ⱜ✬䌬剕䕒䍎㵙单ⱄ⤧!＀＀ ＀＀	＀＀_x0008_＀＀_x0001_＀＀_x0001_＀＀_x0001_＀＀豀碵꼝쐕찀蝛伕C剁䡍䙞彅卅䥔䅍䕔✨䅓䕌❓✬䕍乁Ⱗ䌧䱁❁✬〲㠰ⰧⰰⰬⰧ啃剒久奃唽䑓✬착!＀＀ ＀＀	＀＀_x0008_＀＀_x0001_＀＀_x0001_＀＀_x0001_＀＀낊_xDC95_䁺찀蝤伕G噎䅄䙞彅卅䥔䅍䕔✨义彃則协❓✬䕍乁Ⱗ䌧䱁❁✬〲㈱ⰧⰰⰬⰧ啃剒久奃唽䑓✬착!＀＀ ＀＀	＀＀_x0008_＀＀_x0001_＀＀_x0001_＀＀_x0001_＀＀䂡찀蝞伕G义䍔䙞彅卅䥔䅍䕔✨义彃則协❓✬䕍乁Ⱗ䌧䱁❁✬〲㘰ⰧⰰⰬⰧ啃剒久奃唽䑓✬착!＀＀ ＀＀	＀＀_x0008_＀＀_x0001_＀＀_x0001_＀＀_x0001_＀＀豀碵꼝쐕찀蝨伕_x001A_剁䡍䙞彇剐䍉⡅〴㐵ⰴⰬ单⥄!＀＀ ＀＀	＀＀_x0008_＀＀_x0001_＀＀_x0001_＀＀_x0001_＀＀＀＀＀＀쀀䀴찀蝬伕C呓ⵍ剆䙞彅卅䥔䅍䕔✨䍆❆✬䕍乁Ⱗ䌧䱁❁✬〲ㄱⰧⰰⰬⰧ啃剒久奃唽䑓✬착!＀＀ ＀＀	＀＀_x0008_＀＀_x0001_＀＀_x0001_＀＀_x0001_＀＀礀媯悙䀹찀蝛伕C剁䡍䙞彅卅䥔䅍䕔✨䅃䕐❘✬䕍乁Ⱗ䌧䱁❁✬〲㠰ⰧⰰⰬⰧ啃剒久奃唽䑓✬착!＀＀ ＀＀	＀＀_x0008_＀＀_x0001_＀＀_x0001_＀＀_x0001_＀＀덫኱㳳䀭찀蝨伕_x0017_剂䵃偞灟楲散江睯㕟眲〨착!＀＀ ＀＀	＀＀_x0008_＀＀_x0001_＀＀_x0001_＀＀_x0001_＀＀ꏗ㵰霊䀻찀蝥伕A噎䅄䙞彅卅䥔䅍䕔✨䍆❆✬䕍乁Ⱗ䌧䱁❁✬〲㜰ⰧⰰⰬⰧ啃剒久奃唽䑓✬착!＀＀ ＀＀	＀＀_x0008_＀＀_x0001_＀＀_x0001_＀＀_x0001_＀＀낊ﺕ䂉찀蝦伕C噎䅄䙞彅卅䥔䅍䕔✨偅䉓❇✬䕍乁Ⱗ䌧䱁❁✬〲㈱ⰧⰰⰬⰧ啃剒久奃唽䑓✬착!＀＀ ＀＀	＀＀_x0008_＀＀_x0001_＀＀_x0001_＀＀_x0001_＀＀肮㵂쑽㿴찀蝠伕E㐲㐵吭䥁䙞彅卅䥔䅍䕔✨䍆❆✬䕍乁Ⱗ䌧䱁❁✬〲㠰ⰧⰰⰬⰧ啃剒久奃唽䑓✬착!＀＀ ＀＀	＀＀_x0008_＀＀_x0001_＀＀_x0001_＀＀_x0001_＀＀鵊⚀_xD942_䂋찀蝡伕G㐲㐵吭䥁䙞彅卅䥔䅍䕔✨偅䉓❇✬䕍乁Ⱗ䌧䱁❁✬〲㌱ⰧⰰⰬⰧ啃剒久奃唽䑓✬착!＀＀ ＀＀	＀＀_x0008_＀＀_x0001_＀＀_x0001_＀＀_x0001_＀＀ꅰ菡ꆍ㿤찀蝧伕H噎䅄䙞彅卅䥔䅍䕔✨啃呓䵏䕟卐Ⱗ䴧䅅❎✬䅃䅌Ⱗ㈧〰✹〬Ⱜ✬䌬剕䕒䍎㵙单ⱄ⤧!＀＀ ＀＀	＀＀_x0008_＀＀_x0001_＀＀_x0001_＀＀_x0001_＀＀贻咴軞㿐찀蝞伕G㐲㐵吭䥁䙞彅卅䥔䅍䕔✨䅓䕌❓✬䕍乁Ⱗ䌧䱁❁✬〲㤰ⰧⰰⰬⰧ啃剒久奃唽䑓✬착!＀＀ ＀＀	＀＀_x0008_＀＀_x0001_＀＀_x0001_＀＀_x0001_＀＀퓾㧦䂬찀蝨伕_x001A_䍑䵏䙞彇剐䍉⡅〴㈹ⰵⰬ单⥄!＀＀ ＀＀	＀＀_x0008_＀＀_x0001_＀＀_x0001_＀＀_x0001_＀＀롑䔞䁌찀蝣伕C噎䅄䙞彅卅䥔䅍䕔✨䅓䕌❓✬䕍乁Ⱗ䌧䱁❁✬〲㈱ⰧⰰⰬⰧ啃剒久奃唽䑓✬착!＀＀ ＀＀	＀＀_x0008_＀＀_x0001_＀＀_x0001_＀＀_x0001_＀＀ꏗ㵰⏪䂱찀蝠伕G㐲㐵吭䥁䙞彅卅䥔䅍䕔✨䅃䕐❘✬䕍乁Ⱗ䌧䱁❁✬〲㤰ⰧⰰⰬⰧ啃剒久奃唽䑓✬착!＀＀ ＀＀	＀＀_x0008_＀＀_x0001_＀＀_x0001_＀＀_x0001_＀＀괮쒆긽䁄찀蝥伕C噎䅄䙞彅卅䥔䅍䕔✨䅃䕐❘✬䕍乁Ⱗ䌧䱁❁✬〲㈱ⰧⰰⰬⰧ啃剒久奃唽䑓✬착!＀＀ ＀＀	＀＀_x0008_＀＀_x0001_＀＀_x0001_＀＀_x0001_＀＀磕⛩렱䁡찀蝖伕_x0017_塍幌彐牰捩彥楨桧㕟眲〨착!＀＀ ＀＀	＀＀_x0008_＀＀_x0001_＀＀_x0001_＀＀_x0001_＀＀ᑻ䞮竡䀩찀蝢伕L㐲㐵吭䥁䙞彅卅䥔䅍䕔✨啃呓䵏䕟卐Ⱗ䴧䅅❎✬䅃䅌Ⱗ㈧㄰✴〬Ⱜ✬䌬剕䕒䍎㵙单ⱄ⤧!＀＀ ＀＀	＀＀_x0008_＀＀_x0001_＀＀_x0001_＀＀_x0001_＀＀豀碵꼝쐕찀蝬伕E呓ⵍ剆䙞彅卅䥔䅍䕔✨偅䉓❇✬䕍乁Ⱗ䌧䱁❁✬〲㜰ⰧⰰⰬⰧ啃剒久奃唽䑓✬착!＀＀ ＀＀	＀＀_x0008_＀＀_x0001_＀＀_x0001_＀＀_x0001_＀＀⌇৶ᢠ㿨찀蝬伕C呓ⵍ剆䙞彅卅䥔䅍䕔✨䍆❆✬䕍乁Ⱗ䌧䱁❁✬〲㐱ⰧⰰⰬⰧ啃剒久奃唽䑓✬착!＀＀ ＀＀	＀＀_x0008_＀＀_x0001_＀＀_x0001_＀＀_x0001_＀＀＀＀＀＀Ѐ䂗찀蝡伕G㐲㐵吭䥁䙞彅卅䥔䅍䕔✨偅䉓❇✬䕍乁Ⱗ䌧䱁❁✬〲〱ⰧⰰⰬⰧ啃剒久奃唽䑓✬착!＀＀ ＀＀	＀＀_x0008_＀＀_x0001_＀＀_x0001_＀＀_x0001_＀＀毠䝣䨾㿯찀蝞伕G义䍔䙞彅卅䥔䅍䕔✨义彃則协❓✬䕍乁Ⱗ䌧䱁❁✬〲㌱ⰧⰰⰬⰧ啃剒久奃唽䑓✬착!＀＀ ＀＀	＀＀_x0008_＀＀_x0001_＀＀_x0001_＀＀_x0001_＀＀＀＀＀＀ⶐ䃢찀蝪伕F䑁幉䕆䕟呓䵉呁⡅䤧䍎䝟佒卓Ⱗ䴧䅅❎✬䅃䅌Ⱗ㈧〰✷〬Ⱜ✬䌬剕䕒䍎㵙单ⱄ⤧!＀＀ ＀＀	＀＀_x0008_＀＀_x0001_＀＀_x0001_＀＀_x0001_＀＀绺뱪䂗찀蝧伕H噎䅄䙞彅卅䥔䅍䕔✨啃呓䵏䕟卐Ⱗ䴧䅅❎✬䅃䅌Ⱗ㈧㄰✰〬Ⱜ✬䌬剕䕒䍎㵙单ⱄ⤧!＀＀ ＀＀	＀＀_x0008_＀＀_x0001_＀＀_x0001_＀＀_x0001_＀＀䋊㒅뵴㿣찀蝞伕G㐲㐵吭䥁䙞彅卅䥔䅍䕔✨䅓䕌❓✬䕍乁Ⱗ䌧䱁❁✬〲〱ⰧⰰⰬⰧ啃剒久奃唽䑓✬착!＀＀ ＀＀	＀＀_x0008_＀＀_x0001_＀＀_x0001_＀＀_x0001_＀＀삃ꇊ汅䂮찀蝦伕C䍑䵏䙞彅卅䥔䅍䕔✨偅䉓❇✬䕍乁Ⱗ䌧䱁❁✬〲㠰ⰧⰰⰬⰧ啃剒久奃唽䑓✬착!＀＀ ＀＀	＀＀_x0008_＀＀_x0001_＀＀_x0001_＀＀_x0001_＀＀_xDA94_梋ػ䀁찀蝢伕_x001B_噎䅄晞彧敤瑢瑟瑯污〨Ⱜ唬䑓착!＀＀ ＀＀	＀＀_x0008_＀＀_x0001_＀＀_x0001_＀＀_x0001_＀＀ꧻ䀵찀蝪伕A䑁幉䕆䕟呓䵉呁⡅攧楢❴✬䕍乁Ⱗ䌧䱁❁✬〲㜰ⰧⰰⰬⰧ啃剒久奃唽䑓✬착!＀＀ ＀＀	＀＀_x0008_＀＀_x0001_＀＀_x0001_＀＀_x0001_＀＀唳⨰枩䂂찀蝠伕A义䍔䙞彅卅䥔䅍䕔✨䍆❆✬䕍乁Ⱗ䌧䱁❁✬〲㠰ⰧⰰⰬⰧ啃剒久奃唽䑓✬착!＀＀ ＀＀	＀＀_x0008_＀＀_x0001_＀＀_x0001_＀＀_x0001_＀＀㽼_xD955_䂺찀蝜伕C剁䡍䙞彅卅䥔䅍䕔✨偅䉓❇✬䕍乁Ⱗ䌧䱁❁✬〲㈱ⰧⰰⰬⰧ啃剒久奃唽䑓✬착!＀＀ ＀＀	＀＀_x0008_＀＀_x0001_＀＀_x0001_＀＀_x0001_＀＀䴰饬g㿤찀蝠伕G㐲㐵吭䥁䙞彅卅䥔䅍䕔✨䅃䕐❘✬䕍乁Ⱗ䌧䱁❁✬〲〱ⰧⰰⰬⰧ啃剒久奃唽䑓✬착!＀＀ ＀＀	＀＀_x0008_＀＀_x0001_＀＀_x0001_＀＀_x0001_＀＀呡❒솠䁌찀蝨伕_x0017_䱁剔偞灟楲散江睯㕟眲〨착!＀＀ ＀＀	＀＀_x0008_＀＀_x0001_＀＀_x0001_＀＀_x0001_＀＀炤਽揗䀾찀蝤伕C䍑䵏䙞彅卅䥔䅍䕔✨䅓䕌❓✬䕍乁Ⱗ䌧䱁❁✬〲㠰ⰧⰰⰬⰧ啃剒久奃唽䑓✬착!＀＀ ＀＀	＀＀_x0008_＀＀_x0001_＀＀_x0001_＀＀_x0001_＀＀ొ⬂歗䃅찀蝟伕B义䍔䙞彅卅䥔䅍䕔✨扥瑩Ⱗ䴧䅅❎✬䅃䅌Ⱗ㈧〰✸〬Ⱜ✬䌬剕䕒䍎㵙单ⱄ⤧!＀＀ ＀＀	＀＀_x0008_＀＀_x0001_＀＀_x0001_＀＀_x0001_＀＀盉龾퍊䃁찀蝜伕_x001F_㐲㐵吭䥁晞彧敤瑢瑟瑯污〨Ⱜ唬䑓착!＀＀ ＀＀	＀＀_x0008_＀＀_x0001_＀＀_x0001_＀＀_x0001_＀＀晧Ɂ䁓찀蝞伕G义䍔䙞彅卅䥔䅍䕔✨义彃則协❓✬䕍乁Ⱗ䌧䱁❁✬〲〱ⰧⰰⰬⰧ啃剒久奃唽䑓✬착!＀＀ ＀＀	＀＀_x0008_＀＀_x0001_＀＀_x0001_＀＀_x0001_＀＀＀＀＀＀⏀䃜찀蝥伕C䍑䵏䙞彅卅䥔䅍䕔✨䅃䕐❘✬䕍乁Ⱗ䌧䱁❁✬〲㠰ⰧⰰⰬⰧ啃剒久奃唽䑓✬착!＀＀ ＀＀	＀＀_x0008_＀＀_x0001_＀＀_x0001_＀＀_x0001_＀＀䎖沋埧䂓찀蝥伕A噎䅄䙞彅卅䥔䅍䕔✨䍆❆✬䕍乁Ⱗ䌧䱁❁✬〲ㄱⰧⰰⰬⰧ啃剒久奃唽䑓✬착!＀＀ ＀＀	＀＀_x0008_＀＀_x0001_＀＀_x0001_＀＀_x0001_＀＀㼔_xDCC6_焵䂃찀蝠伕E㐲㐵吭䥁䙞彅卅䥔䅍䕔✨䍆❆✬䕍乁Ⱗ䌧䱁❁✬〲㈱ⰧⰰⰬⰧ啃剒久奃唽䑓✬착!＀＀ ＀＀	＀＀_x0008_＀＀_x0001_＀＀_x0001_＀＀_x0001_＀＀櫨딗䂃찀蝫伕D呓ⵍ剆䙞彅卅䥔䅍䕔✨扥瑩Ⱗ䴧䅅❎✬䅃䅌Ⱗ㈧〰✸〬Ⱜ✬䌬剕䕒䍎㵙单ⱄ⤧!＀＀ ＀＀	＀＀_x0008_＀＀_x0001_＀＀_x0001_＀＀_x0001_＀＀陓踡扵䁰찀蝧伕H噎䅄䙞彅卅䥔䅍䕔✨啃呓䵏䕟卐Ⱗ䴧䅅❎✬䅃䅌Ⱗ㈧㄰✳〬Ⱜ✬䌬剕䕒䍎㵙单ⱄ⤧!＀＀ ＀＀	＀＀_x0008_＀＀_x0001_＀＀_x0001_＀＀_x0001_＀＀魅_xDCE3__xDC26_㿲찀蝞伕G㐲㐵吭䥁䙞彅卅䥔䅍䕔✨䅓䕌❓✬䕍乁Ⱗ䌧䱁❁✬〲㌱ⰧⰰⰬⰧ啃剒久奃唽䑓✬착!＀＀ ＀＀	＀＀_x0008_＀＀_x0001_＀＀_x0001_＀＀_x0001_＀＀멞౉㉂䂭찀蝨伕_x001A_䍑䵏䙞彇剐䍉⡅〴㐵ⰴⰬ单⥄!＀＀ ＀＀	＀＀_x0008_＀＀_x0001_＀＀_x0001_＀＀_x0001_＀＀蔟凫뺸䁈찀蝭伕J呓ⵍ剆䙞彅卅䥔䅍䕔✨啃呓䵏䕟卐Ⱗ䴧䅅❎✬䅃䅌Ⱗ㈧〰✸〬Ⱜ✬䌬剕䕒䍎㵙单ⱄ⤧!＀＀ ＀＀	＀＀_x0008_＀＀_x0001_＀＀_x0001_＀＀_x0001_＀＀豀碵꼝쐕찀蝬伕B䑁幉䕆䕟呓䵉呁⡅䔧卐䝂Ⱗ䴧䅅❎✬䅃䅌Ⱗ㈧〰✹〬Ⱜ✬䌬剕䕒䍎㵙单ⱄ⤧!＀＀ ＀＀	＀＀_x0008_＀＀_x0001_＀＀_x0001_＀＀_x0001_＀＀좧铦㿵찀蝠伕G㐲㐵吭䥁䙞彅卅䥔䅍䕔✨䅃䕐❘✬䕍乁Ⱗ䌧䱁❁✬〲㌱ⰧⰰⰬⰧ啃剒久奃唽䑓✬착!＀＀ ＀＀	＀＀_x0008_＀＀_x0001_＀＀_x0001_＀＀_x0001_＀＀Ȣꄎ饊䁏찀蝛伕B剁䡍䙞彅卅䥔䅍䕔✨扥瑩Ⱗ䴧䅅❎✬䅃䅌Ⱗ㈧〰✶〬Ⱜ✬䌬剕䕒䍎㵙单ⱄ⤧!＀＀ ＀＀	＀＀_x0008_＀＀_x0001_＀＀_x0001_＀＀_x0001_＀＀뗲陧㠄䁝찀蝜伕"义䍔䙞彆佃彍䡓当問彔偅当䥄⡌呑ⱒ⤰ċ＀＀ ＀＀ó＀＀_x0008_＀＀_x0001_＀＀_x0001_＀＀_x0001_＀＀＀＀＀＀_xDC00_䂴摦畳㩰⼯楄敲瑣潩獮䘯捡却瑥䄠摵瑩湩⁧楖睥牥愿瑣潩㵮啁䥄彔䅖啌♅䉄ㄽ㤲䤦ㅄ㐽㠵㐱㄰☰䅖啌䥅㵄㔰㤱☴䑓呁㵅〲ㄱ㌰倦剅佉呄偙㵅呑归呓♄䍓呆㌽眦湩潤㵷潰異彰潮扟牡眦摩桴㌽㔸栦楥桧㵴㈱☰呓剁彔䅍䥘䥍䕚㵄䅆卌♅牣慥潴㵲慦瑣敳♴楤灳慬役瑳楲杮䄽摵瑩찀蝪伕I呓ⵍ剆䙞彅卅䥔䅍䕔✨义彃則协❓✬䕍乁Ⱗ䌧䱁❁✬〲㤰ⰧⰰⰬⰧ啃剒久奃唽䑓✬착!＀＀ ＀＀	＀＀_x0008_＀＀_x0001_＀＀_x0001_＀＀_x0001_＀＀桳菼䂤찀蝥伕B䍑䵏䙞彅卅䥔䅍䕔✨扥瑩Ⱗ䴧䅅❎✬䅃䅌Ⱗ㈧〰✷〬Ⱜ✬䌬剕䕒䍎㵙单ⱄ⤧!＀＀ ＀＀	＀＀_x0008_＀＀_x0001_＀＀_x0001_＀＀_x0001_＀＀褷恁薥䂬찀蝢伕H义䍔䙞彅卅䥔䅍䕔✨啃呓䵏䕟卐Ⱗ䴧䅅❎✬䅃䅌Ⱗ㈧〰✹〬Ⱜ✬䌬剕䕒䍎㵙单ⱄ⤧!＀＀ ＀＀	＀＀_x0008_＀＀_x0001_＀＀_x0001_＀＀_x0001_＀＀Ẹ롑㿲찀蝪伕E呓ⵍ剆䙞彅卅䥔䅍䕔✨䅓䕌❓✬䕍乁Ⱗ䌧䱁❁✬〲㜰ⰧⰰⰬⰧ啃剒久奃唽䑓✬착!＀＀ ＀＀	＀＀_x0008_＀＀_x0001_＀＀_x0001_＀＀_x0001_＀＀＀＀＀＀䃃찀蝥伕A噎䅄䙞彅卅䥔䅍䕔✨䍆❆✬䕍乁Ⱗ䌧䱁❁✬〲㐱ⰧⰰⰬⰧ啃剒久奃唽䑓✬착!＀＀ ＀＀	＀＀_x0008_＀＀_x0001_＀＀_x0001_＀＀_x0001_＀＀豀碵꼝쐕찀蝬伕B䑁幉䕆䕟呓䵉呁⡅䔧卐䝂Ⱗ䴧䅅❎✬䅃䅌Ⱗ㈧〰✶〬Ⱜ✬䌬剕䕒䍎㵙单ⱄ⤧!＀＀ ＀＀	＀＀_x0008_＀＀_x0001_＀＀_x0001_＀＀_x0001_＀＀_xD894_붵鋝㿹찀蝦伕C䍑䵏䙞彅卅䥔䅍䕔✨偅䉓❇✬䕍乁Ⱗ䌧䱁❁✬〲㈱ⰧⰰⰬⰧ啃剒久奃唽䑓✬착!＀＀ ＀＀	＀＀_x0008_＀＀_x0001_＀＀_x0001_＀＀_x0001_＀＀켏搒鐄䀍찀蝫伕E呓ⵍ剆䙞彅卅䥔䅍䕔✨䅃䕐❘✬䕍乁Ⱗ䌧䱁❁✬〲㜰ⰧⰰⰬⰧ啃剒久奃唽䑓✬착!＀＀ ＀＀	＀＀_x0008_＀＀_x0001_＀＀_x0001_＀＀_x0001_＀＀鶲꟯緆䂓찀蝪伕A䑁幉䕆䕟呓䵉呁⡅攧楢❴✬䕍乁Ⱗ䌧䱁❁✬〲ㄱⰧⰰⰬⰧ啃剒久奃唽䑓✬착!＀＀ ＀＀	＀＀_x0008_＀＀_x0001_＀＀_x0001_＀＀_x0001_＀＀尩슏兵䂐찀蝠伕A义䍔䙞彅卅䥔䅍䕔✨䍆❆✬䕍乁Ⱗ䌧䱁❁✬〲㈱ⰧⰰⰬⰧ啃剒久奃唽䑓✬착!＀＀ ＀＀	＀＀_x0008_＀＀_x0001_＀＀_x0001_＀＀_x0001_＀＀_xDD2F_ؤ큁䃅찀蝩伕B䑁幉䕆䕟呓䵉呁⡅匧䱁卅Ⱗ䴧䅅❎✬䅃䅌Ⱗ㈧〰✶〬Ⱜ✬䌬剕䕒䍎㵙单ⱄ⤧!＀＀ ＀＀	＀＀_x0008_＀＀_x0001_＀＀_x0001_＀＀_x0001_＀＀脆䎕ᅋ䂤찀蝞伕K㐲㐵吭䥁䙞彅卅䥔䅍䕔✨义彃則协❓✬䕍乁Ⱗ䌧䱁❁✬〲㘰ⰧⰰⰬⰧ啃剒久奃唽䑓✬착!＀＀ ＀＀	＀＀_x0008_＀＀_x0001_＀＀_x0001_＀＀_x0001_＀＀豀碵꼝쐕찀蝛伕C剁䡍䙞彅卅䥔䅍䕔✨䅓䕌❓✬䕍乁Ⱗ䌧䱁❁✬〲㈱ⰧⰰⰬⰧ啃剒久奃唽䑓✬착!＀＀ ＀＀	＀＀_x0008_＀＀_x0001_＀＀_x0001_＀＀_x0001_＀＀漁ҁ酅䂊찀蝟伕B义䍔䙞彅卅䥔䅍䕔✨扥瑩Ⱗ䴧䅅❎✬䅃䅌Ⱗ㈧㄰✲〬Ⱜ✬䌬剕䕒䍎㵙单ⱄ⤧!＀＀ ＀＀	＀＀_x0008_＀＀_x0001_＀＀_x0001_＀＀_x0001_＀＀㌳㌳䲳䃑찀蝛伕B剁䡍䙞彅卅䥔䅍䕔✨扥瑩Ⱗ䴧䅅❎✬䅃䅌Ⱗ㈧〰✹〬Ⱜ✬䌬剕䕒䍎㵙单ⱄ⤧!＀＀ ＀＀	＀＀_x0008_＀＀_x0001_＀＀_x0001_＀＀_x0001_＀＀蒶큼厳䁠찀蝪伕I呓ⵍ剆䙞彅卅䥔䅍䕔✨义彃則协❓✬䕍乁Ⱗ䌧䱁❁✬〲㘰ⰧⰰⰬⰧ啃剒久奃唽䑓✬착!＀＀ ＀＀	＀＀_x0008_＀＀_x0001_＀＀_x0001_＀＀_x0001_＀＀豀碵꼝쐕찀蝫伕B䑁幉䕆䕟呓䵉呁⡅䌧偁塅Ⱗ䴧䅅❎✬䅃䅌Ⱗ㈧〰✶〬Ⱜ✬䌬剕䕒䍎㵙单ⱄ⤧!＀＀ ＀＀	＀＀_x0008_＀＀_x0001_＀＀_x0001_＀＀_x0001_＀＀珫ᖵ忻䁠찀蝢伕H义䍔䙞彅卅䥔䅍䕔✨啃呓䵏䕟卐Ⱗ䴧䅅❎✬䅃䅌Ⱗ㈧〰✶〬Ⱜ✬䌬剕䕒䍎㵙单ⱄ⤧!＀＀ ＀＀	＀＀_x0008_＀＀_x0001_＀＀_x0001_＀＀_x0001_＀＀롑蔞㿫찀蝛伕C剁䡍䙞彅卅䥔䅍䕔✨䅃䕐❘✬䕍乁Ⱗ䌧䱁❁✬〲㈱ⰧⰰⰬⰧ啃剒久奃唽䑓✬착!＀＀ ＀＀	＀＀_x0008_＀＀_x0001_＀＀_x0001_＀＀_x0001_＀＀쾏䀱찀蝜伕A剁䡍䙞彅卅䥔䅍䕔✨偄❓✬䕍乁Ⱗ䌧䱁❁✬〲ㄱⰧⰰⰬⰧ啃剒久奃唽䑓✬착!＀＀ ＀＀	＀＀_x0008_＀＀_x0001_＀＀_x0001_＀＀_x0001_＀＀儌蘪䩐㿄찀蝬伕E呓ⵍ剆䙞彅卅䥔䅍䕔✨偅䉓❇✬䕍乁Ⱗ䌧䱁❁✬〲㐱ⰧⰰⰬⰧ啃剒久奃唽䑓✬착!＀＀ ＀＀	＀＀_x0008_＀＀_x0001_＀＀_x0001_＀＀_x0001_＀＀ᑻ䞮竡㿴찀蝫伕@䑁幉䕆䕟呓䵉呁⡅䘧䙃Ⱗ䴧䅅❎✬䅃䅌Ⱗ㈧〰✹〬Ⱜ✬䌬剕䕒䍎㵙单ⱄ⤧!＀＀ ＀＀	＀＀_x0008_＀＀_x0001_＀＀_x0001_＀＀_x0001_＀＀賧嗀䁻찀蝫伕D呓ⵍ剆䙞彅卅䥔䅍䕔✨扥瑩Ⱗ䴧䅅❎✬䅃䅌Ⱗ㈧㄰✲〬Ⱜ✬䌬剕䕒䍎㵙单ⱄ⤧!＀＀ ＀＀	＀＀_x0008_＀＀_x0001_＀＀_x0001_＀＀_x0001_＀＀懺蝨䁔찀蝪伕F䑁幉䕆䕟呓䵉呁⡅䤧䍎䝟佒卓Ⱗ䴧䅅❎✬䅃䅌Ⱗ㈧㄰✴〬Ⱜ✬䌬剕䕒䍎㵙单ⱄ⤧!＀＀ ＀＀	＀＀_x0008_＀＀_x0001_＀＀_x0001_＀＀_x0001_＀＀豀碵꼝쐕찀蝡伕C义䍔䙞彅卅䥔䅍䕔✨偅䉓❇✬䕍乁Ⱗ䌧䱁❁✬〲㤰ⰧⰰⰬⰧ啃剒久奃唽䑓✬착!＀＀ ＀＀	＀＀_x0008_＀＀_x0001_＀＀_x0001_＀＀_x0001_＀＀蔟凫Ẹ㿵찀蝭伕J呓ⵍ剆䙞彅卅䥔䅍䕔✨啃呓䵏䕟卐Ⱗ䴧䅅❎✬䅃䅌Ⱗ㈧㄰✲〬Ⱜ✬䌬剕䕒䍎㵙单ⱄ⤧!＀＀ ＀＀	＀＀_x0008_＀＀_x0001_＀＀_x0001_＀＀_x0001_＀＀豀碵꼝쐕찀蝜伕_x001B_义䍔晞彧敤瑢瑟瑯污〨Ⱜ唬䑓착!＀＀ ＀＀	＀＀_x0008_＀＀_x0001_＀＀_x0001_＀＀_x0001_＀＀＀＀＀＀䂻찀蝩伕B䑁幉䕆䕟呓䵉呁⡅匧䱁卅Ⱗ䴧䅅❎✬䅃䅌Ⱗ㈧〰✹〬Ⱜ✬䌬剕䕒䍎㵙单ⱄ⤧!＀＀ ＀＀	＀＀_x0008_＀＀_x0001_＀＀_x0001_＀＀_x0001_＀＀⬂ᚇ띙䂠찀蝞伕K㐲㐵吭䥁䙞彅卅䥔䅍䕔✨义彃則协❓✬䕍乁Ⱗ䌧䱁❁✬〲㤰ⰧⰰⰬⰧ啃剒久奃唽䑓✬착!＀＀ ＀＀	＀＀_x0008_＀＀_x0001_＀＀_x0001_＀＀_x0001_＀＀㌳㌳ꜳ䂠찀蝛伕G剁䡍䙞彅卅䥔䅍䕔✨义彃則协❓✬䕍乁Ⱗ䌧䱁❁✬〲㘰ⰧⰰⰬⰧ啃剒久奃唽䑓✬착!＀＀ ＀＀	＀＀_x0008_＀＀_x0001_＀＀_x0001_＀＀_x0001_＀＀豀碵꼝쐕찀蝬伕E呓ⵍ剆䙞彅卅䥔䅍䕔✨偅䉓❇✬䕍乁Ⱗ䌧䱁❁✬〲ㄱⰧⰰⰬⰧ啃剒久奃唽䑓✬착!＀＀ ＀＀	＀＀_x0008_＀＀_x0001_＀＀_x0001_＀＀_x0001_＀＀ᝀᤍ኏㿠찀蝫伕@䑁幉䕆䕟呓䵉呁⡅䘧䙃Ⱗ䴧䅅❎✬䅃䅌Ⱗ㈧〰✶〬Ⱜ✬䌬剕䕒䍎㵙单ⱄ⤧!＀＀ ＀＀	＀＀_x0008_＀＀_x0001_＀＀_x0001_＀＀_x0001_＀＀࢚鸛䩞䁽찀蝫伕B䑁幉䕆䕟呓䵉呁⡅䌧偁塅Ⱗ䴧䅅❎✬䅃䅌Ⱗ㈧〰✹〬Ⱜ✬䌬剕䕒䍎㵙单ⱄ⤧!＀＀ ＀＀	＀＀_x0008_＀＀_x0001_＀＀_x0001_＀＀_x0001_＀＀ㄑ堥䁐찀蝦伕A䍑䵏䙞彅卅䥔䅍䕔✨䍆❆✬䕍乁Ⱗ䌧䱁❁✬〲㜰ⰧⰰⰬⰧ啃剒久奃唽䑓✬착!＀＀ ＀＀	＀＀_x0008_＀＀_x0001_＀＀_x0001_＀＀_x0001_＀＀桳쥼䂤찀蝬伕G䑁幉䕆䕟呓䵉呁⡅䌧单佔彍偅❓✬䕍乁Ⱗ䌧䱁❁✬〲㘰ⰧⰰⰬⰧ啃剒久奃唽䑓✬착!＀＀ ＀＀	＀＀_x0008_＀＀_x0001_＀＀_x0001_＀＀_x0001_＀＀俧픛䃩㿷찀蝪伕F䑁幉䕆䕟呓䵉呁⡅䤧䍎䝟佒卓Ⱗ䴧䅅❎✬䅃䅌Ⱗ㈧㄰✱〬Ⱜ✬䌬剕䕒䍎㵙单ⱄ⤧!＀＀ ＀＀	＀＀_x0008_＀＀_x0001_＀＀_x0001_＀＀_x0001_＀＀鞍ቮ覃䂞찀蝥伕B䍑䵏䙞彅卅䥔䅍䕔✨扥瑩Ⱗ䴧䅅❎✬䅃䅌Ⱗ㈧㄰✱〬Ⱜ✬䌬剕䕒䍎㵙单ⱄ⤧!＀＀ ＀＀	＀＀_x0008_＀＀_x0001_＀＀_x0001_＀＀_x0001_＀＀䖢㑝䂷찀蝟伕F㐲㐵吭䥁䙞彅卅䥔䅍䕔✨扥瑩Ⱗ䴧䅅❎✬䅃䅌Ⱗ㈧〰✹〬Ⱜ✬䌬剕䕒䍎㵙单ⱄ⤧!＀＀ ＀＀	＀＀_x0008_＀＀_x0001_＀＀_x0001_＀＀_x0001_＀＀_xDF3B_赏씗䂑찀蝪伕E呓ⵍ剆䙞彅卅䥔䅍䕔✨䅓䕌❓✬䕍乁Ⱗ䌧䱁❁✬〲ㄱⰧⰰⰬⰧ啃剒久奃唽䑓✬착!＀＀ ＀＀	＀＀_x0008_＀＀_x0001_＀＀_x0001_＀＀_x0001_＀＀晧晦並䃃찀蝡伕C义䍔䙞彅卅䥔䅍䕔✨偅䉓❇✬䕍乁Ⱗ䌧䱁❁✬〲㘰ⰧⰰⰬⰧ啃剒久奃唽䑓✬착!＀＀ ＀＀	＀＀_x0008_＀＀_x0001_＀＀_x0001_＀＀_x0001_＀＀豀碵꼝쐕찀蝤伕B噎䅄䙞彅卅䥔䅍䕔✨扥瑩Ⱗ䴧䅅❎✬䅃䅌Ⱗ㈧〰✷〬Ⱜ✬䌬剕䕒䍎㵙单ⱄ⤧!＀＀ ＀＀	＀＀_x0008_＀＀_x0001_＀＀_x0001_＀＀_x0001_＀＀릍५廹䂋찀蝬伕B䑁幉䕆䕟呓䵉呁⡅䔧卐䝂Ⱗ䴧䅅❎✬䅃䅌Ⱗ㈧㄰✰〬Ⱜ✬䌬剕䕒䍎㵙单ⱄ⤧!＀＀ ＀＀	＀＀_x0008_＀＀_x0001_＀＀_x0001_＀＀_x0001_＀＀嫮㹂맨䀄찀蝫伕E呓ⵍ剆䙞彅卅䥔䅍䕔✨䅃䕐❘✬䕍乁Ⱗ䌧䱁❁✬〲ㄱⰧⰰⰬⰧ啃剒久奃唽䑓✬착!＀＀ ＀＀	＀＀_x0008_＀＀_x0001_＀＀_x0001_＀＀_x0001_＀＀酩糭찿䂓찀蝨伕_x001E_前䱖偞灟楲散桟杩彨㈵⡷ⰰⰬ单⥄!＀＀ ＀＀	＀＀_x0008_＀＀_x0001_＀＀_x0001_＀＀_x0001_＀＀尨ʏ䀶찀蝝伕C义䍔䙞彅卅䥔䅍䕔✨䅓䕌❓✬䕍乁Ⱗ䌧䱁❁✬〲㘰ⰧⰰⰬⰧ啃剒久奃唽䑓✬착!＀＀ ＀＀	＀＀_x0008_＀＀_x0001_＀＀_x0001_＀＀_x0001_＀＀＀＀＀＀䛀䃡찀蝤伕C䍑䵏䙞彅卅䥔䅍䕔✨䅓䕌❓✬䕍乁Ⱗ䌧䱁❁✬〲㈱ⰧⰰⰬⰧ啃剒久奃唽䑓✬착!＀＀ ＀＀	＀＀_x0008_＀＀_x0001_＀＀_x0001_＀＀_x0001_＀＀ᑻ䞮赑䃒찀蝜伕H剁䡍䙞彅卅䥔䅍䕔✨啃呓䵏䕟卐Ⱗ䴧䅅❎✬䅃䅌Ⱗ㈧〰✶〬Ⱜ✬䌬剕䕒䍎㵙单ⱄ⤧!＀＀ ＀＀	＀＀_x0008_＀＀_x0001_＀＀_x0001_＀＀_x0001_＀＀豀碵꼝쐕찀蝞伕K㐲㐵吭䥁䙞彅卅䥔䅍䕔✨义彃則协❓✬䕍乁Ⱗ䌧䱁❁✬〲〱ⰧⰰⰬⰧ啃剒久奃唽䑓✬착!＀＀ ＀＀	＀＀_x0008_＀＀_x0001_＀＀_x0001_＀＀_x0001_＀＀ᑺ낮䂠찀蝧伕H䍑䵏䙞彅卅䥔䅍䕔✨啃呓䵏䕟卐Ⱗ䴧䅅❎✬䅃䅌Ⱗ㈧〰✸〬Ⱜ✬䌬剕䕒䍎㵙单ⱄ⤧!＀＀ ＀＀	＀＀_x0008_＀＀_x0001_＀＀_x0001_＀＀_x0001_＀＀띅퍞芃㿼찀蝠伕C义䍔䙞彅卅䥔䅍䕔✨䅃䕐❘✬䕍乁Ⱗ䌧䱁❁✬〲㘰ⰧⰰⰬⰧ啃剒久奃唽䑓✬착!＀＀ ＀＀	＀＀_x0008_＀＀_x0001_＀＀_x0001_＀＀_x0001_＀＀＀＀＀＀꬀䂶찀蝛伕B剁䡍䙞彅卅䥔䅍䕔✨扥瑩Ⱗ䴧䅅❎✬䅃䅌Ⱗ㈧㄰✳〬Ⱜ✬䌬剕䕒䍎㵙单ⱄ⤧!＀＀ ＀＀	＀＀_x0008_＀＀_x0001_＀＀_x0001_＀＀_x0001_＀＀㐅㘑樼䁻찀蝪伕I呓ⵍ剆䙞彅卅䥔䅍䕔✨义彃則协❓✬䕍乁Ⱗ䌧䱁❁✬〲〱ⰧⰰⰬⰧ啃剒久奃唽䑓✬착!＀＀ ＀＀	＀＀_x0008_＀＀_x0001_＀＀_x0001_＀＀_x0001_＀＀_xDF3C_赏岗䂯찀蝥伕C䍑䵏䙞彅卅䥔䅍䕔✨䅃䕐❘✬䕍乁Ⱗ䌧䱁❁✬〲㈱ⰧⰰⰬⰧ啃剒久奃唽䑓✬착!＀＀ ＀＀	＀＀_x0008_＀＀_x0001_＀＀_x0001_＀＀_x0001_＀＀ﭿ瀺꟎䂊찀蝫伕B䑁幉䕆䕟呓䵉呁⡅䌧偁塅Ⱗ䴧䅅❎✬䅃䅌Ⱗ㈧㄰✰〬Ⱜ✬䌬剕䕒䍎㵙单ⱄ⤧!＀＀ ＀＀	＀＀_x0008_＀＀_x0001_＀＀_x0001_＀＀_x0001_＀＀ᝯ爴䁜찀蝤伕G䍑䵏䙞彅卅䥔䅍䕔✨义彃則协❓✬䕍乁Ⱗ䌧䱁❁✬〲㤰ⰧⰰⰬⰧ啃剒久奃唽䑓✬착!＀＀ ＀＀	＀＀_x0008_＀＀_x0001_＀＀_x0001_＀＀_x0001_＀＀슐⣵䂼찀蝢伕H义䍔䙞彅卅䥔䅍䕔✨啃呓䵏䕟卐Ⱗ䴧䅅❎✬䅃䅌Ⱗ㈧㄰✰〬Ⱜ✬䌬剕䕒䍎㵙单ⱄ⤧!＀＀ ＀＀	＀＀_x0008_＀＀_x0001_＀＀_x0001_＀＀_x0001_＀＀晦晦晦䀀찀蝟伕F㐲㐵吭䥁䙞彅卅䥔䅍䕔✨扥瑩Ⱗ䴧䅅❎✬䅃䅌Ⱗ㈧〰✶〬Ⱜ✬䌬剕䕒䍎㵙单ⱄ⤧!＀＀ ＀＀	＀＀_x0008_＀＀_x0001_＀＀_x0001_＀＀_x0001_＀＀⁜ౣ䂆찀蝛伕G剁䡍䙞彅卅䥔䅍䕔✨义彃則协❓✬䕍乁Ⱗ䌧䱁❁✬〲㤰ⰧⰰⰬⰧ啃剒久奃唽䑓✬착!＀＀ ＀＀	＀＀_x0008_＀＀_x0001_＀＀_x0001_＀＀_x0001_＀＀_xD980_礽䡘䁼찀蝛伕A剁䡍䙞彅卅䥔䅍䕔✨䍆❆✬䕍乁Ⱗ䌧䱁❁✬〲㠰ⰧⰰⰬⰧ啃剒久奃唽䑓✬착!＀＀ ＀＀	＀＀_x0008_＀＀_x0001_＀＀_x0001_＀＀_x0001_＀＀_xD9E9_窱ꍜ䁕찀蝬伕G䑁幉䕆䕟呓䵉呁⡅䌧单佔彍偅❓✬䕍乁Ⱗ䌧䱁❁✬〲㤰ⰧⰰⰬⰧ啃剒久奃唽䑓✬착!＀＀ ＀＀	＀＀_x0008_＀＀_x0001_＀＀_x0001_＀＀_x0001_＀＀䖪ㅄ䍹㿳찀蝥伕B䍑䵏䙞彅卅䥔䅍䕔✨扥瑩Ⱗ䴧䅅❎✬䅃䅌Ⱗ㈧㄰✴〬Ⱜ✬䌬剕䕒䍎㵙单ⱄ⤧!＀＀ ＀＀	＀＀_x0008_＀＀_x0001_＀＀_x0001_＀＀_x0001_＀＀㌳㌳䃁찀蝫伕@䑁幉䕆䕟呓䵉呁⡅䘧䙃Ⱗ䴧䅅❎✬䅃䅌Ⱗ㈧㄰✳〬Ⱜ✬䌬剕䕒䍎㵙单ⱄ⤧!＀＀ ＀＀	＀＀_x0008_＀＀_x0001_＀＀_x0001_＀＀_x0001_＀＀騃ᬈꂞ䂈찀蝪伕E呓ⵍ剆䙞彅卅䥔䅍䕔✨䅓䕌❓✬䕍乁Ⱗ䌧䱁❁✬〲㐱ⰧⰰⰬⰧ啃剒久奃唽䑓✬착!＀＀ ＀＀	＀＀_x0008_＀＀_x0001_＀＀_x0001_＀＀_x0001_＀＀됹盈郾䃅찀蝡伕C义䍔䙞彅卅䥔䅍䕔✨偅䉓❇✬䕍乁Ⱗ䌧䱁❁✬〲㌱ⰧⰰⰬⰧ啃剒久奃唽䑓✬착!＀＀ ＀＀	＀＀_x0008_＀＀_x0001_＀＀_x0001_＀＀_x0001_＀＀㰘בֿ㻦䀅찀蝬伕B䑁幉䕆䕟呓䵉呁⡅䔧卐䝂Ⱗ䴧䅅❎✬䅃䅌Ⱗ㈧㄰✳〬Ⱜ✬䌬剕䕒䍎㵙单ⱄ⤧!＀＀ ＀＀	＀＀_x0008_＀＀_x0001_＀＀_x0001_＀＀_x0001_＀＀팽豋穥䀆찀蝫伕E呓ⵍ剆䙞彅卅䥔䅍䕔✨䅃䕐❘✬䕍乁Ⱗ䌧䱁❁✬〲㐱ⰧⰰⰬⰧ啃剒久奃唽䑓✬착!＀＀ ＀＀	＀＀_x0008_＀＀_x0001_＀＀_x0001_＀＀_x0001_＀＀＀＀＀＀䂄찀蝝伕C义䍔䙞彅卅䥔䅍䕔✨䅓䕌❓✬䕍乁Ⱗ䌧䱁❁✬〲㤰ⰧⰰⰬⰧ啃剒久奃唽䑓✬착!＀＀ ＀＀	＀＀_x0008_＀＀_x0001_＀＀_x0001_＀＀_x0001_＀＀＀＀＀＀⛠䃡찀蝦伕C噎䅄䙞彅卅䥔䅍䕔✨偅䉓❇✬䕍乁Ⱗ䌧䱁❁✬〲㜰ⰧⰰⰬⰧ啃剒久奃唽䑓✬착!＀＀ ＀＀	＀＀_x0008_＀＀_x0001_＀＀_x0001_＀＀_x0001_＀＀ꑲ〳㋲㿸찀蝛伕B剁䡍䙞彅卅䥔䅍䕔✨扥瑩Ⱗ䴧䅅❎✬䅃䅌Ⱗ㈧㄰✰〬Ⱜ✬䌬剕䕒䍎㵙单ⱄ⤧!＀＀ ＀＀	＀＀_x0008_＀＀_x0001_＀＀_x0001_＀＀_x0001_＀＀菥춞侪䁭찀蝜伕H剁䡍䙞彅卅䥔䅍䕔✨啃呓䵏䕟卐Ⱗ䴧䅅❎✬䅃䅌Ⱗ㈧〰✹〬Ⱜ✬䌬剕䕒䍎㵙单ⱄ⤧!＀＀ ＀＀	＀＀_x0008_＀＀_x0001_＀＀_x0001_＀＀_x0001_＀＀豀碵꼝쐕찀蝩伕B䑁幉䕆䕟呓䵉呁⡅匧䱁卅Ⱗ䴧䅅❎✬䅃䅌Ⱗ㈧㄰✳〬Ⱜ✬䌬剕䕒䍎㵙单ⱄ⤧!＀＀ ＀＀	＀＀_x0008_＀＀_x0001_＀＀_x0001_＀＀_x0001_＀＀酩糭錄䂧찀蝞伕K㐲㐵吭䥁䙞彅卅䥔䅍䕔✨义彃則协❓✬䕍乁Ⱗ䌧䱁❁✬〲㌱ⰧⰰⰬⰧ啃剒久奃唽䑓✬착!＀＀ ＀＀	＀＀_x0008_＀＀_x0001_＀＀_x0001_＀＀_x0001_＀＀⼛ⓝ䄆䂛찀蝤伕G䍑䵏䙞彅卅䥔䅍䕔✨义彃則协❓✬䕍乁Ⱗ䌧䱁❁✬〲㘰ⰧⰰⰬⰧ啃剒久奃唽䑓✬착!＀＀ ＀＀	＀＀_x0008_＀＀_x0001_＀＀_x0001_＀＀_x0001_＀＀豀碵꼝쐕찀蝠伕C义䍔䙞彅卅䥔䅍䕔✨䅃䕐❘✬䕍乁Ⱗ䌧䱁❁✬〲㤰ⰧⰰⰬⰧ啃剒久奃唽䑓✬착!＀＀ ＀＀	＀＀_x0008_＀＀_x0001_＀＀_x0001_＀＀_x0001_＀＀＀＀＀＀ꌀ䂱찀蝪伕I呓ⵍ剆䙞彅卅䥔䅍䕔✨义彃則协❓✬䕍乁Ⱗ䌧䱁❁✬〲㌱ⰧⰰⰬⰧ啃剒久奃唽䑓✬착!＀＀ ＀＀	＀＀_x0008_＀＀_x0001_＀＀_x0001_＀＀_x0001_＀＀鮦⃄ᩰ䂯찀蝫伕@䑁幉䕆䕟呓䵉呁⡅䘧䙃Ⱗ䴧䅅❎✬䅃䅌Ⱗ㈧㄰✰〬Ⱜ✬䌬剕䕒䍎㵙单ⱄ⤧!＀＀ ＀＀	＀＀_x0008_＀＀_x0001_＀＀_x0001_＀＀_x0001_＀＀鵊⚀ɂ䂋찀蝫伕B䑁幉䕆䕟呓䵉呁⡅䌧偁塅Ⱗ䴧䅅❎✬䅃䅌Ⱗ㈧㄰✳〬Ⱜ✬䌬剕䕒䍎㵙单ⱄ⤧!＀＀ ＀＀	＀＀_x0008_＀＀_x0001_＀＀_x0001_＀＀_x0001_＀＀녜袞䁡찀蝦伕A䍑䵏䙞彅卅䥔䅍䕔✨䍆❆✬䕍乁Ⱗ䌧䱁❁✬〲ㄱⰧⰰⰬⰧ啃剒久奃唽䑓✬착!＀＀ ＀＀	＀＀_x0008_＀＀_x0001_＀＀_x0001_＀＀_x0001_＀＀⼛ⓝ䔆䂴찀蝢伕H义䍔䙞彅卅䥔䅍䕔✨啃呓䵏䕟卐Ⱗ䴧䅅❎✬䅃䅌Ⱗ㈧㄰✳〬Ⱜ✬䌬剕䕒䍎㵙单ⱄ⤧!＀＀ ＀＀	＀＀_x0008_＀＀_x0001_＀＀_x0001_＀＀_x0001_＀＀颷ᮟኚ䀅찀蝟伕F㐲㐵吭䥁䙞彅卅䥔䅍䕔✨扥瑩Ⱗ䴧䅅❎✬䅃䅌Ⱗ㈧㄰✳〬Ⱜ✬䌬剕䕒䍎㵙单ⱄ⤧!＀＀ ＀＀	＀＀_x0008_＀＀_x0001_＀＀_x0001_＀＀_x0001_＀＀䆉鳐䂄찀蝢伕L㐲㐵吭䥁䙞彅卅䥔䅍䕔✨啃呓䵏䕟卐Ⱗ䴧䅅❎✬䅃䅌Ⱗ㈧〰✹〬Ⱜ✬䌬剕䕒䍎㵙单ⱄ⤧!＀＀ ＀＀	＀＀_x0008_＀＀_x0001_＀＀_x0001_＀＀_x0001_＀＀豀碵꼝쐕찀蝡伕C义䍔䙞彅卅䥔䅍䕔✨偅䉓❇✬䕍乁Ⱗ䌧䱁❁✬〲〱ⰧⰰⰬⰧ啃剒久奃唽䑓✬착!＀＀ ＀＀	＀＀_x0008_＀＀_x0001_＀＀_x0001_＀＀_x0001_＀＀焍讬棛䀁찀蝤伕B噎䅄䙞彅卅䥔䅍䕔✨扥瑩Ⱗ䴧䅅❎✬䅃䅌Ⱗ㈧㄰✱〬Ⱜ✬䌬剕䕒䍎㵙单ⱄ⤧!＀＀ ＀＀	＀＀_x0008_＀＀_x0001_＀＀_x0001_＀＀_x0001_＀＀呡❒嶠䂆찀蝝伕C义䍔䙞彅卅䥔䅍䕔✨䅓䕌❓✬䕍乁Ⱗ䌧䱁❁✬〲〱ⰧⰰⰬⰧ啃剒久奃唽䑓✬착!＀＀ ＀＀	＀＀_x0008_＀＀_x0001_＀＀_x0001_＀＀_x0001_＀＀＀＀＀＀䳠䃥찀蝩伕B䑁幉䕆䕟呓䵉呁⡅匧䱁卅Ⱗ䴧䅅❎✬䅃䅌Ⱗ㈧㄰✰〬Ⱜ✬䌬剕䕒䍎㵙单ⱄ⤧!＀＀ ＀＀	＀＀_x0008_＀＀_x0001_＀＀_x0001_＀＀_x0001_＀＀譄䂥찀蝩伕_x001D_䑁幉彐牰捩彥楨桧㕟眲〨Ⱜ唬䑓착!＀＀ ＀＀	＀＀_x0008_＀＀_x0001_＀＀_x0001_＀＀_x0001_＀＀炤਽ꏗ䁅찀蝜伕H剁䡍䙞彅卅䥔䅍䕔✨啃呓䵏䕟卐Ⱗ䴧䅅❎✬䅃䅌Ⱗ㈧㄰✰〬Ⱜ✬䌬剕䕒䍎㵙单ⱄ⤧!＀＀ ＀＀	＀＀_x0008_＀＀_x0001_＀＀_x0001_＀＀_x0001_＀＀豀碵꼝쐕찀蝧伕H䍑䵏䙞彅卅䥔䅍䕔✨啃呓䵏䕟卐Ⱗ䴧䅅❎✬䅃䅌Ⱗ㈧㄰✲〬Ⱜ✬䌬剕䕒䍎㵙单ⱄ⤧!＀＀ ＀＀	＀＀_x0008_＀＀_x0001_＀＀_x0001_＀＀_x0001_＀＀쐢뎕虷䀊찀蝠伕C义䍔䙞彅卅䥔䅍䕔✨䅃䕐❘✬䕍乁Ⱗ䌧䱁❁✬〲〱ⰧⰰⰬⰧ啃剒久奃唽䑓✬착!＀＀ ＀＀	＀＀_x0008_＀＀_x0001_＀＀_x0001_＀＀_x0001_＀＀＀＀＀＀啀䂴찀蝤伕G䍑䵏䙞彅卅䥔䅍䕔✨义彃則协❓✬䕍乁Ⱗ䌧䱁❁✬〲㌱ⰧⰰⰬⰧ啃剒久奃唽䑓✬착!＀＀ ＀＀	＀＀_x0008_＀＀_x0001_＀＀_x0001_＀＀_x0001_＀＀鶲꟯╆䃋찀蝟伕F㐲㐵吭䥁䙞彅卅䥔䅍䕔✨扥瑩Ⱗ䴧䅅❎✬䅃䅌Ⱗ㈧㄰✰〬Ⱜ✬䌬剕䕒䍎㵙单ⱄ⤧!＀＀ ＀＀	＀＀_x0008_＀＀_x0001_＀＀_x0001_＀＀_x0001_＀＀ᚇ컙ꝷ䂐찀蝛伕G剁䡍䙞彅卅䥔䅍䕔✨义彃則协❓✬䕍乁Ⱗ䌧䱁❁✬〲㌱ⰧⰰⰬⰧ啃剒久奃唽䑓✬착!＀＀ ＀＀	＀＀_x0008_＀＀_x0001_＀＀_x0001_＀＀_x0001_＀＀ⷠꂐ筸䂌찀蝢伕L㐲㐵吭䥁䙞彅卅䥔䅍䕔✨啃呓䵏䕟卐Ⱗ䴧䅅❎✬䅃䅌Ⱗ㈧〰✶〬Ⱜ✬䌬剕䕒䍎㵙单ⱄ⤧!＀＀ ＀＀	＀＀_x0008_＀＀_x0001_＀＀_x0001_＀＀_x0001_＀＀豀碵꼝쐕찀蝛伕A剁䡍䙞彅卅䥔䅍䕔✨䍆❆✬䕍乁Ⱗ䌧䱁❁✬〲㈱ⰧⰰⰬⰧ啃剒久奃唽䑓✬착!＀＀ ＀＀	＀＀_x0008_＀＀_x0001_＀＀_x0001_＀＀_x0001_＀＀☘Փኣ䁲찀蝨伕_x001D_剁䡍偞灟楲散江睯㕟眲〨Ⱜ唬䑓착!＀＀ ＀＀	＀＀_x0008_＀＀_x0001_＀＀_x0001_＀＀_x0001_＀＀馚香ᦙ䀶찀蝦伕A䍑䵏䙞彅卅䥔䅍䕔✨䍆❆✬䕍乁Ⱗ䌧䱁❁✬〲㐱ⰧⰰⰬⰧ啃剒久奃唽䑓✬착!＀＀ ＀＀	＀＀_x0008_＀＀_x0001_＀＀_x0001_＀＀_x0001_＀＀扎堐涹䂼찀蝬伕G䑁幉䕆䕟呓䵉呁⡅䌧单佔彍偅❓✬䕍乁Ⱗ䌧䱁❁✬〲㌱ⰧⰰⰬⰧ啃剒久奃唽䑓✬착!＀＀ ＀＀	＀＀_x0008_＀＀_x0001_＀＀_x0001_＀＀_x0001_＀＀蓤ꌉᥙ䀆찀蝤伕G噎䅄䙞彅卅䥔䅍䕔✨义彃則协❓✬䕍乁Ⱗ䌧䱁❁✬〲㜰ⰧⰰⰬⰧ啃剒久奃唽䑓✬착!＀＀ ＀＀	＀＀_x0008_＀＀_x0001_＀＀_x0001_＀＀_x0001_＀＀豀碵꼝쐕찀蝢伕_x001D_噎䅄䙞彆䅃䡓卟⡔呑ⱒⰰⰬ唬䑓착ċ＀＀ ＀＀ó＀＀_x0008_＀＀_x0001_＀＀_x0001_＀＀_x0001_＀＀㽼碵䂥摦畳㩰⼯楄敲瑣潩獮䘯捡却瑥䄠摵瑩湩⁧楖睥牥愿瑣潩㵮啁䥄彔䅖啌♅䉄ㄽ㤲䤦ㅄ㘽〷㘶ㅇ☰䅖啌䥅㵄㈰〰☱䑓呁㵅〲ㄱ㌰倦剅佉呄偙㵅呑归呓♄䍓呆㌽眦湩潤㵷潰異彰潮扟牡眦摩桴㌽㔸栦楥桧㵴㈱☰呓剁彔䅍䥘䥍䕚㵄䅆卌♅牣慥潴㵲慦瑣敳♴楤灳慬役瑳楲杮䄽摵瑩찀蝬伕C呓ⵍ剆䙞彅卅䥔䅍䕔✨䍆❆✬䕍乁Ⱗ䌧䱁❁✬〲㘰ⰧⰰⰬⰧ啃剒久奃唽䑓✬착!＀＀ ＀＀	＀＀_x0008_＀＀_x0001_＀＀_x0001_＀＀_x0001_＀＀욧擋䂆찀蝩伕_x001D_呓ⵍ剆晞彧敤瑢瑟瑯污〨Ⱜ唬䑓착!＀＀ ＀＀	＀＀_x0008_＀＀_x0001_＀＀_x0001_＀＀_x0001_＀＀赐W됀䂚찀蝨伕_x0014_䱁剔䙞彇剐䍉⡅〴㐵⤴!＀＀ ＀＀	＀＀_x0008_＀＀_x0001_＀＀_x0001_＀＀_x0001_＀＀휊炣쨽䁁찀蝨伕_x001A_义䍔䙞彇剐䍉⡅〴㈹ⰵⰬ单⥄!＀＀ ＀＀	＀＀_x0008_＀＀_x0001_＀＀_x0001_＀＀_x0001_＀＀炤਽⏗䀹찀蝨伕_x001D_䍑䵏偞灟楲散江睯㕟眲〨Ⱜ唬䑓착!＀＀ ＀＀	＀＀_x0008_＀＀_x0001_＀＀_x0001_＀＀_x0001_＀＀ਾꏗﵰ䁆찀蝡伕G㐲㐵吭䥁䙞彅卅䥔䅍䕔✨偅䉓❇✬䕍乁Ⱗ䌧䱁❁✬〲㠰ⰧⰰⰬⰧ啃剒久奃唽䑓✬착!＀＀ ＀＀	＀＀_x0008_＀＀_x0001_＀＀_x0001_＀＀_x0001_＀＀꘺堸㿡찀蝝伕C义䍔䙞彅卅䥔䅍䕔✨䅓䕌❓✬䕍乁Ⱗ䌧䱁❁✬〲㌱ⰧⰰⰬⰧ啃剒久奃唽䑓✬착!＀＀ ＀＀	＀＀_x0008_＀＀_x0001_＀＀_x0001_＀＀_x0001_＀＀슐⣵_xD93C_䃬찀蝜伕H剁䡍䙞彅卅䥔䅍䕔✨啃呓䵏䕟卐Ⱗ䴧䅅❎✬䅃䅌Ⱗ㈧㄰✳〬Ⱜ✬䌬剕䕒䍎㵙单ⱄ⤧!＀＀ ＀＀	＀＀_x0008_＀＀_x0001_＀＀_x0001_＀＀_x0001_＀＀豀碵꼝쐕찀蝧伕H噎䅄䙞彅卅䥔䅍䕔✨啃呓䵏䕟卐Ⱗ䴧䅅❎✬䅃䅌Ⱗ㈧〰✸〬Ⱜ✬䌬剕䕒䍎㵙单ⱄ⤧!＀＀ ＀＀	＀＀_x0008_＀＀_x0001_＀＀_x0001_＀＀_x0001_＀＀腠痹죱㿕찀蝣伕C噎䅄䙞彅卅䥔䅍䕔✨䅓䕌❓✬䕍乁Ⱗ䌧䱁❁✬〲㜰ⰧⰰⰬⰧ啃剒久奃唽䑓✬착!＀＀ ＀＀	＀＀_x0008_＀＀_x0001_＀＀_x0001_＀＀_x0001_＀＀_xDB23_绹哪䂯찀蝤伕G䍑䵏䙞彅卅䥔䅍䕔✨义彃則协❓✬䕍乁Ⱗ䌧䱁❁✬〲〱ⰧⰰⰬⰧ啃剒久奃唽䑓✬착!＀＀ ＀＀	＀＀_x0008_＀＀_x0001_＀＀_x0001_＀＀_x0001_＀＀炤਽ⶇ䃀찀蝛伕G剁䡍䙞彅卅䥔䅍䕔✨义彃則协❓✬䕍乁Ⱗ䌧䱁❁✬〲〱ⰧⰰⰬⰧ啃剒久奃唽䑓✬착!＀＀ ＀＀	＀＀_x0008_＀＀_x0001_＀＀_x0001_＀＀_x0001_＀＀묰༧눋䂂찀蝠伕C义䍔䙞彅卅䥔䅍䕔✨䅃䕐❘✬䕍乁Ⱗ䌧䱁❁✬〲㌱ⰧⰰⰬⰧ啃剒久奃唽䑓✬착!＀＀ ＀＀	＀＀_x0008_＀＀_x0001_＀＀_x0001_＀＀_x0001_＀＀馚香_xFFFF_ﾹ䂿찀蝬伕G䑁幉䕆䕟呓䵉呁⡅䌧单佔彍偅❓✬䕍乁Ⱗ䌧䱁❁✬〲〱ⰧⰰⰬⰧ啃剒久奃唽䑓✬착!＀＀ ＀＀	＀＀_x0008_＀＀_x0001_＀＀_x0001_＀＀_x0001_＀＀蓹볬涍䀃찀蝥伕C噎䅄䙞彅卅䥔䅍䕔✨䅃䕐❘✬䕍乁Ⱗ䌧䱁❁✬〲㜰ⰧⰰⰬⰧ啃剒久奃唽䑓✬착!＀＀ ＀＀	＀＀_x0008_＀＀_x0001_＀＀_x0001_＀＀_x0001_＀＀╆ɵ劚䁥찀蝜伕_x001D_义䍔䙞彆䅃䡓卟⡔呑ⱒⰰⰬ唬䑓착ċ＀＀ ＀＀ó＀＀_x0008_＀＀_x0001_＀＀_x0001_＀＀_x0001_＀＀＀＀＀＀媀䃅摦畳㩰⼯楄敲瑣潩獮䘯捡却瑥䄠摵瑩湩⁧楖睥牥愿瑣潩㵮啁䥄彔䅖啌♅䉄ㄽ㤲䤦ㅄ㐽㠵㐱㄰☰䅖啌䥅㵄㈰〰☱䑓呁㵅〲ㄱ㌰倦剅佉呄偙㵅呑归呓♄䍓呆㌽眦湩潤㵷潰異彰潮扟牡眦摩桴㌽㔸栦楥桧㵴㈱☰呓剁彔䅍䥘䥍䕚㵄䅆卌♅牣慥潴㵲慦瑣敳♴楤灳慬役瑳楲杮䄽摵瑩찀蝢伕L㐲㐵吭䥁䙞彅卅䥔䅍䕔✨啃呓䵏䕟卐Ⱗ䴧䅅❎✬䅃䅌Ⱗ㈧㄰✳〬Ⱜ✬䌬剕䕒䍎㵙单ⱄ⤧!＀＀ ＀＀	＀＀_x0008_＀＀_x0001_＀＀_x0001_＀＀_x0001_＀＀豀碵꼝쐕찀蝬伕C呓ⵍ剆䙞彅卅䥔䅍䕔✨䍆❆✬䕍乁Ⱗ䌧䱁❁✬〲㤰ⰧⰰⰬⰧ啃剒久奃唽䑓✬착!＀＀ ＀＀	＀＀_x0008_＀＀_x0001_＀＀_x0001_＀＀_x0001_＀＀⹉⇿忽䁱찀蝤伕G噎䅄䙞彅卅䥔䅍䕔✨义彃則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32883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协❓✬䕍乁Ⱗ䌧䱁❁✬〲㐱ⰧⰰⰬⰧ啃剒久奃唽䑓✬착!＀＀ ＀＀	＀＀_x0008_＀＀_x0001_＀＀_x0001_＀＀_x0001_＀＀豀碵꼝쐕찀蝞伕G义䍔䙞彅卅䥔䅍䕔✨义彃則协❓✬䕍乁Ⱗ䌧䱁❁✬〲㠰ⰧⰰⰬⰧ啃剒久奃唽䑓✬착!＀＀ ＀＀	＀＀_x0008_＀＀_x0001_＀＀_x0001_＀＀_x0001_＀＀＀＀＀＀嬀䃔찀</t>
        </r>
      </text>
    </comment>
  </commentList>
</comments>
</file>

<file path=xl/comments2.xml><?xml version="1.0" encoding="utf-8"?>
<comments xmlns="http://schemas.openxmlformats.org/spreadsheetml/2006/main">
  <authors>
    <author>DJF</author>
    <author>DJF 1/23/13</author>
    <author>Chang, Diana (Research)</author>
    <author>DJF 5/26/12</author>
    <author>DJF 10/25/12</author>
    <author>Linden, Sarah (Research)</author>
    <author>DJF 5/27/12</author>
    <author>saenzjos</author>
    <author>DJF 1/24/13</author>
  </authors>
  <commentList>
    <comment ref="AF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Backlog: $393M
Revs: $605M - 635M
</t>
        </r>
      </text>
    </comment>
    <comment ref="AG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$595-625mn</t>
        </r>
      </text>
    </comment>
    <comment ref="AH10" authorId="1">
      <text>
        <r>
          <rPr>
            <b/>
            <sz val="8"/>
            <color indexed="81"/>
            <rFont val="Tahoma"/>
            <family val="2"/>
          </rPr>
          <t>DJF 1/23/13:</t>
        </r>
        <r>
          <rPr>
            <sz val="8"/>
            <color indexed="81"/>
            <rFont val="Tahoma"/>
            <family val="2"/>
          </rPr>
          <t xml:space="preserve">
Guidance: $580 - $610mn</t>
        </r>
      </text>
    </comment>
    <comment ref="AI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Guide: $610-640mn</t>
        </r>
      </text>
    </comment>
    <comment ref="AJ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Guide: $570 - 600mn</t>
        </r>
      </text>
    </comment>
    <comment ref="AY1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$590-630mn
including $15-20mn sell-in</t>
        </r>
      </text>
    </comment>
    <comment ref="AZ1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$555-595mn</t>
        </r>
      </text>
    </comment>
    <comment ref="AC24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$1.8mm - acquisition related invetory write up</t>
        </r>
      </text>
    </comment>
    <comment ref="AD24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Intagible asset amortization</t>
        </r>
      </text>
    </comment>
    <comment ref="AE24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Intagible asset amortization</t>
        </r>
      </text>
    </comment>
    <comment ref="AY2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11mn, primarily from amortization of intangible assets</t>
        </r>
      </text>
    </comment>
    <comment ref="AF31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 59-62% GAAP GMs</t>
        </r>
      </text>
    </comment>
    <comment ref="AE32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Guidance: 58-61%, 60-63% ex special items</t>
        </r>
      </text>
    </comment>
    <comment ref="AG32" authorId="4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58-61% GAAP guidance</t>
        </r>
      </text>
    </comment>
    <comment ref="AY32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 63-65%</t>
        </r>
      </text>
    </comment>
    <comment ref="AZ32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63-66%</t>
        </r>
      </text>
    </comment>
    <comment ref="AZ3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65-68%</t>
        </r>
      </text>
    </comment>
    <comment ref="AF3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61-64% GMs ex special items</t>
        </r>
      </text>
    </comment>
    <comment ref="AG36" authorId="4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Guidance: 60-63% ex special items
Reasons: Utilization (primary reason for decline) and mix hurting
Transitioning from S4 to S1.  And back end test facility in Phillipines has lower utilization.  ~75% hits current Q.</t>
        </r>
      </text>
    </comment>
    <comment ref="AH36" authorId="1">
      <text>
        <r>
          <rPr>
            <b/>
            <sz val="8"/>
            <color indexed="81"/>
            <rFont val="Tahoma"/>
            <family val="2"/>
          </rPr>
          <t>DJF 1/24/13:</t>
        </r>
        <r>
          <rPr>
            <sz val="8"/>
            <color indexed="81"/>
            <rFont val="Tahoma"/>
            <family val="2"/>
          </rPr>
          <t xml:space="preserve">
Guidance of 60-63% ex special items</t>
        </r>
      </text>
    </comment>
    <comment ref="AI3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61-64% GMs ex special items</t>
        </r>
      </text>
    </comment>
    <comment ref="AJ3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60-63%</t>
        </r>
      </text>
    </comment>
    <comment ref="AY36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65-67%</t>
        </r>
      </text>
    </comment>
    <comment ref="AZ36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want to achieve stated target 65% in June/Sep quarter</t>
        </r>
      </text>
    </comment>
    <comment ref="BA38" authorId="5">
      <text>
        <r>
          <rPr>
            <b/>
            <sz val="9"/>
            <color indexed="81"/>
            <rFont val="Tahoma"/>
            <family val="2"/>
          </rPr>
          <t>Linden, Sarah (Research):</t>
        </r>
        <r>
          <rPr>
            <sz val="9"/>
            <color indexed="81"/>
            <rFont val="Tahoma"/>
            <family val="2"/>
          </rPr>
          <t xml:space="preserve">
+4.5 for extra week in the quarter
</t>
        </r>
      </text>
    </comment>
    <comment ref="AG46" authorId="4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Opex up $4mn Q/Q</t>
        </r>
      </text>
    </comment>
    <comment ref="AG58" authorId="4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Opex up $4mn Q/Q</t>
        </r>
      </text>
    </comment>
    <comment ref="AD65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$7.7mm - impairment of long-lived asset
$(2.5)mm - other operating (income) expenses, net</t>
        </r>
      </text>
    </comment>
    <comment ref="AY67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Special items in Q4 operating expenses are estimated at approximately $2 million, primarily for amortization of intangible assets</t>
        </r>
      </text>
    </comment>
    <comment ref="AY7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flat q/q excluding special items</t>
        </r>
      </text>
    </comment>
    <comment ref="AX75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mid 180s going forward</t>
        </r>
      </text>
    </comment>
    <comment ref="AD103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Includes $65.3 mm related to int'l tax restructuring and $(2.3)mm related to reversal of tax reserves</t>
        </r>
      </text>
    </comment>
    <comment ref="AX10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tax rate for Q3 excluding special items of the 15% down from the fixed rate of 18% recorded in recent prior quarters. The reduction is due to the long-term benefits of our manufacturing transformation and focus R&amp;D spending. We expect this updated long-term projection to be applicable for the remainder of fiscal year one he 17 and fiscal year 2018. </t>
        </r>
      </text>
    </comment>
    <comment ref="AY104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Our tax rate for Q4 excluding special items will be 15%</t>
        </r>
      </text>
    </comment>
    <comment ref="AD106" authorId="6">
      <text>
        <r>
          <rPr>
            <b/>
            <sz val="8"/>
            <color indexed="81"/>
            <rFont val="Tahoma"/>
            <family val="2"/>
          </rPr>
          <t>DJF 5/27/12:</t>
        </r>
        <r>
          <rPr>
            <sz val="8"/>
            <color indexed="81"/>
            <rFont val="Tahoma"/>
            <family val="2"/>
          </rPr>
          <t xml:space="preserve">
5.4mm = tax effect of special items
2.3mm = reversal of tax reserves</t>
        </r>
      </text>
    </comment>
    <comment ref="AH10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tax effect of special items; R&amp;D tax credits; discontinued ops, net of tax</t>
        </r>
      </text>
    </comment>
    <comment ref="AW111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guided excluding extraodinary item around 18% tax rate</t>
        </r>
      </text>
    </comment>
    <comment ref="G125" authorId="7">
      <text>
        <r>
          <rPr>
            <sz val="8"/>
            <color indexed="81"/>
            <rFont val="Tahoma"/>
            <family val="2"/>
          </rPr>
          <t>Cumulative effect of a change in accounting principle, net of tax of $1.039</t>
        </r>
      </text>
    </comment>
    <comment ref="AD126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$65.3mm - tax charge for int'l restructuring
$31.8mm - tax gain from the sale of certain product lines
</t>
        </r>
      </text>
    </comment>
    <comment ref="AE137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Guidance: $0.34-$0.38, $0.37 - $0.41 ex special items</t>
        </r>
      </text>
    </comment>
    <comment ref="AF137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GAAP EPS of $0.38 - $0.42</t>
        </r>
      </text>
    </comment>
    <comment ref="AG137" authorId="4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Guidance: $0.36 - $0.40</t>
        </r>
      </text>
    </comment>
    <comment ref="AH137" authorId="8">
      <text>
        <r>
          <rPr>
            <b/>
            <sz val="8"/>
            <color indexed="81"/>
            <rFont val="Tahoma"/>
            <family val="2"/>
          </rPr>
          <t>DJF 1/24/13:</t>
        </r>
        <r>
          <rPr>
            <sz val="8"/>
            <color indexed="81"/>
            <rFont val="Tahoma"/>
            <family val="2"/>
          </rPr>
          <t xml:space="preserve">
Guide: $0.39 - 0.43</t>
        </r>
      </text>
    </comment>
    <comment ref="AY137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$0.54-0.60</t>
        </r>
      </text>
    </comment>
    <comment ref="AZ137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$0.48-0.54</t>
        </r>
      </text>
    </comment>
    <comment ref="AE140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$0.37 - $0.41 ex special items</t>
        </r>
      </text>
    </comment>
    <comment ref="AF14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EPS Guide $0.41 - $0.45 ex special items</t>
        </r>
      </text>
    </comment>
    <comment ref="AG140" authorId="4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Guidance: $0.39 - $0.43</t>
        </r>
      </text>
    </comment>
    <comment ref="AH140" authorId="8">
      <text>
        <r>
          <rPr>
            <b/>
            <sz val="8"/>
            <color indexed="81"/>
            <rFont val="Tahoma"/>
            <family val="2"/>
          </rPr>
          <t>DJF 1/24/13:</t>
        </r>
        <r>
          <rPr>
            <sz val="8"/>
            <color indexed="81"/>
            <rFont val="Tahoma"/>
            <family val="2"/>
          </rPr>
          <t xml:space="preserve">
Guide: $0.39 - 0.43 ex special items</t>
        </r>
      </text>
    </comment>
    <comment ref="AI14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$0.45-0.49 ex special items</t>
        </r>
      </text>
    </comment>
    <comment ref="AY14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 $0.59-0.65</t>
        </r>
      </text>
    </comment>
    <comment ref="AZ140" authorId="2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(G):0.52-0.58</t>
        </r>
      </text>
    </comment>
    <comment ref="AE153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Guidance: $0.22/share</t>
        </r>
      </text>
    </comment>
  </commentList>
</comments>
</file>

<file path=xl/comments3.xml><?xml version="1.0" encoding="utf-8"?>
<comments xmlns="http://schemas.openxmlformats.org/spreadsheetml/2006/main">
  <authors>
    <author>DJF</author>
    <author>DJF 10/25/12</author>
    <author>josuev</author>
    <author>DJF 5/26/12</author>
    <author>Gonzalez, Andres (Research)</author>
  </authors>
  <commentList>
    <comment ref="AI44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pay down of $300mn bond due June 2013</t>
        </r>
      </text>
    </comment>
    <comment ref="AI48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buybacks could step up from here.</t>
        </r>
      </text>
    </comment>
    <comment ref="AG66" authorId="1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Up Q/Q</t>
        </r>
      </text>
    </comment>
    <comment ref="AK66" authorId="1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Up Q/Q</t>
        </r>
      </text>
    </comment>
    <comment ref="X129" authorId="2">
      <text>
        <r>
          <rPr>
            <sz val="8"/>
            <color indexed="81"/>
            <rFont val="Tahoma"/>
            <family val="2"/>
          </rPr>
          <t>Accrued liabilities - litigation settlement</t>
        </r>
      </text>
    </comment>
    <comment ref="X145" authorId="2">
      <text>
        <r>
          <rPr>
            <sz val="8"/>
            <color indexed="81"/>
            <rFont val="Tahoma"/>
            <family val="2"/>
          </rPr>
          <t>Includes Mortgage liability repayment</t>
        </r>
      </text>
    </comment>
    <comment ref="AA145" authorId="2">
      <text>
        <r>
          <rPr>
            <sz val="8"/>
            <color indexed="81"/>
            <rFont val="Tahoma"/>
            <family val="2"/>
          </rPr>
          <t>Includes Mortgage liability repayment</t>
        </r>
      </text>
    </comment>
    <comment ref="Q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R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S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T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U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V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W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X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AB146" authorId="2">
      <text>
        <r>
          <rPr>
            <sz val="8"/>
            <color indexed="81"/>
            <rFont val="Tahoma"/>
            <family val="2"/>
          </rPr>
          <t>Negative Issuance of Common Stock included in other financing activities</t>
        </r>
      </text>
    </comment>
    <comment ref="W150" authorId="2">
      <text>
        <r>
          <rPr>
            <sz val="8"/>
            <color indexed="81"/>
            <rFont val="Tahoma"/>
            <family val="2"/>
          </rPr>
          <t>Includes Proceeds from derivative litigation process and Equity settlements and payouts under the RSU loan program</t>
        </r>
      </text>
    </comment>
    <comment ref="AA150" authorId="2">
      <text>
        <r>
          <rPr>
            <sz val="8"/>
            <color indexed="81"/>
            <rFont val="Tahoma"/>
            <family val="2"/>
          </rPr>
          <t>Includes Equity settlements and payouts under the RSU loan program</t>
        </r>
      </text>
    </comment>
    <comment ref="AB150" authorId="2">
      <text>
        <r>
          <rPr>
            <sz val="8"/>
            <color indexed="81"/>
            <rFont val="Tahoma"/>
            <family val="2"/>
          </rPr>
          <t>Excess tax benefit related to stock-based compensation</t>
        </r>
      </text>
    </comment>
    <comment ref="AD150" authorId="3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minor plug</t>
        </r>
      </text>
    </comment>
    <comment ref="AN150" authorId="4">
      <text>
        <r>
          <rPr>
            <sz val="9"/>
            <color indexed="81"/>
            <rFont val="Tahoma"/>
            <family val="2"/>
          </rPr>
          <t>Includes Excess tax benefit from stock based compensation, Net issuance of restricted stock units and Proceeds from stock options exercised</t>
        </r>
      </text>
    </comment>
  </commentList>
</comments>
</file>

<file path=xl/comments4.xml><?xml version="1.0" encoding="utf-8"?>
<comments xmlns="http://schemas.openxmlformats.org/spreadsheetml/2006/main">
  <authors>
    <author>DJF 10/25/12</author>
    <author>DJF 1/24/13</author>
    <author>DJF</author>
    <author>Chang, Diana (Research)</author>
    <author>DJF 8/7/12</author>
    <author>moorejos</author>
    <author>DJF 5/26/12</author>
    <author>Lira, Sergio (Research)</author>
    <author>sergiol</author>
    <author>Gonzalez, Andres (Research)</author>
    <author>hazlett</author>
    <author>josuev</author>
  </authors>
  <commentList>
    <comment ref="AG13" authorId="0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Down Q/Q</t>
        </r>
      </text>
    </comment>
    <comment ref="AH13" authorId="1">
      <text>
        <r>
          <rPr>
            <b/>
            <sz val="8"/>
            <color indexed="81"/>
            <rFont val="Tahoma"/>
            <family val="2"/>
          </rPr>
          <t>DJF 1/24/13:</t>
        </r>
        <r>
          <rPr>
            <sz val="8"/>
            <color indexed="81"/>
            <rFont val="Tahoma"/>
            <family val="2"/>
          </rPr>
          <t xml:space="preserve">
down slightly</t>
        </r>
      </text>
    </comment>
    <comment ref="AI13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</t>
        </r>
      </text>
    </comment>
    <comment ref="AW15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+16% y/y</t>
        </r>
      </text>
    </comment>
    <comment ref="AY15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down 10% y/y</t>
        </r>
      </text>
    </comment>
    <comment ref="AY19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-12% q/q</t>
        </r>
      </text>
    </comment>
    <comment ref="AE29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Galaxy S3 sold 6M units in June, per Shawn Kim</t>
        </r>
      </text>
    </comment>
    <comment ref="AG30" authorId="0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Flat Q/Q</t>
        </r>
      </text>
    </comment>
    <comment ref="AH30" authorId="1">
      <text>
        <r>
          <rPr>
            <b/>
            <sz val="8"/>
            <color indexed="81"/>
            <rFont val="Tahoma"/>
            <family val="2"/>
          </rPr>
          <t>DJF 1/24/13:</t>
        </r>
        <r>
          <rPr>
            <sz val="8"/>
            <color indexed="81"/>
            <rFont val="Tahoma"/>
            <family val="2"/>
          </rPr>
          <t xml:space="preserve">
up slightly</t>
        </r>
      </text>
    </comment>
    <comment ref="AI30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 to up slightly</t>
        </r>
      </text>
    </comment>
    <comment ref="AW32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-4% y/y</t>
        </r>
      </text>
    </comment>
    <comment ref="AX32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 +7% y/y
+13% if excluding meters divesture</t>
        </r>
      </text>
    </comment>
    <comment ref="AY32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+18% y/y</t>
        </r>
      </text>
    </comment>
    <comment ref="AY36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+12% y/y</t>
        </r>
      </text>
    </comment>
    <comment ref="AG49" authorId="0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Flat Q/Q</t>
        </r>
      </text>
    </comment>
    <comment ref="AI49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Guide: Up
Networking and data comm up (Mar Q deliquencies)
Broadband up (new wins)
Macro Base station - flat
Small Cell - flat</t>
        </r>
      </text>
    </comment>
    <comment ref="AW51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+5% y/y</t>
        </r>
      </text>
    </comment>
    <comment ref="AX51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 flat</t>
        </r>
      </text>
    </comment>
    <comment ref="AY51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+8% y/y</t>
        </r>
      </text>
    </comment>
    <comment ref="AY55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+3% y/y</t>
        </r>
      </text>
    </comment>
    <comment ref="AG67" authorId="0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Flat Q/Q</t>
        </r>
      </text>
    </comment>
    <comment ref="AI67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Guide: Up
Networking and data comm up (Mar Q deliquencies)
Broadband up (new wins)
Macro Base station - flat
Small Cell - flat</t>
        </r>
      </text>
    </comment>
    <comment ref="AW69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up 18% y/y</t>
        </r>
      </text>
    </comment>
    <comment ref="AX69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(A):+26%</t>
        </r>
      </text>
    </comment>
    <comment ref="AY69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+12% y/y</t>
        </r>
      </text>
    </comment>
    <comment ref="AY73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+11% y/y</t>
        </r>
      </text>
    </comment>
    <comment ref="AD84" authorId="5">
      <text>
        <r>
          <rPr>
            <b/>
            <sz val="8"/>
            <color indexed="81"/>
            <rFont val="Tahoma"/>
            <family val="2"/>
          </rPr>
          <t>moorejos:</t>
        </r>
        <r>
          <rPr>
            <sz val="8"/>
            <color indexed="81"/>
            <rFont val="Tahoma"/>
            <family val="2"/>
          </rPr>
          <t xml:space="preserve">
said notebooks down to mid single digts</t>
        </r>
      </text>
    </comment>
    <comment ref="AG85" authorId="0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Down significantly with decline in notebook computers</t>
        </r>
      </text>
    </comment>
    <comment ref="AH85" authorId="1">
      <text>
        <r>
          <rPr>
            <b/>
            <sz val="8"/>
            <color indexed="81"/>
            <rFont val="Tahoma"/>
            <family val="2"/>
          </rPr>
          <t>DJF 1/24/13:</t>
        </r>
        <r>
          <rPr>
            <sz val="8"/>
            <color indexed="81"/>
            <rFont val="Tahoma"/>
            <family val="2"/>
          </rPr>
          <t xml:space="preserve">
down significantly due to delcine in notebooks</t>
        </r>
      </text>
    </comment>
    <comment ref="AI85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Guide: flat
servers up
notebooks flat
peripherals down</t>
        </r>
      </text>
    </comment>
    <comment ref="AW87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+2% y/y</t>
        </r>
      </text>
    </comment>
    <comment ref="AX87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(A):+14%</t>
        </r>
      </text>
    </comment>
    <comment ref="AY87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+28% y/y</t>
        </r>
      </text>
    </comment>
    <comment ref="AY91" authorId="3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+22% y/y</t>
        </r>
      </text>
    </comment>
    <comment ref="B115" authorId="6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Modeled on I/S</t>
        </r>
      </text>
    </comment>
    <comment ref="B136" authorId="7">
      <text>
        <r>
          <rPr>
            <sz val="9"/>
            <color indexed="81"/>
            <rFont val="Tahoma"/>
            <family val="2"/>
          </rPr>
          <t>Reported Prior to May, 2014</t>
        </r>
      </text>
    </comment>
    <comment ref="AH182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Samsung built S4 inventory.  Accounted for majority of Consumer revenue upside in the Mar Q.</t>
        </r>
      </text>
    </comment>
    <comment ref="AI182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S4 build rate likely dropped from ~10mn post launch to ~8mn by June / July</t>
        </r>
      </text>
    </comment>
    <comment ref="AE1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S3 ramp begins</t>
        </r>
      </text>
    </comment>
    <comment ref="AF1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S3 ramp</t>
        </r>
      </text>
    </comment>
    <comment ref="BT190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2.25 ASP</t>
        </r>
      </text>
    </comment>
    <comment ref="B19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expanded content in S3 vs. S2</t>
        </r>
      </text>
    </comment>
    <comment ref="BT19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3.25 ASP</t>
        </r>
      </text>
    </comment>
    <comment ref="B192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content flat in S4 vs. S3</t>
        </r>
      </text>
    </comment>
    <comment ref="BT196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3.25 ASP</t>
        </r>
      </text>
    </comment>
    <comment ref="B20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may overlap with Note</t>
        </r>
      </text>
    </comment>
    <comment ref="BT20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3.25 ASP</t>
        </r>
      </text>
    </comment>
    <comment ref="B213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largest customer for other consumer</t>
        </r>
      </text>
    </comment>
    <comment ref="AI235" authorId="8">
      <text>
        <r>
          <rPr>
            <sz val="8"/>
            <color indexed="81"/>
            <rFont val="Tahoma"/>
            <family val="2"/>
          </rPr>
          <t>Vietnam</t>
        </r>
      </text>
    </comment>
    <comment ref="AM235" authorId="9">
      <text>
        <r>
          <rPr>
            <sz val="9"/>
            <color indexed="81"/>
            <rFont val="Tahoma"/>
            <family val="2"/>
          </rPr>
          <t>Includes Vietnam</t>
        </r>
      </text>
    </comment>
    <comment ref="AH237" authorId="8">
      <text>
        <r>
          <rPr>
            <b/>
            <sz val="10"/>
            <color indexed="81"/>
            <rFont val="Times New Roman"/>
            <family val="1"/>
          </rPr>
          <t>sergiol:</t>
        </r>
        <r>
          <rPr>
            <sz val="10"/>
            <color indexed="81"/>
            <rFont val="Times New Roman"/>
            <family val="1"/>
          </rPr>
          <t xml:space="preserve">
Includes Vietnam</t>
        </r>
      </text>
    </comment>
    <comment ref="AG266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mid 40s</t>
        </r>
      </text>
    </comment>
    <comment ref="X273" authorId="1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Company indicated it was running at "full utilization", which it defines at between 90 and 100% utilization</t>
        </r>
      </text>
    </comment>
    <comment ref="Y273" authorId="1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Company indicated it was running at "full utilization", which it defines at between 90 and 100% utilization</t>
        </r>
      </text>
    </comment>
    <comment ref="Z273" authorId="1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Company indicated it was running at "full utilization", which it defines at between 90 and 100% utilization</t>
        </r>
      </text>
    </comment>
    <comment ref="H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I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J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K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L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M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N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R275" authorId="11">
      <text>
        <r>
          <rPr>
            <sz val="8"/>
            <color indexed="81"/>
            <rFont val="Tahoma"/>
            <family val="2"/>
          </rPr>
          <t>Backlog shippable within the next 12 months</t>
        </r>
      </text>
    </comment>
    <comment ref="E277" authorId="11">
      <text>
        <r>
          <rPr>
            <sz val="8"/>
            <color indexed="81"/>
            <rFont val="Tahoma"/>
            <family val="2"/>
          </rPr>
          <t>Gross bookings</t>
        </r>
      </text>
    </comment>
    <comment ref="F277" authorId="11">
      <text>
        <r>
          <rPr>
            <sz val="8"/>
            <color indexed="81"/>
            <rFont val="Tahoma"/>
            <family val="2"/>
          </rPr>
          <t>Gross bookings</t>
        </r>
      </text>
    </comment>
    <comment ref="G277" authorId="11">
      <text>
        <r>
          <rPr>
            <sz val="8"/>
            <color indexed="81"/>
            <rFont val="Tahoma"/>
            <family val="2"/>
          </rPr>
          <t>Gross bookings</t>
        </r>
      </text>
    </comment>
    <comment ref="H277" authorId="11">
      <text>
        <r>
          <rPr>
            <sz val="8"/>
            <color indexed="81"/>
            <rFont val="Tahoma"/>
            <family val="2"/>
          </rPr>
          <t>Gross bookings</t>
        </r>
      </text>
    </comment>
    <comment ref="O277" authorId="11">
      <text>
        <r>
          <rPr>
            <sz val="8"/>
            <color indexed="81"/>
            <rFont val="Tahoma"/>
            <family val="2"/>
          </rPr>
          <t>"Discontinuing practice of providing specific bookings numbers"
"Bookings grew sequentially and book-to-bill was 1" 4Q2008 Transcript.</t>
        </r>
      </text>
    </comment>
    <comment ref="P277" authorId="11">
      <text>
        <r>
          <rPr>
            <sz val="8"/>
            <color indexed="81"/>
            <rFont val="Tahoma"/>
            <family val="2"/>
          </rPr>
          <t>Declined by 6%</t>
        </r>
      </text>
    </comment>
    <comment ref="W277" authorId="11">
      <text>
        <r>
          <rPr>
            <sz val="8"/>
            <color indexed="81"/>
            <rFont val="Tahoma"/>
            <family val="2"/>
          </rPr>
          <t>"June quarter bookings were pretty much flat with March quarter bookings"</t>
        </r>
      </text>
    </comment>
    <comment ref="X277" authorId="11">
      <text>
        <r>
          <rPr>
            <sz val="8"/>
            <color indexed="81"/>
            <rFont val="Tahoma"/>
            <family val="2"/>
          </rPr>
          <t>"Bookings declined as lead times stabilized"
"Book-to-bill ratio during September quarter was slightly below one"
2011Q1 Transcript</t>
        </r>
      </text>
    </comment>
    <comment ref="Z277" authorId="11">
      <text>
        <r>
          <rPr>
            <sz val="8"/>
            <color indexed="81"/>
            <rFont val="Tahoma"/>
            <family val="2"/>
          </rPr>
          <t>"Book-to-bill ratio sequentially improved but remained below 1"
2011Q3 Transcript</t>
        </r>
      </text>
    </comment>
    <comment ref="AA277" authorId="11">
      <text>
        <r>
          <rPr>
            <sz val="8"/>
            <color indexed="81"/>
            <rFont val="Tahoma"/>
            <family val="2"/>
          </rPr>
          <t>"Book-to-bill ratio improved sequentially to about one"
"Customer lead times held steady"
2011Q4 Transcript</t>
        </r>
      </text>
    </comment>
    <comment ref="AB277" authorId="11">
      <text>
        <r>
          <rPr>
            <sz val="8"/>
            <color indexed="81"/>
            <rFont val="Tahoma"/>
            <family val="2"/>
          </rPr>
          <t>"Customer lead times up over two weeks"
"Book-to-bill ratio less than one"
2012Q1 Transcript</t>
        </r>
      </text>
    </comment>
    <comment ref="AC277" authorId="11">
      <text>
        <r>
          <rPr>
            <sz val="8"/>
            <color indexed="81"/>
            <rFont val="Tahoma"/>
            <family val="2"/>
          </rPr>
          <t>"Bookings were soft during the first two months of the quarter, but improved noticeably during December"
2011Q4 Transcript</t>
        </r>
      </text>
    </comment>
    <comment ref="AD277" authorId="11">
      <text>
        <r>
          <rPr>
            <sz val="8"/>
            <color indexed="81"/>
            <rFont val="Tahoma"/>
            <family val="2"/>
          </rPr>
          <t>"…and bookings improved noticeably resulting in a book-to-bill ratio comfortably above one"
"That compares with overall Maxim bookings of up 12%"</t>
        </r>
      </text>
    </comment>
    <comment ref="AE277" authorId="11">
      <text>
        <r>
          <rPr>
            <sz val="8"/>
            <color indexed="81"/>
            <rFont val="Tahoma"/>
            <family val="2"/>
          </rPr>
          <t>"Customer lead times up over two weeks"
"Book-to-bill ratio less than one"
2012Q1 Transcript</t>
        </r>
      </text>
    </comment>
    <comment ref="AF277" authorId="11">
      <text>
        <r>
          <rPr>
            <sz val="8"/>
            <color indexed="81"/>
            <rFont val="Tahoma"/>
            <family val="2"/>
          </rPr>
          <t>"Customer lead times up over two weeks"
"Book-to-bill ratio less than one"
2012Q1 Transcript</t>
        </r>
      </text>
    </comment>
    <comment ref="AG292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mid 40s</t>
        </r>
      </text>
    </comment>
    <comment ref="AG300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mid 40s</t>
        </r>
      </text>
    </comment>
    <comment ref="AG30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mid 40s</t>
        </r>
      </text>
    </comment>
  </commentList>
</comments>
</file>

<file path=xl/sharedStrings.xml><?xml version="1.0" encoding="utf-8"?>
<sst xmlns="http://schemas.openxmlformats.org/spreadsheetml/2006/main" count="1438" uniqueCount="1026">
  <si>
    <t>Intangible assets, net</t>
  </si>
  <si>
    <t>Short-term investments</t>
  </si>
  <si>
    <t>Deferred tax assets</t>
  </si>
  <si>
    <t>Property, plant and equipment, net</t>
  </si>
  <si>
    <t>Other investments</t>
  </si>
  <si>
    <t>Deferred compensation plan investments</t>
  </si>
  <si>
    <t>Long-term debt</t>
  </si>
  <si>
    <t>Deferred compensation plan liability</t>
  </si>
  <si>
    <t>Other non-current liabilities</t>
  </si>
  <si>
    <t>Proceeds from long-term debt</t>
  </si>
  <si>
    <t>Other non-cash activities</t>
  </si>
  <si>
    <t>Gain on sale of business</t>
  </si>
  <si>
    <t>Non-cash portion of special charges</t>
  </si>
  <si>
    <t>Japan</t>
  </si>
  <si>
    <t>Rest of Asia</t>
  </si>
  <si>
    <t>MXIM.O</t>
  </si>
  <si>
    <t>Maxim Integrated Products Inc.</t>
  </si>
  <si>
    <t>MXIM.O,mscalc:targetPrice</t>
  </si>
  <si>
    <t>MXIM.O,mscalc:closePriceCurrencyCalc</t>
  </si>
  <si>
    <t>MXIM.O,mscalc:targetPrice,,,,USD</t>
  </si>
  <si>
    <t>MXIM.O,mscalc:sedolCodeCalc</t>
  </si>
  <si>
    <t>$AZ$2</t>
  </si>
  <si>
    <t>Maxim Integrated Products</t>
  </si>
  <si>
    <t>Maxim Integrated Products Income Statement</t>
  </si>
  <si>
    <t>Maxim Integrated Products Balance Sheet</t>
  </si>
  <si>
    <t>MXIM Statement of Cash Flows (Non Cumulative)</t>
  </si>
  <si>
    <t>MXIM Statement of Cash Flows (Cumulative)</t>
  </si>
  <si>
    <t>Intangible asset amortization</t>
  </si>
  <si>
    <t>Other current assets</t>
  </si>
  <si>
    <t>Accrued expenses</t>
  </si>
  <si>
    <t>Accrued salary and related expenses</t>
  </si>
  <si>
    <t>Deferred income on shipments to distributors</t>
  </si>
  <si>
    <t>Dividends paid</t>
  </si>
  <si>
    <t>Issuance of common stock</t>
  </si>
  <si>
    <t>Repayments of notes payable</t>
  </si>
  <si>
    <t>Purchase of property, plant and equipment</t>
  </si>
  <si>
    <t>Acquisitions</t>
  </si>
  <si>
    <t>Purchase of available-for-sale securities</t>
  </si>
  <si>
    <t>Proceeds from sales/maturities of available-for-sale securities</t>
  </si>
  <si>
    <t>Other current assets and income tax refund receivable</t>
  </si>
  <si>
    <t>Accrued liabilities</t>
  </si>
  <si>
    <t>Depreciation and amortization</t>
  </si>
  <si>
    <t>Stock-based compensation</t>
  </si>
  <si>
    <t>Deferred taxes</t>
  </si>
  <si>
    <t>Tax benefit related to stock-based compensation plans</t>
  </si>
  <si>
    <t>Loss on sale of property, plant and equipment</t>
  </si>
  <si>
    <t>Impairment of long lived assets</t>
  </si>
  <si>
    <t>Korea</t>
  </si>
  <si>
    <t>Rest of World</t>
  </si>
  <si>
    <t>Severance and restructuring expenses</t>
  </si>
  <si>
    <t>Industrial</t>
  </si>
  <si>
    <t>Industrial Gross Margin</t>
  </si>
  <si>
    <t>Consumer</t>
  </si>
  <si>
    <t>Communication</t>
  </si>
  <si>
    <t>Computer</t>
  </si>
  <si>
    <t>Computer Gross Margin</t>
  </si>
  <si>
    <t>DO NOT DELETE</t>
  </si>
  <si>
    <t>Published Case</t>
  </si>
  <si>
    <t>Hardcoded Values; Typicall = Base Case; Used for Earnings &amp; Other Quick Updates</t>
  </si>
  <si>
    <t>Primarily for IPOs; Default to Base Case Otherwise</t>
  </si>
  <si>
    <t>Analyst's Bull Case Scenario</t>
  </si>
  <si>
    <t>Analyst's Base Case Scenario; Generally = Official Case</t>
  </si>
  <si>
    <t>Analyst's Bear Case Scenario</t>
  </si>
  <si>
    <t>($ in millions; fiscal year ends in June)</t>
  </si>
  <si>
    <t>Bottoms Up Segment Model Build</t>
  </si>
  <si>
    <t>Bottoms Up Segment Model Build Check</t>
  </si>
  <si>
    <t>Bottoms Up Segment Model Gross Margin Check</t>
  </si>
  <si>
    <t>Revenues by Product ($)</t>
  </si>
  <si>
    <t>Revenues by Product (%)</t>
  </si>
  <si>
    <t>Revenues by Industry ($)</t>
  </si>
  <si>
    <t>Revenues by Industry (%)</t>
  </si>
  <si>
    <t>Key Metrics</t>
  </si>
  <si>
    <t>Bookings</t>
  </si>
  <si>
    <t>EPS - Consensus</t>
  </si>
  <si>
    <t>Revenues - Consensus</t>
  </si>
  <si>
    <t>Maxim Integrated Products  Bottoms Up Model</t>
  </si>
  <si>
    <t>Backlog ($ in millions)</t>
  </si>
  <si>
    <t>Revenues by Balance ($)</t>
  </si>
  <si>
    <t>High Integration</t>
  </si>
  <si>
    <t>Building Block</t>
  </si>
  <si>
    <t>Revenues by Major Customer ($)</t>
  </si>
  <si>
    <t>Revenue by Major Customer (%)</t>
  </si>
  <si>
    <t>Avnet</t>
  </si>
  <si>
    <t>Other Distributors</t>
  </si>
  <si>
    <t>Samsung</t>
  </si>
  <si>
    <t>Analog</t>
  </si>
  <si>
    <t>Key Markets by Revenue ($)</t>
  </si>
  <si>
    <t>Key Markets by Units (in millions)</t>
  </si>
  <si>
    <t>Key Markets by ASP ($ per Unit)</t>
  </si>
  <si>
    <t>Average</t>
  </si>
  <si>
    <t>% Next Quarter Revenue</t>
  </si>
  <si>
    <t>Internal wafer fabrication capacity (%)</t>
  </si>
  <si>
    <t>Utilization</t>
  </si>
  <si>
    <t>­</t>
  </si>
  <si>
    <t>¯</t>
  </si>
  <si>
    <t>®</t>
  </si>
  <si>
    <t>5 year avg Q-o-Q growth</t>
  </si>
  <si>
    <t xml:space="preserve"> </t>
  </si>
  <si>
    <t>High integration industrial revenues</t>
  </si>
  <si>
    <t>Building block industrial revenues</t>
  </si>
  <si>
    <t>High integration consumer revenues</t>
  </si>
  <si>
    <t>Building block consumer revenues</t>
  </si>
  <si>
    <t>High integration communications revenues</t>
  </si>
  <si>
    <t>Building block communications revenues</t>
  </si>
  <si>
    <t>High integration computing revenues</t>
  </si>
  <si>
    <t>2573760</t>
  </si>
  <si>
    <t>F3Q14A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</si>
  <si>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</si>
  <si>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</si>
  <si>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</si>
  <si>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</si>
  <si>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</si>
  <si>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</si>
  <si>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</si>
  <si>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</si>
  <si>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</si>
  <si>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</si>
  <si>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</si>
  <si>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</si>
  <si>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</si>
  <si>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</si>
  <si>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</si>
  <si>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</si>
  <si>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</si>
  <si>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</si>
  <si>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</si>
  <si>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</si>
  <si>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</si>
  <si>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</si>
  <si>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</si>
  <si>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</si>
  <si>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</si>
  <si>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</si>
  <si>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</si>
  <si>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C1Q14E</t>
  </si>
  <si>
    <t>F1Q06A</t>
  </si>
  <si>
    <t>F2Q06A</t>
  </si>
  <si>
    <t>F3Q06A</t>
  </si>
  <si>
    <t>F4Q06A</t>
  </si>
  <si>
    <t>F1Q07A</t>
  </si>
  <si>
    <t>F2Q07A</t>
  </si>
  <si>
    <t>F3Q07A</t>
  </si>
  <si>
    <t>F4Q07A</t>
  </si>
  <si>
    <t>F1Q08A</t>
  </si>
  <si>
    <t>F2Q08A</t>
  </si>
  <si>
    <t>Y-o-Y Change</t>
  </si>
  <si>
    <t>Q-o-Q Change</t>
  </si>
  <si>
    <t>C3Q14A</t>
  </si>
  <si>
    <t>F1Q15A</t>
  </si>
  <si>
    <t>C1Q15A</t>
  </si>
  <si>
    <t>F3Q15A</t>
  </si>
  <si>
    <t>F2Q15A</t>
  </si>
  <si>
    <t>C4Q14A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</si>
  <si>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</si>
  <si>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</si>
  <si>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</si>
  <si>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</si>
  <si>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</si>
  <si>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</si>
  <si>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</si>
  <si>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</si>
  <si>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</si>
  <si>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</si>
  <si>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</si>
  <si>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</si>
  <si>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</si>
  <si>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</si>
  <si>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</si>
  <si>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</si>
  <si>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F3Q12A</t>
  </si>
  <si>
    <t>F3Q13E</t>
  </si>
  <si>
    <t>F4Q13E</t>
  </si>
  <si>
    <t>F1Q14E</t>
  </si>
  <si>
    <t>F2Q14E</t>
  </si>
  <si>
    <t>F3Q14E</t>
  </si>
  <si>
    <t>F4Q14E</t>
  </si>
  <si>
    <t>F1Q15E</t>
  </si>
  <si>
    <t>F2Q15E</t>
  </si>
  <si>
    <t>F3Q15E</t>
  </si>
  <si>
    <t>F4Q15E</t>
  </si>
  <si>
    <t>FY2006A</t>
  </si>
  <si>
    <t>FY2007A</t>
  </si>
  <si>
    <t>FY2008A</t>
  </si>
  <si>
    <t>FY2009A</t>
  </si>
  <si>
    <t>FY2010A</t>
  </si>
  <si>
    <t>FY2011A</t>
  </si>
  <si>
    <t>FY2012E</t>
  </si>
  <si>
    <t>FY2013E</t>
  </si>
  <si>
    <t>FY2014E</t>
  </si>
  <si>
    <t>FY2018E</t>
  </si>
  <si>
    <t>FY2019E</t>
  </si>
  <si>
    <t>FY2020E</t>
  </si>
  <si>
    <t>CY2006</t>
  </si>
  <si>
    <t>CY2007</t>
  </si>
  <si>
    <t>CY2008</t>
  </si>
  <si>
    <t>CY2009</t>
  </si>
  <si>
    <t>CY2010</t>
  </si>
  <si>
    <t>CY2011</t>
  </si>
  <si>
    <t>CY2012</t>
  </si>
  <si>
    <t>CY2013</t>
  </si>
  <si>
    <t>Revenues by Product type (%)</t>
  </si>
  <si>
    <t>F4Q12A</t>
  </si>
  <si>
    <t>C2Q12A</t>
  </si>
  <si>
    <t>Maxim Integrated</t>
  </si>
  <si>
    <t>Company</t>
  </si>
  <si>
    <t>SG&amp;A - MW</t>
  </si>
  <si>
    <t>% of Revs.</t>
  </si>
  <si>
    <t>F1Q13A</t>
  </si>
  <si>
    <t>C3Q12A</t>
  </si>
  <si>
    <t>Net Income, Cont. Ops. - MW</t>
  </si>
  <si>
    <t>EPS - MW</t>
  </si>
  <si>
    <t>Others</t>
  </si>
  <si>
    <t>Samsung Revs.</t>
  </si>
  <si>
    <t>C4Q12A</t>
  </si>
  <si>
    <t>F2Q13A</t>
  </si>
  <si>
    <t>Debt</t>
  </si>
  <si>
    <t>Net Cash</t>
  </si>
  <si>
    <t>Net Cash / Share</t>
  </si>
  <si>
    <t>Subtotal</t>
  </si>
  <si>
    <t>Note</t>
  </si>
  <si>
    <t>% of total</t>
  </si>
  <si>
    <t>Total</t>
  </si>
  <si>
    <t>Debt Schedule</t>
  </si>
  <si>
    <t>3.45% Fixed Rate Notes due June 2013</t>
  </si>
  <si>
    <t>3.375% Senior Notes due 2023</t>
  </si>
  <si>
    <t>Book Value of Debt</t>
  </si>
  <si>
    <t>Interest Rate</t>
  </si>
  <si>
    <t>Effective Interest Rate</t>
  </si>
  <si>
    <t>Interest Expense</t>
  </si>
  <si>
    <t>Interest-Bearing Securities</t>
  </si>
  <si>
    <t>Cash (prior Q)</t>
  </si>
  <si>
    <t>Marketable Securities (prior Q)</t>
  </si>
  <si>
    <t>Interest Income</t>
  </si>
  <si>
    <t>Less: Capex</t>
  </si>
  <si>
    <t>Plus: Net Interest Expense</t>
  </si>
  <si>
    <t>Unlevered FCF</t>
  </si>
  <si>
    <t>Plus: Depreciation &amp; Amortization</t>
  </si>
  <si>
    <t>EBITDA</t>
  </si>
  <si>
    <t>Operating Income</t>
  </si>
  <si>
    <t>Less: Amortization of Intangibles</t>
  </si>
  <si>
    <t>PBT</t>
  </si>
  <si>
    <t>US Tax Rate</t>
  </si>
  <si>
    <t>Taxes</t>
  </si>
  <si>
    <t>MW Taxes</t>
  </si>
  <si>
    <t>% Reinvested vs. % Reserved</t>
  </si>
  <si>
    <t>Tax Adjustment</t>
  </si>
  <si>
    <t>Adj. Net Income</t>
  </si>
  <si>
    <t>Tax Adj. EPS</t>
  </si>
  <si>
    <t>Note: Tax Adjusted Figures</t>
  </si>
  <si>
    <t>EBITDA &amp; Tax-Adjusted Earnings</t>
  </si>
  <si>
    <t>Samsung Galaxy</t>
  </si>
  <si>
    <t>MXIM revs from Samsung high end</t>
  </si>
  <si>
    <t>MXIM content/high end unit</t>
  </si>
  <si>
    <t>Mid range revs from Samsung</t>
  </si>
  <si>
    <t>Samsung (quarterly are estimates)</t>
  </si>
  <si>
    <t>% of total revs</t>
  </si>
  <si>
    <t>% of consumer revs</t>
  </si>
  <si>
    <t>Estimated Consumer Breakdown</t>
  </si>
  <si>
    <t>Note: Consumer Revs.</t>
  </si>
  <si>
    <t>Q/Q Change (%)</t>
  </si>
  <si>
    <t>Q/Q Change ($'s)</t>
  </si>
  <si>
    <t>Samsung Mobility</t>
  </si>
  <si>
    <t>% of Consumer</t>
  </si>
  <si>
    <t>Samsung other consumer revs.</t>
  </si>
  <si>
    <t>Total Galaxy S</t>
  </si>
  <si>
    <t>Galaxy</t>
  </si>
  <si>
    <t>Galaxy S2 units</t>
  </si>
  <si>
    <t>Galaxy S3 units</t>
  </si>
  <si>
    <t>Galaxy S4 units</t>
  </si>
  <si>
    <t>Samsung Other</t>
  </si>
  <si>
    <t>Note 2</t>
  </si>
  <si>
    <t>Note 3</t>
  </si>
  <si>
    <t>Samsung tablets</t>
  </si>
  <si>
    <t>Total Notes</t>
  </si>
  <si>
    <t>Sasmung Note</t>
  </si>
  <si>
    <t>Total Samsung high-end units</t>
  </si>
  <si>
    <t>Other Samsung smartphones</t>
  </si>
  <si>
    <t>Smartphones &amp; Tablets</t>
  </si>
  <si>
    <t>Total Samsung smartphones</t>
  </si>
  <si>
    <t>Total Smartphone &amp; Tablets</t>
  </si>
  <si>
    <t>Samsung Analysis</t>
  </si>
  <si>
    <t>Home Entertainment, Appliances, and other</t>
  </si>
  <si>
    <t>Other Consumer</t>
  </si>
  <si>
    <t>C1Q13A</t>
  </si>
  <si>
    <t>F3Q13A</t>
  </si>
  <si>
    <t>F4Q13A</t>
  </si>
  <si>
    <t>C2Q13A</t>
  </si>
  <si>
    <t>FY2012A</t>
  </si>
  <si>
    <t>FY2013A</t>
  </si>
  <si>
    <t>C3Q13A</t>
  </si>
  <si>
    <t>F1Q14A</t>
  </si>
  <si>
    <t>C4Q13</t>
  </si>
  <si>
    <t>F2Q14</t>
  </si>
  <si>
    <t>Extraordinary</t>
  </si>
  <si>
    <t>Revenues - MW</t>
  </si>
  <si>
    <t>Sequential change</t>
  </si>
  <si>
    <t>Y-o-Y change</t>
  </si>
  <si>
    <t>COGS - GAAP</t>
  </si>
  <si>
    <t>Percentage of Revenues</t>
  </si>
  <si>
    <t>SBC</t>
  </si>
  <si>
    <t>Other non GAAP expenses</t>
  </si>
  <si>
    <t>Discontinued operations</t>
  </si>
  <si>
    <t>COGS - non GAAP</t>
  </si>
  <si>
    <t>COGS - MW</t>
  </si>
  <si>
    <t>Gross Profit - GAAP</t>
  </si>
  <si>
    <t>Gross Margin - GAAP</t>
  </si>
  <si>
    <t>Gross Profit - non GAAP</t>
  </si>
  <si>
    <t>Gross Margin - non GAAP</t>
  </si>
  <si>
    <t>Gross Profit - MW</t>
  </si>
  <si>
    <t>Gross Margin - MW</t>
  </si>
  <si>
    <t>R&amp;D - GAAP</t>
  </si>
  <si>
    <t>R&amp;D - non GAAP</t>
  </si>
  <si>
    <t>R&amp;D - MW</t>
  </si>
  <si>
    <t>Selling, General and Administrative - GAAP</t>
  </si>
  <si>
    <t>Selling, General and Administrative - non GAAP</t>
  </si>
  <si>
    <t>Other OpEx - GAAP</t>
  </si>
  <si>
    <t>Other OpEx - non GAAP</t>
  </si>
  <si>
    <t>Other OpEx - MW</t>
  </si>
  <si>
    <t>Operating Expenses - GAAP</t>
  </si>
  <si>
    <t>Operating Expenses - non GAAP</t>
  </si>
  <si>
    <t>Operating Expenses - MW</t>
  </si>
  <si>
    <t>Operating Income - GAAP</t>
  </si>
  <si>
    <t>Operating Margin GAAP%</t>
  </si>
  <si>
    <t>Operating Income - non GAAP</t>
  </si>
  <si>
    <t>Operating Margin non GAAP%</t>
  </si>
  <si>
    <t>Operating Income - MW</t>
  </si>
  <si>
    <t>Operating Margin MW%</t>
  </si>
  <si>
    <t>Total Interest Income (net) and Other Income - GAAP</t>
  </si>
  <si>
    <t>Percentage of cash equivalents</t>
  </si>
  <si>
    <t>Other income (expense), net</t>
  </si>
  <si>
    <t>Total Interest Income (net) and Other Income - non GAAP</t>
  </si>
  <si>
    <t>Other interest income 1x</t>
  </si>
  <si>
    <t>Total Interest Income (net) and Other Income - MW</t>
  </si>
  <si>
    <t>PBT - GAAP</t>
  </si>
  <si>
    <t>PBT Margin GAAP %</t>
  </si>
  <si>
    <t>PBT - non GAAP</t>
  </si>
  <si>
    <t>PBT Margin non GAAP%</t>
  </si>
  <si>
    <t>PBT - MW</t>
  </si>
  <si>
    <t>PBT Margin MW%</t>
  </si>
  <si>
    <t>Income Tax Expense (Benefit) - GAAP</t>
  </si>
  <si>
    <t>Effective tax rate GAAP %</t>
  </si>
  <si>
    <t>Taxes-SBC</t>
  </si>
  <si>
    <t>Taxes-Extraordinary</t>
  </si>
  <si>
    <t>Taxes-Disc. operations</t>
  </si>
  <si>
    <t>Income Tax Expense (Benefit) - non GAAP</t>
  </si>
  <si>
    <t>Effective tax rate non GAAP</t>
  </si>
  <si>
    <t>Income Tax Expense (Benefit) - MW</t>
  </si>
  <si>
    <t>Effective tax rate MW</t>
  </si>
  <si>
    <t>Net Income, Cont. Ops. - GAAP</t>
  </si>
  <si>
    <t>Net Income Margin GAAP%</t>
  </si>
  <si>
    <t>Extraordinary, net of tax</t>
  </si>
  <si>
    <t>Discontinued Operations - non GAAP</t>
  </si>
  <si>
    <t>Net Income, Cont. Ops. - non GAAP</t>
  </si>
  <si>
    <t>Net Income Margin non GAAP%</t>
  </si>
  <si>
    <t>Net Income Margin MW%</t>
  </si>
  <si>
    <t>SBC, net of tax</t>
  </si>
  <si>
    <t>Income (Loss) from Discontinued Operations - GAAP</t>
  </si>
  <si>
    <t>Total GAAP to non GAAP adjustments</t>
  </si>
  <si>
    <t>Income (Loss) from Discontinued Operations - non GAAP</t>
  </si>
  <si>
    <t>Net Income - GAAP</t>
  </si>
  <si>
    <t>Net Income Margin GAAP %</t>
  </si>
  <si>
    <t>EPS - GAAP</t>
  </si>
  <si>
    <t>EPS - non GAAP</t>
  </si>
  <si>
    <t>Average Basic Shares - GAAP</t>
  </si>
  <si>
    <t>Average Basic Shares - non-GAAP</t>
  </si>
  <si>
    <t>Average Diluted Shares - GAAP</t>
  </si>
  <si>
    <t>Average Diluted Shares - non-GAAP</t>
  </si>
  <si>
    <t>Dilution Ratio</t>
  </si>
  <si>
    <t>Period-end Shares</t>
  </si>
  <si>
    <t>Dividends Declared Per Share</t>
  </si>
  <si>
    <t>Average Price Per Share</t>
  </si>
  <si>
    <t>Cost of equity</t>
  </si>
  <si>
    <t>Statutory Tax (%)</t>
  </si>
  <si>
    <t>Operating Expenses</t>
  </si>
  <si>
    <t>Total Costs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</si>
  <si>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</si>
  <si>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</si>
  <si>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</si>
  <si>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</si>
  <si>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</si>
  <si>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</si>
  <si>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</si>
  <si>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</si>
  <si>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</si>
  <si>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</si>
  <si>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</si>
  <si>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</si>
  <si>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</si>
  <si>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</si>
  <si>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</si>
  <si>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</si>
  <si>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</si>
  <si>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</si>
  <si>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</si>
  <si>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</si>
  <si>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</si>
  <si>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</si>
  <si>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</si>
  <si>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</si>
  <si>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</si>
  <si>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</si>
  <si>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</si>
  <si>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</si>
  <si>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2007-FY</t>
  </si>
  <si>
    <t>2008-FY</t>
  </si>
  <si>
    <t>2009-FY</t>
  </si>
  <si>
    <t>2010-FY</t>
  </si>
  <si>
    <t>2011-FY</t>
  </si>
  <si>
    <t>2012-FY</t>
  </si>
  <si>
    <t>2013-FY</t>
  </si>
  <si>
    <t>2014-FY</t>
  </si>
  <si>
    <t>2015-FY</t>
  </si>
  <si>
    <t>2016-FY</t>
  </si>
  <si>
    <t>2017-FY</t>
  </si>
  <si>
    <t>2018-FY</t>
  </si>
  <si>
    <t>2019-FY</t>
  </si>
  <si>
    <t>Actual/Estimate Toggle</t>
  </si>
  <si>
    <t>Fiscal Year</t>
  </si>
  <si>
    <t>Fiscal Quarter</t>
  </si>
  <si>
    <t>Calendar Year</t>
  </si>
  <si>
    <t>Calendar Quarter</t>
  </si>
  <si>
    <t>USD</t>
  </si>
  <si>
    <t>E</t>
  </si>
  <si>
    <t>2015-Q1</t>
  </si>
  <si>
    <t>2015-Q2</t>
  </si>
  <si>
    <t>2015-Q3</t>
  </si>
  <si>
    <t>2015-Q4</t>
  </si>
  <si>
    <t>2016-Q1</t>
  </si>
  <si>
    <t>2016-Q2</t>
  </si>
  <si>
    <t>2016-Q3</t>
  </si>
  <si>
    <t>2016-Q4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</si>
  <si>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</si>
  <si>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</si>
  <si>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</si>
  <si>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</si>
  <si>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</si>
  <si>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</si>
  <si>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</si>
  <si>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</si>
  <si>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2019-Q1</t>
  </si>
  <si>
    <t>2019-Q2</t>
  </si>
  <si>
    <t>2019-Q3</t>
  </si>
  <si>
    <t>2019-Q4</t>
  </si>
  <si>
    <t>Assets</t>
  </si>
  <si>
    <t>Cash and cash equivalents</t>
  </si>
  <si>
    <t>Accounts receivables, net</t>
  </si>
  <si>
    <t>Total Current Assets</t>
  </si>
  <si>
    <t>Goodwill</t>
  </si>
  <si>
    <t>Total Assets</t>
  </si>
  <si>
    <t>Liabilities &amp; Shareholders' Equity</t>
  </si>
  <si>
    <t>Accounts payable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</si>
  <si>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</si>
  <si>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</si>
  <si>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</si>
  <si>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</si>
  <si>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</si>
  <si>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</si>
  <si>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</si>
  <si>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</si>
  <si>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</si>
  <si>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Prepaid expenses and other current assets % of Revenues</t>
  </si>
  <si>
    <t>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</si>
  <si>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</si>
  <si>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</si>
  <si>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</si>
  <si>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</si>
  <si>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</si>
  <si>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</si>
  <si>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</si>
  <si>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</si>
  <si>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</si>
  <si>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</si>
  <si>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</si>
  <si>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</si>
  <si>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Average diluted shares - non GAAP</t>
  </si>
  <si>
    <t>Book value per share</t>
  </si>
  <si>
    <t>Tangible book value</t>
  </si>
  <si>
    <t>Tangible book value per share</t>
  </si>
  <si>
    <t>Total cash</t>
  </si>
  <si>
    <t>Total cash per share</t>
  </si>
  <si>
    <t>Net working capital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</si>
  <si>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</si>
  <si>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</si>
  <si>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</si>
  <si>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</si>
  <si>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</si>
  <si>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Changes in current assets and liabilities:</t>
  </si>
  <si>
    <t>Accounts receivable</t>
  </si>
  <si>
    <t>Inventory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</si>
  <si>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</si>
  <si>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</si>
  <si>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</si>
  <si>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</si>
  <si>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</si>
  <si>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</si>
  <si>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</si>
  <si>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</si>
  <si>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</si>
  <si>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</si>
  <si>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</si>
  <si>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</si>
  <si>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</si>
  <si>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</si>
  <si>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</si>
  <si>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</si>
  <si>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</si>
  <si>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</si>
  <si>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</si>
  <si>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</si>
  <si>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</si>
  <si>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Total Depreciation and Amortization</t>
  </si>
  <si>
    <t>Percentage of Gross PP&amp;E</t>
  </si>
  <si>
    <t>vs. Cash Flow Statement</t>
  </si>
  <si>
    <t>Cash Flow Statement Metrics</t>
  </si>
  <si>
    <t>Free Cash Flow</t>
  </si>
  <si>
    <t>Adjusted FCF</t>
  </si>
  <si>
    <t>Other financing activities</t>
  </si>
  <si>
    <t>Q-o-Q growth</t>
  </si>
  <si>
    <t>Y-o-Y growth</t>
  </si>
  <si>
    <t>Percent of Revenue</t>
  </si>
  <si>
    <t>Total Bottoms Up Revenue</t>
  </si>
  <si>
    <t>Actual Revenue from Income Statement</t>
  </si>
  <si>
    <t>BU / Income Statement Check</t>
  </si>
  <si>
    <t>This sheet contains Factset binary data for use with this workbook's =FDS codes.  Modifying the worksheet's contents may damage the workbook's =FDS functionality.</t>
  </si>
  <si>
    <t>Difference</t>
  </si>
  <si>
    <t>Interest expense</t>
  </si>
  <si>
    <t>Net Income</t>
  </si>
  <si>
    <t>Bull Case</t>
  </si>
  <si>
    <t>Base Case</t>
  </si>
  <si>
    <t>Bear Case</t>
  </si>
  <si>
    <t>Currency</t>
  </si>
  <si>
    <t>Current Stock Price</t>
  </si>
  <si>
    <t>Count</t>
  </si>
  <si>
    <t>Restricted cash</t>
  </si>
  <si>
    <t>Interest income</t>
  </si>
  <si>
    <t>Percentage of total debt</t>
  </si>
  <si>
    <t>2020-FY</t>
  </si>
  <si>
    <t>Management Case</t>
  </si>
  <si>
    <t>Percent Gross Margin</t>
  </si>
  <si>
    <t>Total Bottoms Up Gross Margin</t>
  </si>
  <si>
    <t xml:space="preserve">   % Gross Margin</t>
  </si>
  <si>
    <t>Actual Gross Margin from Income Statement</t>
  </si>
  <si>
    <t>Percentage of Revenue Growth</t>
  </si>
  <si>
    <t>Adjustments for Net Income to Common Shareholders - GAAP</t>
  </si>
  <si>
    <t>Net Income to Common Shareholders - GAAP</t>
  </si>
  <si>
    <t>Adjustments to reconcile net income to net cash</t>
  </si>
  <si>
    <t>2006-Q1</t>
  </si>
  <si>
    <t>2006-Q2</t>
  </si>
  <si>
    <t>2006-Q3</t>
  </si>
  <si>
    <t>2006-Q4</t>
  </si>
  <si>
    <t>2006-FY</t>
  </si>
  <si>
    <t>2007-Q1</t>
  </si>
  <si>
    <t>2007-Q2</t>
  </si>
  <si>
    <t>2007-Q3</t>
  </si>
  <si>
    <t>2007-Q4</t>
  </si>
  <si>
    <t>Other</t>
  </si>
  <si>
    <t>Income taxes payable</t>
  </si>
  <si>
    <t>Repurchase of common stock</t>
  </si>
  <si>
    <t>Increase (decrease) in short-term debt, net</t>
  </si>
  <si>
    <t>Income taxes payable and receivable</t>
  </si>
  <si>
    <t>Other assets and liabilities</t>
  </si>
  <si>
    <t>Other changes in assets and liabilities</t>
  </si>
  <si>
    <t>Comm &amp; Data Center</t>
  </si>
  <si>
    <t>Automotive</t>
  </si>
  <si>
    <t>Computing</t>
  </si>
  <si>
    <t>Consumer Gross Margin</t>
  </si>
  <si>
    <t>Comm &amp; Data Center Gross Margin</t>
  </si>
  <si>
    <t>Automotive Gross Margin</t>
  </si>
  <si>
    <t>Revenues by End Market ($)</t>
  </si>
  <si>
    <t>Revenues by End Market (%)</t>
  </si>
  <si>
    <t>.</t>
  </si>
  <si>
    <t>F4Q14A</t>
  </si>
  <si>
    <t>C2Q14A</t>
  </si>
  <si>
    <t>FY2014A</t>
  </si>
  <si>
    <t>Actual Operating Income from Income Statement</t>
  </si>
  <si>
    <t>100% Check</t>
  </si>
  <si>
    <t xml:space="preserve">Total </t>
  </si>
  <si>
    <t>Revenues by Geography ($)</t>
  </si>
  <si>
    <t>Revenues by Geography (%)</t>
  </si>
  <si>
    <t>Europe</t>
  </si>
  <si>
    <t>Other assets</t>
  </si>
  <si>
    <t>Treasury stock</t>
  </si>
  <si>
    <t>Current portion of long-term debt</t>
  </si>
  <si>
    <t>Other short-term obligations</t>
  </si>
  <si>
    <t>Proceeds from sale of property, plant and equipment</t>
  </si>
  <si>
    <t>Noncontrolling interest</t>
  </si>
  <si>
    <t>Repurchase of noncontrolling interest</t>
  </si>
  <si>
    <t>Net income attributable to noncontrolling interest</t>
  </si>
  <si>
    <t>Class B preferred accretion</t>
  </si>
  <si>
    <t>United States</t>
  </si>
  <si>
    <t>China</t>
  </si>
  <si>
    <t>C2Q15A</t>
  </si>
  <si>
    <t>F4Q15A</t>
  </si>
  <si>
    <t>C2Q18E</t>
  </si>
  <si>
    <t>F4Q18E</t>
  </si>
  <si>
    <t>CY2017E</t>
  </si>
  <si>
    <t>`</t>
  </si>
  <si>
    <t>F1Q16A</t>
  </si>
  <si>
    <t>F2Q16A</t>
  </si>
  <si>
    <t>C4Q15A</t>
  </si>
  <si>
    <t>C3Q15A</t>
  </si>
  <si>
    <t>CY2014A</t>
  </si>
  <si>
    <t>CY2015A</t>
  </si>
  <si>
    <t>F3Q16A</t>
  </si>
  <si>
    <t>C1Q16A</t>
  </si>
  <si>
    <t>F4Q16A</t>
  </si>
  <si>
    <t>C2Q16A</t>
  </si>
  <si>
    <t>C3Q16A</t>
  </si>
  <si>
    <t>F1Q17A</t>
  </si>
  <si>
    <t>C1Q19E</t>
  </si>
  <si>
    <t>C2Q19E</t>
  </si>
  <si>
    <t>F1Q19E</t>
  </si>
  <si>
    <t>F2Q19E</t>
  </si>
  <si>
    <t>F3Q19E</t>
  </si>
  <si>
    <t>F4Q19E</t>
  </si>
  <si>
    <t>C3Q18E</t>
  </si>
  <si>
    <t>C4Q18E</t>
  </si>
  <si>
    <t>CY2018E</t>
  </si>
  <si>
    <t>C4Q16A</t>
  </si>
  <si>
    <t>F2Q17A</t>
  </si>
  <si>
    <t>C1Q17A</t>
  </si>
  <si>
    <t>F3Q17A</t>
  </si>
  <si>
    <t>C2Q17A</t>
  </si>
  <si>
    <t>F4Q17A</t>
  </si>
  <si>
    <t>Core Consumer</t>
  </si>
  <si>
    <t>Core Computing</t>
  </si>
  <si>
    <t>Core Automotive</t>
  </si>
  <si>
    <t>Core Comm &amp; Data Center</t>
  </si>
  <si>
    <t>Core Industrial</t>
  </si>
  <si>
    <t>Distributor Revenue Benefit ($mn)</t>
  </si>
  <si>
    <t>Comms &amp; Data Center</t>
  </si>
  <si>
    <t>40</t>
  </si>
  <si>
    <t>F1Q20E</t>
  </si>
  <si>
    <t>F2Q20E</t>
  </si>
  <si>
    <t>F3Q20E</t>
  </si>
  <si>
    <t>F4Q20E</t>
  </si>
  <si>
    <t>C3Q19E</t>
  </si>
  <si>
    <t>C4Q19E</t>
  </si>
  <si>
    <t>C1Q20E</t>
  </si>
  <si>
    <t>C2Q20E</t>
  </si>
  <si>
    <t>CY2019E</t>
  </si>
  <si>
    <t>F1Q18A</t>
  </si>
  <si>
    <t>C3Q17A</t>
  </si>
  <si>
    <t>FY2016A</t>
  </si>
  <si>
    <t>FY2015A</t>
  </si>
  <si>
    <t>FY2017A</t>
  </si>
  <si>
    <t>Disti/Extra Week benefit</t>
  </si>
  <si>
    <t>Extra Week Revenue Benefit ($mn)</t>
  </si>
  <si>
    <t>Total Revenue Benefit ($mn)</t>
  </si>
  <si>
    <t>CY2016A</t>
  </si>
  <si>
    <t>C4Q17A</t>
  </si>
  <si>
    <t>F2Q18A</t>
  </si>
  <si>
    <t>C1Q18A</t>
  </si>
  <si>
    <t>F3Q18A</t>
  </si>
  <si>
    <t>60</t>
  </si>
  <si>
    <t>Research</t>
  </si>
  <si>
    <t xml:space="preserve">              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</si>
  <si>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</si>
  <si>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</si>
  <si>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</si>
  <si>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</si>
  <si>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</si>
  <si>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</si>
  <si>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Craig Hettenbach, Joseph Moore</t>
  </si>
  <si>
    <t>Date: 26 Apr 2018</t>
  </si>
  <si>
    <t>Ticker: MXIM.O</t>
  </si>
  <si>
    <t>Stock Rating: Equal-Weight</t>
  </si>
  <si>
    <t>Industry: Semiconductors</t>
  </si>
  <si>
    <t>Industry View: In-Line</t>
  </si>
  <si>
    <t>Price as of 26 Apr 2018: 55.00</t>
  </si>
  <si>
    <t>Target Price: 60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</si>
  <si>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</si>
  <si>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</si>
  <si>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</si>
  <si>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</si>
  <si>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Maxim Integrated Products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</si>
  <si>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</si>
  <si>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</si>
  <si>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</si>
  <si>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</si>
  <si>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</si>
  <si>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</si>
  <si>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</si>
  <si>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</si>
  <si>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</si>
  <si>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</si>
  <si>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</si>
  <si>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</si>
  <si>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</si>
  <si>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</si>
  <si>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</si>
  <si>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</si>
  <si>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</si>
  <si>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</si>
  <si>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</si>
  <si>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</si>
  <si>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</si>
  <si>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</si>
  <si>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</si>
  <si>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</si>
  <si>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</si>
  <si>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</si>
  <si>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</si>
  <si>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</si>
  <si>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</si>
  <si>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</si>
  <si>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</si>
  <si>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</si>
  <si>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</si>
  <si>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</si>
  <si>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</si>
  <si>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</si>
  <si>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</si>
  <si>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</si>
  <si>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</si>
  <si>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</si>
  <si>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</si>
  <si>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</si>
  <si>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</si>
  <si>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</si>
  <si>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</si>
  <si>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</si>
  <si>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</si>
  <si>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</si>
  <si>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</si>
  <si>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</si>
  <si>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</si>
  <si>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</si>
  <si>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</si>
  <si>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</si>
  <si>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</si>
  <si>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</si>
  <si>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</si>
  <si>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</si>
  <si>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</si>
  <si>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</si>
  <si>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</si>
  <si>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</si>
  <si>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</si>
  <si>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</si>
  <si>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</si>
  <si>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</si>
  <si>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</si>
  <si>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</si>
  <si>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</si>
  <si>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</si>
  <si>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</si>
  <si>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</si>
  <si>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</si>
  <si>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</si>
  <si>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</si>
  <si>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</si>
  <si>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</si>
  <si>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</si>
  <si>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</si>
  <si>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</si>
  <si>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</si>
  <si>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</si>
  <si>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</si>
  <si>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</si>
  <si>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</si>
  <si>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</si>
  <si>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</si>
  <si>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</si>
  <si>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</si>
  <si>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</si>
  <si>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</si>
  <si>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</si>
  <si>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</si>
  <si>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</si>
  <si>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</si>
  <si>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</si>
  <si>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</si>
  <si>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</si>
  <si>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</si>
  <si>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</si>
  <si>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</si>
  <si>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</si>
  <si>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</si>
  <si>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</si>
  <si>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</si>
  <si>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</si>
  <si>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</si>
  <si>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</si>
  <si>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</si>
  <si>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</si>
  <si>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</si>
  <si>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</si>
  <si>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</si>
  <si>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</si>
  <si>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</si>
  <si>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</si>
  <si>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</si>
  <si>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</si>
  <si>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</si>
  <si>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</si>
  <si>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</si>
  <si>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</si>
  <si>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</si>
  <si>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</si>
  <si>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</si>
  <si>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</si>
  <si>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</si>
  <si>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</si>
  <si>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</si>
  <si>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</si>
  <si>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</si>
  <si>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</si>
  <si>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</si>
  <si>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</si>
  <si>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</si>
  <si>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</si>
  <si>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</si>
  <si>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</si>
  <si>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</si>
  <si>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</si>
  <si>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</si>
  <si>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</si>
  <si>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</si>
  <si>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</si>
  <si>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</si>
  <si>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</si>
  <si>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</si>
  <si>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</si>
  <si>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</si>
  <si>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</si>
  <si>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</si>
  <si>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</si>
  <si>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</si>
  <si>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</si>
  <si>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</si>
  <si>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</si>
  <si>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</si>
  <si>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</si>
  <si>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</si>
  <si>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</si>
  <si>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</si>
  <si>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</si>
  <si>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</si>
  <si>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</si>
  <si>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</si>
  <si>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</si>
  <si>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</si>
  <si>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</si>
  <si>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</si>
  <si>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</si>
  <si>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</si>
  <si>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</si>
  <si>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</si>
  <si>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</si>
  <si>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</si>
  <si>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Maxim Integrated Products Inc..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</si>
  <si>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</si>
  <si>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</si>
  <si>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</si>
  <si>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</si>
  <si>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</si>
  <si>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</si>
  <si>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</si>
  <si>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</si>
  <si>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</si>
  <si>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</si>
  <si>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</si>
  <si>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</si>
  <si>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</si>
  <si>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</si>
  <si>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</si>
  <si>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</si>
  <si>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</si>
  <si>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</si>
  <si>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</si>
  <si>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</si>
  <si>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</si>
  <si>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</si>
  <si>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</si>
  <si>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</si>
  <si>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</si>
  <si>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</si>
  <si>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</si>
  <si>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</si>
  <si>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</si>
  <si>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</si>
  <si>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</si>
  <si>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</si>
  <si>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</si>
  <si>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</si>
  <si>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</si>
  <si>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</si>
  <si>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</si>
  <si>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</si>
  <si>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</si>
  <si>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</si>
  <si>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</si>
  <si>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</si>
  <si>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</si>
  <si>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</si>
  <si>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</si>
  <si>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</si>
  <si>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</si>
  <si>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</si>
  <si>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</si>
  <si>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</si>
  <si>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</si>
  <si>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</si>
  <si>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</si>
  <si>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</si>
  <si>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</si>
  <si>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</si>
  <si>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</si>
  <si>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</si>
  <si>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</si>
  <si>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</si>
  <si>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</si>
  <si>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</si>
  <si>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</si>
  <si>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</si>
  <si>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</si>
  <si>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</si>
  <si>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</si>
  <si>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</si>
  <si>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Maxim Integrated Products Inc..</t>
  </si>
  <si>
    <t>Within the last 12 months, Morgan Stanley has provided or is providing investment banking services to,</t>
  </si>
  <si>
    <t>or has an investment banking client relationship with, the following company: Maxim Integrated Products</t>
  </si>
  <si>
    <t>Inc..</t>
  </si>
  <si>
    <t>Within the last 12 months, Morgan Stanley has received compensation for products and services other than</t>
  </si>
  <si>
    <t>investment banking services from Maxim Integrated Products Inc..</t>
  </si>
  <si>
    <t>In the next 3 months, Morgan Stanley expects to receive or intends to seek compensation for investment</t>
  </si>
  <si>
    <t>banking services from Maxim Integrated Products Inc..</t>
  </si>
  <si>
    <t>Within the last 12 months, Morgan Stanley has received compensation for investment banking services from</t>
  </si>
  <si>
    <t>Maxim Integrated Products Inc..</t>
  </si>
  <si>
    <t>Within the last 12 months, Morgan Stanley managed or co-managed a public offering (or 144A offering) of</t>
  </si>
  <si>
    <t>securities of Maxim Integrated Products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</si>
  <si>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</si>
  <si>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</si>
  <si>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</si>
  <si>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</si>
  <si>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</si>
  <si>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Craig Hettenbach.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</si>
  <si>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</si>
  <si>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</si>
  <si>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</si>
  <si>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</si>
  <si>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</si>
  <si>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</si>
  <si>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</si>
  <si>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</si>
  <si>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</si>
  <si>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</si>
  <si>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</si>
  <si>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</si>
  <si>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</si>
  <si>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</si>
  <si>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</si>
  <si>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</si>
  <si>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</si>
  <si>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</si>
  <si>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</si>
  <si>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</si>
  <si>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</si>
  <si>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</si>
  <si>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</si>
  <si>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</si>
  <si>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</si>
  <si>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</si>
  <si>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</si>
  <si>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</si>
  <si>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</si>
  <si>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</si>
  <si>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</si>
  <si>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</si>
  <si>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</si>
  <si>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</si>
  <si>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</si>
  <si>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</si>
  <si>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</si>
  <si>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</si>
  <si>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</si>
  <si>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</si>
  <si>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</si>
  <si>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</si>
  <si>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</si>
  <si>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</si>
  <si>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</si>
  <si>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</si>
  <si>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</si>
  <si>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</si>
  <si>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</si>
  <si>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</si>
  <si>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</si>
  <si>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</si>
  <si>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</si>
  <si>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</si>
  <si>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</si>
  <si>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</si>
  <si>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</si>
  <si>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</si>
  <si>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</si>
  <si>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</si>
  <si>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</si>
  <si>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</si>
  <si>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</si>
  <si>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</si>
  <si>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</si>
  <si>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</si>
  <si>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</si>
  <si>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</si>
  <si>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</si>
  <si>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NorthAmerica</t>
  </si>
  <si>
    <t>sarlinde</t>
  </si>
  <si>
    <t>MSA89GWN, MSA32FNJ</t>
  </si>
  <si>
    <t>57772K101</t>
  </si>
  <si>
    <t>L:\SEMI CAP\Joe Files\Companies\MXIM\MXIM_WIP.xlsm</t>
  </si>
  <si>
    <t>plese publish after mxim note at midngith</t>
  </si>
  <si>
    <t>[BRO MSA]</t>
  </si>
  <si>
    <t>[PRODUCT MODEL]</t>
  </si>
  <si>
    <t>[EMAIL_ALERT YES]</t>
  </si>
  <si>
    <t>[DISCIPLINE Company]</t>
  </si>
  <si>
    <t>[SUPPRESSED NO]</t>
  </si>
  <si>
    <t>[DOCDAT 2018-04-26]</t>
  </si>
  <si>
    <t>[DOCTIME 22:41]</t>
  </si>
  <si>
    <t>[PSYM MXIM.O(S&amp;P) (None)]</t>
  </si>
  <si>
    <t>[COU 1]</t>
  </si>
  <si>
    <t>[ANA MSA32FNJ]</t>
  </si>
  <si>
    <t>[HL MXIM.O Model]</t>
  </si>
  <si>
    <t>[IND SEMICO]</t>
  </si>
  <si>
    <t>[PANA MSA89GWN]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</si>
</sst>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7" formatCode="_(&quot;$&quot;* #,##0.0_);_(&quot;$&quot;* \(#,##0.0\);_(&quot;$&quot;* &quot;-&quot;?_);_(@_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&quot;$&quot;* #,##0.0000_);_(&quot;$&quot;* \(#,##0.0000\);_(&quot;$&quot;* &quot;-&quot;_);_(@_)"/>
    <numFmt numFmtId="172" formatCode="_(* #,##0.0000_);_(* \(#,##0.0000\);_(* &quot;-&quot;?_);_(@_)"/>
    <numFmt numFmtId="173" formatCode="_(* #,##0.0000_);_(* \(#,##0.0000\);_(* &quot;-&quot;??_);_(@_)"/>
    <numFmt numFmtId="174" formatCode="_(&quot;$&quot;* #,##0.00_);_(&quot;$&quot;* \(#,##0.00\);_(&quot;$&quot;* &quot;-&quot;_);_(@_)"/>
    <numFmt numFmtId="175" formatCode="#,##0.0_);\(#,##0.0\);#,##0.0_);@_)"/>
    <numFmt numFmtId="176" formatCode="_(* #,##0.00_);_(* \(#,##0.00\);_(* &quot;-&quot;?_);_(@_)"/>
    <numFmt numFmtId="178" formatCode="_(* #,##0.0_);_(* \(#,##0.0\);_(* &quot;-&quot;??_);_(@_)"/>
    <numFmt numFmtId="179" formatCode="#,##0.0000_);\(#,##0.0000\)"/>
    <numFmt numFmtId="180" formatCode="#,##0.0_);\(#,##0.0\)"/>
    <numFmt numFmtId="181" formatCode="_(* #,##0.0_);_(* \(#,##0.0\);_(* &quot;-&quot;_);_(@_)"/>
    <numFmt numFmtId="182" formatCode="#,##0.000_);\(#,##0.000\)"/>
    <numFmt numFmtId="183" formatCode="0.0"/>
    <numFmt numFmtId="184" formatCode="_(* #,##0_);_(* \(#,##0\);_(* &quot;-&quot;??_);_(@_)"/>
    <numFmt numFmtId="185" formatCode="_(* #,##0.00_);_(* \(#,##0.00\);_(* &quot;-&quot;_);_(@_)"/>
    <numFmt numFmtId="186" formatCode="_(&quot;$&quot;* #,##0.0_);_(&quot;$&quot;* \(#,##0.0\);_(&quot;$&quot;* &quot;-&quot;??_);_(@_)"/>
    <numFmt numFmtId="188" formatCode="&quot;$&quot;#,##0.0_);[Red]\(&quot;$&quot;#,##0.0\)"/>
    <numFmt numFmtId="189" formatCode="_(&quot;$&quot;* #,##0_);_(&quot;$&quot;* \(#,##0\);_(&quot;$&quot;* &quot;-&quot;??_);_(@_)"/>
    <numFmt numFmtId="194" formatCode="#,##0.0"/>
    <numFmt numFmtId="198" formatCode="0.00_);\(0.00\)"/>
    <numFmt numFmtId="201" formatCode="0.0000"/>
    <numFmt numFmtId="202" formatCode="_(* #,##0.000_);_(* \(#,##0.000\);_(* &quot;-&quot;_);_(@_)"/>
    <numFmt numFmtId="203" formatCode="_(* #,##0.000_);_(* \(#,##0.000\);_(* &quot;-&quot;?_);_(@_)"/>
    <numFmt numFmtId="204" formatCode="_(* #,##0.000_);_(* \(#,##0.000\);_(* &quot;-&quot;??_);_(@_)"/>
    <numFmt numFmtId="205" formatCode="0.000"/>
    <numFmt numFmtId="206" formatCode="0.0\x"/>
    <numFmt numFmtId="207" formatCode="_(* #,##0_);_(* \(#,##0\);_(* &quot;-&quot;?_);_(@_)"/>
    <numFmt numFmtId="208" formatCode="0_)"/>
    <numFmt numFmtId="211" formatCode="&quot;$&quot;#,##0.0;\(&quot;$&quot;#,##0.0\)"/>
    <numFmt numFmtId="212" formatCode="\£\ #,##0_);[Red]\(\£\ #,##0\)"/>
    <numFmt numFmtId="213" formatCode="\¥\ #,##0_);[Red]\(\¥\ #,##0\)"/>
    <numFmt numFmtId="214" formatCode="_(* #,##0.0_);_(* \(#,##0.0\);_(* &quot;--- &quot;_)"/>
    <numFmt numFmtId="215" formatCode="General_)"/>
    <numFmt numFmtId="216" formatCode="\•\ \ @"/>
    <numFmt numFmtId="217" formatCode="0.000_)"/>
    <numFmt numFmtId="218" formatCode="\ \ _•\–\ \ \ \ @"/>
    <numFmt numFmtId="219" formatCode="#,##0.0;\(###0.0\)"/>
    <numFmt numFmtId="220" formatCode="mmm\-yyyy"/>
    <numFmt numFmtId="221" formatCode="0.00_)"/>
    <numFmt numFmtId="222" formatCode="0.00000000000000000%"/>
    <numFmt numFmtId="223" formatCode="#,##0.0;\(#,##0.0\)"/>
    <numFmt numFmtId="224" formatCode="0.00\ "/>
    <numFmt numFmtId="226" formatCode="_(&quot;$&quot;* #,##0.000_);_(&quot;$&quot;* \(#,##0.000\);_(&quot;$&quot;* &quot;-&quot;??_);_(@_)"/>
    <numFmt numFmtId="228" formatCode="&quot;Ç&quot;\ &quot;´&quot;&quot;´&quot;&quot;´&quot;&quot;´&quot;\ &quot;»&quot;&quot;»&quot;&quot;»&quot;&quot;»&quot;"/>
    <numFmt numFmtId="229" formatCode="&quot;$&quot;#,##0.000_);[Red]\(&quot;$&quot;#,##0.000\)"/>
    <numFmt numFmtId="230" formatCode="#,##0.0_);[Red]\(#,##0.0\)"/>
    <numFmt numFmtId="231" formatCode="0.0_)\%;\(0.0\)\%;0.0_)\%;@_)_%"/>
    <numFmt numFmtId="232" formatCode="&quot;$&quot;_(#,##0.00_);&quot;$&quot;\(#,##0.00\);&quot;$&quot;_(0.00_);@_)"/>
    <numFmt numFmtId="233" formatCode="#,##0.0_)_x;\(#,##0.0\)_x;0.0_)_x;@_)_x"/>
    <numFmt numFmtId="234" formatCode="0.0%;\(0.0%\)"/>
    <numFmt numFmtId="235" formatCode="0.0%_);\(0.0%\)"/>
    <numFmt numFmtId="236" formatCode="0.00\ \ \ \ "/>
    <numFmt numFmtId="237" formatCode="yyyy"/>
    <numFmt numFmtId="238" formatCode="0.00%_);[Red]\(0.00%\)"/>
    <numFmt numFmtId="239" formatCode="0.0%_);[Red]\(0.0%\)"/>
    <numFmt numFmtId="240" formatCode="#,##0.000_);[Red]\(#,##0.000\)"/>
    <numFmt numFmtId="241" formatCode="0.00%;[Red]\(0.00%\)"/>
    <numFmt numFmtId="242" formatCode="&quot;Fr.&quot;#,##0_);[Red]\(&quot;Fr.&quot;#,##0\)"/>
    <numFmt numFmtId="243" formatCode="&quot;£&quot;\ #,##0_);[Red]\(&quot;£&quot;\ #,##0\)"/>
    <numFmt numFmtId="244" formatCode="&quot;\&quot;\ #,##0_);[Red]\(&quot;\&quot;\ #,##0\)"/>
    <numFmt numFmtId="245" formatCode="&quot;•&quot;\ \ @"/>
    <numFmt numFmtId="246" formatCode="#,##0.00000;[Red]\(#,##0.00000\)"/>
    <numFmt numFmtId="247" formatCode="&quot;$&quot;#,##0.00;\(&quot;$&quot;#,##0.00\)"/>
    <numFmt numFmtId="248" formatCode="_ * #,##0_)_£_ ;_ * \(#,##0\)_£_ ;_ * &quot;-&quot;_)_£_ ;_ @_ "/>
    <numFmt numFmtId="249" formatCode="&quot;$&quot;#,##0.0;[Red]\(&quot;$&quot;#,##0.0\)"/>
    <numFmt numFmtId="250" formatCode="\ \ _•&quot;–&quot;\ \ \ \ @"/>
    <numFmt numFmtId="251" formatCode="#,##0.0;[Red]\(#,##0.0\)"/>
    <numFmt numFmtId="252" formatCode="#,##0;[Red]\(#,##0\)"/>
    <numFmt numFmtId="253" formatCode="#,##0.00\x_);[Red]\(#,##0.00\x\)"/>
    <numFmt numFmtId="254" formatCode="0%;[Red]\(0%\)"/>
    <numFmt numFmtId="255" formatCode="_-* #,##0.00_-;\-* #,##0.00_-;_-* &quot;-&quot;??_-;_-@_-"/>
    <numFmt numFmtId="256" formatCode="#,##0_);\(#,##0\);\-_)"/>
    <numFmt numFmtId="257" formatCode="_(#,##0_)\ &quot;e&quot;;\(#,##0\)\ &quot;e&quot;"/>
    <numFmt numFmtId="258" formatCode="_([$€-2]* #,##0.00_);_([$€-2]* \(#,##0.00\);_([$€-2]* &quot;-&quot;??_)"/>
    <numFmt numFmtId="259" formatCode="_-&quot;$&quot;* #,##0_-;\-&quot;$&quot;* #,##0_-;_-&quot;$&quot;* &quot;-&quot;_-;_-@_-"/>
    <numFmt numFmtId="260" formatCode="_-* #,##0_-;\-* #,##0_-;_-* &quot;-&quot;_-;_-@_-"/>
    <numFmt numFmtId="261" formatCode="&quot;¥&quot;\ #,##0_);[Red]\(&quot;¥&quot;\ #,##0\)"/>
    <numFmt numFmtId="262" formatCode="_-&quot;$&quot;* #,##0.00_-;\-&quot;$&quot;* #,##0.00_-;_-&quot;$&quot;* &quot;-&quot;??_-;_-@_-"/>
    <numFmt numFmtId="263" formatCode="[Blue]General;[Blue]\-General;[Blue]&quot;--&quot;"/>
    <numFmt numFmtId="264" formatCode="&quot;$&quot;#,##0.00;[Red]\(&quot;$&quot;#,##0.00\)"/>
    <numFmt numFmtId="265" formatCode="0.00_);\(0.00\);0.00"/>
    <numFmt numFmtId="266" formatCode="&quot;$&quot;#,##0\ ;\(&quot;$&quot;#,##0\)"/>
    <numFmt numFmtId="267" formatCode="&quot;SFr.&quot;#,##0.00;&quot;SFr.&quot;\-#,##0.00"/>
    <numFmt numFmtId="268" formatCode="0.0%;[Red]\(0.0%\)"/>
    <numFmt numFmtId="269" formatCode="0.00\%;\-0.00\%;0.00\%"/>
    <numFmt numFmtId="270" formatCode="0.00\x;\-0.00\x;0.00\x"/>
    <numFmt numFmtId="271" formatCode="##0.00000"/>
    <numFmt numFmtId="272" formatCode="&quot;?G&quot;#,##0.00;\-&quot;?G&quot;#,###"/>
    <numFmt numFmtId="273" formatCode="#,###,##0"/>
    <numFmt numFmtId="274" formatCode="&quot;DM&quot;#,##0.00;[Red]\-&quot;DM&quot;#,##0.00"/>
    <numFmt numFmtId="280" formatCode="mm/dd/yy\ hh:mm"/>
  </numFmts>
  <fonts count="337">
    <font>
      <sz val="10"/>
      <name val="Arial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i/>
      <sz val="11"/>
      <color indexed="12"/>
      <name val="Arial"/>
      <family val="2"/>
    </font>
    <font>
      <b/>
      <sz val="11"/>
      <color indexed="12"/>
      <name val="Arial"/>
      <family val="2"/>
    </font>
    <font>
      <sz val="11"/>
      <color indexed="10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u/>
      <sz val="10"/>
      <color indexed="12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indexed="9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11"/>
      <color indexed="9"/>
      <name val="Arial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sz val="8"/>
      <color indexed="81"/>
      <name val="Tahoma"/>
      <family val="2"/>
    </font>
    <font>
      <b/>
      <sz val="11"/>
      <color indexed="1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30"/>
      <name val="Arial"/>
      <family val="2"/>
    </font>
    <font>
      <b/>
      <sz val="11"/>
      <color indexed="9"/>
      <name val="Arial"/>
      <family val="2"/>
    </font>
    <font>
      <b/>
      <sz val="11"/>
      <color indexed="30"/>
      <name val="Arial"/>
      <family val="2"/>
    </font>
    <font>
      <b/>
      <i/>
      <sz val="11"/>
      <name val="Arial"/>
      <family val="2"/>
    </font>
    <font>
      <b/>
      <u/>
      <sz val="10"/>
      <color indexed="10"/>
      <name val="Arial"/>
      <family val="2"/>
    </font>
    <font>
      <sz val="10"/>
      <color indexed="8"/>
      <name val="Arial"/>
      <family val="2"/>
    </font>
    <font>
      <sz val="11"/>
      <color indexed="17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i/>
      <sz val="11"/>
      <color indexed="10"/>
      <name val="Arial"/>
      <family val="2"/>
    </font>
    <font>
      <sz val="10"/>
      <name val="Arial"/>
      <family val="2"/>
    </font>
    <font>
      <sz val="11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54"/>
      <name val="Arial"/>
      <family val="2"/>
    </font>
    <font>
      <b/>
      <i/>
      <sz val="11"/>
      <name val="Arial"/>
      <family val="2"/>
    </font>
    <font>
      <i/>
      <sz val="10"/>
      <name val="Arial"/>
      <family val="2"/>
    </font>
    <font>
      <sz val="11"/>
      <color indexed="22"/>
      <name val="Arial"/>
      <family val="2"/>
    </font>
    <font>
      <b/>
      <sz val="11"/>
      <color indexed="17"/>
      <name val="Symbol"/>
      <family val="1"/>
      <charset val="2"/>
    </font>
    <font>
      <b/>
      <sz val="11"/>
      <color indexed="10"/>
      <name val="Symbol"/>
      <family val="1"/>
      <charset val="2"/>
    </font>
    <font>
      <b/>
      <sz val="11"/>
      <name val="Symbol"/>
      <family val="1"/>
      <charset val="2"/>
    </font>
    <font>
      <b/>
      <sz val="11"/>
      <color indexed="21"/>
      <name val="Symbol"/>
      <family val="1"/>
      <charset val="2"/>
    </font>
    <font>
      <b/>
      <sz val="10"/>
      <color indexed="10"/>
      <name val="Arial"/>
      <family val="2"/>
    </font>
    <font>
      <u/>
      <sz val="11"/>
      <color indexed="53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u/>
      <sz val="11"/>
      <color indexed="12"/>
      <name val="Arial"/>
      <family val="2"/>
    </font>
    <font>
      <u/>
      <sz val="11"/>
      <color indexed="53"/>
      <name val="Arial"/>
      <family val="2"/>
    </font>
    <font>
      <u/>
      <sz val="10"/>
      <name val="Arial"/>
      <family val="2"/>
    </font>
    <font>
      <b/>
      <sz val="11"/>
      <color indexed="10"/>
      <name val="Arial"/>
      <family val="2"/>
    </font>
    <font>
      <b/>
      <sz val="11"/>
      <color indexed="30"/>
      <name val="Arial"/>
      <family val="2"/>
    </font>
    <font>
      <b/>
      <sz val="11"/>
      <color indexed="12"/>
      <name val="Arial"/>
      <family val="2"/>
    </font>
    <font>
      <i/>
      <sz val="11"/>
      <color indexed="53"/>
      <name val="Arial"/>
      <family val="2"/>
    </font>
    <font>
      <b/>
      <u/>
      <sz val="10"/>
      <name val="Arial"/>
      <family val="2"/>
    </font>
    <font>
      <sz val="11"/>
      <color indexed="21"/>
      <name val="Arial"/>
      <family val="2"/>
    </font>
    <font>
      <b/>
      <i/>
      <sz val="11"/>
      <color indexed="12"/>
      <name val="Arial"/>
      <family val="2"/>
    </font>
    <font>
      <i/>
      <sz val="9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b/>
      <u/>
      <sz val="11"/>
      <name val="Arial"/>
      <family val="2"/>
    </font>
    <font>
      <u/>
      <sz val="11"/>
      <color indexed="8"/>
      <name val="Arial"/>
      <family val="2"/>
    </font>
    <font>
      <u/>
      <sz val="11"/>
      <color indexed="17"/>
      <name val="Arial"/>
      <family val="2"/>
    </font>
    <font>
      <sz val="11"/>
      <color indexed="53"/>
      <name val="Arial"/>
      <family val="2"/>
    </font>
    <font>
      <b/>
      <sz val="10"/>
      <color indexed="81"/>
      <name val="Times New Roman"/>
      <family val="1"/>
    </font>
    <font>
      <sz val="10"/>
      <color indexed="81"/>
      <name val="Times New Roman"/>
      <family val="1"/>
    </font>
    <font>
      <i/>
      <sz val="10"/>
      <color indexed="12"/>
      <name val="Arial"/>
      <family val="2"/>
    </font>
    <font>
      <b/>
      <sz val="11"/>
      <color indexed="17"/>
      <name val="Arial"/>
      <family val="2"/>
    </font>
    <font>
      <u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u val="singleAccounting"/>
      <sz val="11"/>
      <name val="Arial"/>
      <family val="2"/>
    </font>
    <font>
      <i/>
      <sz val="11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0"/>
      <color indexed="2"/>
      <name val="Tahoma"/>
      <family val="2"/>
    </font>
    <font>
      <sz val="14"/>
      <color indexed="32"/>
      <name val="Times New Roman"/>
      <family val="1"/>
    </font>
    <font>
      <b/>
      <sz val="10"/>
      <color indexed="0"/>
      <name val="Tahoma"/>
      <family val="2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name val="Tahoma"/>
      <family val="2"/>
    </font>
    <font>
      <sz val="10"/>
      <color indexed="12"/>
      <name val="Times New Roman"/>
      <family val="1"/>
    </font>
    <font>
      <sz val="10"/>
      <name val="GillSans Light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0"/>
      <name val="Arial"/>
      <family val="2"/>
    </font>
    <font>
      <i/>
      <sz val="11"/>
      <color indexed="17"/>
      <name val="Arial"/>
      <family val="2"/>
    </font>
    <font>
      <u val="singleAccounting"/>
      <sz val="11"/>
      <color indexed="17"/>
      <name val="Arial"/>
      <family val="2"/>
    </font>
    <font>
      <i/>
      <sz val="11"/>
      <color indexed="21"/>
      <name val="Arial"/>
      <family val="2"/>
    </font>
    <font>
      <sz val="10"/>
      <name val="Arial"/>
      <family val="2"/>
    </font>
    <font>
      <i/>
      <sz val="11"/>
      <color indexed="24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sz val="10"/>
      <name val="Arial"/>
      <family val="2"/>
    </font>
    <font>
      <b/>
      <sz val="11"/>
      <color indexed="10"/>
      <name val="Calibri"/>
      <family val="2"/>
    </font>
    <font>
      <sz val="11"/>
      <color indexed="19"/>
      <name val="Calibri"/>
      <family val="2"/>
    </font>
    <font>
      <sz val="10"/>
      <name val="Segoe UI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u/>
      <sz val="11"/>
      <color indexed="24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b/>
      <sz val="8"/>
      <color indexed="8"/>
      <name val="Arial"/>
      <family val="2"/>
    </font>
    <font>
      <u/>
      <sz val="11"/>
      <color indexed="24"/>
      <name val="Calibri"/>
      <family val="2"/>
    </font>
    <font>
      <sz val="10"/>
      <name val="Arial"/>
      <family val="2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u val="singleAccounting"/>
      <sz val="11"/>
      <color indexed="12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9" tint="-0.249977111117893"/>
      <name val="Arial"/>
      <family val="2"/>
    </font>
    <font>
      <sz val="11"/>
      <color rgb="FF0070C0"/>
      <name val="Arial"/>
      <family val="2"/>
    </font>
    <font>
      <sz val="10"/>
      <name val="Courier"/>
      <family val="3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7"/>
      <color indexed="8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sz val="10"/>
      <name val="Helv"/>
      <family val="2"/>
    </font>
    <font>
      <sz val="10"/>
      <color indexed="2"/>
      <name val="Segoe UI"/>
      <family val="2"/>
    </font>
    <font>
      <b/>
      <sz val="10"/>
      <color indexed="0"/>
      <name val="Segoe UI"/>
      <family val="2"/>
    </font>
    <font>
      <b/>
      <i/>
      <sz val="10"/>
      <color indexed="4"/>
      <name val="Segoe UI"/>
      <family val="2"/>
    </font>
    <font>
      <sz val="10"/>
      <color indexed="4"/>
      <name val="Segoe UI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b/>
      <sz val="10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sz val="12"/>
      <name val="바탕체"/>
      <family val="3"/>
    </font>
    <font>
      <sz val="12"/>
      <name val="新細明體"/>
      <family val="1"/>
      <charset val="136"/>
    </font>
    <font>
      <u/>
      <sz val="8.5"/>
      <color indexed="12"/>
      <name val="Arial"/>
      <family val="2"/>
    </font>
    <font>
      <u/>
      <sz val="8"/>
      <color indexed="12"/>
      <name val="Arial"/>
      <family val="2"/>
    </font>
    <font>
      <sz val="12"/>
      <name val="바탕체"/>
      <family val="1"/>
    </font>
    <font>
      <sz val="10"/>
      <color indexed="63"/>
      <name val="Verdana"/>
      <family val="2"/>
    </font>
    <font>
      <sz val="10"/>
      <color indexed="9"/>
      <name val="Verdana"/>
      <family val="2"/>
    </font>
    <font>
      <b/>
      <sz val="10"/>
      <color indexed="63"/>
      <name val="Verdana"/>
      <family val="2"/>
    </font>
    <font>
      <sz val="11"/>
      <color theme="0"/>
      <name val="Calibri"/>
      <family val="2"/>
      <scheme val="minor"/>
    </font>
    <font>
      <b/>
      <sz val="11"/>
      <color indexed="5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indexed="24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13"/>
      <name val="Calibri"/>
      <family val="2"/>
      <scheme val="minor"/>
    </font>
    <font>
      <sz val="8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color theme="1"/>
      <name val="Avenir LT Std 35 Light"/>
      <family val="2"/>
    </font>
    <font>
      <b/>
      <sz val="10"/>
      <name val="Helvetica"/>
      <family val="2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7"/>
      <name val="Arial"/>
      <family val="2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8"/>
      <color indexed="12"/>
      <name val="FrankfurtGothicHeavy"/>
      <family val="2"/>
    </font>
    <font>
      <u/>
      <sz val="11"/>
      <color theme="10"/>
      <name val="Calibri"/>
      <family val="2"/>
      <scheme val="minor"/>
    </font>
    <font>
      <sz val="10"/>
      <color indexed="62"/>
      <name val="Arial"/>
      <family val="2"/>
    </font>
    <font>
      <sz val="10"/>
      <name val="MS Sans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9"/>
      <color indexed="8"/>
      <name val="Arial"/>
      <family val="2"/>
    </font>
    <font>
      <b/>
      <sz val="18"/>
      <color indexed="56"/>
      <name val="Cambria"/>
      <family val="2"/>
    </font>
    <font>
      <b/>
      <i/>
      <sz val="12"/>
      <color indexed="10"/>
      <name val="Arial"/>
      <family val="2"/>
    </font>
    <font>
      <b/>
      <sz val="9"/>
      <color indexed="8"/>
      <name val="Arial"/>
      <family val="2"/>
    </font>
    <font>
      <b/>
      <i/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01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5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5"/>
        <bgColor indexed="64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1"/>
      </patternFill>
    </fill>
    <fill>
      <patternFill patternType="solid">
        <fgColor indexed="60"/>
      </patternFill>
    </fill>
    <fill>
      <patternFill patternType="solid">
        <fgColor indexed="15"/>
      </patternFill>
    </fill>
    <fill>
      <patternFill patternType="solid">
        <fgColor indexed="28"/>
      </patternFill>
    </fill>
    <fill>
      <patternFill patternType="solid">
        <fgColor indexed="35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31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6"/>
        <bgColor indexed="64"/>
      </patternFill>
    </fill>
    <fill>
      <patternFill patternType="gray0625"/>
    </fill>
    <fill>
      <patternFill patternType="solid">
        <fgColor indexed="61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lightGray">
        <fgColor indexed="12"/>
      </patternFill>
    </fill>
    <fill>
      <patternFill patternType="solid">
        <fgColor indexed="2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lightGray">
        <fgColor indexed="9"/>
      </patternFill>
    </fill>
    <fill>
      <patternFill patternType="gray0625">
        <fgColor indexed="9"/>
        <bgColor indexed="9"/>
      </patternFill>
    </fill>
    <fill>
      <patternFill patternType="lightGray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gray125">
        <fgColor indexed="9"/>
        <bgColor indexed="9"/>
      </patternFill>
    </fill>
    <fill>
      <patternFill patternType="gray0625">
        <fgColor indexed="22"/>
      </patternFill>
    </fill>
    <fill>
      <patternFill patternType="gray0625">
        <fgColor indexed="9"/>
      </patternFill>
    </fill>
    <fill>
      <patternFill patternType="light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5"/>
        <bgColor indexed="64"/>
      </patternFill>
    </fill>
  </fills>
  <borders count="6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8831">
    <xf numFmtId="0" fontId="0" fillId="0" borderId="0" applyNumberFormat="0" applyFont="0" applyFill="0" applyBorder="0" applyAlignment="0" applyProtection="0"/>
    <xf numFmtId="9" fontId="50" fillId="0" borderId="0">
      <alignment horizontal="right"/>
    </xf>
    <xf numFmtId="0" fontId="23" fillId="0" borderId="0" applyFont="0" applyFill="0" applyBorder="0" applyAlignment="0" applyProtection="0"/>
    <xf numFmtId="0" fontId="61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ill="0" applyBorder="0" applyAlignment="0" applyProtection="0"/>
    <xf numFmtId="211" fontId="124" fillId="0" borderId="0">
      <alignment horizontal="right"/>
    </xf>
    <xf numFmtId="0" fontId="123" fillId="0" borderId="0"/>
    <xf numFmtId="0" fontId="23" fillId="0" borderId="0"/>
    <xf numFmtId="0" fontId="23" fillId="0" borderId="0"/>
    <xf numFmtId="0" fontId="171" fillId="0" borderId="0"/>
    <xf numFmtId="0" fontId="23" fillId="0" borderId="0"/>
    <xf numFmtId="0" fontId="18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" fillId="0" borderId="0" applyNumberFormat="0" applyFont="0" applyFill="0" applyBorder="0" applyAlignment="0" applyProtection="0"/>
    <xf numFmtId="0" fontId="19" fillId="0" borderId="1" applyNumberFormat="0" applyBorder="0" applyAlignment="0">
      <alignment horizontal="left"/>
    </xf>
    <xf numFmtId="0" fontId="23" fillId="0" borderId="0"/>
    <xf numFmtId="0" fontId="23" fillId="0" borderId="0"/>
    <xf numFmtId="3" fontId="175" fillId="0" borderId="0"/>
    <xf numFmtId="0" fontId="23" fillId="0" borderId="0"/>
    <xf numFmtId="3" fontId="175" fillId="0" borderId="0"/>
    <xf numFmtId="0" fontId="23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 applyNumberFormat="0" applyFill="0" applyBorder="0" applyAlignment="0" applyProtection="0"/>
    <xf numFmtId="228" fontId="189" fillId="0" borderId="0"/>
    <xf numFmtId="0" fontId="23" fillId="0" borderId="0" applyNumberFormat="0" applyFill="0" applyBorder="0" applyAlignment="0" applyProtection="0"/>
    <xf numFmtId="3" fontId="175" fillId="0" borderId="0"/>
    <xf numFmtId="3" fontId="175" fillId="0" borderId="0"/>
    <xf numFmtId="3" fontId="175" fillId="0" borderId="0"/>
    <xf numFmtId="3" fontId="175" fillId="0" borderId="0"/>
    <xf numFmtId="3" fontId="175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/>
    <xf numFmtId="3" fontId="175" fillId="0" borderId="0"/>
    <xf numFmtId="0" fontId="23" fillId="0" borderId="0"/>
    <xf numFmtId="0" fontId="23" fillId="0" borderId="0"/>
    <xf numFmtId="0" fontId="123" fillId="0" borderId="0"/>
    <xf numFmtId="0" fontId="23" fillId="0" borderId="0"/>
    <xf numFmtId="0" fontId="23" fillId="0" borderId="0"/>
    <xf numFmtId="0" fontId="171" fillId="0" borderId="0"/>
    <xf numFmtId="0" fontId="23" fillId="0" borderId="0"/>
    <xf numFmtId="0" fontId="18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23" fillId="0" borderId="0"/>
    <xf numFmtId="0" fontId="23" fillId="0" borderId="0"/>
    <xf numFmtId="0" fontId="23" fillId="0" borderId="0"/>
    <xf numFmtId="0" fontId="171" fillId="0" borderId="0"/>
    <xf numFmtId="0" fontId="23" fillId="0" borderId="0"/>
    <xf numFmtId="0" fontId="18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23" fillId="0" borderId="0"/>
    <xf numFmtId="0" fontId="23" fillId="0" borderId="0"/>
    <xf numFmtId="0" fontId="23" fillId="0" borderId="0"/>
    <xf numFmtId="0" fontId="171" fillId="0" borderId="0"/>
    <xf numFmtId="0" fontId="23" fillId="0" borderId="0"/>
    <xf numFmtId="0" fontId="18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/>
    <xf numFmtId="0" fontId="180" fillId="0" borderId="0"/>
    <xf numFmtId="0" fontId="23" fillId="0" borderId="0"/>
    <xf numFmtId="0" fontId="183" fillId="0" borderId="0"/>
    <xf numFmtId="0" fontId="23" fillId="0" borderId="0"/>
    <xf numFmtId="0" fontId="188" fillId="0" borderId="0"/>
    <xf numFmtId="0" fontId="23" fillId="0" borderId="0"/>
    <xf numFmtId="0" fontId="199" fillId="0" borderId="0"/>
    <xf numFmtId="0" fontId="23" fillId="0" borderId="0"/>
    <xf numFmtId="0" fontId="23" fillId="0" borderId="0"/>
    <xf numFmtId="0" fontId="11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18" fillId="0" borderId="0"/>
    <xf numFmtId="0" fontId="23" fillId="0" borderId="0"/>
    <xf numFmtId="0" fontId="23" fillId="0" borderId="0"/>
    <xf numFmtId="0" fontId="23" fillId="0" borderId="0"/>
    <xf numFmtId="0" fontId="119" fillId="0" borderId="0"/>
    <xf numFmtId="0" fontId="23" fillId="0" borderId="0"/>
    <xf numFmtId="0" fontId="23" fillId="0" borderId="0"/>
    <xf numFmtId="0" fontId="23" fillId="0" borderId="0"/>
    <xf numFmtId="0" fontId="122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6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83" fillId="0" borderId="0"/>
    <xf numFmtId="0" fontId="23" fillId="0" borderId="0"/>
    <xf numFmtId="0" fontId="171" fillId="0" borderId="0"/>
    <xf numFmtId="0" fontId="23" fillId="0" borderId="0"/>
    <xf numFmtId="3" fontId="175" fillId="0" borderId="0"/>
    <xf numFmtId="0" fontId="23" fillId="0" borderId="0" applyNumberFormat="0" applyFill="0" applyBorder="0" applyAlignment="0" applyProtection="0"/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3" fontId="175" fillId="0" borderId="0"/>
    <xf numFmtId="44" fontId="125" fillId="0" borderId="0" applyFont="0" applyFill="0" applyBorder="0" applyAlignment="0" applyProtection="0"/>
    <xf numFmtId="42" fontId="125" fillId="0" borderId="0" applyFont="0" applyFill="0" applyBorder="0" applyAlignment="0" applyProtection="0"/>
    <xf numFmtId="212" fontId="126" fillId="0" borderId="0" applyFont="0" applyFill="0" applyBorder="0" applyAlignment="0" applyProtection="0"/>
    <xf numFmtId="213" fontId="126" fillId="0" borderId="0" applyFont="0" applyFill="0" applyBorder="0" applyAlignment="0" applyProtection="0"/>
    <xf numFmtId="0" fontId="123" fillId="0" borderId="0"/>
    <xf numFmtId="0" fontId="23" fillId="0" borderId="0"/>
    <xf numFmtId="0" fontId="23" fillId="0" borderId="0"/>
    <xf numFmtId="0" fontId="171" fillId="0" borderId="0"/>
    <xf numFmtId="0" fontId="23" fillId="0" borderId="0"/>
    <xf numFmtId="0" fontId="18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ill="0" applyBorder="0" applyAlignment="0" applyProtection="0"/>
    <xf numFmtId="0" fontId="127" fillId="0" borderId="0"/>
    <xf numFmtId="0" fontId="29" fillId="0" borderId="0"/>
    <xf numFmtId="9" fontId="123" fillId="0" borderId="0"/>
    <xf numFmtId="9" fontId="23" fillId="0" borderId="0"/>
    <xf numFmtId="9" fontId="23" fillId="0" borderId="0"/>
    <xf numFmtId="9" fontId="171" fillId="0" borderId="0"/>
    <xf numFmtId="9" fontId="23" fillId="0" borderId="0"/>
    <xf numFmtId="9" fontId="183" fillId="0" borderId="0"/>
    <xf numFmtId="9" fontId="23" fillId="0" borderId="0"/>
    <xf numFmtId="9" fontId="23" fillId="0" borderId="0"/>
    <xf numFmtId="9" fontId="23" fillId="0" borderId="0"/>
    <xf numFmtId="9" fontId="23" fillId="0" borderId="0"/>
    <xf numFmtId="0" fontId="23" fillId="0" borderId="0"/>
    <xf numFmtId="0" fontId="29" fillId="0" borderId="0"/>
    <xf numFmtId="0" fontId="29" fillId="0" borderId="0"/>
    <xf numFmtId="2" fontId="29" fillId="0" borderId="0"/>
    <xf numFmtId="1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208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208" fontId="29" fillId="0" borderId="0"/>
    <xf numFmtId="180" fontId="123" fillId="0" borderId="0"/>
    <xf numFmtId="180" fontId="23" fillId="0" borderId="0"/>
    <xf numFmtId="180" fontId="23" fillId="0" borderId="0"/>
    <xf numFmtId="180" fontId="171" fillId="0" borderId="0"/>
    <xf numFmtId="180" fontId="23" fillId="0" borderId="0"/>
    <xf numFmtId="180" fontId="183" fillId="0" borderId="0"/>
    <xf numFmtId="180" fontId="23" fillId="0" borderId="0"/>
    <xf numFmtId="180" fontId="23" fillId="0" borderId="0"/>
    <xf numFmtId="180" fontId="23" fillId="0" borderId="0"/>
    <xf numFmtId="180" fontId="23" fillId="0" borderId="0"/>
    <xf numFmtId="10" fontId="190" fillId="0" borderId="0" applyFont="0" applyFill="0" applyBorder="0" applyAlignment="0" applyProtection="0"/>
    <xf numFmtId="0" fontId="63" fillId="2" borderId="0" applyNumberFormat="0" applyBorder="0" applyAlignment="0" applyProtection="0"/>
    <xf numFmtId="0" fontId="63" fillId="3" borderId="0" applyNumberFormat="0" applyBorder="0" applyAlignment="0" applyProtection="0"/>
    <xf numFmtId="0" fontId="63" fillId="2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5" borderId="0" applyNumberFormat="0" applyBorder="0" applyAlignment="0" applyProtection="0"/>
    <xf numFmtId="0" fontId="63" fillId="6" borderId="0" applyNumberFormat="0" applyBorder="0" applyAlignment="0" applyProtection="0"/>
    <xf numFmtId="0" fontId="63" fillId="5" borderId="0" applyNumberFormat="0" applyBorder="0" applyAlignment="0" applyProtection="0"/>
    <xf numFmtId="0" fontId="63" fillId="2" borderId="0" applyNumberFormat="0" applyBorder="0" applyAlignment="0" applyProtection="0"/>
    <xf numFmtId="0" fontId="63" fillId="2" borderId="0" applyNumberFormat="0" applyBorder="0" applyAlignment="0" applyProtection="0"/>
    <xf numFmtId="0" fontId="63" fillId="7" borderId="0" applyNumberFormat="0" applyBorder="0" applyAlignment="0" applyProtection="0"/>
    <xf numFmtId="0" fontId="63" fillId="7" borderId="0" applyNumberFormat="0" applyBorder="0" applyAlignment="0" applyProtection="0"/>
    <xf numFmtId="0" fontId="63" fillId="5" borderId="0" applyNumberFormat="0" applyBorder="0" applyAlignment="0" applyProtection="0"/>
    <xf numFmtId="0" fontId="63" fillId="6" borderId="0" applyNumberFormat="0" applyBorder="0" applyAlignment="0" applyProtection="0"/>
    <xf numFmtId="0" fontId="63" fillId="5" borderId="0" applyNumberFormat="0" applyBorder="0" applyAlignment="0" applyProtection="0"/>
    <xf numFmtId="0" fontId="63" fillId="8" borderId="0" applyNumberFormat="0" applyBorder="0" applyAlignment="0" applyProtection="0"/>
    <xf numFmtId="0" fontId="63" fillId="7" borderId="0" applyNumberFormat="0" applyBorder="0" applyAlignment="0" applyProtection="0"/>
    <xf numFmtId="0" fontId="63" fillId="8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5" borderId="0" applyNumberFormat="0" applyBorder="0" applyAlignment="0" applyProtection="0"/>
    <xf numFmtId="0" fontId="63" fillId="5" borderId="0" applyNumberFormat="0" applyBorder="0" applyAlignment="0" applyProtection="0"/>
    <xf numFmtId="0" fontId="63" fillId="8" borderId="0" applyNumberFormat="0" applyBorder="0" applyAlignment="0" applyProtection="0"/>
    <xf numFmtId="0" fontId="63" fillId="9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7" borderId="0" applyNumberFormat="0" applyBorder="0" applyAlignment="0" applyProtection="0"/>
    <xf numFmtId="0" fontId="63" fillId="3" borderId="0" applyNumberFormat="0" applyBorder="0" applyAlignment="0" applyProtection="0"/>
    <xf numFmtId="0" fontId="63" fillId="5" borderId="0" applyNumberFormat="0" applyBorder="0" applyAlignment="0" applyProtection="0"/>
    <xf numFmtId="0" fontId="63" fillId="6" borderId="0" applyNumberFormat="0" applyBorder="0" applyAlignment="0" applyProtection="0"/>
    <xf numFmtId="0" fontId="63" fillId="5" borderId="0" applyNumberFormat="0" applyBorder="0" applyAlignment="0" applyProtection="0"/>
    <xf numFmtId="0" fontId="64" fillId="10" borderId="0" applyNumberFormat="0" applyBorder="0" applyAlignment="0" applyProtection="0"/>
    <xf numFmtId="0" fontId="64" fillId="7" borderId="0" applyNumberFormat="0" applyBorder="0" applyAlignment="0" applyProtection="0"/>
    <xf numFmtId="0" fontId="64" fillId="10" borderId="0" applyNumberFormat="0" applyBorder="0" applyAlignment="0" applyProtection="0"/>
    <xf numFmtId="0" fontId="64" fillId="4" borderId="0" applyNumberFormat="0" applyBorder="0" applyAlignment="0" applyProtection="0"/>
    <xf numFmtId="0" fontId="64" fillId="11" borderId="0" applyNumberFormat="0" applyBorder="0" applyAlignment="0" applyProtection="0"/>
    <xf numFmtId="0" fontId="64" fillId="4" borderId="0" applyNumberFormat="0" applyBorder="0" applyAlignment="0" applyProtection="0"/>
    <xf numFmtId="0" fontId="64" fillId="6" borderId="0" applyNumberFormat="0" applyBorder="0" applyAlignment="0" applyProtection="0"/>
    <xf numFmtId="0" fontId="64" fillId="12" borderId="0" applyNumberFormat="0" applyBorder="0" applyAlignment="0" applyProtection="0"/>
    <xf numFmtId="0" fontId="64" fillId="6" borderId="0" applyNumberFormat="0" applyBorder="0" applyAlignment="0" applyProtection="0"/>
    <xf numFmtId="0" fontId="64" fillId="8" borderId="0" applyNumberFormat="0" applyBorder="0" applyAlignment="0" applyProtection="0"/>
    <xf numFmtId="0" fontId="64" fillId="9" borderId="0" applyNumberFormat="0" applyBorder="0" applyAlignment="0" applyProtection="0"/>
    <xf numFmtId="0" fontId="64" fillId="8" borderId="0" applyNumberFormat="0" applyBorder="0" applyAlignment="0" applyProtection="0"/>
    <xf numFmtId="0" fontId="64" fillId="10" borderId="0" applyNumberFormat="0" applyBorder="0" applyAlignment="0" applyProtection="0"/>
    <xf numFmtId="0" fontId="64" fillId="7" borderId="0" applyNumberFormat="0" applyBorder="0" applyAlignment="0" applyProtection="0"/>
    <xf numFmtId="0" fontId="64" fillId="10" borderId="0" applyNumberFormat="0" applyBorder="0" applyAlignment="0" applyProtection="0"/>
    <xf numFmtId="0" fontId="64" fillId="5" borderId="0" applyNumberFormat="0" applyBorder="0" applyAlignment="0" applyProtection="0"/>
    <xf numFmtId="0" fontId="64" fillId="4" borderId="0" applyNumberFormat="0" applyBorder="0" applyAlignment="0" applyProtection="0"/>
    <xf numFmtId="0" fontId="64" fillId="5" borderId="0" applyNumberFormat="0" applyBorder="0" applyAlignment="0" applyProtection="0"/>
    <xf numFmtId="37" fontId="128" fillId="0" borderId="0">
      <alignment horizontal="center"/>
    </xf>
    <xf numFmtId="0" fontId="191" fillId="0" borderId="0" applyFont="0" applyFill="0" applyBorder="0" applyAlignment="0" applyProtection="0"/>
    <xf numFmtId="0" fontId="191" fillId="0" borderId="0" applyFont="0" applyFill="0" applyBorder="0" applyAlignment="0" applyProtection="0"/>
    <xf numFmtId="0" fontId="64" fillId="10" borderId="0" applyNumberFormat="0" applyBorder="0" applyAlignment="0" applyProtection="0"/>
    <xf numFmtId="0" fontId="64" fillId="13" borderId="0" applyNumberFormat="0" applyBorder="0" applyAlignment="0" applyProtection="0"/>
    <xf numFmtId="0" fontId="64" fillId="10" borderId="0" applyNumberFormat="0" applyBorder="0" applyAlignment="0" applyProtection="0"/>
    <xf numFmtId="0" fontId="64" fillId="4" borderId="0" applyNumberFormat="0" applyBorder="0" applyAlignment="0" applyProtection="0"/>
    <xf numFmtId="0" fontId="64" fillId="11" borderId="0" applyNumberFormat="0" applyBorder="0" applyAlignment="0" applyProtection="0"/>
    <xf numFmtId="0" fontId="64" fillId="4" borderId="0" applyNumberFormat="0" applyBorder="0" applyAlignment="0" applyProtection="0"/>
    <xf numFmtId="0" fontId="64" fillId="6" borderId="0" applyNumberFormat="0" applyBorder="0" applyAlignment="0" applyProtection="0"/>
    <xf numFmtId="0" fontId="64" fillId="12" borderId="0" applyNumberFormat="0" applyBorder="0" applyAlignment="0" applyProtection="0"/>
    <xf numFmtId="0" fontId="64" fillId="6" borderId="0" applyNumberFormat="0" applyBorder="0" applyAlignment="0" applyProtection="0"/>
    <xf numFmtId="0" fontId="64" fillId="14" borderId="0" applyNumberFormat="0" applyBorder="0" applyAlignment="0" applyProtection="0"/>
    <xf numFmtId="0" fontId="64" fillId="14" borderId="0" applyNumberFormat="0" applyBorder="0" applyAlignment="0" applyProtection="0"/>
    <xf numFmtId="0" fontId="64" fillId="10" borderId="0" applyNumberFormat="0" applyBorder="0" applyAlignment="0" applyProtection="0"/>
    <xf numFmtId="0" fontId="64" fillId="10" borderId="0" applyNumberFormat="0" applyBorder="0" applyAlignment="0" applyProtection="0"/>
    <xf numFmtId="0" fontId="64" fillId="4" borderId="0" applyNumberFormat="0" applyBorder="0" applyAlignment="0" applyProtection="0"/>
    <xf numFmtId="0" fontId="64" fillId="15" borderId="0" applyNumberFormat="0" applyBorder="0" applyAlignment="0" applyProtection="0"/>
    <xf numFmtId="0" fontId="64" fillId="4" borderId="0" applyNumberFormat="0" applyBorder="0" applyAlignment="0" applyProtection="0"/>
    <xf numFmtId="214" fontId="129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91" fillId="0" borderId="0" applyFont="0" applyFill="0" applyBorder="0" applyAlignment="0" applyProtection="0"/>
    <xf numFmtId="0" fontId="191" fillId="0" borderId="0" applyFont="0" applyFill="0" applyBorder="0" applyAlignment="0" applyProtection="0"/>
    <xf numFmtId="215" fontId="130" fillId="0" borderId="0">
      <alignment horizontal="left"/>
    </xf>
    <xf numFmtId="0" fontId="19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65" fillId="9" borderId="0" applyNumberFormat="0" applyBorder="0" applyAlignment="0" applyProtection="0"/>
    <xf numFmtId="0" fontId="65" fillId="16" borderId="0" applyNumberFormat="0" applyBorder="0" applyAlignment="0" applyProtection="0"/>
    <xf numFmtId="0" fontId="65" fillId="9" borderId="0" applyNumberFormat="0" applyBorder="0" applyAlignment="0" applyProtection="0"/>
    <xf numFmtId="1" fontId="131" fillId="17" borderId="2" applyNumberFormat="0" applyBorder="0" applyAlignment="0">
      <alignment horizontal="center" vertical="top" wrapText="1"/>
      <protection hidden="1"/>
    </xf>
    <xf numFmtId="0" fontId="132" fillId="0" borderId="0" applyNumberFormat="0" applyFill="0" applyBorder="0" applyAlignment="0" applyProtection="0"/>
    <xf numFmtId="0" fontId="133" fillId="0" borderId="3" applyNumberFormat="0" applyFill="0" applyAlignment="0" applyProtection="0"/>
    <xf numFmtId="216" fontId="126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93" fillId="0" borderId="0"/>
    <xf numFmtId="0" fontId="194" fillId="0" borderId="0"/>
    <xf numFmtId="0" fontId="193" fillId="0" borderId="0"/>
    <xf numFmtId="0" fontId="193" fillId="0" borderId="0"/>
    <xf numFmtId="0" fontId="195" fillId="0" borderId="0"/>
    <xf numFmtId="0" fontId="192" fillId="0" borderId="0"/>
    <xf numFmtId="0" fontId="195" fillId="0" borderId="0"/>
    <xf numFmtId="0" fontId="192" fillId="0" borderId="0"/>
    <xf numFmtId="0" fontId="195" fillId="0" borderId="0"/>
    <xf numFmtId="0" fontId="192" fillId="0" borderId="0"/>
    <xf numFmtId="0" fontId="23" fillId="0" borderId="0"/>
    <xf numFmtId="0" fontId="24" fillId="0" borderId="0"/>
    <xf numFmtId="0" fontId="66" fillId="18" borderId="4" applyNumberFormat="0" applyAlignment="0" applyProtection="0"/>
    <xf numFmtId="0" fontId="172" fillId="18" borderId="4" applyNumberFormat="0" applyAlignment="0" applyProtection="0"/>
    <xf numFmtId="0" fontId="66" fillId="18" borderId="4" applyNumberFormat="0" applyAlignment="0" applyProtection="0"/>
    <xf numFmtId="0" fontId="124" fillId="0" borderId="0">
      <alignment horizontal="right"/>
    </xf>
    <xf numFmtId="1" fontId="134" fillId="0" borderId="0"/>
    <xf numFmtId="0" fontId="67" fillId="19" borderId="5" applyNumberFormat="0" applyAlignment="0" applyProtection="0"/>
    <xf numFmtId="0" fontId="67" fillId="19" borderId="5" applyNumberFormat="0" applyAlignment="0" applyProtection="0"/>
    <xf numFmtId="0" fontId="135" fillId="0" borderId="3" applyNumberFormat="0" applyFill="0" applyProtection="0">
      <alignment horizontal="left" vertical="center"/>
    </xf>
    <xf numFmtId="183" fontId="49" fillId="0" borderId="0" applyBorder="0">
      <alignment horizontal="right"/>
    </xf>
    <xf numFmtId="183" fontId="49" fillId="0" borderId="6" applyAlignment="0">
      <alignment horizontal="right"/>
    </xf>
    <xf numFmtId="43" fontId="1" fillId="0" borderId="0" applyFont="0" applyFill="0" applyBorder="0" applyAlignment="0" applyProtection="0"/>
    <xf numFmtId="217" fontId="136" fillId="0" borderId="0"/>
    <xf numFmtId="217" fontId="136" fillId="0" borderId="0"/>
    <xf numFmtId="217" fontId="136" fillId="0" borderId="0"/>
    <xf numFmtId="217" fontId="136" fillId="0" borderId="0"/>
    <xf numFmtId="217" fontId="136" fillId="0" borderId="0"/>
    <xf numFmtId="217" fontId="136" fillId="0" borderId="0"/>
    <xf numFmtId="217" fontId="136" fillId="0" borderId="0"/>
    <xf numFmtId="217" fontId="136" fillId="0" borderId="0"/>
    <xf numFmtId="41" fontId="23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94" fontId="175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18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19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2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182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188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8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99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99" fillId="0" borderId="0" applyFont="0" applyFill="0" applyBorder="0" applyAlignment="0" applyProtection="0"/>
    <xf numFmtId="43" fontId="199" fillId="0" borderId="0" applyFont="0" applyFill="0" applyBorder="0" applyAlignment="0" applyProtection="0"/>
    <xf numFmtId="43" fontId="199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0" fontId="137" fillId="0" borderId="0"/>
    <xf numFmtId="0" fontId="138" fillId="0" borderId="0" applyFill="0" applyBorder="0">
      <alignment horizontal="left"/>
    </xf>
    <xf numFmtId="44" fontId="1" fillId="0" borderId="0" applyFont="0" applyFill="0" applyBorder="0" applyAlignment="0" applyProtection="0"/>
    <xf numFmtId="44" fontId="16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8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71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80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8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88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99" fillId="0" borderId="0" applyFont="0" applyFill="0" applyBorder="0" applyAlignment="0" applyProtection="0"/>
    <xf numFmtId="44" fontId="115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16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56" fillId="0" borderId="0" applyFont="0" applyFill="0" applyBorder="0" applyAlignment="0" applyProtection="0"/>
    <xf numFmtId="44" fontId="118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19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22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6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218" fontId="126" fillId="0" borderId="0" applyFont="0" applyFill="0" applyBorder="0" applyAlignment="0" applyProtection="0"/>
    <xf numFmtId="14" fontId="19" fillId="0" borderId="1" applyFont="0">
      <alignment horizontal="right"/>
    </xf>
    <xf numFmtId="220" fontId="23" fillId="0" borderId="0" applyFont="0" applyFill="0" applyBorder="0" applyAlignment="0" applyProtection="0"/>
    <xf numFmtId="0" fontId="125" fillId="0" borderId="0"/>
    <xf numFmtId="0" fontId="139" fillId="0" borderId="0"/>
    <xf numFmtId="219" fontId="124" fillId="0" borderId="0">
      <alignment horizontal="right"/>
    </xf>
    <xf numFmtId="0" fontId="124" fillId="0" borderId="0"/>
    <xf numFmtId="5" fontId="56" fillId="0" borderId="0" applyFont="0" applyFill="0" applyBorder="0" applyAlignment="0" applyProtection="0">
      <protection locked="0"/>
    </xf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40" fillId="0" borderId="0"/>
    <xf numFmtId="1" fontId="141" fillId="20" borderId="7" applyNumberFormat="0" applyBorder="0" applyAlignment="0">
      <alignment horizontal="centerContinuous" vertical="center"/>
      <protection locked="0"/>
    </xf>
    <xf numFmtId="0" fontId="142" fillId="21" borderId="0"/>
    <xf numFmtId="0" fontId="124" fillId="0" borderId="0"/>
    <xf numFmtId="0" fontId="143" fillId="0" borderId="0" applyNumberFormat="0" applyFill="0" applyBorder="0" applyProtection="0">
      <alignment horizontal="left" vertical="center"/>
    </xf>
    <xf numFmtId="49" fontId="24" fillId="0" borderId="0" applyFill="0" applyBorder="0"/>
    <xf numFmtId="49" fontId="123" fillId="0" borderId="0"/>
    <xf numFmtId="49" fontId="1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171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18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1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171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18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0" fontId="69" fillId="22" borderId="0" applyNumberFormat="0" applyBorder="0" applyAlignment="0" applyProtection="0"/>
    <xf numFmtId="0" fontId="69" fillId="7" borderId="0" applyNumberFormat="0" applyBorder="0" applyAlignment="0" applyProtection="0"/>
    <xf numFmtId="0" fontId="69" fillId="22" borderId="0" applyNumberFormat="0" applyBorder="0" applyAlignment="0" applyProtection="0"/>
    <xf numFmtId="0" fontId="144" fillId="0" borderId="0"/>
    <xf numFmtId="0" fontId="184" fillId="0" borderId="0"/>
    <xf numFmtId="0" fontId="200" fillId="0" borderId="0"/>
    <xf numFmtId="38" fontId="24" fillId="23" borderId="0" applyNumberFormat="0" applyBorder="0" applyAlignment="0" applyProtection="0"/>
    <xf numFmtId="38" fontId="24" fillId="23" borderId="0" applyNumberFormat="0" applyBorder="0" applyAlignment="0" applyProtection="0"/>
    <xf numFmtId="168" fontId="23" fillId="24" borderId="8" applyNumberFormat="0" applyFont="0" applyBorder="0" applyAlignment="0" applyProtection="0"/>
    <xf numFmtId="168" fontId="23" fillId="24" borderId="8" applyNumberFormat="0" applyFont="0" applyBorder="0" applyAlignment="0" applyProtection="0"/>
    <xf numFmtId="180" fontId="145" fillId="24" borderId="0" applyNumberFormat="0" applyFont="0" applyAlignment="0"/>
    <xf numFmtId="0" fontId="46" fillId="0" borderId="9" applyNumberFormat="0" applyAlignment="0" applyProtection="0">
      <alignment horizontal="left" vertical="center"/>
    </xf>
    <xf numFmtId="0" fontId="46" fillId="0" borderId="1">
      <alignment horizontal="left" vertical="center"/>
    </xf>
    <xf numFmtId="0" fontId="70" fillId="0" borderId="10" applyNumberFormat="0" applyFill="0" applyAlignment="0" applyProtection="0"/>
    <xf numFmtId="0" fontId="70" fillId="0" borderId="11" applyNumberFormat="0" applyFill="0" applyAlignment="0" applyProtection="0"/>
    <xf numFmtId="0" fontId="70" fillId="0" borderId="10" applyNumberFormat="0" applyFill="0" applyAlignment="0" applyProtection="0"/>
    <xf numFmtId="0" fontId="71" fillId="0" borderId="12" applyNumberFormat="0" applyFill="0" applyAlignment="0" applyProtection="0"/>
    <xf numFmtId="0" fontId="71" fillId="0" borderId="13" applyNumberFormat="0" applyFill="0" applyAlignment="0" applyProtection="0"/>
    <xf numFmtId="0" fontId="71" fillId="0" borderId="12" applyNumberFormat="0" applyFill="0" applyAlignment="0" applyProtection="0"/>
    <xf numFmtId="0" fontId="72" fillId="0" borderId="14" applyNumberFormat="0" applyFill="0" applyAlignment="0" applyProtection="0"/>
    <xf numFmtId="0" fontId="72" fillId="0" borderId="15" applyNumberFormat="0" applyFill="0" applyAlignment="0" applyProtection="0"/>
    <xf numFmtId="0" fontId="72" fillId="0" borderId="14" applyNumberFormat="0" applyFill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146" fillId="0" borderId="0">
      <alignment wrapText="1"/>
    </xf>
    <xf numFmtId="0" fontId="176" fillId="0" borderId="0" applyNumberFormat="0" applyFill="0" applyBorder="0" applyAlignment="0" applyProtection="0">
      <alignment vertical="top"/>
      <protection locked="0"/>
    </xf>
    <xf numFmtId="0" fontId="181" fillId="0" borderId="0" applyNumberFormat="0" applyFill="0" applyBorder="0" applyAlignment="0" applyProtection="0"/>
    <xf numFmtId="0" fontId="187" fillId="0" borderId="0" applyNumberFormat="0" applyFill="0" applyBorder="0" applyAlignment="0" applyProtection="0"/>
    <xf numFmtId="0" fontId="181" fillId="0" borderId="0" applyNumberFormat="0" applyFill="0" applyBorder="0" applyAlignment="0" applyProtection="0"/>
    <xf numFmtId="0" fontId="73" fillId="5" borderId="4" applyNumberFormat="0" applyAlignment="0" applyProtection="0"/>
    <xf numFmtId="10" fontId="24" fillId="26" borderId="8" applyNumberFormat="0" applyBorder="0" applyAlignment="0" applyProtection="0"/>
    <xf numFmtId="10" fontId="24" fillId="26" borderId="8" applyNumberFormat="0" applyBorder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147" fillId="0" borderId="0" applyNumberFormat="0" applyFill="0" applyBorder="0" applyAlignment="0">
      <protection locked="0"/>
    </xf>
    <xf numFmtId="0" fontId="124" fillId="0" borderId="0"/>
    <xf numFmtId="0" fontId="148" fillId="0" borderId="0" applyNumberFormat="0" applyFill="0" applyBorder="0" applyProtection="0">
      <alignment horizontal="left" vertical="center"/>
    </xf>
    <xf numFmtId="0" fontId="74" fillId="0" borderId="16" applyNumberFormat="0" applyFill="0" applyAlignment="0" applyProtection="0"/>
    <xf numFmtId="0" fontId="79" fillId="0" borderId="17" applyNumberFormat="0" applyFill="0" applyAlignment="0" applyProtection="0"/>
    <xf numFmtId="0" fontId="74" fillId="0" borderId="16" applyNumberFormat="0" applyFill="0" applyAlignment="0" applyProtection="0"/>
    <xf numFmtId="0" fontId="142" fillId="0" borderId="0"/>
    <xf numFmtId="0" fontId="149" fillId="0" borderId="0"/>
    <xf numFmtId="0" fontId="150" fillId="0" borderId="0"/>
    <xf numFmtId="220" fontId="24" fillId="26" borderId="0">
      <alignment horizontal="center"/>
    </xf>
    <xf numFmtId="220" fontId="24" fillId="26" borderId="0">
      <alignment horizontal="center"/>
    </xf>
    <xf numFmtId="0" fontId="75" fillId="5" borderId="0" applyNumberFormat="0" applyBorder="0" applyAlignment="0" applyProtection="0"/>
    <xf numFmtId="0" fontId="173" fillId="5" borderId="0" applyNumberFormat="0" applyBorder="0" applyAlignment="0" applyProtection="0"/>
    <xf numFmtId="0" fontId="75" fillId="5" borderId="0" applyNumberFormat="0" applyBorder="0" applyAlignment="0" applyProtection="0"/>
    <xf numFmtId="37" fontId="151" fillId="0" borderId="0"/>
    <xf numFmtId="221" fontId="152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183" fillId="0" borderId="0"/>
    <xf numFmtId="0" fontId="23" fillId="0" borderId="0"/>
    <xf numFmtId="0" fontId="167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174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115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3" fontId="175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07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18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07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122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153" fillId="0" borderId="0"/>
    <xf numFmtId="0" fontId="5" fillId="0" borderId="0"/>
    <xf numFmtId="166" fontId="10" fillId="0" borderId="0"/>
    <xf numFmtId="0" fontId="5" fillId="0" borderId="0"/>
    <xf numFmtId="0" fontId="1" fillId="5" borderId="18" applyNumberFormat="0" applyFont="0" applyAlignment="0" applyProtection="0"/>
    <xf numFmtId="0" fontId="183" fillId="5" borderId="18" applyNumberFormat="0" applyFont="0" applyAlignment="0" applyProtection="0"/>
    <xf numFmtId="0" fontId="23" fillId="5" borderId="18" applyNumberFormat="0" applyFont="0" applyAlignment="0" applyProtection="0"/>
    <xf numFmtId="0" fontId="188" fillId="5" borderId="18" applyNumberFormat="0" applyFont="0" applyAlignment="0" applyProtection="0"/>
    <xf numFmtId="0" fontId="23" fillId="5" borderId="18" applyNumberFormat="0" applyFont="0" applyAlignment="0" applyProtection="0"/>
    <xf numFmtId="0" fontId="199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6" borderId="18" applyNumberFormat="0" applyFont="0" applyAlignment="0" applyProtection="0"/>
    <xf numFmtId="0" fontId="116" fillId="5" borderId="18" applyNumberFormat="0" applyFont="0" applyAlignment="0" applyProtection="0"/>
    <xf numFmtId="0" fontId="23" fillId="5" borderId="18" applyNumberFormat="0" applyFont="0" applyAlignment="0" applyProtection="0"/>
    <xf numFmtId="0" fontId="118" fillId="5" borderId="18" applyNumberFormat="0" applyFont="0" applyAlignment="0" applyProtection="0"/>
    <xf numFmtId="0" fontId="23" fillId="5" borderId="18" applyNumberFormat="0" applyFont="0" applyAlignment="0" applyProtection="0"/>
    <xf numFmtId="0" fontId="119" fillId="5" borderId="18" applyNumberFormat="0" applyFont="0" applyAlignment="0" applyProtection="0"/>
    <xf numFmtId="0" fontId="23" fillId="5" borderId="18" applyNumberFormat="0" applyFont="0" applyAlignment="0" applyProtection="0"/>
    <xf numFmtId="0" fontId="122" fillId="5" borderId="18" applyNumberFormat="0" applyFont="0" applyAlignment="0" applyProtection="0"/>
    <xf numFmtId="0" fontId="23" fillId="5" borderId="18" applyNumberFormat="0" applyFont="0" applyAlignment="0" applyProtection="0"/>
    <xf numFmtId="0" fontId="16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171" fillId="5" borderId="18" applyNumberFormat="0" applyFont="0" applyAlignment="0" applyProtection="0"/>
    <xf numFmtId="0" fontId="23" fillId="5" borderId="18" applyNumberFormat="0" applyFont="0" applyAlignment="0" applyProtection="0"/>
    <xf numFmtId="0" fontId="180" fillId="5" borderId="18" applyNumberFormat="0" applyFont="0" applyAlignment="0" applyProtection="0"/>
    <xf numFmtId="0" fontId="23" fillId="5" borderId="18" applyNumberFormat="0" applyFont="0" applyAlignment="0" applyProtection="0"/>
    <xf numFmtId="164" fontId="50" fillId="0" borderId="0" applyFont="0" applyFill="0" applyBorder="0" applyProtection="0">
      <alignment horizontal="right"/>
    </xf>
    <xf numFmtId="43" fontId="125" fillId="0" borderId="0" applyFont="0" applyFill="0" applyBorder="0" applyAlignment="0" applyProtection="0"/>
    <xf numFmtId="41" fontId="125" fillId="0" borderId="0" applyFont="0" applyFill="0" applyBorder="0" applyAlignment="0" applyProtection="0"/>
    <xf numFmtId="183" fontId="1" fillId="0" borderId="0"/>
    <xf numFmtId="0" fontId="154" fillId="0" borderId="0">
      <alignment horizontal="left"/>
    </xf>
    <xf numFmtId="0" fontId="76" fillId="18" borderId="19" applyNumberFormat="0" applyAlignment="0" applyProtection="0"/>
    <xf numFmtId="0" fontId="76" fillId="18" borderId="19" applyNumberFormat="0" applyAlignment="0" applyProtection="0"/>
    <xf numFmtId="0" fontId="32" fillId="0" borderId="0">
      <alignment vertical="center"/>
    </xf>
    <xf numFmtId="0" fontId="150" fillId="0" borderId="0"/>
    <xf numFmtId="9" fontId="1" fillId="0" borderId="0" applyFont="0" applyFill="0" applyBorder="0" applyAlignment="0" applyProtection="0"/>
    <xf numFmtId="10" fontId="1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171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18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18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7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7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7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7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7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88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88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99" fillId="0" borderId="0" applyFont="0" applyFill="0" applyBorder="0" applyAlignment="0" applyProtection="0"/>
    <xf numFmtId="9" fontId="199" fillId="0" borderId="0" applyFont="0" applyFill="0" applyBorder="0" applyAlignment="0" applyProtection="0"/>
    <xf numFmtId="9" fontId="199" fillId="0" borderId="0" applyFont="0" applyFill="0" applyBorder="0" applyAlignment="0" applyProtection="0"/>
    <xf numFmtId="9" fontId="199" fillId="0" borderId="0" applyFont="0" applyFill="0" applyBorder="0" applyAlignment="0" applyProtection="0"/>
    <xf numFmtId="9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" fontId="155" fillId="23" borderId="0">
      <alignment horizontal="center"/>
    </xf>
    <xf numFmtId="222" fontId="24" fillId="0" borderId="0"/>
    <xf numFmtId="49" fontId="175" fillId="0" borderId="0">
      <alignment horizontal="right"/>
    </xf>
    <xf numFmtId="0" fontId="156" fillId="0" borderId="0"/>
    <xf numFmtId="0" fontId="185" fillId="0" borderId="0"/>
    <xf numFmtId="0" fontId="201" fillId="0" borderId="0"/>
    <xf numFmtId="0" fontId="148" fillId="0" borderId="0" applyNumberFormat="0" applyFill="0" applyBorder="0" applyProtection="0">
      <alignment horizontal="right" vertical="center"/>
    </xf>
    <xf numFmtId="0" fontId="23" fillId="27" borderId="0" applyNumberFormat="0" applyFont="0" applyBorder="0" applyAlignment="0" applyProtection="0"/>
    <xf numFmtId="0" fontId="23" fillId="27" borderId="0" applyNumberFormat="0" applyFont="0" applyBorder="0" applyAlignment="0" applyProtection="0"/>
    <xf numFmtId="18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3" fontId="24" fillId="0" borderId="0"/>
    <xf numFmtId="0" fontId="34" fillId="0" borderId="20"/>
    <xf numFmtId="0" fontId="1" fillId="0" borderId="0">
      <alignment vertical="top"/>
    </xf>
    <xf numFmtId="0" fontId="171" fillId="0" borderId="0"/>
    <xf numFmtId="0" fontId="23" fillId="0" borderId="0"/>
    <xf numFmtId="0" fontId="180" fillId="0" borderId="0">
      <alignment vertical="top"/>
    </xf>
    <xf numFmtId="0" fontId="23" fillId="0" borderId="0">
      <alignment vertical="top"/>
    </xf>
    <xf numFmtId="0" fontId="183" fillId="0" borderId="0">
      <alignment vertical="top"/>
    </xf>
    <xf numFmtId="0" fontId="23" fillId="0" borderId="0">
      <alignment vertical="top"/>
    </xf>
    <xf numFmtId="0" fontId="183" fillId="0" borderId="0"/>
    <xf numFmtId="0" fontId="23" fillId="0" borderId="0"/>
    <xf numFmtId="0" fontId="188" fillId="0" borderId="0">
      <alignment vertical="top"/>
    </xf>
    <xf numFmtId="0" fontId="23" fillId="0" borderId="0">
      <alignment vertical="top"/>
    </xf>
    <xf numFmtId="0" fontId="199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116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/>
    <xf numFmtId="0" fontId="118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119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122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/>
    <xf numFmtId="0" fontId="16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/>
    <xf numFmtId="0" fontId="183" fillId="0" borderId="0"/>
    <xf numFmtId="0" fontId="23" fillId="0" borderId="0"/>
    <xf numFmtId="0" fontId="171" fillId="0" borderId="0">
      <alignment vertical="top"/>
    </xf>
    <xf numFmtId="0" fontId="23" fillId="0" borderId="0">
      <alignment vertical="top"/>
    </xf>
    <xf numFmtId="3" fontId="175" fillId="0" borderId="0"/>
    <xf numFmtId="0" fontId="1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45" fillId="0" borderId="0"/>
    <xf numFmtId="0" fontId="45" fillId="0" borderId="0"/>
    <xf numFmtId="0" fontId="45" fillId="0" borderId="0"/>
    <xf numFmtId="0" fontId="45" fillId="0" borderId="0"/>
    <xf numFmtId="0" fontId="1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171" fillId="0" borderId="0">
      <alignment vertical="top"/>
    </xf>
    <xf numFmtId="0" fontId="23" fillId="0" borderId="0">
      <alignment vertical="top"/>
    </xf>
    <xf numFmtId="0" fontId="18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3" fontId="44" fillId="0" borderId="0" applyNumberFormat="0"/>
    <xf numFmtId="0" fontId="30" fillId="0" borderId="0">
      <alignment vertical="center"/>
    </xf>
    <xf numFmtId="0" fontId="30" fillId="0" borderId="0">
      <alignment vertical="center"/>
    </xf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3" fontId="177" fillId="0" borderId="0"/>
    <xf numFmtId="0" fontId="158" fillId="28" borderId="0" applyNumberFormat="0" applyBorder="0" applyProtection="0">
      <alignment horizontal="left" vertical="center"/>
    </xf>
    <xf numFmtId="0" fontId="159" fillId="1" borderId="0" applyNumberFormat="0" applyBorder="0" applyProtection="0">
      <alignment horizontal="left" vertical="center"/>
    </xf>
    <xf numFmtId="183" fontId="44" fillId="0" borderId="0"/>
    <xf numFmtId="189" fontId="160" fillId="0" borderId="21" applyNumberFormat="0" applyFont="0" applyFill="0" applyAlignment="0" applyProtection="0"/>
    <xf numFmtId="0" fontId="44" fillId="0" borderId="1">
      <alignment horizontal="right" wrapText="1"/>
    </xf>
    <xf numFmtId="0" fontId="44" fillId="0" borderId="1">
      <alignment horizontal="right" wrapText="1"/>
    </xf>
    <xf numFmtId="0" fontId="78" fillId="0" borderId="22" applyNumberFormat="0" applyFill="0" applyAlignment="0" applyProtection="0"/>
    <xf numFmtId="0" fontId="78" fillId="0" borderId="23" applyNumberFormat="0" applyFill="0" applyAlignment="0" applyProtection="0"/>
    <xf numFmtId="0" fontId="78" fillId="0" borderId="22" applyNumberFormat="0" applyFill="0" applyAlignment="0" applyProtection="0"/>
    <xf numFmtId="3" fontId="44" fillId="0" borderId="3" applyNumberFormat="0"/>
    <xf numFmtId="183" fontId="49" fillId="0" borderId="24"/>
    <xf numFmtId="223" fontId="161" fillId="0" borderId="0">
      <alignment horizontal="right"/>
    </xf>
    <xf numFmtId="224" fontId="155" fillId="23" borderId="2" applyBorder="0">
      <alignment horizontal="right" vertical="center"/>
      <protection locked="0"/>
    </xf>
    <xf numFmtId="0" fontId="162" fillId="0" borderId="0" applyNumberFormat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1" fontId="1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171" fillId="0" borderId="0">
      <alignment horizontal="center"/>
    </xf>
    <xf numFmtId="1" fontId="23" fillId="0" borderId="0">
      <alignment horizontal="center"/>
    </xf>
    <xf numFmtId="1" fontId="18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68" fontId="178" fillId="0" borderId="0" applyFont="0" applyFill="0" applyBorder="0" applyAlignment="0" applyProtection="0"/>
    <xf numFmtId="0" fontId="196" fillId="0" borderId="0"/>
    <xf numFmtId="0" fontId="197" fillId="0" borderId="0" applyFont="0" applyFill="0" applyBorder="0" applyAlignment="0" applyProtection="0"/>
    <xf numFmtId="0" fontId="197" fillId="0" borderId="0" applyFont="0" applyFill="0" applyBorder="0" applyAlignment="0" applyProtection="0"/>
    <xf numFmtId="42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40" fontId="179" fillId="0" borderId="0" applyFont="0" applyFill="0" applyBorder="0" applyAlignment="0" applyProtection="0">
      <alignment vertical="center"/>
    </xf>
    <xf numFmtId="0" fontId="23" fillId="0" borderId="0" applyNumberFormat="0" applyFont="0" applyFill="0" applyBorder="0" applyAlignment="0" applyProtection="0"/>
    <xf numFmtId="3" fontId="175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125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3" fillId="0" borderId="0" applyNumberFormat="0" applyFill="0" applyBorder="0" applyAlignment="0" applyProtection="0"/>
    <xf numFmtId="5" fontId="218" fillId="0" borderId="0" applyFont="0" applyFill="0" applyBorder="0" applyAlignment="0" applyProtection="0"/>
    <xf numFmtId="8" fontId="218" fillId="0" borderId="0" applyFont="0" applyFill="0" applyBorder="0" applyAlignment="0" applyProtection="0"/>
    <xf numFmtId="0" fontId="21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38" fontId="219" fillId="0" borderId="0"/>
    <xf numFmtId="241" fontId="217" fillId="0" borderId="0"/>
    <xf numFmtId="10" fontId="218" fillId="0" borderId="0" applyFont="0" applyFill="0" applyBorder="0" applyAlignment="0" applyProtection="0"/>
    <xf numFmtId="10" fontId="23" fillId="0" borderId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42" fontId="23" fillId="0" borderId="0" applyFont="0" applyFill="0" applyBorder="0" applyAlignment="0" applyProtection="0"/>
    <xf numFmtId="242" fontId="220" fillId="0" borderId="0" applyFont="0" applyFill="0" applyBorder="0" applyAlignment="0" applyProtection="0"/>
    <xf numFmtId="0" fontId="221" fillId="0" borderId="0" applyFont="0" applyFill="0" applyBorder="0" applyAlignment="0" applyProtection="0"/>
    <xf numFmtId="0" fontId="281" fillId="0" borderId="0"/>
    <xf numFmtId="40" fontId="222" fillId="0" borderId="0" applyFont="0" applyFill="0" applyBorder="0" applyAlignment="0" applyProtection="0"/>
    <xf numFmtId="0" fontId="223" fillId="0" borderId="0" applyNumberFormat="0" applyFill="0" applyBorder="0" applyAlignment="0" applyProtection="0">
      <alignment vertical="top"/>
      <protection locked="0"/>
    </xf>
    <xf numFmtId="38" fontId="222" fillId="0" borderId="0" applyFont="0" applyFill="0" applyBorder="0" applyAlignment="0" applyProtection="0"/>
    <xf numFmtId="0" fontId="22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64" fillId="0" borderId="0"/>
    <xf numFmtId="0" fontId="264" fillId="0" borderId="0"/>
    <xf numFmtId="9" fontId="23" fillId="0" borderId="0" applyFont="0" applyFill="0" applyBorder="0" applyAlignment="0" applyProtection="0"/>
    <xf numFmtId="3" fontId="175" fillId="0" borderId="0"/>
    <xf numFmtId="9" fontId="23" fillId="0" borderId="0" applyFont="0" applyFill="0" applyBorder="0" applyAlignment="0" applyProtection="0"/>
    <xf numFmtId="0" fontId="264" fillId="0" borderId="0"/>
    <xf numFmtId="0" fontId="264" fillId="0" borderId="0"/>
    <xf numFmtId="0" fontId="264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3" fontId="175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75" fontId="23" fillId="0" borderId="0" applyFont="0" applyFill="0" applyBorder="0" applyAlignment="0" applyProtection="0"/>
    <xf numFmtId="3" fontId="175" fillId="0" borderId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232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3" fontId="175" fillId="0" borderId="0"/>
    <xf numFmtId="0" fontId="23" fillId="0" borderId="0"/>
    <xf numFmtId="0" fontId="23" fillId="0" borderId="0"/>
    <xf numFmtId="0" fontId="23" fillId="0" borderId="0"/>
    <xf numFmtId="3" fontId="175" fillId="0" borderId="0"/>
    <xf numFmtId="9" fontId="23" fillId="0" borderId="0" applyFont="0" applyFill="0" applyBorder="0" applyAlignment="0" applyProtection="0"/>
    <xf numFmtId="3" fontId="175" fillId="0" borderId="0"/>
    <xf numFmtId="9" fontId="23" fillId="0" borderId="0" applyFont="0" applyFill="0" applyBorder="0" applyAlignment="0" applyProtection="0"/>
    <xf numFmtId="0" fontId="189" fillId="0" borderId="0"/>
    <xf numFmtId="3" fontId="175" fillId="0" borderId="0"/>
    <xf numFmtId="9" fontId="23" fillId="0" borderId="0" applyFont="0" applyFill="0" applyBorder="0" applyAlignment="0" applyProtection="0"/>
    <xf numFmtId="3" fontId="175" fillId="0" borderId="0"/>
    <xf numFmtId="0" fontId="23" fillId="0" borderId="0"/>
    <xf numFmtId="0" fontId="23" fillId="0" borderId="0"/>
    <xf numFmtId="0" fontId="23" fillId="0" borderId="0"/>
    <xf numFmtId="3" fontId="175" fillId="0" borderId="0"/>
    <xf numFmtId="3" fontId="175" fillId="0" borderId="0"/>
    <xf numFmtId="3" fontId="175" fillId="0" borderId="0"/>
    <xf numFmtId="3" fontId="175" fillId="0" borderId="0"/>
    <xf numFmtId="0" fontId="23" fillId="0" borderId="0" applyFill="0" applyAlignment="0">
      <protection locked="0"/>
    </xf>
    <xf numFmtId="0" fontId="23" fillId="0" borderId="0"/>
    <xf numFmtId="0" fontId="23" fillId="0" borderId="0"/>
    <xf numFmtId="3" fontId="17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3" fontId="175" fillId="0" borderId="0"/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/>
    <xf numFmtId="0" fontId="23" fillId="0" borderId="0"/>
    <xf numFmtId="0" fontId="23" fillId="0" borderId="0" applyFont="0" applyFill="0" applyBorder="0" applyAlignment="0" applyProtection="0"/>
    <xf numFmtId="233" fontId="23" fillId="0" borderId="0" applyFont="0" applyFill="0" applyBorder="0" applyAlignment="0" applyProtection="0"/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231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3" fillId="0" borderId="0"/>
    <xf numFmtId="0" fontId="23" fillId="0" borderId="0"/>
    <xf numFmtId="3" fontId="175" fillId="0" borderId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3" fontId="175" fillId="0" borderId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18" applyNumberFormat="0" applyFont="0" applyAlignment="0" applyProtection="0"/>
    <xf numFmtId="0" fontId="23" fillId="0" borderId="0"/>
    <xf numFmtId="0" fontId="23" fillId="0" borderId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3" fontId="175" fillId="0" borderId="0"/>
    <xf numFmtId="3" fontId="175" fillId="0" borderId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3" fontId="17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ill="0" applyBorder="0" applyAlignment="0" applyProtection="0"/>
    <xf numFmtId="3" fontId="175" fillId="0" borderId="0"/>
    <xf numFmtId="0" fontId="264" fillId="0" borderId="0"/>
    <xf numFmtId="0" fontId="23" fillId="0" borderId="0"/>
    <xf numFmtId="0" fontId="23" fillId="0" borderId="0" applyFill="0" applyAlignment="0">
      <protection locked="0"/>
    </xf>
    <xf numFmtId="0" fontId="23" fillId="0" borderId="0" applyFill="0" applyAlignment="0">
      <protection locked="0"/>
    </xf>
    <xf numFmtId="0" fontId="23" fillId="0" borderId="0"/>
    <xf numFmtId="0" fontId="23" fillId="0" borderId="0"/>
    <xf numFmtId="0" fontId="224" fillId="0" borderId="40" applyBorder="0"/>
    <xf numFmtId="0" fontId="23" fillId="0" borderId="0"/>
    <xf numFmtId="243" fontId="126" fillId="0" borderId="0" applyFont="0" applyFill="0" applyBorder="0" applyAlignment="0" applyProtection="0"/>
    <xf numFmtId="244" fontId="126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9" fillId="0" borderId="0"/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9" fontId="23" fillId="0" borderId="0"/>
    <xf numFmtId="9" fontId="23" fillId="0" borderId="0"/>
    <xf numFmtId="9" fontId="23" fillId="0" borderId="0"/>
    <xf numFmtId="9" fontId="23" fillId="0" borderId="0"/>
    <xf numFmtId="9" fontId="23" fillId="0" borderId="0"/>
    <xf numFmtId="9" fontId="23" fillId="0" borderId="0"/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9" fontId="23" fillId="0" borderId="0"/>
    <xf numFmtId="9" fontId="23" fillId="0" borderId="0"/>
    <xf numFmtId="49" fontId="23" fillId="0" borderId="0" applyFill="0" applyBorder="0">
      <alignment horizontal="right" vertical="center"/>
    </xf>
    <xf numFmtId="9" fontId="23" fillId="0" borderId="0"/>
    <xf numFmtId="9" fontId="23" fillId="0" borderId="0"/>
    <xf numFmtId="9" fontId="23" fillId="0" borderId="0"/>
    <xf numFmtId="9" fontId="23" fillId="0" borderId="0"/>
    <xf numFmtId="44" fontId="23" fillId="0" borderId="0" applyFont="0" applyFill="0" applyBorder="0" applyAlignment="0" applyProtection="0"/>
    <xf numFmtId="0" fontId="23" fillId="0" borderId="0"/>
    <xf numFmtId="0" fontId="175" fillId="0" borderId="0"/>
    <xf numFmtId="0" fontId="29" fillId="0" borderId="0"/>
    <xf numFmtId="44" fontId="23" fillId="0" borderId="0" applyFont="0" applyFill="0" applyBorder="0" applyAlignment="0" applyProtection="0"/>
    <xf numFmtId="0" fontId="29" fillId="0" borderId="0"/>
    <xf numFmtId="0" fontId="29" fillId="0" borderId="0"/>
    <xf numFmtId="2" fontId="29" fillId="0" borderId="0"/>
    <xf numFmtId="10" fontId="29" fillId="0" borderId="0"/>
    <xf numFmtId="2" fontId="29" fillId="0" borderId="0"/>
    <xf numFmtId="0" fontId="29" fillId="0" borderId="0"/>
    <xf numFmtId="0" fontId="29" fillId="0" borderId="0"/>
    <xf numFmtId="0" fontId="29" fillId="0" borderId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9" fillId="0" borderId="0"/>
    <xf numFmtId="44" fontId="23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208" fontId="29" fillId="0" borderId="0"/>
    <xf numFmtId="208" fontId="29" fillId="0" borderId="0"/>
    <xf numFmtId="0" fontId="29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0" fontId="23" fillId="0" borderId="0"/>
    <xf numFmtId="180" fontId="23" fillId="0" borderId="0"/>
    <xf numFmtId="180" fontId="23" fillId="0" borderId="0"/>
    <xf numFmtId="180" fontId="23" fillId="0" borderId="0"/>
    <xf numFmtId="180" fontId="23" fillId="0" borderId="0"/>
    <xf numFmtId="180" fontId="23" fillId="0" borderId="0"/>
    <xf numFmtId="43" fontId="23" fillId="0" borderId="0" applyFont="0" applyFill="0" applyBorder="0" applyAlignment="0" applyProtection="0"/>
    <xf numFmtId="180" fontId="23" fillId="0" borderId="0"/>
    <xf numFmtId="18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0" fontId="23" fillId="0" borderId="0"/>
    <xf numFmtId="180" fontId="23" fillId="0" borderId="0"/>
    <xf numFmtId="180" fontId="23" fillId="0" borderId="0"/>
    <xf numFmtId="18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63" fillId="2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63" fillId="4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63" fillId="4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63" fillId="5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43" fontId="23" fillId="0" borderId="0" applyFont="0" applyFill="0" applyBorder="0" applyAlignment="0" applyProtection="0"/>
    <xf numFmtId="0" fontId="63" fillId="2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63" fillId="2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63" fillId="7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63" fillId="7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63" fillId="5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63" fillId="8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63" fillId="4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63" fillId="4" borderId="0" applyNumberFormat="0" applyBorder="0" applyAlignment="0" applyProtection="0"/>
    <xf numFmtId="43" fontId="23" fillId="0" borderId="0" applyFont="0" applyFill="0" applyBorder="0" applyAlignment="0" applyProtection="0"/>
    <xf numFmtId="0" fontId="63" fillId="5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63" fillId="5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63" fillId="8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63" fillId="3" borderId="0" applyNumberFormat="0" applyBorder="0" applyAlignment="0" applyProtection="0"/>
    <xf numFmtId="43" fontId="23" fillId="0" borderId="0" applyFont="0" applyFill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63" fillId="5" borderId="0" applyNumberFormat="0" applyBorder="0" applyAlignment="0" applyProtection="0"/>
    <xf numFmtId="0" fontId="289" fillId="3" borderId="0" applyNumberFormat="0" applyBorder="0" applyAlignment="0" applyProtection="0"/>
    <xf numFmtId="0" fontId="64" fillId="10" borderId="0" applyNumberFormat="0" applyBorder="0" applyAlignment="0" applyProtection="0"/>
    <xf numFmtId="0" fontId="289" fillId="42" borderId="0" applyNumberFormat="0" applyBorder="0" applyAlignment="0" applyProtection="0"/>
    <xf numFmtId="0" fontId="64" fillId="4" borderId="0" applyNumberFormat="0" applyBorder="0" applyAlignment="0" applyProtection="0"/>
    <xf numFmtId="43" fontId="23" fillId="0" borderId="0" applyFont="0" applyFill="0" applyBorder="0" applyAlignment="0" applyProtection="0"/>
    <xf numFmtId="0" fontId="289" fillId="4" borderId="0" applyNumberFormat="0" applyBorder="0" applyAlignment="0" applyProtection="0"/>
    <xf numFmtId="0" fontId="64" fillId="6" borderId="0" applyNumberFormat="0" applyBorder="0" applyAlignment="0" applyProtection="0"/>
    <xf numFmtId="43" fontId="23" fillId="0" borderId="0" applyFont="0" applyFill="0" applyBorder="0" applyAlignment="0" applyProtection="0"/>
    <xf numFmtId="0" fontId="289" fillId="8" borderId="0" applyNumberFormat="0" applyBorder="0" applyAlignment="0" applyProtection="0"/>
    <xf numFmtId="0" fontId="64" fillId="8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89" fillId="43" borderId="0" applyNumberFormat="0" applyBorder="0" applyAlignment="0" applyProtection="0"/>
    <xf numFmtId="0" fontId="64" fillId="10" borderId="0" applyNumberFormat="0" applyBorder="0" applyAlignment="0" applyProtection="0"/>
    <xf numFmtId="0" fontId="289" fillId="2" borderId="0" applyNumberFormat="0" applyBorder="0" applyAlignment="0" applyProtection="0"/>
    <xf numFmtId="0" fontId="64" fillId="5" borderId="0" applyNumberFormat="0" applyBorder="0" applyAlignment="0" applyProtection="0"/>
    <xf numFmtId="37" fontId="225" fillId="0" borderId="0">
      <alignment horizont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89" fillId="21" borderId="0" applyNumberFormat="0" applyBorder="0" applyAlignment="0" applyProtection="0"/>
    <xf numFmtId="0" fontId="64" fillId="10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89" fillId="44" borderId="0" applyNumberFormat="0" applyBorder="0" applyAlignment="0" applyProtection="0"/>
    <xf numFmtId="0" fontId="64" fillId="4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89" fillId="45" borderId="0" applyNumberFormat="0" applyBorder="0" applyAlignment="0" applyProtection="0"/>
    <xf numFmtId="0" fontId="64" fillId="6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89" fillId="46" borderId="0" applyNumberFormat="0" applyBorder="0" applyAlignment="0" applyProtection="0"/>
    <xf numFmtId="0" fontId="64" fillId="14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89" fillId="21" borderId="0" applyNumberFormat="0" applyBorder="0" applyAlignment="0" applyProtection="0"/>
    <xf numFmtId="0" fontId="64" fillId="10" borderId="0" applyNumberFormat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89" fillId="55" borderId="0" applyNumberFormat="0" applyBorder="0" applyAlignment="0" applyProtection="0"/>
    <xf numFmtId="0" fontId="64" fillId="4" borderId="0" applyNumberFormat="0" applyBorder="0" applyAlignment="0" applyProtection="0"/>
    <xf numFmtId="43" fontId="23" fillId="0" borderId="0" applyFont="0" applyFill="0" applyBorder="0" applyAlignment="0" applyProtection="0"/>
    <xf numFmtId="256" fontId="24" fillId="0" borderId="0" applyFont="0" applyFill="0" applyBorder="0" applyProtection="0"/>
    <xf numFmtId="256" fontId="24" fillId="0" borderId="0" applyFont="0" applyFill="0" applyBorder="0" applyProtection="0"/>
    <xf numFmtId="0" fontId="23" fillId="0" borderId="0"/>
    <xf numFmtId="168" fontId="282" fillId="0" borderId="0" applyFont="0" applyFill="0" applyBorder="0" applyAlignment="0" applyProtection="0"/>
    <xf numFmtId="0" fontId="257" fillId="47" borderId="0" applyNumberFormat="0" applyBorder="0" applyAlignment="0" applyProtection="0"/>
    <xf numFmtId="0" fontId="257" fillId="47" borderId="0" applyNumberFormat="0" applyBorder="0" applyAlignment="0" applyProtection="0"/>
    <xf numFmtId="0" fontId="65" fillId="9" borderId="0" applyNumberFormat="0" applyBorder="0" applyAlignment="0" applyProtection="0"/>
    <xf numFmtId="238" fontId="217" fillId="0" borderId="0"/>
    <xf numFmtId="230" fontId="139" fillId="0" borderId="0" applyFont="0" applyFill="0" applyBorder="0" applyAlignment="0" applyProtection="0"/>
    <xf numFmtId="43" fontId="23" fillId="0" borderId="0" applyFont="0" applyFill="0" applyBorder="0" applyAlignment="0" applyProtection="0"/>
    <xf numFmtId="1" fontId="131" fillId="17" borderId="2" applyNumberFormat="0" applyBorder="0" applyAlignment="0">
      <alignment horizontal="center" vertical="top" wrapText="1"/>
      <protection hidden="1"/>
    </xf>
    <xf numFmtId="37" fontId="124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0" fontId="226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0" fontId="218" fillId="0" borderId="3" applyNumberFormat="0" applyFont="0" applyFill="0" applyAlignment="0" applyProtection="0"/>
    <xf numFmtId="0" fontId="218" fillId="0" borderId="2" applyNumberFormat="0" applyFont="0" applyFill="0" applyAlignment="0" applyProtection="0"/>
    <xf numFmtId="0" fontId="218" fillId="0" borderId="2" applyNumberFormat="0" applyFont="0" applyFill="0" applyAlignment="0" applyProtection="0"/>
    <xf numFmtId="0" fontId="218" fillId="0" borderId="26" applyNumberFormat="0" applyFont="0" applyFill="0" applyAlignment="0" applyProtection="0"/>
    <xf numFmtId="0" fontId="218" fillId="0" borderId="21" applyNumberFormat="0" applyFont="0" applyFill="0" applyAlignment="0" applyProtection="0"/>
    <xf numFmtId="37" fontId="228" fillId="0" borderId="0" applyNumberFormat="0" applyFill="0" applyBorder="0" applyAlignment="0" applyProtection="0">
      <alignment horizontal="center"/>
    </xf>
    <xf numFmtId="43" fontId="23" fillId="0" borderId="0" applyFont="0" applyFill="0" applyBorder="0" applyAlignment="0" applyProtection="0"/>
    <xf numFmtId="245" fontId="126" fillId="0" borderId="0" applyFont="0" applyFill="0" applyBorder="0" applyAlignment="0" applyProtection="0"/>
    <xf numFmtId="0" fontId="30" fillId="0" borderId="0"/>
    <xf numFmtId="43" fontId="23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46" fontId="220" fillId="0" borderId="0" applyFill="0" applyBorder="0" applyAlignment="0"/>
    <xf numFmtId="0" fontId="290" fillId="18" borderId="48" applyNumberFormat="0" applyAlignment="0" applyProtection="0"/>
    <xf numFmtId="0" fontId="66" fillId="18" borderId="4" applyNumberFormat="0" applyAlignment="0" applyProtection="0"/>
    <xf numFmtId="230" fontId="215" fillId="0" borderId="0" applyFont="0" applyFill="0" applyBorder="0" applyAlignment="0" applyProtection="0"/>
    <xf numFmtId="0" fontId="229" fillId="0" borderId="0">
      <alignment horizontal="right"/>
    </xf>
    <xf numFmtId="247" fontId="229" fillId="0" borderId="0"/>
    <xf numFmtId="0" fontId="56" fillId="0" borderId="0" applyAlignment="0"/>
    <xf numFmtId="180" fontId="23" fillId="0" borderId="0"/>
    <xf numFmtId="180" fontId="23" fillId="0" borderId="0"/>
    <xf numFmtId="0" fontId="291" fillId="56" borderId="49" applyNumberFormat="0" applyAlignment="0" applyProtection="0"/>
    <xf numFmtId="0" fontId="67" fillId="19" borderId="5" applyNumberFormat="0" applyAlignment="0" applyProtection="0"/>
    <xf numFmtId="0" fontId="269" fillId="0" borderId="0" applyAlignment="0"/>
    <xf numFmtId="0" fontId="269" fillId="0" borderId="0" applyAlignment="0"/>
    <xf numFmtId="0" fontId="269" fillId="0" borderId="0" applyAlignment="0"/>
    <xf numFmtId="0" fontId="269" fillId="0" borderId="0" applyAlignment="0"/>
    <xf numFmtId="180" fontId="23" fillId="0" borderId="0"/>
    <xf numFmtId="0" fontId="270" fillId="33" borderId="0" applyAlignment="0"/>
    <xf numFmtId="180" fontId="23" fillId="0" borderId="0"/>
    <xf numFmtId="180" fontId="23" fillId="0" borderId="0"/>
    <xf numFmtId="43" fontId="23" fillId="0" borderId="0" applyFont="0" applyFill="0" applyBorder="0" applyAlignment="0" applyProtection="0"/>
    <xf numFmtId="248" fontId="23" fillId="0" borderId="0"/>
    <xf numFmtId="248" fontId="23" fillId="0" borderId="0"/>
    <xf numFmtId="248" fontId="23" fillId="0" borderId="0"/>
    <xf numFmtId="9" fontId="23" fillId="0" borderId="0"/>
    <xf numFmtId="248" fontId="23" fillId="0" borderId="0"/>
    <xf numFmtId="9" fontId="23" fillId="0" borderId="0"/>
    <xf numFmtId="248" fontId="23" fillId="0" borderId="0"/>
    <xf numFmtId="9" fontId="23" fillId="0" borderId="0"/>
    <xf numFmtId="248" fontId="23" fillId="0" borderId="0"/>
    <xf numFmtId="9" fontId="23" fillId="0" borderId="0"/>
    <xf numFmtId="248" fontId="23" fillId="0" borderId="0"/>
    <xf numFmtId="223" fontId="216" fillId="0" borderId="0" applyFont="0"/>
    <xf numFmtId="180" fontId="133" fillId="0" borderId="0" applyFont="0" applyFill="0" applyBorder="0" applyAlignment="0">
      <alignment horizontal="center" wrapText="1"/>
    </xf>
    <xf numFmtId="38" fontId="32" fillId="0" borderId="0"/>
    <xf numFmtId="9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43" fontId="6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94" fontId="175" fillId="0" borderId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255" fontId="63" fillId="0" borderId="0" applyFont="0" applyFill="0" applyBorder="0" applyAlignment="0" applyProtection="0"/>
    <xf numFmtId="255" fontId="63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55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3" fontId="230" fillId="0" borderId="0"/>
    <xf numFmtId="194" fontId="230" fillId="0" borderId="0"/>
    <xf numFmtId="2" fontId="230" fillId="0" borderId="0"/>
    <xf numFmtId="215" fontId="138" fillId="0" borderId="0" applyFill="0" applyBorder="0">
      <alignment horizontal="left"/>
    </xf>
    <xf numFmtId="0" fontId="231" fillId="0" borderId="0" applyNumberFormat="0" applyAlignment="0">
      <alignment horizontal="left"/>
    </xf>
    <xf numFmtId="249" fontId="139" fillId="0" borderId="0"/>
    <xf numFmtId="166" fontId="133" fillId="0" borderId="0" applyFont="0" applyFill="0" applyBorder="0" applyAlignment="0">
      <alignment horizontal="center" wrapText="1"/>
    </xf>
    <xf numFmtId="8" fontId="139" fillId="0" borderId="0" applyFont="0" applyFill="0" applyBorder="0" applyAlignment="0" applyProtection="0">
      <alignment horizontal="left"/>
    </xf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6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6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8" fontId="232" fillId="0" borderId="0" applyFont="0" applyFill="0" applyBorder="0" applyAlignment="0" applyProtection="0"/>
    <xf numFmtId="234" fontId="23" fillId="23" borderId="26">
      <alignment horizontal="right"/>
    </xf>
    <xf numFmtId="9" fontId="23" fillId="0" borderId="0" applyFont="0" applyFill="0" applyBorder="0" applyAlignment="0" applyProtection="0"/>
    <xf numFmtId="250" fontId="126" fillId="0" borderId="0" applyFont="0" applyFill="0" applyBorder="0" applyAlignment="0" applyProtection="0"/>
    <xf numFmtId="220" fontId="23" fillId="0" borderId="0" applyFont="0" applyFill="0" applyBorder="0" applyAlignment="0" applyProtection="0"/>
    <xf numFmtId="14" fontId="215" fillId="0" borderId="0" applyFont="0" applyFill="0" applyBorder="0" applyAlignment="0" applyProtection="0">
      <alignment horizontal="center"/>
    </xf>
    <xf numFmtId="237" fontId="215" fillId="0" borderId="0" applyFont="0" applyFill="0" applyBorder="0" applyAlignment="0" applyProtection="0">
      <alignment horizontal="center"/>
    </xf>
    <xf numFmtId="9" fontId="23" fillId="0" borderId="0" applyFont="0" applyFill="0" applyBorder="0" applyAlignment="0" applyProtection="0"/>
    <xf numFmtId="0" fontId="139" fillId="0" borderId="0"/>
    <xf numFmtId="249" fontId="229" fillId="0" borderId="0"/>
    <xf numFmtId="5" fontId="56" fillId="0" borderId="0" applyFont="0" applyFill="0" applyBorder="0" applyAlignment="0" applyProtection="0">
      <protection locked="0"/>
    </xf>
    <xf numFmtId="6" fontId="139" fillId="0" borderId="0" applyFont="0" applyFill="0" applyBorder="0" applyAlignment="0" applyProtection="0"/>
    <xf numFmtId="0" fontId="233" fillId="0" borderId="0" applyNumberFormat="0" applyAlignment="0">
      <alignment horizontal="left"/>
    </xf>
    <xf numFmtId="258" fontId="63" fillId="0" borderId="0" applyFont="0" applyFill="0" applyBorder="0" applyAlignment="0" applyProtection="0"/>
    <xf numFmtId="0" fontId="292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210" fillId="0" borderId="0">
      <alignment vertical="center"/>
    </xf>
    <xf numFmtId="0" fontId="234" fillId="0" borderId="0"/>
    <xf numFmtId="0" fontId="265" fillId="0" borderId="0"/>
    <xf numFmtId="0" fontId="140" fillId="0" borderId="0"/>
    <xf numFmtId="0" fontId="235" fillId="21" borderId="0"/>
    <xf numFmtId="0" fontId="266" fillId="21" borderId="0"/>
    <xf numFmtId="0" fontId="142" fillId="21" borderId="0"/>
    <xf numFmtId="251" fontId="229" fillId="0" borderId="0"/>
    <xf numFmtId="188" fontId="23" fillId="23" borderId="26">
      <alignment horizontal="right"/>
    </xf>
    <xf numFmtId="49" fontId="24" fillId="0" borderId="0" applyFill="0" applyBorder="0"/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49" fontId="23" fillId="0" borderId="0" applyFill="0" applyBorder="0">
      <alignment horizontal="right" vertical="center"/>
    </xf>
    <xf numFmtId="0" fontId="258" fillId="4" borderId="0" applyNumberFormat="0" applyBorder="0" applyAlignment="0" applyProtection="0"/>
    <xf numFmtId="0" fontId="258" fillId="4" borderId="0" applyNumberFormat="0" applyBorder="0" applyAlignment="0" applyProtection="0"/>
    <xf numFmtId="0" fontId="69" fillId="22" borderId="0" applyNumberFormat="0" applyBorder="0" applyAlignment="0" applyProtection="0"/>
    <xf numFmtId="0" fontId="144" fillId="0" borderId="0"/>
    <xf numFmtId="0" fontId="144" fillId="0" borderId="0"/>
    <xf numFmtId="0" fontId="144" fillId="0" borderId="0"/>
    <xf numFmtId="0" fontId="144" fillId="0" borderId="0"/>
    <xf numFmtId="0" fontId="144" fillId="0" borderId="0"/>
    <xf numFmtId="0" fontId="144" fillId="0" borderId="0"/>
    <xf numFmtId="0" fontId="144" fillId="0" borderId="0"/>
    <xf numFmtId="0" fontId="144" fillId="0" borderId="0"/>
    <xf numFmtId="0" fontId="144" fillId="0" borderId="0"/>
    <xf numFmtId="38" fontId="24" fillId="23" borderId="0" applyNumberFormat="0" applyBorder="0" applyAlignment="0" applyProtection="0"/>
    <xf numFmtId="241" fontId="219" fillId="0" borderId="0"/>
    <xf numFmtId="238" fontId="219" fillId="0" borderId="0" applyFill="0" applyBorder="0" applyAlignment="0" applyProtection="0"/>
    <xf numFmtId="168" fontId="23" fillId="24" borderId="8" applyNumberFormat="0" applyFont="0" applyBorder="0" applyAlignment="0" applyProtection="0"/>
    <xf numFmtId="168" fontId="23" fillId="24" borderId="8" applyNumberFormat="0" applyFont="0" applyBorder="0" applyAlignment="0" applyProtection="0"/>
    <xf numFmtId="0" fontId="236" fillId="0" borderId="0" applyNumberFormat="0" applyFill="0" applyBorder="0" applyAlignment="0" applyProtection="0"/>
    <xf numFmtId="0" fontId="179" fillId="0" borderId="9" applyNumberFormat="0" applyAlignment="0" applyProtection="0">
      <alignment horizontal="left" vertical="center"/>
    </xf>
    <xf numFmtId="0" fontId="179" fillId="0" borderId="1">
      <alignment horizontal="left" vertical="center"/>
    </xf>
    <xf numFmtId="0" fontId="259" fillId="0" borderId="41" applyNumberFormat="0" applyFill="0" applyAlignment="0" applyProtection="0"/>
    <xf numFmtId="0" fontId="259" fillId="0" borderId="41" applyNumberFormat="0" applyFill="0" applyAlignment="0" applyProtection="0"/>
    <xf numFmtId="0" fontId="70" fillId="0" borderId="10" applyNumberFormat="0" applyFill="0" applyAlignment="0" applyProtection="0"/>
    <xf numFmtId="0" fontId="260" fillId="0" borderId="42" applyNumberFormat="0" applyFill="0" applyAlignment="0" applyProtection="0"/>
    <xf numFmtId="0" fontId="260" fillId="0" borderId="42" applyNumberFormat="0" applyFill="0" applyAlignment="0" applyProtection="0"/>
    <xf numFmtId="0" fontId="71" fillId="0" borderId="12" applyNumberFormat="0" applyFill="0" applyAlignment="0" applyProtection="0"/>
    <xf numFmtId="0" fontId="261" fillId="0" borderId="43" applyNumberFormat="0" applyFill="0" applyAlignment="0" applyProtection="0"/>
    <xf numFmtId="0" fontId="261" fillId="0" borderId="43" applyNumberFormat="0" applyFill="0" applyAlignment="0" applyProtection="0"/>
    <xf numFmtId="0" fontId="72" fillId="0" borderId="14" applyNumberFormat="0" applyFill="0" applyAlignment="0" applyProtection="0"/>
    <xf numFmtId="0" fontId="261" fillId="0" borderId="0" applyNumberFormat="0" applyFill="0" applyBorder="0" applyAlignment="0" applyProtection="0"/>
    <xf numFmtId="0" fontId="26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237" fillId="0" borderId="0">
      <protection locked="0"/>
    </xf>
    <xf numFmtId="0" fontId="237" fillId="0" borderId="0">
      <protection locked="0"/>
    </xf>
    <xf numFmtId="0" fontId="238" fillId="0" borderId="0">
      <alignment wrapText="1"/>
    </xf>
    <xf numFmtId="0" fontId="174" fillId="0" borderId="0">
      <alignment wrapText="1"/>
    </xf>
    <xf numFmtId="0" fontId="146" fillId="0" borderId="0">
      <alignment wrapText="1"/>
    </xf>
    <xf numFmtId="0" fontId="48" fillId="0" borderId="44" applyNumberFormat="0" applyFill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211" fillId="0" borderId="0" applyNumberFormat="0" applyFill="0" applyBorder="0" applyAlignment="0" applyProtection="0">
      <alignment vertical="top"/>
      <protection locked="0"/>
    </xf>
    <xf numFmtId="0" fontId="284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283" fillId="0" borderId="0" applyNumberFormat="0" applyFill="0" applyBorder="0" applyAlignment="0" applyProtection="0">
      <alignment vertical="top"/>
      <protection locked="0"/>
    </xf>
    <xf numFmtId="0" fontId="284" fillId="0" borderId="0" applyNumberFormat="0" applyFill="0" applyBorder="0" applyAlignment="0" applyProtection="0">
      <alignment vertical="top"/>
      <protection locked="0"/>
    </xf>
    <xf numFmtId="0" fontId="283" fillId="0" borderId="0" applyNumberFormat="0" applyFill="0" applyBorder="0" applyAlignment="0" applyProtection="0">
      <alignment vertical="top"/>
      <protection locked="0"/>
    </xf>
    <xf numFmtId="0" fontId="181" fillId="0" borderId="0" applyNumberFormat="0" applyFill="0" applyBorder="0" applyAlignment="0" applyProtection="0"/>
    <xf numFmtId="0" fontId="293" fillId="0" borderId="0" applyNumberFormat="0" applyFill="0" applyBorder="0" applyAlignment="0" applyProtection="0"/>
    <xf numFmtId="0" fontId="176" fillId="0" borderId="0" applyNumberFormat="0" applyFill="0" applyBorder="0" applyAlignment="0" applyProtection="0">
      <alignment vertical="top"/>
      <protection locked="0"/>
    </xf>
    <xf numFmtId="0" fontId="181" fillId="0" borderId="0" applyNumberForma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38" fontId="139" fillId="0" borderId="0"/>
    <xf numFmtId="230" fontId="139" fillId="0" borderId="0" applyFont="0" applyFill="0" applyBorder="0" applyAlignment="0" applyProtection="0"/>
    <xf numFmtId="10" fontId="24" fillId="26" borderId="8" applyNumberFormat="0" applyBorder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294" fillId="57" borderId="48" applyNumberFormat="0" applyAlignment="0" applyProtection="0"/>
    <xf numFmtId="0" fontId="73" fillId="5" borderId="4" applyNumberFormat="0" applyAlignment="0" applyProtection="0"/>
    <xf numFmtId="0" fontId="294" fillId="57" borderId="48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252" fontId="229" fillId="0" borderId="0"/>
    <xf numFmtId="0" fontId="271" fillId="0" borderId="0" applyAlignment="0"/>
    <xf numFmtId="38" fontId="34" fillId="0" borderId="0" applyNumberFormat="0" applyBorder="0" applyProtection="0">
      <alignment horizontal="left"/>
    </xf>
    <xf numFmtId="38" fontId="239" fillId="0" borderId="0"/>
    <xf numFmtId="38" fontId="240" fillId="0" borderId="0"/>
    <xf numFmtId="38" fontId="241" fillId="0" borderId="0"/>
    <xf numFmtId="38" fontId="242" fillId="0" borderId="0"/>
    <xf numFmtId="0" fontId="243" fillId="0" borderId="0"/>
    <xf numFmtId="0" fontId="243" fillId="0" borderId="0"/>
    <xf numFmtId="0" fontId="23" fillId="0" borderId="0"/>
    <xf numFmtId="0" fontId="262" fillId="0" borderId="45" applyNumberFormat="0" applyFill="0" applyAlignment="0" applyProtection="0"/>
    <xf numFmtId="0" fontId="262" fillId="0" borderId="45" applyNumberFormat="0" applyFill="0" applyAlignment="0" applyProtection="0"/>
    <xf numFmtId="0" fontId="74" fillId="0" borderId="16" applyNumberFormat="0" applyFill="0" applyAlignment="0" applyProtection="0"/>
    <xf numFmtId="235" fontId="23" fillId="0" borderId="0">
      <alignment horizontal="right"/>
    </xf>
    <xf numFmtId="238" fontId="217" fillId="0" borderId="0" applyFill="0" applyBorder="0" applyAlignment="0" applyProtection="0"/>
    <xf numFmtId="0" fontId="235" fillId="0" borderId="0"/>
    <xf numFmtId="0" fontId="266" fillId="0" borderId="0"/>
    <xf numFmtId="0" fontId="142" fillId="0" borderId="0"/>
    <xf numFmtId="0" fontId="244" fillId="0" borderId="0"/>
    <xf numFmtId="0" fontId="267" fillId="0" borderId="0"/>
    <xf numFmtId="0" fontId="149" fillId="0" borderId="0"/>
    <xf numFmtId="0" fontId="245" fillId="0" borderId="0"/>
    <xf numFmtId="0" fontId="268" fillId="0" borderId="0"/>
    <xf numFmtId="0" fontId="150" fillId="0" borderId="0"/>
    <xf numFmtId="37" fontId="153" fillId="0" borderId="0" applyNumberFormat="0" applyFill="0" applyBorder="0" applyAlignment="0" applyProtection="0">
      <alignment horizontal="center"/>
    </xf>
    <xf numFmtId="37" fontId="153" fillId="0" borderId="0" applyNumberFormat="0" applyFill="0" applyBorder="0" applyAlignment="0" applyProtection="0">
      <alignment horizontal="center"/>
    </xf>
    <xf numFmtId="14" fontId="218" fillId="0" borderId="0" applyFont="0" applyFill="0" applyBorder="0" applyAlignment="0" applyProtection="0"/>
    <xf numFmtId="220" fontId="24" fillId="26" borderId="0">
      <alignment horizontal="center"/>
    </xf>
    <xf numFmtId="253" fontId="139" fillId="0" borderId="0" applyFont="0" applyFill="0" applyBorder="0" applyAlignment="0" applyProtection="0"/>
    <xf numFmtId="257" fontId="24" fillId="0" borderId="0"/>
    <xf numFmtId="0" fontId="295" fillId="58" borderId="0" applyNumberFormat="0" applyBorder="0" applyAlignment="0" applyProtection="0"/>
    <xf numFmtId="0" fontId="75" fillId="5" borderId="0" applyNumberFormat="0" applyBorder="0" applyAlignment="0" applyProtection="0"/>
    <xf numFmtId="0" fontId="272" fillId="48" borderId="0" applyAlignment="0"/>
    <xf numFmtId="0" fontId="47" fillId="49" borderId="0" applyAlignment="0"/>
    <xf numFmtId="0" fontId="273" fillId="0" borderId="0" applyAlignment="0"/>
    <xf numFmtId="0" fontId="32" fillId="0" borderId="0"/>
    <xf numFmtId="0" fontId="126" fillId="0" borderId="0"/>
    <xf numFmtId="3" fontId="175" fillId="0" borderId="0"/>
    <xf numFmtId="3" fontId="175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4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4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175" fillId="0" borderId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174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4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06" fillId="0" borderId="0"/>
    <xf numFmtId="0" fontId="206" fillId="0" borderId="0"/>
    <xf numFmtId="0" fontId="23" fillId="0" borderId="0"/>
    <xf numFmtId="0" fontId="6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63" fillId="0" borderId="0"/>
    <xf numFmtId="3" fontId="175" fillId="0" borderId="0"/>
    <xf numFmtId="3" fontId="175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3" fontId="175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>
      <alignment vertical="center"/>
    </xf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>
      <alignment vertical="center"/>
    </xf>
    <xf numFmtId="0" fontId="23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174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23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3" fontId="175" fillId="0" borderId="0"/>
    <xf numFmtId="0" fontId="23" fillId="0" borderId="0"/>
    <xf numFmtId="0" fontId="207" fillId="0" borderId="0"/>
    <xf numFmtId="0" fontId="23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4" fillId="0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6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63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4" fillId="0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/>
    <xf numFmtId="0" fontId="23" fillId="0" borderId="0"/>
    <xf numFmtId="0" fontId="23" fillId="0" borderId="0"/>
    <xf numFmtId="0" fontId="6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6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7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7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63" fillId="0" borderId="0"/>
    <xf numFmtId="0" fontId="23" fillId="0" borderId="0" applyNumberFormat="0" applyFont="0" applyFill="0" applyBorder="0" applyAlignment="0" applyProtection="0"/>
    <xf numFmtId="0" fontId="207" fillId="0" borderId="0"/>
    <xf numFmtId="0" fontId="6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7" fillId="0" borderId="0"/>
    <xf numFmtId="0" fontId="23" fillId="0" borderId="0" applyNumberFormat="0" applyFont="0" applyFill="0" applyBorder="0" applyAlignment="0" applyProtection="0"/>
    <xf numFmtId="0" fontId="207" fillId="0" borderId="0"/>
    <xf numFmtId="0" fontId="23" fillId="0" borderId="0"/>
    <xf numFmtId="0" fontId="174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96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46" fillId="0" borderId="0"/>
    <xf numFmtId="215" fontId="34" fillId="0" borderId="0" applyBorder="0">
      <alignment horizontal="left"/>
    </xf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63" fillId="5" borderId="50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23" fillId="5" borderId="18" applyNumberFormat="0" applyFont="0" applyAlignment="0" applyProtection="0"/>
    <xf numFmtId="0" fontId="63" fillId="5" borderId="50" applyNumberFormat="0" applyFont="0" applyAlignment="0" applyProtection="0"/>
    <xf numFmtId="0" fontId="63" fillId="5" borderId="50" applyNumberFormat="0" applyFont="0" applyAlignment="0" applyProtection="0"/>
    <xf numFmtId="3" fontId="175" fillId="0" borderId="0" applyBorder="0"/>
    <xf numFmtId="164" fontId="50" fillId="0" borderId="0" applyFont="0" applyFill="0" applyBorder="0" applyProtection="0">
      <alignment horizontal="right"/>
    </xf>
    <xf numFmtId="3" fontId="175" fillId="0" borderId="21" applyBorder="0"/>
    <xf numFmtId="3" fontId="175" fillId="0" borderId="21" applyBorder="0"/>
    <xf numFmtId="3" fontId="175" fillId="0" borderId="21" applyBorder="0"/>
    <xf numFmtId="164" fontId="50" fillId="0" borderId="0" applyFont="0" applyFill="0" applyBorder="0" applyProtection="0">
      <alignment horizontal="right"/>
    </xf>
    <xf numFmtId="3" fontId="175" fillId="0" borderId="0" applyBorder="0"/>
    <xf numFmtId="3" fontId="175" fillId="0" borderId="0" applyBorder="0"/>
    <xf numFmtId="3" fontId="175" fillId="0" borderId="0" applyBorder="0"/>
    <xf numFmtId="3" fontId="175" fillId="0" borderId="0" applyBorder="0"/>
    <xf numFmtId="3" fontId="175" fillId="0" borderId="0" applyBorder="0"/>
    <xf numFmtId="3" fontId="175" fillId="0" borderId="0" applyBorder="0"/>
    <xf numFmtId="230" fontId="139" fillId="0" borderId="0" applyFont="0" applyFill="0" applyBorder="0" applyAlignment="0" applyProtection="0"/>
    <xf numFmtId="241" fontId="217" fillId="0" borderId="0"/>
    <xf numFmtId="0" fontId="297" fillId="18" borderId="51" applyNumberFormat="0" applyAlignment="0" applyProtection="0"/>
    <xf numFmtId="0" fontId="76" fillId="18" borderId="19" applyNumberFormat="0" applyAlignment="0" applyProtection="0"/>
    <xf numFmtId="0" fontId="245" fillId="0" borderId="0"/>
    <xf numFmtId="0" fontId="268" fillId="0" borderId="0"/>
    <xf numFmtId="0" fontId="150" fillId="0" borderId="0"/>
    <xf numFmtId="9" fontId="23" fillId="0" borderId="0" applyFont="0" applyFill="0" applyBorder="0" applyAlignment="0" applyProtection="0"/>
    <xf numFmtId="168" fontId="139" fillId="0" borderId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75" fillId="0" borderId="0" applyFont="0" applyFill="0" applyBorder="0" applyProtection="0">
      <alignment horizontal="right"/>
    </xf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75" fillId="0" borderId="0" applyFont="0" applyFill="0" applyBorder="0" applyProtection="0">
      <alignment horizontal="right"/>
    </xf>
    <xf numFmtId="9" fontId="204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16" fillId="0" borderId="0"/>
    <xf numFmtId="254" fontId="139" fillId="0" borderId="0" applyFont="0" applyBorder="0"/>
    <xf numFmtId="168" fontId="232" fillId="0" borderId="0" applyFont="0" applyFill="0" applyBorder="0" applyAlignment="0" applyProtection="0"/>
    <xf numFmtId="10" fontId="232" fillId="0" borderId="0" applyFont="0" applyFill="0" applyBorder="0" applyAlignment="0" applyProtection="0"/>
    <xf numFmtId="9" fontId="23" fillId="0" borderId="0"/>
    <xf numFmtId="168" fontId="247" fillId="0" borderId="0" applyFill="0" applyBorder="0" applyAlignment="0" applyProtection="0"/>
    <xf numFmtId="239" fontId="139" fillId="0" borderId="0" applyFont="0" applyFill="0" applyBorder="0" applyAlignment="0" applyProtection="0"/>
    <xf numFmtId="240" fontId="139" fillId="0" borderId="0" applyFont="0" applyFill="0" applyBorder="0" applyAlignment="0" applyProtection="0"/>
    <xf numFmtId="38" fontId="139" fillId="0" borderId="0" applyFont="0" applyFill="0" applyBorder="0" applyAlignment="0" applyProtection="0"/>
    <xf numFmtId="3" fontId="139" fillId="0" borderId="0"/>
    <xf numFmtId="236" fontId="213" fillId="23" borderId="0"/>
    <xf numFmtId="222" fontId="24" fillId="0" borderId="0"/>
    <xf numFmtId="49" fontId="175" fillId="0" borderId="0">
      <alignment horizontal="right"/>
    </xf>
    <xf numFmtId="0" fontId="156" fillId="0" borderId="0"/>
    <xf numFmtId="0" fontId="156" fillId="0" borderId="0"/>
    <xf numFmtId="0" fontId="156" fillId="0" borderId="0"/>
    <xf numFmtId="0" fontId="156" fillId="0" borderId="0"/>
    <xf numFmtId="0" fontId="156" fillId="0" borderId="0"/>
    <xf numFmtId="0" fontId="156" fillId="0" borderId="0"/>
    <xf numFmtId="0" fontId="156" fillId="0" borderId="0"/>
    <xf numFmtId="0" fontId="156" fillId="0" borderId="0"/>
    <xf numFmtId="0" fontId="156" fillId="0" borderId="0"/>
    <xf numFmtId="189" fontId="248" fillId="0" borderId="0" applyNumberFormat="0" applyFill="0" applyBorder="0" applyAlignment="0" applyProtection="0">
      <alignment horizontal="left"/>
    </xf>
    <xf numFmtId="0" fontId="23" fillId="27" borderId="0" applyNumberFormat="0" applyFont="0" applyBorder="0" applyAlignment="0" applyProtection="0"/>
    <xf numFmtId="0" fontId="23" fillId="27" borderId="0" applyNumberFormat="0" applyFont="0" applyBorder="0" applyAlignment="0" applyProtection="0"/>
    <xf numFmtId="180" fontId="33" fillId="0" borderId="0"/>
    <xf numFmtId="18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33" fillId="0" borderId="20">
      <alignment horizontal="centerContinuous"/>
    </xf>
    <xf numFmtId="0" fontId="274" fillId="50" borderId="0" applyAlignment="0"/>
    <xf numFmtId="0" fontId="249" fillId="51" borderId="0" applyNumberFormat="0" applyFont="0" applyBorder="0" applyAlignment="0" applyProtection="0"/>
    <xf numFmtId="230" fontId="139" fillId="0" borderId="0" applyFont="0" applyFill="0" applyBorder="0" applyAlignment="0" applyProtection="0"/>
    <xf numFmtId="3" fontId="24" fillId="0" borderId="0"/>
    <xf numFmtId="0" fontId="23" fillId="0" borderId="0"/>
    <xf numFmtId="0" fontId="23" fillId="0" borderId="0"/>
    <xf numFmtId="0" fontId="23" fillId="0" borderId="0" applyNumberFormat="0" applyFill="0" applyBorder="0" applyAlignment="0" applyProtection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3" fontId="175" fillId="0" borderId="0"/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3" fontId="175" fillId="0" borderId="0"/>
    <xf numFmtId="0" fontId="23" fillId="0" borderId="0"/>
    <xf numFmtId="0" fontId="23" fillId="0" borderId="0">
      <alignment vertical="top"/>
    </xf>
    <xf numFmtId="0" fontId="23" fillId="0" borderId="0" applyNumberFormat="0" applyFill="0" applyBorder="0" applyAlignment="0" applyProtection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3" fontId="175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3" fontId="175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86" fillId="48" borderId="46" applyNumberFormat="0" applyAlignment="0" applyProtection="0"/>
    <xf numFmtId="2" fontId="286" fillId="52" borderId="46" applyProtection="0">
      <alignment horizontal="right"/>
    </xf>
    <xf numFmtId="2" fontId="287" fillId="30" borderId="46" applyProtection="0">
      <alignment horizontal="right"/>
    </xf>
    <xf numFmtId="0" fontId="24" fillId="37" borderId="8" applyNumberFormat="0" applyProtection="0">
      <alignment horizontal="center" wrapText="1"/>
    </xf>
    <xf numFmtId="14" fontId="275" fillId="33" borderId="46" applyProtection="0">
      <alignment horizontal="right"/>
    </xf>
    <xf numFmtId="14" fontId="275" fillId="33" borderId="46" applyProtection="0">
      <alignment horizontal="left"/>
    </xf>
    <xf numFmtId="0" fontId="24" fillId="0" borderId="0" applyNumberFormat="0" applyFill="0" applyBorder="0" applyProtection="0">
      <alignment vertical="center"/>
    </xf>
    <xf numFmtId="0" fontId="288" fillId="48" borderId="46" applyNumberFormat="0" applyProtection="0">
      <alignment horizontal="left"/>
    </xf>
    <xf numFmtId="0" fontId="49" fillId="0" borderId="0" applyNumberFormat="0" applyFill="0" applyBorder="0" applyProtection="0">
      <alignment vertical="center"/>
    </xf>
    <xf numFmtId="41" fontId="23" fillId="0" borderId="0" applyFont="0" applyFill="0" applyBorder="0" applyAlignment="0" applyProtection="0"/>
    <xf numFmtId="0" fontId="24" fillId="29" borderId="8" applyNumberFormat="0" applyProtection="0">
      <alignment wrapText="1"/>
    </xf>
    <xf numFmtId="41" fontId="23" fillId="0" borderId="0" applyFont="0" applyFill="0" applyBorder="0" applyAlignment="0" applyProtection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41" fontId="23" fillId="0" borderId="0" applyFont="0" applyFill="0" applyBorder="0" applyAlignment="0" applyProtection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56" fillId="0" borderId="0" applyNumberFormat="0" applyBorder="0" applyAlignment="0"/>
    <xf numFmtId="0" fontId="114" fillId="0" borderId="0" applyNumberFormat="0" applyBorder="0" applyAlignment="0"/>
    <xf numFmtId="2" fontId="275" fillId="48" borderId="46" applyProtection="0"/>
    <xf numFmtId="2" fontId="276" fillId="52" borderId="46" applyProtection="0"/>
    <xf numFmtId="2" fontId="276" fillId="49" borderId="46" applyProtection="0"/>
    <xf numFmtId="2" fontId="276" fillId="33" borderId="46" applyProtection="0"/>
    <xf numFmtId="229" fontId="250" fillId="0" borderId="0" applyFill="0" applyBorder="0" applyAlignment="0" applyProtection="0"/>
    <xf numFmtId="238" fontId="251" fillId="0" borderId="0" applyFill="0" applyBorder="0" applyAlignment="0" applyProtection="0"/>
    <xf numFmtId="0" fontId="157" fillId="0" borderId="0" applyNumberFormat="0" applyFill="0" applyBorder="0" applyProtection="0">
      <alignment horizontal="left" vertical="center"/>
    </xf>
    <xf numFmtId="230" fontId="139" fillId="0" borderId="0" applyFill="0" applyBorder="0" applyAlignment="0" applyProtection="0">
      <protection locked="0"/>
    </xf>
    <xf numFmtId="0" fontId="277" fillId="0" borderId="0" applyAlignment="0"/>
    <xf numFmtId="40" fontId="252" fillId="0" borderId="0" applyBorder="0">
      <alignment horizontal="right"/>
    </xf>
    <xf numFmtId="230" fontId="250" fillId="0" borderId="0" applyFill="0" applyBorder="0" applyAlignment="0" applyProtection="0"/>
    <xf numFmtId="0" fontId="278" fillId="0" borderId="0" applyAlignment="0"/>
    <xf numFmtId="0" fontId="44" fillId="0" borderId="0" applyFill="0" applyBorder="0" applyProtection="0">
      <alignment horizontal="left"/>
    </xf>
    <xf numFmtId="0" fontId="24" fillId="0" borderId="2" applyFill="0" applyBorder="0" applyProtection="0">
      <alignment horizontal="left" vertical="top"/>
    </xf>
    <xf numFmtId="0" fontId="24" fillId="0" borderId="2" applyFill="0" applyBorder="0" applyProtection="0">
      <alignment horizontal="left" vertical="top"/>
    </xf>
    <xf numFmtId="38" fontId="230" fillId="0" borderId="0" applyNumberFormat="0" applyBorder="0">
      <alignment horizontal="left"/>
    </xf>
    <xf numFmtId="0" fontId="218" fillId="0" borderId="0" applyNumberFormat="0" applyFont="0" applyFill="0" applyBorder="0" applyProtection="0">
      <alignment horizontal="left" vertical="top" wrapText="1"/>
    </xf>
    <xf numFmtId="0" fontId="30" fillId="0" borderId="0">
      <alignment vertical="center"/>
    </xf>
    <xf numFmtId="0" fontId="186" fillId="0" borderId="0" applyAlignment="0"/>
    <xf numFmtId="0" fontId="186" fillId="0" borderId="0" applyAlignment="0"/>
    <xf numFmtId="0" fontId="279" fillId="0" borderId="0" applyAlignment="0"/>
    <xf numFmtId="0" fontId="204" fillId="0" borderId="0" applyAlignment="0"/>
    <xf numFmtId="0" fontId="263" fillId="0" borderId="0" applyNumberFormat="0" applyFill="0" applyBorder="0" applyAlignment="0" applyProtection="0"/>
    <xf numFmtId="0" fontId="263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230" fontId="253" fillId="0" borderId="0" applyNumberFormat="0" applyFill="0" applyBorder="0" applyAlignment="0" applyProtection="0"/>
    <xf numFmtId="0" fontId="280" fillId="0" borderId="0" applyAlignment="0"/>
    <xf numFmtId="37" fontId="232" fillId="0" borderId="0" applyNumberFormat="0" applyFill="0" applyBorder="0" applyAlignment="0" applyProtection="0">
      <alignment horizontal="center"/>
    </xf>
    <xf numFmtId="0" fontId="44" fillId="0" borderId="1">
      <alignment horizontal="right" wrapText="1"/>
    </xf>
    <xf numFmtId="0" fontId="44" fillId="0" borderId="1">
      <alignment horizontal="center" wrapText="1"/>
    </xf>
    <xf numFmtId="0" fontId="44" fillId="0" borderId="1">
      <alignment horizontal="right" wrapText="1"/>
    </xf>
    <xf numFmtId="0" fontId="44" fillId="0" borderId="1">
      <alignment horizontal="right" wrapText="1"/>
    </xf>
    <xf numFmtId="0" fontId="44" fillId="0" borderId="1">
      <alignment horizontal="right" wrapText="1"/>
    </xf>
    <xf numFmtId="0" fontId="44" fillId="0" borderId="1">
      <alignment horizontal="right" wrapText="1"/>
    </xf>
    <xf numFmtId="0" fontId="44" fillId="0" borderId="1">
      <alignment horizontal="right" wrapText="1"/>
    </xf>
    <xf numFmtId="0" fontId="44" fillId="0" borderId="1">
      <alignment horizontal="right" wrapText="1"/>
    </xf>
    <xf numFmtId="0" fontId="44" fillId="0" borderId="1">
      <alignment horizontal="right" wrapText="1"/>
    </xf>
    <xf numFmtId="0" fontId="44" fillId="0" borderId="1">
      <alignment horizontal="right" wrapText="1"/>
    </xf>
    <xf numFmtId="37" fontId="232" fillId="0" borderId="0" applyNumberFormat="0" applyFill="0" applyBorder="0" applyAlignment="0" applyProtection="0">
      <alignment horizontal="center"/>
    </xf>
    <xf numFmtId="0" fontId="298" fillId="0" borderId="47" applyNumberFormat="0" applyFill="0" applyAlignment="0" applyProtection="0"/>
    <xf numFmtId="0" fontId="186" fillId="0" borderId="0" applyAlignment="0">
      <alignment wrapText="1"/>
    </xf>
    <xf numFmtId="0" fontId="186" fillId="0" borderId="0" applyAlignment="0">
      <alignment wrapText="1"/>
    </xf>
    <xf numFmtId="0" fontId="78" fillId="0" borderId="22" applyNumberFormat="0" applyFill="0" applyAlignment="0" applyProtection="0"/>
    <xf numFmtId="0" fontId="186" fillId="0" borderId="0" applyAlignment="0">
      <alignment wrapText="1"/>
    </xf>
    <xf numFmtId="0" fontId="186" fillId="0" borderId="0" applyAlignment="0">
      <alignment wrapText="1"/>
    </xf>
    <xf numFmtId="0" fontId="186" fillId="0" borderId="0" applyAlignment="0">
      <alignment wrapText="1"/>
    </xf>
    <xf numFmtId="0" fontId="186" fillId="0" borderId="0" applyAlignment="0">
      <alignment wrapText="1"/>
    </xf>
    <xf numFmtId="0" fontId="186" fillId="0" borderId="0" applyAlignment="0">
      <alignment wrapText="1"/>
    </xf>
    <xf numFmtId="0" fontId="186" fillId="0" borderId="0" applyAlignment="0">
      <alignment wrapText="1"/>
    </xf>
    <xf numFmtId="1" fontId="139" fillId="0" borderId="3" applyNumberFormat="0">
      <alignment horizontal="right"/>
    </xf>
    <xf numFmtId="37" fontId="24" fillId="27" borderId="0" applyNumberFormat="0" applyBorder="0" applyAlignment="0" applyProtection="0"/>
    <xf numFmtId="37" fontId="24" fillId="0" borderId="0"/>
    <xf numFmtId="3" fontId="50" fillId="0" borderId="44" applyProtection="0"/>
    <xf numFmtId="6" fontId="254" fillId="0" borderId="38" applyNumberFormat="0" applyFill="0" applyBorder="0" applyAlignment="0" applyProtection="0">
      <alignment horizontal="right"/>
    </xf>
    <xf numFmtId="224" fontId="155" fillId="23" borderId="2" applyBorder="0">
      <alignment horizontal="right" vertical="center"/>
      <protection locked="0"/>
    </xf>
    <xf numFmtId="0" fontId="255" fillId="0" borderId="0" applyNumberFormat="0"/>
    <xf numFmtId="0" fontId="29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1" fontId="139" fillId="0" borderId="0" applyFont="0" applyFill="0" applyBorder="0" applyAlignment="0" applyProtection="0"/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49" fillId="0" borderId="3">
      <alignment horizontal="center"/>
    </xf>
    <xf numFmtId="40" fontId="212" fillId="0" borderId="0" applyFont="0" applyFill="0" applyBorder="0" applyAlignment="0" applyProtection="0"/>
    <xf numFmtId="0" fontId="23" fillId="0" borderId="0"/>
    <xf numFmtId="0" fontId="285" fillId="0" borderId="0"/>
    <xf numFmtId="0" fontId="256" fillId="0" borderId="0"/>
    <xf numFmtId="0" fontId="23" fillId="0" borderId="0" applyNumberFormat="0" applyFont="0" applyFill="0" applyBorder="0" applyAlignment="0" applyProtection="0"/>
    <xf numFmtId="0" fontId="220" fillId="0" borderId="0"/>
    <xf numFmtId="0" fontId="23" fillId="0" borderId="0" applyNumberFormat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06" fillId="0" borderId="0" applyFont="0" applyFill="0" applyBorder="0" applyAlignment="0" applyProtection="0"/>
    <xf numFmtId="43" fontId="300" fillId="0" borderId="0" applyFont="0" applyFill="0" applyBorder="0" applyAlignment="0" applyProtection="0"/>
    <xf numFmtId="43" fontId="296" fillId="0" borderId="0" applyFont="0" applyFill="0" applyBorder="0" applyAlignment="0" applyProtection="0"/>
    <xf numFmtId="0" fontId="206" fillId="0" borderId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96" fillId="0" borderId="0" applyFont="0" applyFill="0" applyBorder="0" applyAlignment="0" applyProtection="0"/>
    <xf numFmtId="3" fontId="175" fillId="0" borderId="21" applyBorder="0"/>
    <xf numFmtId="1" fontId="131" fillId="17" borderId="2" applyNumberFormat="0" applyBorder="0" applyAlignment="0">
      <alignment horizontal="center" vertical="top" wrapText="1"/>
      <protection hidden="1"/>
    </xf>
    <xf numFmtId="0" fontId="23" fillId="0" borderId="0" applyNumberFormat="0" applyFont="0" applyFill="0" applyBorder="0" applyAlignment="0" applyProtection="0"/>
    <xf numFmtId="9" fontId="207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06" fillId="0" borderId="0"/>
    <xf numFmtId="0" fontId="206" fillId="0" borderId="0"/>
    <xf numFmtId="0" fontId="23" fillId="0" borderId="0"/>
    <xf numFmtId="0" fontId="23" fillId="0" borderId="0"/>
    <xf numFmtId="260" fontId="23" fillId="0" borderId="0" applyFont="0" applyFill="0" applyBorder="0" applyAlignment="0" applyProtection="0"/>
    <xf numFmtId="255" fontId="2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3" fontId="175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3" fontId="175" fillId="0" borderId="0"/>
    <xf numFmtId="0" fontId="23" fillId="0" borderId="0" applyNumberFormat="0" applyFill="0" applyBorder="0" applyAlignment="0" applyProtection="0"/>
    <xf numFmtId="3" fontId="175" fillId="0" borderId="0"/>
    <xf numFmtId="3" fontId="175" fillId="0" borderId="0"/>
    <xf numFmtId="0" fontId="23" fillId="0" borderId="0" applyNumberFormat="0" applyFill="0" applyBorder="0" applyAlignment="0" applyProtection="0"/>
    <xf numFmtId="3" fontId="175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3" fontId="175" fillId="0" borderId="0"/>
    <xf numFmtId="0" fontId="125" fillId="0" borderId="0"/>
    <xf numFmtId="260" fontId="125" fillId="0" borderId="0" applyFont="0" applyFill="0" applyBorder="0" applyAlignment="0" applyProtection="0"/>
    <xf numFmtId="255" fontId="125" fillId="0" borderId="0" applyFont="0" applyFill="0" applyBorder="0" applyAlignment="0" applyProtection="0"/>
    <xf numFmtId="261" fontId="126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259" fontId="125" fillId="0" borderId="0" applyFont="0" applyFill="0" applyBorder="0" applyAlignment="0" applyProtection="0"/>
    <xf numFmtId="262" fontId="125" fillId="0" borderId="0" applyFont="0" applyFill="0" applyBorder="0" applyAlignment="0" applyProtection="0"/>
    <xf numFmtId="0" fontId="301" fillId="0" borderId="0">
      <alignment horizontal="right"/>
    </xf>
    <xf numFmtId="0" fontId="32" fillId="0" borderId="0"/>
    <xf numFmtId="0" fontId="23" fillId="8" borderId="0" applyNumberFormat="0" applyFont="0" applyAlignment="0"/>
    <xf numFmtId="263" fontId="139" fillId="0" borderId="0">
      <alignment horizontal="right"/>
    </xf>
    <xf numFmtId="0" fontId="302" fillId="0" borderId="0"/>
    <xf numFmtId="264" fontId="229" fillId="0" borderId="0">
      <alignment horizontal="right"/>
    </xf>
    <xf numFmtId="0" fontId="23" fillId="0" borderId="0">
      <alignment horizontal="center" wrapText="1"/>
      <protection hidden="1"/>
    </xf>
    <xf numFmtId="0" fontId="136" fillId="0" borderId="0"/>
    <xf numFmtId="0" fontId="136" fillId="0" borderId="0"/>
    <xf numFmtId="0" fontId="136" fillId="0" borderId="0"/>
    <xf numFmtId="0" fontId="136" fillId="0" borderId="0"/>
    <xf numFmtId="0" fontId="136" fillId="0" borderId="0"/>
    <xf numFmtId="0" fontId="136" fillId="0" borderId="0"/>
    <xf numFmtId="0" fontId="136" fillId="0" borderId="0"/>
    <xf numFmtId="0" fontId="136" fillId="0" borderId="0"/>
    <xf numFmtId="3" fontId="23" fillId="0" borderId="0" applyFont="0" applyFill="0" applyBorder="0" applyAlignment="0" applyProtection="0"/>
    <xf numFmtId="0" fontId="102" fillId="23" borderId="0" applyNumberFormat="0" applyFill="0" applyBorder="0" applyAlignment="0"/>
    <xf numFmtId="0" fontId="303" fillId="59" borderId="0">
      <alignment horizontal="center" vertical="center" wrapText="1"/>
    </xf>
    <xf numFmtId="265" fontId="23" fillId="0" borderId="0" applyFill="0" applyBorder="0">
      <alignment horizontal="right"/>
      <protection locked="0"/>
    </xf>
    <xf numFmtId="215" fontId="304" fillId="0" borderId="0"/>
    <xf numFmtId="215" fontId="304" fillId="0" borderId="0"/>
    <xf numFmtId="8" fontId="29" fillId="0" borderId="0" applyFont="0" applyFill="0" applyBorder="0" applyAlignment="0" applyProtection="0"/>
    <xf numFmtId="188" fontId="305" fillId="0" borderId="0" applyFont="0" applyFill="0" applyBorder="0" applyAlignment="0" applyProtection="0"/>
    <xf numFmtId="266" fontId="23" fillId="0" borderId="0" applyFont="0" applyFill="0" applyBorder="0" applyAlignment="0" applyProtection="0"/>
    <xf numFmtId="0" fontId="29" fillId="0" borderId="0" applyFont="0" applyFill="0" applyBorder="0" applyAlignment="0">
      <protection locked="0"/>
    </xf>
    <xf numFmtId="44" fontId="23" fillId="0" borderId="0" applyFont="0" applyFill="0" applyBorder="0" applyAlignment="0" applyProtection="0"/>
    <xf numFmtId="38" fontId="204" fillId="24" borderId="53">
      <protection locked="0"/>
    </xf>
    <xf numFmtId="37" fontId="48" fillId="0" borderId="54" applyAlignment="0">
      <protection locked="0"/>
    </xf>
    <xf numFmtId="10" fontId="48" fillId="0" borderId="54" applyAlignment="0">
      <protection locked="0"/>
    </xf>
    <xf numFmtId="37" fontId="48" fillId="0" borderId="54" applyAlignment="0">
      <protection locked="0"/>
    </xf>
    <xf numFmtId="183" fontId="229" fillId="0" borderId="0"/>
    <xf numFmtId="2" fontId="186" fillId="25" borderId="0">
      <alignment horizontal="left"/>
      <protection hidden="1"/>
    </xf>
    <xf numFmtId="223" fontId="139" fillId="0" borderId="0"/>
    <xf numFmtId="2" fontId="229" fillId="0" borderId="0"/>
    <xf numFmtId="254" fontId="139" fillId="0" borderId="0"/>
    <xf numFmtId="251" fontId="229" fillId="0" borderId="0"/>
    <xf numFmtId="252" fontId="306" fillId="0" borderId="0" applyBorder="0" applyAlignment="0"/>
    <xf numFmtId="230" fontId="307" fillId="26" borderId="0" applyNumberFormat="0" applyBorder="0" applyAlignment="0">
      <protection locked="0"/>
    </xf>
    <xf numFmtId="10" fontId="308" fillId="0" borderId="0">
      <protection locked="0"/>
    </xf>
    <xf numFmtId="15" fontId="308" fillId="0" borderId="0">
      <protection locked="0"/>
    </xf>
    <xf numFmtId="2" fontId="308" fillId="0" borderId="31">
      <protection locked="0"/>
    </xf>
    <xf numFmtId="37" fontId="49" fillId="8" borderId="0"/>
    <xf numFmtId="37" fontId="46" fillId="8" borderId="0"/>
    <xf numFmtId="0" fontId="308" fillId="0" borderId="0">
      <protection locked="0"/>
    </xf>
    <xf numFmtId="198" fontId="23" fillId="0" borderId="0" applyFill="0" applyBorder="0">
      <alignment horizontal="right"/>
      <protection locked="0"/>
    </xf>
    <xf numFmtId="0" fontId="19" fillId="34" borderId="52">
      <alignment horizontal="left" vertical="center" wrapText="1"/>
    </xf>
    <xf numFmtId="4" fontId="229" fillId="0" borderId="0"/>
    <xf numFmtId="267" fontId="139" fillId="0" borderId="0"/>
    <xf numFmtId="0" fontId="29" fillId="0" borderId="0"/>
    <xf numFmtId="0" fontId="23" fillId="0" borderId="0" applyNumberFormat="0" applyFill="0" applyBorder="0" applyAlignment="0" applyProtection="0"/>
    <xf numFmtId="0" fontId="29" fillId="0" borderId="0"/>
    <xf numFmtId="0" fontId="206" fillId="0" borderId="0"/>
    <xf numFmtId="0" fontId="206" fillId="0" borderId="0"/>
    <xf numFmtId="230" fontId="49" fillId="0" borderId="0" applyNumberFormat="0" applyFill="0" applyBorder="0" applyAlignment="0" applyProtection="0"/>
    <xf numFmtId="0" fontId="309" fillId="0" borderId="31"/>
    <xf numFmtId="38" fontId="310" fillId="0" borderId="0"/>
    <xf numFmtId="3" fontId="175" fillId="0" borderId="21" applyBorder="0"/>
    <xf numFmtId="230" fontId="44" fillId="0" borderId="0" applyFont="0" applyBorder="0">
      <alignment horizontal="right"/>
    </xf>
    <xf numFmtId="1" fontId="44" fillId="0" borderId="0">
      <alignment horizontal="right"/>
    </xf>
    <xf numFmtId="37" fontId="48" fillId="0" borderId="54">
      <protection locked="0"/>
    </xf>
    <xf numFmtId="10" fontId="310" fillId="0" borderId="0"/>
    <xf numFmtId="9" fontId="29" fillId="0" borderId="0" applyFont="0" applyFill="0" applyBorder="0" applyAlignment="0" applyProtection="0"/>
    <xf numFmtId="268" fontId="139" fillId="0" borderId="0">
      <alignment horizontal="right"/>
    </xf>
    <xf numFmtId="10" fontId="305" fillId="0" borderId="0" applyFont="0" applyFill="0" applyBorder="0" applyAlignment="0" applyProtection="0"/>
    <xf numFmtId="230" fontId="311" fillId="0" borderId="0">
      <alignment horizontal="right"/>
    </xf>
    <xf numFmtId="269" fontId="23" fillId="0" borderId="0" applyFill="0" applyBorder="0">
      <alignment horizontal="right"/>
      <protection locked="0"/>
    </xf>
    <xf numFmtId="37" fontId="48" fillId="0" borderId="0">
      <protection locked="0"/>
    </xf>
    <xf numFmtId="240" fontId="126" fillId="0" borderId="0" applyFill="0" applyBorder="0">
      <alignment horizontal="right"/>
      <protection locked="0"/>
    </xf>
    <xf numFmtId="2" fontId="310" fillId="0" borderId="0"/>
    <xf numFmtId="270" fontId="23" fillId="0" borderId="0">
      <alignment horizontal="right"/>
      <protection locked="0"/>
    </xf>
    <xf numFmtId="37" fontId="29" fillId="0" borderId="0" applyFont="0" applyFill="0" applyBorder="0" applyAlignment="0" applyProtection="0"/>
    <xf numFmtId="0" fontId="306" fillId="0" borderId="0" applyNumberFormat="0" applyFill="0" applyBorder="0" applyAlignment="0" applyProtection="0"/>
    <xf numFmtId="271" fontId="312" fillId="0" borderId="0" applyFill="0" applyBorder="0">
      <alignment horizontal="right"/>
      <protection hidden="1"/>
    </xf>
    <xf numFmtId="0" fontId="46" fillId="59" borderId="8">
      <alignment horizontal="center" vertical="center" wrapText="1"/>
      <protection hidden="1"/>
    </xf>
    <xf numFmtId="0" fontId="43" fillId="30" borderId="0">
      <alignment horizontal="right"/>
    </xf>
    <xf numFmtId="183" fontId="139" fillId="0" borderId="0"/>
    <xf numFmtId="272" fontId="126" fillId="0" borderId="0">
      <protection locked="0"/>
    </xf>
    <xf numFmtId="0" fontId="56" fillId="0" borderId="2" applyBorder="0">
      <alignment horizontal="center"/>
    </xf>
    <xf numFmtId="38" fontId="23" fillId="0" borderId="0" applyNumberFormat="0" applyBorder="0">
      <alignment horizontal="left"/>
    </xf>
    <xf numFmtId="0" fontId="310" fillId="0" borderId="0"/>
    <xf numFmtId="0" fontId="47" fillId="60" borderId="0" applyNumberFormat="0" applyBorder="0">
      <alignment horizontal="centerContinuous"/>
    </xf>
    <xf numFmtId="0" fontId="23" fillId="0" borderId="0" applyBorder="0"/>
    <xf numFmtId="38" fontId="23" fillId="0" borderId="0">
      <alignment horizontal="right"/>
    </xf>
    <xf numFmtId="230" fontId="24" fillId="26" borderId="53">
      <alignment horizontal="right"/>
    </xf>
    <xf numFmtId="230" fontId="49" fillId="26" borderId="53"/>
    <xf numFmtId="1" fontId="313" fillId="0" borderId="0" applyFont="0">
      <alignment horizontal="right"/>
    </xf>
    <xf numFmtId="0" fontId="282" fillId="0" borderId="0"/>
    <xf numFmtId="260" fontId="282" fillId="0" borderId="0" applyFont="0" applyFill="0" applyBorder="0" applyAlignment="0" applyProtection="0"/>
    <xf numFmtId="255" fontId="282" fillId="0" borderId="0" applyFont="0" applyFill="0" applyBorder="0" applyAlignment="0" applyProtection="0"/>
    <xf numFmtId="9" fontId="175" fillId="0" borderId="0" applyFont="0" applyFill="0" applyBorder="0" applyProtection="0">
      <alignment horizontal="right"/>
    </xf>
    <xf numFmtId="259" fontId="282" fillId="0" borderId="0" applyFont="0" applyFill="0" applyBorder="0" applyAlignment="0" applyProtection="0"/>
    <xf numFmtId="262" fontId="282" fillId="0" borderId="0" applyFont="0" applyFill="0" applyBorder="0" applyAlignment="0" applyProtection="0"/>
    <xf numFmtId="0" fontId="176" fillId="0" borderId="0" applyNumberFormat="0" applyFill="0" applyBorder="0" applyAlignment="0" applyProtection="0">
      <alignment vertical="top"/>
      <protection locked="0"/>
    </xf>
    <xf numFmtId="0" fontId="24" fillId="0" borderId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34" fontId="23" fillId="23" borderId="26">
      <alignment horizontal="right"/>
    </xf>
    <xf numFmtId="43" fontId="206" fillId="0" borderId="0" applyFont="0" applyFill="0" applyBorder="0" applyAlignment="0" applyProtection="0"/>
    <xf numFmtId="188" fontId="23" fillId="23" borderId="26">
      <alignment horizontal="right"/>
    </xf>
    <xf numFmtId="43" fontId="206" fillId="0" borderId="0" applyFont="0" applyFill="0" applyBorder="0" applyAlignment="0" applyProtection="0"/>
    <xf numFmtId="0" fontId="144" fillId="0" borderId="0"/>
    <xf numFmtId="43" fontId="206" fillId="0" borderId="0" applyFont="0" applyFill="0" applyBorder="0" applyAlignment="0" applyProtection="0"/>
    <xf numFmtId="0" fontId="206" fillId="0" borderId="0"/>
    <xf numFmtId="43" fontId="24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0" fontId="23" fillId="0" borderId="0"/>
    <xf numFmtId="0" fontId="206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156" fillId="0" borderId="0"/>
    <xf numFmtId="0" fontId="24" fillId="0" borderId="0"/>
    <xf numFmtId="0" fontId="24" fillId="0" borderId="0"/>
    <xf numFmtId="0" fontId="23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228" fontId="189" fillId="0" borderId="0"/>
    <xf numFmtId="0" fontId="63" fillId="3" borderId="0" applyNumberFormat="0" applyBorder="0" applyAlignment="0" applyProtection="0"/>
    <xf numFmtId="0" fontId="63" fillId="6" borderId="0" applyNumberFormat="0" applyBorder="0" applyAlignment="0" applyProtection="0"/>
    <xf numFmtId="0" fontId="63" fillId="6" borderId="0" applyNumberFormat="0" applyBorder="0" applyAlignment="0" applyProtection="0"/>
    <xf numFmtId="0" fontId="63" fillId="7" borderId="0" applyNumberFormat="0" applyBorder="0" applyAlignment="0" applyProtection="0"/>
    <xf numFmtId="0" fontId="63" fillId="9" borderId="0" applyNumberFormat="0" applyBorder="0" applyAlignment="0" applyProtection="0"/>
    <xf numFmtId="0" fontId="63" fillId="7" borderId="0" applyNumberFormat="0" applyBorder="0" applyAlignment="0" applyProtection="0"/>
    <xf numFmtId="0" fontId="63" fillId="6" borderId="0" applyNumberFormat="0" applyBorder="0" applyAlignment="0" applyProtection="0"/>
    <xf numFmtId="0" fontId="64" fillId="7" borderId="0" applyNumberFormat="0" applyBorder="0" applyAlignment="0" applyProtection="0"/>
    <xf numFmtId="0" fontId="64" fillId="11" borderId="0" applyNumberFormat="0" applyBorder="0" applyAlignment="0" applyProtection="0"/>
    <xf numFmtId="0" fontId="64" fillId="12" borderId="0" applyNumberFormat="0" applyBorder="0" applyAlignment="0" applyProtection="0"/>
    <xf numFmtId="0" fontId="64" fillId="9" borderId="0" applyNumberFormat="0" applyBorder="0" applyAlignment="0" applyProtection="0"/>
    <xf numFmtId="0" fontId="64" fillId="7" borderId="0" applyNumberFormat="0" applyBorder="0" applyAlignment="0" applyProtection="0"/>
    <xf numFmtId="0" fontId="64" fillId="4" borderId="0" applyNumberFormat="0" applyBorder="0" applyAlignment="0" applyProtection="0"/>
    <xf numFmtId="0" fontId="64" fillId="13" borderId="0" applyNumberFormat="0" applyBorder="0" applyAlignment="0" applyProtection="0"/>
    <xf numFmtId="0" fontId="64" fillId="11" borderId="0" applyNumberFormat="0" applyBorder="0" applyAlignment="0" applyProtection="0"/>
    <xf numFmtId="0" fontId="64" fillId="12" borderId="0" applyNumberFormat="0" applyBorder="0" applyAlignment="0" applyProtection="0"/>
    <xf numFmtId="0" fontId="64" fillId="15" borderId="0" applyNumberFormat="0" applyBorder="0" applyAlignment="0" applyProtection="0"/>
    <xf numFmtId="0" fontId="65" fillId="16" borderId="0" applyNumberFormat="0" applyBorder="0" applyAlignment="0" applyProtection="0"/>
    <xf numFmtId="0" fontId="172" fillId="18" borderId="4" applyNumberFormat="0" applyAlignment="0" applyProtection="0"/>
    <xf numFmtId="43" fontId="20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56" fillId="0" borderId="2" applyBorder="0">
      <alignment horizontal="center"/>
    </xf>
    <xf numFmtId="0" fontId="69" fillId="7" borderId="0" applyNumberFormat="0" applyBorder="0" applyAlignment="0" applyProtection="0"/>
    <xf numFmtId="0" fontId="70" fillId="0" borderId="11" applyNumberFormat="0" applyFill="0" applyAlignment="0" applyProtection="0"/>
    <xf numFmtId="0" fontId="71" fillId="0" borderId="13" applyNumberFormat="0" applyFill="0" applyAlignment="0" applyProtection="0"/>
    <xf numFmtId="0" fontId="72" fillId="0" borderId="15" applyNumberFormat="0" applyFill="0" applyAlignment="0" applyProtection="0"/>
    <xf numFmtId="0" fontId="176" fillId="0" borderId="0" applyNumberFormat="0" applyFill="0" applyBorder="0" applyAlignment="0" applyProtection="0">
      <alignment vertical="top"/>
      <protection locked="0"/>
    </xf>
    <xf numFmtId="0" fontId="314" fillId="0" borderId="0" applyNumberFormat="0" applyFill="0" applyBorder="0" applyAlignment="0" applyProtection="0"/>
    <xf numFmtId="0" fontId="79" fillId="0" borderId="17" applyNumberFormat="0" applyFill="0" applyAlignment="0" applyProtection="0"/>
    <xf numFmtId="0" fontId="173" fillId="5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 applyNumberFormat="0" applyFont="0" applyFill="0" applyBorder="0" applyAlignment="0" applyProtection="0"/>
    <xf numFmtId="0" fontId="207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7" fillId="0" borderId="0"/>
    <xf numFmtId="0" fontId="23" fillId="0" borderId="0"/>
    <xf numFmtId="3" fontId="175" fillId="0" borderId="0" applyBorder="0"/>
    <xf numFmtId="0" fontId="24" fillId="0" borderId="2" applyFill="0" applyBorder="0" applyProtection="0">
      <alignment horizontal="left" vertical="top"/>
    </xf>
    <xf numFmtId="9" fontId="20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18" fillId="0" borderId="2" applyNumberFormat="0" applyFont="0" applyFill="0" applyAlignment="0" applyProtection="0"/>
    <xf numFmtId="9" fontId="23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224" fontId="155" fillId="23" borderId="2" applyBorder="0">
      <alignment horizontal="right" vertical="center"/>
      <protection locked="0"/>
    </xf>
    <xf numFmtId="9" fontId="23" fillId="0" borderId="0" applyFont="0" applyFill="0" applyBorder="0" applyAlignment="0" applyProtection="0"/>
    <xf numFmtId="0" fontId="45" fillId="0" borderId="0"/>
    <xf numFmtId="0" fontId="45" fillId="0" borderId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78" fillId="0" borderId="23" applyNumberFormat="0" applyFill="0" applyAlignment="0" applyProtection="0"/>
    <xf numFmtId="0" fontId="23" fillId="0" borderId="0"/>
    <xf numFmtId="0" fontId="23" fillId="27" borderId="0" applyNumberFormat="0" applyFont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1" fontId="23" fillId="0" borderId="0">
      <alignment horizontal="center"/>
    </xf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64" fillId="0" borderId="0"/>
    <xf numFmtId="0" fontId="23" fillId="0" borderId="0"/>
    <xf numFmtId="0" fontId="23" fillId="0" borderId="0"/>
    <xf numFmtId="0" fontId="29" fillId="0" borderId="0"/>
    <xf numFmtId="0" fontId="63" fillId="47" borderId="0" applyNumberFormat="0" applyBorder="0" applyAlignment="0" applyProtection="0"/>
    <xf numFmtId="0" fontId="63" fillId="9" borderId="0" applyNumberFormat="0" applyBorder="0" applyAlignment="0" applyProtection="0"/>
    <xf numFmtId="0" fontId="63" fillId="22" borderId="0" applyNumberFormat="0" applyBorder="0" applyAlignment="0" applyProtection="0"/>
    <xf numFmtId="0" fontId="63" fillId="16" borderId="0" applyNumberFormat="0" applyBorder="0" applyAlignment="0" applyProtection="0"/>
    <xf numFmtId="0" fontId="63" fillId="2" borderId="0" applyNumberFormat="0" applyBorder="0" applyAlignment="0" applyProtection="0"/>
    <xf numFmtId="0" fontId="63" fillId="3" borderId="0" applyNumberFormat="0" applyBorder="0" applyAlignment="0" applyProtection="0"/>
    <xf numFmtId="0" fontId="63" fillId="61" borderId="0" applyNumberFormat="0" applyBorder="0" applyAlignment="0" applyProtection="0"/>
    <xf numFmtId="0" fontId="63" fillId="16" borderId="0" applyNumberFormat="0" applyBorder="0" applyAlignment="0" applyProtection="0"/>
    <xf numFmtId="0" fontId="63" fillId="12" borderId="0" applyNumberFormat="0" applyBorder="0" applyAlignment="0" applyProtection="0"/>
    <xf numFmtId="0" fontId="64" fillId="62" borderId="0" applyNumberFormat="0" applyBorder="0" applyAlignment="0" applyProtection="0"/>
    <xf numFmtId="0" fontId="64" fillId="61" borderId="0" applyNumberFormat="0" applyBorder="0" applyAlignment="0" applyProtection="0"/>
    <xf numFmtId="0" fontId="64" fillId="63" borderId="0" applyNumberFormat="0" applyBorder="0" applyAlignment="0" applyProtection="0"/>
    <xf numFmtId="0" fontId="64" fillId="64" borderId="0" applyNumberFormat="0" applyBorder="0" applyAlignment="0" applyProtection="0"/>
    <xf numFmtId="0" fontId="64" fillId="65" borderId="0" applyNumberFormat="0" applyBorder="0" applyAlignment="0" applyProtection="0"/>
    <xf numFmtId="0" fontId="64" fillId="15" borderId="0" applyNumberFormat="0" applyBorder="0" applyAlignment="0" applyProtection="0"/>
    <xf numFmtId="0" fontId="64" fillId="66" borderId="0" applyNumberFormat="0" applyBorder="0" applyAlignment="0" applyProtection="0"/>
    <xf numFmtId="0" fontId="64" fillId="63" borderId="0" applyNumberFormat="0" applyBorder="0" applyAlignment="0" applyProtection="0"/>
    <xf numFmtId="0" fontId="64" fillId="11" borderId="0" applyNumberFormat="0" applyBorder="0" applyAlignment="0" applyProtection="0"/>
    <xf numFmtId="0" fontId="23" fillId="0" borderId="8"/>
    <xf numFmtId="0" fontId="66" fillId="8" borderId="4" applyNumberFormat="0" applyAlignment="0" applyProtection="0"/>
    <xf numFmtId="41" fontId="23" fillId="0" borderId="0" applyFont="0" applyFill="0" applyBorder="0" applyAlignment="0" applyProtection="0"/>
    <xf numFmtId="10" fontId="23" fillId="0" borderId="8"/>
    <xf numFmtId="1" fontId="23" fillId="0" borderId="8"/>
    <xf numFmtId="0" fontId="315" fillId="0" borderId="8" applyFill="0" applyAlignment="0" applyProtection="0">
      <alignment vertical="center"/>
    </xf>
    <xf numFmtId="273" fontId="56" fillId="67" borderId="0" applyNumberFormat="0" applyBorder="0">
      <alignment vertical="top"/>
      <protection locked="0"/>
    </xf>
    <xf numFmtId="4" fontId="316" fillId="0" borderId="0" applyFont="0" applyFill="0" applyBorder="0" applyAlignment="0" applyProtection="0"/>
    <xf numFmtId="0" fontId="49" fillId="0" borderId="0"/>
    <xf numFmtId="0" fontId="19" fillId="0" borderId="8">
      <alignment horizontal="center"/>
    </xf>
    <xf numFmtId="0" fontId="317" fillId="0" borderId="55" applyNumberFormat="0" applyFill="0" applyAlignment="0" applyProtection="0"/>
    <xf numFmtId="0" fontId="318" fillId="0" borderId="12" applyNumberFormat="0" applyFill="0" applyAlignment="0" applyProtection="0"/>
    <xf numFmtId="0" fontId="319" fillId="0" borderId="56" applyNumberFormat="0" applyFill="0" applyAlignment="0" applyProtection="0"/>
    <xf numFmtId="0" fontId="319" fillId="0" borderId="0" applyNumberForma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73" fillId="2" borderId="4" applyNumberFormat="0" applyAlignment="0" applyProtection="0"/>
    <xf numFmtId="0" fontId="73" fillId="2" borderId="4" applyNumberFormat="0" applyAlignment="0" applyProtection="0"/>
    <xf numFmtId="0" fontId="73" fillId="2" borderId="4" applyNumberFormat="0" applyAlignment="0" applyProtection="0"/>
    <xf numFmtId="0" fontId="73" fillId="2" borderId="4" applyNumberFormat="0" applyAlignment="0" applyProtection="0"/>
    <xf numFmtId="0" fontId="73" fillId="2" borderId="4" applyNumberFormat="0" applyAlignment="0" applyProtection="0"/>
    <xf numFmtId="0" fontId="73" fillId="2" borderId="4" applyNumberFormat="0" applyAlignment="0" applyProtection="0"/>
    <xf numFmtId="273" fontId="56" fillId="68" borderId="0" applyNumberFormat="0" applyBorder="0">
      <alignment horizontal="right"/>
      <protection locked="0"/>
    </xf>
    <xf numFmtId="273" fontId="320" fillId="68" borderId="0" applyNumberFormat="0" applyBorder="0">
      <alignment horizontal="right"/>
      <protection locked="0"/>
    </xf>
    <xf numFmtId="0" fontId="23" fillId="0" borderId="0"/>
    <xf numFmtId="0" fontId="206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5" fillId="0" borderId="0"/>
    <xf numFmtId="0" fontId="23" fillId="6" borderId="18" applyNumberFormat="0" applyFont="0" applyAlignment="0" applyProtection="0"/>
    <xf numFmtId="0" fontId="76" fillId="8" borderId="19" applyNumberFormat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>
      <alignment vertical="top"/>
    </xf>
    <xf numFmtId="0" fontId="321" fillId="0" borderId="0" applyNumberFormat="0" applyFill="0" applyBorder="0" applyAlignment="0" applyProtection="0"/>
    <xf numFmtId="273" fontId="203" fillId="69" borderId="0" applyNumberFormat="0" applyBorder="0">
      <alignment horizontal="left"/>
      <protection locked="0"/>
    </xf>
    <xf numFmtId="273" fontId="56" fillId="68" borderId="0" applyNumberFormat="0" applyBorder="0">
      <alignment horizontal="center"/>
      <protection locked="0"/>
    </xf>
    <xf numFmtId="273" fontId="205" fillId="67" borderId="0" applyNumberFormat="0" applyBorder="0">
      <alignment horizontal="center"/>
      <protection locked="0"/>
    </xf>
    <xf numFmtId="273" fontId="205" fillId="68" borderId="0" applyNumberFormat="0" applyBorder="0">
      <alignment horizontal="center"/>
      <protection locked="0"/>
    </xf>
    <xf numFmtId="273" fontId="203" fillId="69" borderId="0" applyNumberFormat="0" applyBorder="0">
      <protection locked="0"/>
    </xf>
    <xf numFmtId="273" fontId="114" fillId="70" borderId="0" applyNumberFormat="0" applyBorder="0">
      <alignment horizontal="left"/>
      <protection locked="0"/>
    </xf>
    <xf numFmtId="273" fontId="322" fillId="67" borderId="0" applyNumberFormat="0" applyBorder="0">
      <protection locked="0"/>
    </xf>
    <xf numFmtId="273" fontId="114" fillId="71" borderId="0" applyNumberFormat="0" applyBorder="0">
      <alignment horizontal="right"/>
      <protection locked="0"/>
    </xf>
    <xf numFmtId="273" fontId="114" fillId="72" borderId="0" applyNumberFormat="0" applyBorder="0">
      <alignment vertical="top"/>
      <protection locked="0"/>
    </xf>
    <xf numFmtId="273" fontId="114" fillId="68" borderId="0" applyNumberFormat="0" applyBorder="0">
      <protection locked="0"/>
    </xf>
    <xf numFmtId="273" fontId="323" fillId="70" borderId="0" applyNumberFormat="0" applyBorder="0">
      <protection locked="0"/>
    </xf>
    <xf numFmtId="273" fontId="114" fillId="73" borderId="0" applyNumberFormat="0" applyBorder="0">
      <protection locked="0"/>
    </xf>
    <xf numFmtId="273" fontId="324" fillId="74" borderId="0" applyNumberFormat="0" applyBorder="0">
      <protection locked="0"/>
    </xf>
    <xf numFmtId="0" fontId="23" fillId="0" borderId="0" applyNumberFormat="0" applyFont="0" applyFill="0" applyBorder="0" applyAlignment="0" applyProtection="0"/>
    <xf numFmtId="274" fontId="316" fillId="0" borderId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4" fillId="0" borderId="0" applyNumberFormat="0" applyBorder="0" applyAlignment="0" applyProtection="0"/>
    <xf numFmtId="0" fontId="325" fillId="0" borderId="0" applyNumberFormat="0" applyFill="0" applyBorder="0" applyAlignment="0" applyProtection="0"/>
    <xf numFmtId="0" fontId="326" fillId="0" borderId="57" applyNumberFormat="0" applyFill="0" applyAlignment="0" applyProtection="0"/>
    <xf numFmtId="0" fontId="327" fillId="0" borderId="58" applyNumberFormat="0" applyFill="0" applyAlignment="0" applyProtection="0"/>
    <xf numFmtId="0" fontId="328" fillId="0" borderId="59" applyNumberFormat="0" applyFill="0" applyAlignment="0" applyProtection="0"/>
    <xf numFmtId="0" fontId="328" fillId="0" borderId="0" applyNumberFormat="0" applyFill="0" applyBorder="0" applyAlignment="0" applyProtection="0"/>
    <xf numFmtId="0" fontId="329" fillId="75" borderId="0" applyNumberFormat="0" applyBorder="0" applyAlignment="0" applyProtection="0"/>
    <xf numFmtId="0" fontId="330" fillId="76" borderId="0" applyNumberFormat="0" applyBorder="0" applyAlignment="0" applyProtection="0"/>
    <xf numFmtId="0" fontId="331" fillId="58" borderId="0" applyNumberFormat="0" applyBorder="0" applyAlignment="0" applyProtection="0"/>
    <xf numFmtId="0" fontId="332" fillId="57" borderId="48" applyNumberFormat="0" applyAlignment="0" applyProtection="0"/>
    <xf numFmtId="0" fontId="297" fillId="77" borderId="51" applyNumberFormat="0" applyAlignment="0" applyProtection="0"/>
    <xf numFmtId="0" fontId="333" fillId="77" borderId="48" applyNumberFormat="0" applyAlignment="0" applyProtection="0"/>
    <xf numFmtId="0" fontId="334" fillId="0" borderId="60" applyNumberFormat="0" applyFill="0" applyAlignment="0" applyProtection="0"/>
    <xf numFmtId="0" fontId="298" fillId="0" borderId="61" applyNumberFormat="0" applyFill="0" applyAlignment="0" applyProtection="0"/>
    <xf numFmtId="0" fontId="289" fillId="79" borderId="0" applyNumberFormat="0" applyBorder="0" applyAlignment="0" applyProtection="0"/>
    <xf numFmtId="0" fontId="206" fillId="80" borderId="0" applyNumberFormat="0" applyBorder="0" applyAlignment="0" applyProtection="0"/>
    <xf numFmtId="0" fontId="206" fillId="81" borderId="0" applyNumberFormat="0" applyBorder="0" applyAlignment="0" applyProtection="0"/>
    <xf numFmtId="0" fontId="289" fillId="82" borderId="0" applyNumberFormat="0" applyBorder="0" applyAlignment="0" applyProtection="0"/>
    <xf numFmtId="0" fontId="289" fillId="83" borderId="0" applyNumberFormat="0" applyBorder="0" applyAlignment="0" applyProtection="0"/>
    <xf numFmtId="0" fontId="206" fillId="84" borderId="0" applyNumberFormat="0" applyBorder="0" applyAlignment="0" applyProtection="0"/>
    <xf numFmtId="0" fontId="206" fillId="85" borderId="0" applyNumberFormat="0" applyBorder="0" applyAlignment="0" applyProtection="0"/>
    <xf numFmtId="0" fontId="289" fillId="86" borderId="0" applyNumberFormat="0" applyBorder="0" applyAlignment="0" applyProtection="0"/>
    <xf numFmtId="0" fontId="289" fillId="87" borderId="0" applyNumberFormat="0" applyBorder="0" applyAlignment="0" applyProtection="0"/>
    <xf numFmtId="0" fontId="206" fillId="88" borderId="0" applyNumberFormat="0" applyBorder="0" applyAlignment="0" applyProtection="0"/>
    <xf numFmtId="0" fontId="289" fillId="89" borderId="0" applyNumberFormat="0" applyBorder="0" applyAlignment="0" applyProtection="0"/>
    <xf numFmtId="0" fontId="289" fillId="90" borderId="0" applyNumberFormat="0" applyBorder="0" applyAlignment="0" applyProtection="0"/>
    <xf numFmtId="0" fontId="206" fillId="91" borderId="0" applyNumberFormat="0" applyBorder="0" applyAlignment="0" applyProtection="0"/>
    <xf numFmtId="0" fontId="206" fillId="92" borderId="0" applyNumberFormat="0" applyBorder="0" applyAlignment="0" applyProtection="0"/>
    <xf numFmtId="0" fontId="289" fillId="93" borderId="0" applyNumberFormat="0" applyBorder="0" applyAlignment="0" applyProtection="0"/>
    <xf numFmtId="0" fontId="289" fillId="94" borderId="0" applyNumberFormat="0" applyBorder="0" applyAlignment="0" applyProtection="0"/>
    <xf numFmtId="0" fontId="206" fillId="95" borderId="0" applyNumberFormat="0" applyBorder="0" applyAlignment="0" applyProtection="0"/>
    <xf numFmtId="0" fontId="206" fillId="96" borderId="0" applyNumberFormat="0" applyBorder="0" applyAlignment="0" applyProtection="0"/>
    <xf numFmtId="0" fontId="289" fillId="97" borderId="0" applyNumberFormat="0" applyBorder="0" applyAlignment="0" applyProtection="0"/>
    <xf numFmtId="0" fontId="206" fillId="98" borderId="0" applyNumberFormat="0" applyBorder="0" applyAlignment="0" applyProtection="0"/>
    <xf numFmtId="0" fontId="289" fillId="99" borderId="0" applyNumberFormat="0" applyBorder="0" applyAlignment="0" applyProtection="0"/>
    <xf numFmtId="0" fontId="23" fillId="0" borderId="0" applyNumberFormat="0" applyFont="0" applyFill="0" applyBorder="0" applyAlignment="0" applyProtection="0"/>
    <xf numFmtId="3" fontId="175" fillId="0" borderId="0"/>
    <xf numFmtId="10" fontId="218" fillId="0" borderId="0" applyFont="0" applyFill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2" borderId="0" applyNumberFormat="0" applyBorder="0" applyAlignment="0" applyProtection="0"/>
    <xf numFmtId="0" fontId="289" fillId="3" borderId="0" applyNumberFormat="0" applyBorder="0" applyAlignment="0" applyProtection="0"/>
    <xf numFmtId="0" fontId="289" fillId="4" borderId="0" applyNumberFormat="0" applyBorder="0" applyAlignment="0" applyProtection="0"/>
    <xf numFmtId="0" fontId="289" fillId="8" borderId="0" applyNumberFormat="0" applyBorder="0" applyAlignment="0" applyProtection="0"/>
    <xf numFmtId="0" fontId="289" fillId="2" borderId="0" applyNumberFormat="0" applyBorder="0" applyAlignment="0" applyProtection="0"/>
    <xf numFmtId="0" fontId="289" fillId="21" borderId="0" applyNumberFormat="0" applyBorder="0" applyAlignment="0" applyProtection="0"/>
    <xf numFmtId="0" fontId="289" fillId="44" borderId="0" applyNumberFormat="0" applyBorder="0" applyAlignment="0" applyProtection="0"/>
    <xf numFmtId="0" fontId="289" fillId="45" borderId="0" applyNumberFormat="0" applyBorder="0" applyAlignment="0" applyProtection="0"/>
    <xf numFmtId="0" fontId="289" fillId="46" borderId="0" applyNumberFormat="0" applyBorder="0" applyAlignment="0" applyProtection="0"/>
    <xf numFmtId="0" fontId="289" fillId="55" borderId="0" applyNumberFormat="0" applyBorder="0" applyAlignment="0" applyProtection="0"/>
    <xf numFmtId="0" fontId="290" fillId="18" borderId="48" applyNumberFormat="0" applyAlignment="0" applyProtection="0"/>
    <xf numFmtId="0" fontId="332" fillId="57" borderId="48" applyNumberFormat="0" applyAlignment="0" applyProtection="0"/>
    <xf numFmtId="43" fontId="63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59" fillId="0" borderId="41" applyNumberFormat="0" applyFill="0" applyAlignment="0" applyProtection="0"/>
    <xf numFmtId="0" fontId="260" fillId="0" borderId="42" applyNumberFormat="0" applyFill="0" applyAlignment="0" applyProtection="0"/>
    <xf numFmtId="0" fontId="261" fillId="0" borderId="43" applyNumberFormat="0" applyFill="0" applyAlignment="0" applyProtection="0"/>
    <xf numFmtId="0" fontId="261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11" fillId="0" borderId="0" applyNumberFormat="0" applyFill="0" applyBorder="0" applyAlignment="0" applyProtection="0">
      <alignment vertical="top"/>
      <protection locked="0"/>
    </xf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73" fillId="5" borderId="4" applyNumberFormat="0" applyAlignment="0" applyProtection="0"/>
    <xf numFmtId="0" fontId="294" fillId="57" borderId="48" applyNumberFormat="0" applyAlignment="0" applyProtection="0"/>
    <xf numFmtId="0" fontId="294" fillId="57" borderId="48" applyNumberFormat="0" applyAlignment="0" applyProtection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4" fillId="0" borderId="0"/>
    <xf numFmtId="0" fontId="23" fillId="0" borderId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4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4" fillId="0" borderId="0" applyNumberFormat="0" applyBorder="0" applyAlignment="0" applyProtection="0"/>
    <xf numFmtId="0" fontId="23" fillId="0" borderId="0"/>
    <xf numFmtId="0" fontId="23" fillId="0" borderId="0"/>
    <xf numFmtId="0" fontId="206" fillId="0" borderId="0"/>
    <xf numFmtId="0" fontId="23" fillId="0" borderId="0"/>
    <xf numFmtId="0" fontId="23" fillId="0" borderId="0"/>
    <xf numFmtId="0" fontId="206" fillId="0" borderId="0"/>
    <xf numFmtId="0" fontId="206" fillId="0" borderId="0"/>
    <xf numFmtId="0" fontId="23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63" fillId="0" borderId="0"/>
    <xf numFmtId="0" fontId="73" fillId="5" borderId="4" applyNumberFormat="0" applyAlignment="0" applyProtection="0"/>
    <xf numFmtId="0" fontId="206" fillId="0" borderId="0"/>
    <xf numFmtId="0" fontId="206" fillId="0" borderId="0"/>
    <xf numFmtId="0" fontId="23" fillId="0" borderId="0"/>
    <xf numFmtId="0" fontId="23" fillId="0" borderId="0"/>
    <xf numFmtId="0" fontId="23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3" fillId="0" borderId="0" applyNumberFormat="0" applyFont="0" applyFill="0" applyBorder="0" applyAlignment="0" applyProtection="0"/>
    <xf numFmtId="0" fontId="63" fillId="0" borderId="0"/>
    <xf numFmtId="0" fontId="23" fillId="0" borderId="0" applyNumberFormat="0" applyFont="0" applyFill="0" applyBorder="0" applyAlignment="0" applyProtection="0"/>
    <xf numFmtId="0" fontId="63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5" borderId="18" applyNumberFormat="0" applyFont="0" applyAlignment="0" applyProtection="0"/>
    <xf numFmtId="0" fontId="63" fillId="5" borderId="50" applyNumberFormat="0" applyFont="0" applyAlignment="0" applyProtection="0"/>
    <xf numFmtId="0" fontId="63" fillId="5" borderId="50" applyNumberFormat="0" applyFont="0" applyAlignment="0" applyProtection="0"/>
    <xf numFmtId="0" fontId="297" fillId="18" borderId="51" applyNumberFormat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3" fillId="0" borderId="0" applyFont="0" applyFill="0" applyBorder="0" applyAlignment="0" applyProtection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63" fillId="0" borderId="0" applyNumberFormat="0" applyFill="0" applyBorder="0" applyAlignment="0" applyProtection="0"/>
    <xf numFmtId="0" fontId="186" fillId="0" borderId="0" applyAlignment="0">
      <alignment wrapText="1"/>
    </xf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53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2" borderId="0" applyNumberFormat="0" applyBorder="0" applyAlignment="0" applyProtection="0"/>
    <xf numFmtId="0" fontId="206" fillId="41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78" borderId="50" applyNumberFormat="0" applyFont="0" applyAlignment="0" applyProtection="0"/>
    <xf numFmtId="0" fontId="23" fillId="0" borderId="0"/>
    <xf numFmtId="0" fontId="206" fillId="0" borderId="0"/>
    <xf numFmtId="0" fontId="206" fillId="53" borderId="0" applyNumberFormat="0" applyBorder="0" applyAlignment="0" applyProtection="0"/>
    <xf numFmtId="0" fontId="206" fillId="54" borderId="0" applyNumberFormat="0" applyBorder="0" applyAlignment="0" applyProtection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255" fontId="206" fillId="0" borderId="0" applyFont="0" applyFill="0" applyBorder="0" applyAlignment="0" applyProtection="0"/>
    <xf numFmtId="0" fontId="186" fillId="0" borderId="0" applyAlignment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3" fillId="0" borderId="0" applyNumberFormat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80" borderId="0" applyNumberFormat="0" applyBorder="0" applyAlignment="0" applyProtection="0"/>
    <xf numFmtId="0" fontId="206" fillId="81" borderId="0" applyNumberFormat="0" applyBorder="0" applyAlignment="0" applyProtection="0"/>
    <xf numFmtId="0" fontId="206" fillId="84" borderId="0" applyNumberFormat="0" applyBorder="0" applyAlignment="0" applyProtection="0"/>
    <xf numFmtId="0" fontId="206" fillId="85" borderId="0" applyNumberFormat="0" applyBorder="0" applyAlignment="0" applyProtection="0"/>
    <xf numFmtId="0" fontId="206" fillId="53" borderId="0" applyNumberFormat="0" applyBorder="0" applyAlignment="0" applyProtection="0"/>
    <xf numFmtId="0" fontId="206" fillId="88" borderId="0" applyNumberFormat="0" applyBorder="0" applyAlignment="0" applyProtection="0"/>
    <xf numFmtId="0" fontId="206" fillId="91" borderId="0" applyNumberFormat="0" applyBorder="0" applyAlignment="0" applyProtection="0"/>
    <xf numFmtId="0" fontId="206" fillId="92" borderId="0" applyNumberFormat="0" applyBorder="0" applyAlignment="0" applyProtection="0"/>
    <xf numFmtId="0" fontId="206" fillId="95" borderId="0" applyNumberFormat="0" applyBorder="0" applyAlignment="0" applyProtection="0"/>
    <xf numFmtId="0" fontId="206" fillId="96" borderId="0" applyNumberFormat="0" applyBorder="0" applyAlignment="0" applyProtection="0"/>
    <xf numFmtId="0" fontId="206" fillId="54" borderId="0" applyNumberFormat="0" applyBorder="0" applyAlignment="0" applyProtection="0"/>
    <xf numFmtId="0" fontId="206" fillId="98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43" fontId="206" fillId="0" borderId="0" applyFont="0" applyFill="0" applyBorder="0" applyAlignment="0" applyProtection="0"/>
    <xf numFmtId="0" fontId="206" fillId="0" borderId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43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53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2" borderId="0" applyNumberFormat="0" applyBorder="0" applyAlignment="0" applyProtection="0"/>
    <xf numFmtId="0" fontId="206" fillId="41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78" borderId="50" applyNumberFormat="0" applyFont="0" applyAlignment="0" applyProtection="0"/>
    <xf numFmtId="0" fontId="206" fillId="0" borderId="0"/>
    <xf numFmtId="0" fontId="206" fillId="53" borderId="0" applyNumberFormat="0" applyBorder="0" applyAlignment="0" applyProtection="0"/>
    <xf numFmtId="0" fontId="206" fillId="54" borderId="0" applyNumberFormat="0" applyBorder="0" applyAlignment="0" applyProtection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255" fontId="206" fillId="0" borderId="0" applyFont="0" applyFill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39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41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9" fontId="206" fillId="0" borderId="0" applyFont="0" applyFill="0" applyBorder="0" applyAlignment="0" applyProtection="0"/>
    <xf numFmtId="0" fontId="206" fillId="0" borderId="0"/>
    <xf numFmtId="43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06" fillId="78" borderId="50" applyNumberFormat="0" applyFont="0" applyAlignment="0" applyProtection="0"/>
    <xf numFmtId="0" fontId="206" fillId="0" borderId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186" fillId="0" borderId="0" applyAlignment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0" fontId="186" fillId="0" borderId="0" applyAlignment="0"/>
    <xf numFmtId="9" fontId="206" fillId="0" borderId="0" applyFont="0" applyFill="0" applyBorder="0" applyAlignment="0" applyProtection="0"/>
    <xf numFmtId="255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186" fillId="0" borderId="0" applyAlignment="0"/>
    <xf numFmtId="0" fontId="206" fillId="0" borderId="0"/>
    <xf numFmtId="0" fontId="186" fillId="0" borderId="0" applyAlignment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0" fontId="206" fillId="39" borderId="0" applyNumberFormat="0" applyBorder="0" applyAlignment="0" applyProtection="0"/>
    <xf numFmtId="0" fontId="206" fillId="2" borderId="0" applyNumberFormat="0" applyBorder="0" applyAlignment="0" applyProtection="0"/>
    <xf numFmtId="0" fontId="206" fillId="53" borderId="0" applyNumberFormat="0" applyBorder="0" applyAlignment="0" applyProtection="0"/>
    <xf numFmtId="0" fontId="206" fillId="40" borderId="0" applyNumberFormat="0" applyBorder="0" applyAlignment="0" applyProtection="0"/>
    <xf numFmtId="0" fontId="206" fillId="54" borderId="0" applyNumberFormat="0" applyBorder="0" applyAlignment="0" applyProtection="0"/>
    <xf numFmtId="0" fontId="206" fillId="39" borderId="0" applyNumberFormat="0" applyBorder="0" applyAlignment="0" applyProtection="0"/>
    <xf numFmtId="0" fontId="206" fillId="4" borderId="0" applyNumberFormat="0" applyBorder="0" applyAlignment="0" applyProtection="0"/>
    <xf numFmtId="0" fontId="206" fillId="8" borderId="0" applyNumberFormat="0" applyBorder="0" applyAlignment="0" applyProtection="0"/>
    <xf numFmtId="0" fontId="206" fillId="2" borderId="0" applyNumberFormat="0" applyBorder="0" applyAlignment="0" applyProtection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53" borderId="0" applyNumberFormat="0" applyBorder="0" applyAlignment="0" applyProtection="0"/>
    <xf numFmtId="0" fontId="206" fillId="54" borderId="0" applyNumberFormat="0" applyBorder="0" applyAlignment="0" applyProtection="0"/>
    <xf numFmtId="0" fontId="206" fillId="78" borderId="50" applyNumberFormat="0" applyFont="0" applyAlignment="0" applyProtection="0"/>
    <xf numFmtId="0" fontId="206" fillId="0" borderId="0"/>
    <xf numFmtId="0" fontId="206" fillId="0" borderId="0"/>
    <xf numFmtId="43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06" fillId="78" borderId="50" applyNumberFormat="0" applyFont="0" applyAlignment="0" applyProtection="0"/>
    <xf numFmtId="0" fontId="206" fillId="80" borderId="0" applyNumberFormat="0" applyBorder="0" applyAlignment="0" applyProtection="0"/>
    <xf numFmtId="0" fontId="206" fillId="81" borderId="0" applyNumberFormat="0" applyBorder="0" applyAlignment="0" applyProtection="0"/>
    <xf numFmtId="0" fontId="206" fillId="84" borderId="0" applyNumberFormat="0" applyBorder="0" applyAlignment="0" applyProtection="0"/>
    <xf numFmtId="0" fontId="206" fillId="85" borderId="0" applyNumberFormat="0" applyBorder="0" applyAlignment="0" applyProtection="0"/>
    <xf numFmtId="0" fontId="206" fillId="0" borderId="0"/>
    <xf numFmtId="0" fontId="206" fillId="53" borderId="0" applyNumberFormat="0" applyBorder="0" applyAlignment="0" applyProtection="0"/>
    <xf numFmtId="0" fontId="206" fillId="88" borderId="0" applyNumberFormat="0" applyBorder="0" applyAlignment="0" applyProtection="0"/>
    <xf numFmtId="0" fontId="206" fillId="91" borderId="0" applyNumberFormat="0" applyBorder="0" applyAlignment="0" applyProtection="0"/>
    <xf numFmtId="0" fontId="206" fillId="92" borderId="0" applyNumberFormat="0" applyBorder="0" applyAlignment="0" applyProtection="0"/>
    <xf numFmtId="0" fontId="206" fillId="95" borderId="0" applyNumberFormat="0" applyBorder="0" applyAlignment="0" applyProtection="0"/>
    <xf numFmtId="0" fontId="206" fillId="96" borderId="0" applyNumberFormat="0" applyBorder="0" applyAlignment="0" applyProtection="0"/>
    <xf numFmtId="0" fontId="206" fillId="54" borderId="0" applyNumberFormat="0" applyBorder="0" applyAlignment="0" applyProtection="0"/>
    <xf numFmtId="0" fontId="206" fillId="98" borderId="0" applyNumberFormat="0" applyBorder="0" applyAlignment="0" applyProtection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9" fontId="206" fillId="0" borderId="0" applyFont="0" applyFill="0" applyBorder="0" applyAlignment="0" applyProtection="0"/>
    <xf numFmtId="255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06" fillId="0" borderId="0"/>
    <xf numFmtId="9" fontId="206" fillId="0" borderId="0" applyFont="0" applyFill="0" applyBorder="0" applyAlignment="0" applyProtection="0"/>
    <xf numFmtId="43" fontId="206" fillId="0" borderId="0" applyFont="0" applyFill="0" applyBorder="0" applyAlignment="0" applyProtection="0"/>
    <xf numFmtId="0" fontId="206" fillId="0" borderId="0"/>
    <xf numFmtId="0" fontId="206" fillId="0" borderId="0"/>
    <xf numFmtId="0" fontId="210" fillId="0" borderId="0"/>
    <xf numFmtId="0" fontId="1" fillId="0" borderId="0"/>
  </cellStyleXfs>
  <cellXfs count="1537">
    <xf numFmtId="0" fontId="0" fillId="0" borderId="0" xfId="0"/>
    <xf numFmtId="0" fontId="1" fillId="0" borderId="0" xfId="3" applyFont="1"/>
    <xf numFmtId="0" fontId="3" fillId="0" borderId="0" xfId="3" applyFont="1" applyFill="1" applyAlignment="1">
      <alignment vertical="center"/>
    </xf>
    <xf numFmtId="0" fontId="1" fillId="23" borderId="0" xfId="3" applyFont="1" applyFill="1"/>
    <xf numFmtId="0" fontId="4" fillId="0" borderId="0" xfId="858" applyNumberFormat="1" applyFont="1" applyFill="1" applyBorder="1" applyAlignment="1">
      <alignment horizontal="left"/>
    </xf>
    <xf numFmtId="0" fontId="1" fillId="0" borderId="0" xfId="3" applyFont="1" applyFill="1"/>
    <xf numFmtId="164" fontId="1" fillId="0" borderId="0" xfId="3" applyNumberFormat="1" applyFont="1"/>
    <xf numFmtId="0" fontId="1" fillId="0" borderId="3" xfId="3" applyFont="1" applyBorder="1"/>
    <xf numFmtId="0" fontId="6" fillId="0" borderId="0" xfId="3" applyFont="1"/>
    <xf numFmtId="0" fontId="7" fillId="0" borderId="7" xfId="3" applyFont="1" applyBorder="1"/>
    <xf numFmtId="0" fontId="7" fillId="0" borderId="25" xfId="3" applyFont="1" applyBorder="1"/>
    <xf numFmtId="0" fontId="6" fillId="0" borderId="0" xfId="3" applyFont="1" applyFill="1"/>
    <xf numFmtId="0" fontId="8" fillId="0" borderId="2" xfId="3" applyFont="1" applyBorder="1"/>
    <xf numFmtId="0" fontId="8" fillId="0" borderId="26" xfId="3" applyFont="1" applyBorder="1"/>
    <xf numFmtId="0" fontId="6" fillId="0" borderId="0" xfId="3" applyFont="1" applyBorder="1"/>
    <xf numFmtId="0" fontId="6" fillId="0" borderId="27" xfId="3" applyFont="1" applyBorder="1"/>
    <xf numFmtId="0" fontId="6" fillId="0" borderId="28" xfId="3" applyFont="1" applyBorder="1"/>
    <xf numFmtId="1" fontId="9" fillId="23" borderId="29" xfId="857" applyNumberFormat="1" applyFont="1" applyFill="1" applyBorder="1" applyAlignment="1">
      <alignment horizontal="right"/>
    </xf>
    <xf numFmtId="1" fontId="9" fillId="23" borderId="1" xfId="857" applyNumberFormat="1" applyFont="1" applyFill="1" applyBorder="1" applyAlignment="1">
      <alignment horizontal="right"/>
    </xf>
    <xf numFmtId="1" fontId="9" fillId="23" borderId="30" xfId="857" applyNumberFormat="1" applyFont="1" applyFill="1" applyBorder="1" applyAlignment="1">
      <alignment horizontal="right"/>
    </xf>
    <xf numFmtId="0" fontId="6" fillId="0" borderId="31" xfId="3" applyFont="1" applyBorder="1"/>
    <xf numFmtId="1" fontId="9" fillId="23" borderId="25" xfId="857" applyNumberFormat="1" applyFont="1" applyFill="1" applyBorder="1" applyAlignment="1">
      <alignment horizontal="right"/>
    </xf>
    <xf numFmtId="0" fontId="6" fillId="0" borderId="2" xfId="3" applyFont="1" applyBorder="1"/>
    <xf numFmtId="0" fontId="6" fillId="0" borderId="2" xfId="3" applyFont="1" applyFill="1" applyBorder="1"/>
    <xf numFmtId="0" fontId="6" fillId="0" borderId="26" xfId="3" applyFont="1" applyFill="1" applyBorder="1"/>
    <xf numFmtId="167" fontId="11" fillId="0" borderId="0" xfId="3" applyNumberFormat="1" applyFont="1" applyFill="1" applyBorder="1" applyAlignment="1"/>
    <xf numFmtId="167" fontId="6" fillId="0" borderId="0" xfId="3" applyNumberFormat="1" applyFont="1" applyFill="1" applyBorder="1" applyAlignment="1"/>
    <xf numFmtId="167" fontId="6" fillId="0" borderId="2" xfId="3" applyNumberFormat="1" applyFont="1" applyFill="1" applyBorder="1" applyAlignment="1"/>
    <xf numFmtId="0" fontId="6" fillId="0" borderId="2" xfId="3" applyFont="1" applyFill="1" applyBorder="1" applyAlignment="1">
      <alignment horizontal="left" indent="1"/>
    </xf>
    <xf numFmtId="0" fontId="6" fillId="0" borderId="26" xfId="3" applyFont="1" applyFill="1" applyBorder="1" applyAlignment="1">
      <alignment horizontal="left" indent="1"/>
    </xf>
    <xf numFmtId="164" fontId="11" fillId="0" borderId="0" xfId="3" applyNumberFormat="1" applyFont="1" applyFill="1" applyBorder="1" applyAlignment="1"/>
    <xf numFmtId="164" fontId="11" fillId="0" borderId="26" xfId="3" applyNumberFormat="1" applyFont="1" applyFill="1" applyBorder="1" applyAlignment="1"/>
    <xf numFmtId="164" fontId="6" fillId="0" borderId="0" xfId="3" applyNumberFormat="1" applyFont="1" applyFill="1" applyBorder="1" applyAlignment="1"/>
    <xf numFmtId="164" fontId="6" fillId="0" borderId="26" xfId="3" applyNumberFormat="1" applyFont="1" applyFill="1" applyBorder="1" applyAlignment="1"/>
    <xf numFmtId="164" fontId="6" fillId="0" borderId="2" xfId="3" applyNumberFormat="1" applyFont="1" applyFill="1" applyBorder="1" applyAlignment="1"/>
    <xf numFmtId="0" fontId="8" fillId="0" borderId="2" xfId="3" applyFont="1" applyFill="1" applyBorder="1" applyAlignment="1">
      <alignment horizontal="left" indent="1"/>
    </xf>
    <xf numFmtId="0" fontId="8" fillId="0" borderId="26" xfId="3" applyFont="1" applyFill="1" applyBorder="1" applyAlignment="1">
      <alignment horizontal="left" indent="1"/>
    </xf>
    <xf numFmtId="168" fontId="8" fillId="0" borderId="0" xfId="892" applyNumberFormat="1" applyFont="1" applyFill="1" applyBorder="1" applyAlignment="1"/>
    <xf numFmtId="168" fontId="8" fillId="0" borderId="26" xfId="892" applyNumberFormat="1" applyFont="1" applyFill="1" applyBorder="1" applyAlignment="1"/>
    <xf numFmtId="168" fontId="8" fillId="0" borderId="2" xfId="892" applyNumberFormat="1" applyFont="1" applyFill="1" applyBorder="1" applyAlignment="1"/>
    <xf numFmtId="168" fontId="12" fillId="0" borderId="0" xfId="892" applyNumberFormat="1" applyFont="1" applyFill="1" applyBorder="1" applyAlignment="1"/>
    <xf numFmtId="168" fontId="12" fillId="0" borderId="26" xfId="892" applyNumberFormat="1" applyFont="1" applyFill="1" applyBorder="1" applyAlignment="1"/>
    <xf numFmtId="169" fontId="11" fillId="0" borderId="0" xfId="3" applyNumberFormat="1" applyFont="1" applyFill="1" applyBorder="1" applyAlignment="1"/>
    <xf numFmtId="169" fontId="11" fillId="0" borderId="26" xfId="3" applyNumberFormat="1" applyFont="1" applyFill="1" applyBorder="1" applyAlignment="1"/>
    <xf numFmtId="169" fontId="11" fillId="0" borderId="0" xfId="3" applyNumberFormat="1" applyFont="1" applyFill="1" applyBorder="1"/>
    <xf numFmtId="169" fontId="11" fillId="0" borderId="26" xfId="3" applyNumberFormat="1" applyFont="1" applyFill="1" applyBorder="1"/>
    <xf numFmtId="170" fontId="11" fillId="0" borderId="0" xfId="3" applyNumberFormat="1" applyFont="1" applyFill="1" applyBorder="1" applyAlignment="1"/>
    <xf numFmtId="0" fontId="7" fillId="0" borderId="2" xfId="3" applyFont="1" applyFill="1" applyBorder="1"/>
    <xf numFmtId="0" fontId="7" fillId="0" borderId="26" xfId="3" applyFont="1" applyFill="1" applyBorder="1"/>
    <xf numFmtId="164" fontId="7" fillId="0" borderId="2" xfId="3" applyNumberFormat="1" applyFont="1" applyFill="1" applyBorder="1" applyAlignment="1"/>
    <xf numFmtId="164" fontId="7" fillId="0" borderId="0" xfId="3" applyNumberFormat="1" applyFont="1" applyFill="1" applyBorder="1" applyAlignment="1"/>
    <xf numFmtId="164" fontId="7" fillId="0" borderId="26" xfId="3" applyNumberFormat="1" applyFont="1" applyFill="1" applyBorder="1" applyAlignment="1"/>
    <xf numFmtId="0" fontId="6" fillId="0" borderId="2" xfId="3" applyFont="1" applyFill="1" applyBorder="1" applyAlignment="1">
      <alignment horizontal="left" indent="2"/>
    </xf>
    <xf numFmtId="0" fontId="6" fillId="0" borderId="26" xfId="3" applyFont="1" applyFill="1" applyBorder="1" applyAlignment="1">
      <alignment horizontal="left" indent="2"/>
    </xf>
    <xf numFmtId="169" fontId="11" fillId="0" borderId="2" xfId="3" applyNumberFormat="1" applyFont="1" applyFill="1" applyBorder="1"/>
    <xf numFmtId="9" fontId="11" fillId="0" borderId="0" xfId="892" applyFont="1" applyFill="1" applyBorder="1" applyAlignment="1"/>
    <xf numFmtId="9" fontId="11" fillId="0" borderId="26" xfId="892" applyFont="1" applyFill="1" applyBorder="1" applyAlignment="1"/>
    <xf numFmtId="168" fontId="14" fillId="0" borderId="0" xfId="892" applyNumberFormat="1" applyFont="1" applyFill="1" applyBorder="1" applyAlignment="1"/>
    <xf numFmtId="168" fontId="14" fillId="0" borderId="26" xfId="892" applyNumberFormat="1" applyFont="1" applyFill="1" applyBorder="1" applyAlignment="1"/>
    <xf numFmtId="168" fontId="11" fillId="0" borderId="0" xfId="892" applyNumberFormat="1" applyFont="1" applyFill="1" applyBorder="1" applyAlignment="1"/>
    <xf numFmtId="168" fontId="11" fillId="0" borderId="26" xfId="892" applyNumberFormat="1" applyFont="1" applyFill="1" applyBorder="1" applyAlignment="1"/>
    <xf numFmtId="168" fontId="8" fillId="0" borderId="0" xfId="892" applyNumberFormat="1" applyFont="1" applyFill="1" applyBorder="1" applyAlignment="1">
      <alignment horizontal="right"/>
    </xf>
    <xf numFmtId="172" fontId="6" fillId="0" borderId="0" xfId="3" applyNumberFormat="1" applyFont="1" applyFill="1" applyBorder="1" applyAlignment="1"/>
    <xf numFmtId="172" fontId="6" fillId="0" borderId="26" xfId="3" applyNumberFormat="1" applyFont="1" applyFill="1" applyBorder="1" applyAlignment="1"/>
    <xf numFmtId="170" fontId="11" fillId="0" borderId="0" xfId="3" applyNumberFormat="1" applyFont="1" applyFill="1" applyBorder="1"/>
    <xf numFmtId="169" fontId="16" fillId="0" borderId="0" xfId="3" applyNumberFormat="1" applyFont="1" applyFill="1" applyBorder="1" applyAlignment="1"/>
    <xf numFmtId="170" fontId="17" fillId="0" borderId="0" xfId="3" applyNumberFormat="1" applyFont="1" applyFill="1" applyBorder="1"/>
    <xf numFmtId="170" fontId="11" fillId="0" borderId="26" xfId="892" applyNumberFormat="1" applyFont="1" applyFill="1" applyBorder="1" applyAlignment="1"/>
    <xf numFmtId="169" fontId="11" fillId="0" borderId="0" xfId="892" applyNumberFormat="1" applyFont="1" applyFill="1" applyBorder="1" applyAlignment="1"/>
    <xf numFmtId="171" fontId="11" fillId="0" borderId="26" xfId="892" applyNumberFormat="1" applyFont="1" applyFill="1" applyBorder="1" applyAlignment="1"/>
    <xf numFmtId="173" fontId="11" fillId="0" borderId="26" xfId="329" applyNumberFormat="1" applyFont="1" applyFill="1" applyBorder="1" applyAlignment="1"/>
    <xf numFmtId="0" fontId="6" fillId="0" borderId="27" xfId="3" applyFont="1" applyFill="1" applyBorder="1"/>
    <xf numFmtId="0" fontId="6" fillId="0" borderId="28" xfId="3" applyFont="1" applyFill="1" applyBorder="1"/>
    <xf numFmtId="0" fontId="6" fillId="0" borderId="21" xfId="3" applyFont="1" applyFill="1" applyBorder="1"/>
    <xf numFmtId="0" fontId="6" fillId="0" borderId="0" xfId="3" applyFont="1" applyFill="1" applyBorder="1"/>
    <xf numFmtId="37" fontId="11" fillId="0" borderId="0" xfId="3" applyNumberFormat="1" applyFont="1" applyFill="1" applyBorder="1"/>
    <xf numFmtId="43" fontId="11" fillId="0" borderId="0" xfId="3" applyNumberFormat="1" applyFont="1" applyFill="1" applyBorder="1"/>
    <xf numFmtId="0" fontId="6" fillId="0" borderId="3" xfId="3" applyFont="1" applyFill="1" applyBorder="1"/>
    <xf numFmtId="169" fontId="11" fillId="0" borderId="3" xfId="3" applyNumberFormat="1" applyFont="1" applyFill="1" applyBorder="1"/>
    <xf numFmtId="0" fontId="6" fillId="0" borderId="7" xfId="3" applyFont="1" applyFill="1" applyBorder="1"/>
    <xf numFmtId="0" fontId="6" fillId="0" borderId="25" xfId="3" applyFont="1" applyFill="1" applyBorder="1"/>
    <xf numFmtId="164" fontId="11" fillId="0" borderId="7" xfId="3" applyNumberFormat="1" applyFont="1" applyFill="1" applyBorder="1"/>
    <xf numFmtId="164" fontId="11" fillId="0" borderId="21" xfId="3" applyNumberFormat="1" applyFont="1" applyFill="1" applyBorder="1"/>
    <xf numFmtId="164" fontId="11" fillId="0" borderId="25" xfId="3" applyNumberFormat="1" applyFont="1" applyFill="1" applyBorder="1"/>
    <xf numFmtId="175" fontId="6" fillId="0" borderId="21" xfId="3" applyNumberFormat="1" applyFont="1" applyFill="1" applyBorder="1"/>
    <xf numFmtId="175" fontId="6" fillId="0" borderId="25" xfId="3" applyNumberFormat="1" applyFont="1" applyFill="1" applyBorder="1"/>
    <xf numFmtId="164" fontId="6" fillId="0" borderId="2" xfId="3" applyNumberFormat="1" applyFont="1" applyFill="1" applyBorder="1"/>
    <xf numFmtId="164" fontId="6" fillId="0" borderId="0" xfId="3" applyNumberFormat="1" applyFont="1" applyFill="1" applyBorder="1"/>
    <xf numFmtId="164" fontId="6" fillId="0" borderId="26" xfId="3" applyNumberFormat="1" applyFont="1" applyFill="1" applyBorder="1"/>
    <xf numFmtId="164" fontId="11" fillId="0" borderId="2" xfId="3" applyNumberFormat="1" applyFont="1" applyFill="1" applyBorder="1"/>
    <xf numFmtId="164" fontId="11" fillId="0" borderId="0" xfId="3" applyNumberFormat="1" applyFont="1" applyFill="1" applyBorder="1"/>
    <xf numFmtId="164" fontId="11" fillId="0" borderId="26" xfId="3" applyNumberFormat="1" applyFont="1" applyFill="1" applyBorder="1"/>
    <xf numFmtId="175" fontId="6" fillId="0" borderId="0" xfId="3" applyNumberFormat="1" applyFont="1" applyFill="1" applyBorder="1"/>
    <xf numFmtId="175" fontId="6" fillId="0" borderId="26" xfId="3" applyNumberFormat="1" applyFont="1" applyFill="1" applyBorder="1"/>
    <xf numFmtId="176" fontId="8" fillId="0" borderId="2" xfId="3" applyNumberFormat="1" applyFont="1" applyFill="1" applyBorder="1"/>
    <xf numFmtId="176" fontId="8" fillId="0" borderId="0" xfId="3" applyNumberFormat="1" applyFont="1" applyFill="1" applyBorder="1"/>
    <xf numFmtId="176" fontId="8" fillId="0" borderId="26" xfId="3" applyNumberFormat="1" applyFont="1" applyFill="1" applyBorder="1"/>
    <xf numFmtId="175" fontId="11" fillId="0" borderId="0" xfId="3" applyNumberFormat="1" applyFont="1" applyFill="1" applyBorder="1"/>
    <xf numFmtId="175" fontId="11" fillId="0" borderId="26" xfId="3" applyNumberFormat="1" applyFont="1" applyFill="1" applyBorder="1"/>
    <xf numFmtId="175" fontId="11" fillId="0" borderId="2" xfId="3" applyNumberFormat="1" applyFont="1" applyFill="1" applyBorder="1"/>
    <xf numFmtId="176" fontId="18" fillId="0" borderId="0" xfId="3" applyNumberFormat="1" applyFont="1" applyFill="1" applyBorder="1"/>
    <xf numFmtId="164" fontId="18" fillId="0" borderId="0" xfId="3" applyNumberFormat="1" applyFont="1" applyFill="1" applyBorder="1"/>
    <xf numFmtId="164" fontId="18" fillId="0" borderId="26" xfId="3" applyNumberFormat="1" applyFont="1" applyFill="1" applyBorder="1"/>
    <xf numFmtId="164" fontId="12" fillId="0" borderId="0" xfId="3" applyNumberFormat="1" applyFont="1" applyFill="1" applyBorder="1"/>
    <xf numFmtId="168" fontId="8" fillId="0" borderId="0" xfId="892" applyNumberFormat="1" applyFont="1" applyFill="1" applyBorder="1"/>
    <xf numFmtId="168" fontId="8" fillId="0" borderId="26" xfId="892" applyNumberFormat="1" applyFont="1" applyFill="1" applyBorder="1"/>
    <xf numFmtId="168" fontId="12" fillId="0" borderId="0" xfId="892" applyNumberFormat="1" applyFont="1" applyFill="1" applyBorder="1"/>
    <xf numFmtId="168" fontId="12" fillId="0" borderId="26" xfId="892" applyNumberFormat="1" applyFont="1" applyFill="1" applyBorder="1"/>
    <xf numFmtId="168" fontId="12" fillId="0" borderId="2" xfId="892" applyNumberFormat="1" applyFont="1" applyFill="1" applyBorder="1"/>
    <xf numFmtId="0" fontId="6" fillId="0" borderId="2" xfId="3" applyFont="1" applyFill="1" applyBorder="1" applyAlignment="1">
      <alignment horizontal="left"/>
    </xf>
    <xf numFmtId="0" fontId="6" fillId="0" borderId="26" xfId="3" applyFont="1" applyFill="1" applyBorder="1" applyAlignment="1">
      <alignment horizontal="left"/>
    </xf>
    <xf numFmtId="169" fontId="6" fillId="0" borderId="2" xfId="3" applyNumberFormat="1" applyFont="1" applyFill="1" applyBorder="1"/>
    <xf numFmtId="169" fontId="6" fillId="0" borderId="0" xfId="3" applyNumberFormat="1" applyFont="1" applyFill="1" applyBorder="1"/>
    <xf numFmtId="169" fontId="6" fillId="0" borderId="26" xfId="3" applyNumberFormat="1" applyFont="1" applyFill="1" applyBorder="1"/>
    <xf numFmtId="0" fontId="6" fillId="0" borderId="27" xfId="3" applyFont="1" applyFill="1" applyBorder="1" applyAlignment="1">
      <alignment horizontal="left"/>
    </xf>
    <xf numFmtId="0" fontId="6" fillId="0" borderId="28" xfId="3" applyFont="1" applyFill="1" applyBorder="1" applyAlignment="1">
      <alignment horizontal="left"/>
    </xf>
    <xf numFmtId="169" fontId="6" fillId="0" borderId="27" xfId="3" applyNumberFormat="1" applyFont="1" applyFill="1" applyBorder="1"/>
    <xf numFmtId="169" fontId="6" fillId="0" borderId="3" xfId="3" applyNumberFormat="1" applyFont="1" applyFill="1" applyBorder="1"/>
    <xf numFmtId="169" fontId="6" fillId="0" borderId="28" xfId="3" applyNumberFormat="1" applyFont="1" applyFill="1" applyBorder="1"/>
    <xf numFmtId="0" fontId="6" fillId="0" borderId="0" xfId="3" applyFont="1" applyFill="1" applyBorder="1" applyAlignment="1">
      <alignment horizontal="left" wrapText="1" indent="2"/>
    </xf>
    <xf numFmtId="37" fontId="6" fillId="0" borderId="0" xfId="3" applyNumberFormat="1" applyFont="1" applyFill="1" applyAlignment="1">
      <alignment horizontal="center"/>
    </xf>
    <xf numFmtId="0" fontId="19" fillId="0" borderId="0" xfId="3" applyFont="1"/>
    <xf numFmtId="0" fontId="20" fillId="0" borderId="0" xfId="3" applyFont="1"/>
    <xf numFmtId="0" fontId="0" fillId="23" borderId="0" xfId="3" applyFont="1" applyFill="1"/>
    <xf numFmtId="0" fontId="11" fillId="0" borderId="0" xfId="3" applyFont="1" applyFill="1" applyBorder="1"/>
    <xf numFmtId="0" fontId="11" fillId="0" borderId="26" xfId="3" applyFont="1" applyFill="1" applyBorder="1"/>
    <xf numFmtId="0" fontId="11" fillId="0" borderId="2" xfId="3" applyFont="1" applyFill="1" applyBorder="1"/>
    <xf numFmtId="0" fontId="11" fillId="0" borderId="21" xfId="3" applyFont="1" applyFill="1" applyBorder="1"/>
    <xf numFmtId="164" fontId="6" fillId="0" borderId="31" xfId="3" applyNumberFormat="1" applyFont="1" applyBorder="1"/>
    <xf numFmtId="0" fontId="6" fillId="0" borderId="27" xfId="3" applyFont="1" applyFill="1" applyBorder="1" applyAlignment="1">
      <alignment horizontal="left" indent="1"/>
    </xf>
    <xf numFmtId="0" fontId="6" fillId="0" borderId="28" xfId="3" applyFont="1" applyFill="1" applyBorder="1" applyAlignment="1">
      <alignment horizontal="left" indent="1"/>
    </xf>
    <xf numFmtId="164" fontId="6" fillId="0" borderId="3" xfId="3" applyNumberFormat="1" applyFont="1" applyFill="1" applyBorder="1"/>
    <xf numFmtId="164" fontId="6" fillId="0" borderId="28" xfId="3" applyNumberFormat="1" applyFont="1" applyFill="1" applyBorder="1"/>
    <xf numFmtId="164" fontId="7" fillId="0" borderId="21" xfId="3" applyNumberFormat="1" applyFont="1" applyFill="1" applyBorder="1"/>
    <xf numFmtId="164" fontId="7" fillId="0" borderId="25" xfId="3" applyNumberFormat="1" applyFont="1" applyFill="1" applyBorder="1"/>
    <xf numFmtId="164" fontId="7" fillId="0" borderId="7" xfId="3" applyNumberFormat="1" applyFont="1" applyFill="1" applyBorder="1"/>
    <xf numFmtId="164" fontId="7" fillId="0" borderId="0" xfId="3" applyNumberFormat="1" applyFont="1" applyFill="1" applyBorder="1"/>
    <xf numFmtId="164" fontId="7" fillId="0" borderId="26" xfId="3" applyNumberFormat="1" applyFont="1" applyFill="1" applyBorder="1"/>
    <xf numFmtId="164" fontId="11" fillId="0" borderId="0" xfId="329" applyNumberFormat="1" applyFont="1" applyFill="1" applyBorder="1"/>
    <xf numFmtId="164" fontId="11" fillId="0" borderId="2" xfId="329" applyNumberFormat="1" applyFont="1" applyFill="1" applyBorder="1"/>
    <xf numFmtId="164" fontId="11" fillId="0" borderId="26" xfId="329" applyNumberFormat="1" applyFont="1" applyFill="1" applyBorder="1"/>
    <xf numFmtId="164" fontId="7" fillId="0" borderId="1" xfId="3" applyNumberFormat="1" applyFont="1" applyFill="1" applyBorder="1"/>
    <xf numFmtId="164" fontId="7" fillId="0" borderId="30" xfId="3" applyNumberFormat="1" applyFont="1" applyFill="1" applyBorder="1"/>
    <xf numFmtId="164" fontId="7" fillId="0" borderId="29" xfId="3" applyNumberFormat="1" applyFont="1" applyFill="1" applyBorder="1"/>
    <xf numFmtId="164" fontId="16" fillId="0" borderId="0" xfId="3" applyNumberFormat="1" applyFont="1" applyFill="1" applyBorder="1"/>
    <xf numFmtId="164" fontId="16" fillId="0" borderId="26" xfId="3" applyNumberFormat="1" applyFont="1" applyFill="1" applyBorder="1"/>
    <xf numFmtId="164" fontId="16" fillId="0" borderId="2" xfId="3" applyNumberFormat="1" applyFont="1" applyFill="1" applyBorder="1"/>
    <xf numFmtId="164" fontId="7" fillId="0" borderId="2" xfId="3" applyNumberFormat="1" applyFont="1" applyFill="1" applyBorder="1"/>
    <xf numFmtId="37" fontId="7" fillId="0" borderId="29" xfId="857" applyNumberFormat="1" applyFont="1" applyFill="1" applyBorder="1"/>
    <xf numFmtId="37" fontId="7" fillId="0" borderId="30" xfId="857" applyNumberFormat="1" applyFont="1" applyFill="1" applyBorder="1"/>
    <xf numFmtId="0" fontId="6" fillId="0" borderId="1" xfId="3" applyFont="1" applyFill="1" applyBorder="1"/>
    <xf numFmtId="37" fontId="11" fillId="0" borderId="1" xfId="3" applyNumberFormat="1" applyFont="1" applyFill="1" applyBorder="1"/>
    <xf numFmtId="0" fontId="21" fillId="0" borderId="29" xfId="3" applyFont="1" applyFill="1" applyBorder="1"/>
    <xf numFmtId="0" fontId="21" fillId="0" borderId="30" xfId="3" applyFont="1" applyFill="1" applyBorder="1"/>
    <xf numFmtId="178" fontId="21" fillId="0" borderId="1" xfId="329" applyNumberFormat="1" applyFont="1" applyFill="1" applyBorder="1"/>
    <xf numFmtId="178" fontId="21" fillId="0" borderId="30" xfId="329" applyNumberFormat="1" applyFont="1" applyFill="1" applyBorder="1"/>
    <xf numFmtId="178" fontId="21" fillId="0" borderId="29" xfId="329" applyNumberFormat="1" applyFont="1" applyFill="1" applyBorder="1"/>
    <xf numFmtId="179" fontId="11" fillId="0" borderId="0" xfId="3" applyNumberFormat="1" applyFont="1" applyFill="1" applyBorder="1"/>
    <xf numFmtId="179" fontId="11" fillId="0" borderId="21" xfId="3" applyNumberFormat="1" applyFont="1" applyFill="1" applyBorder="1"/>
    <xf numFmtId="43" fontId="11" fillId="0" borderId="21" xfId="3" applyNumberFormat="1" applyFont="1" applyFill="1" applyBorder="1"/>
    <xf numFmtId="37" fontId="11" fillId="0" borderId="3" xfId="3" applyNumberFormat="1" applyFont="1" applyFill="1" applyBorder="1"/>
    <xf numFmtId="0" fontId="11" fillId="0" borderId="3" xfId="3" applyFont="1" applyFill="1" applyBorder="1"/>
    <xf numFmtId="0" fontId="7" fillId="23" borderId="29" xfId="3" applyFont="1" applyFill="1" applyBorder="1" applyAlignment="1">
      <alignment horizontal="left"/>
    </xf>
    <xf numFmtId="0" fontId="7" fillId="23" borderId="30" xfId="3" applyFont="1" applyFill="1" applyBorder="1" applyAlignment="1">
      <alignment horizontal="left"/>
    </xf>
    <xf numFmtId="164" fontId="6" fillId="0" borderId="21" xfId="3" applyNumberFormat="1" applyFont="1" applyFill="1" applyBorder="1"/>
    <xf numFmtId="168" fontId="8" fillId="0" borderId="2" xfId="892" applyNumberFormat="1" applyFont="1" applyFill="1" applyBorder="1"/>
    <xf numFmtId="168" fontId="12" fillId="23" borderId="0" xfId="892" applyNumberFormat="1" applyFont="1" applyFill="1" applyBorder="1"/>
    <xf numFmtId="168" fontId="8" fillId="0" borderId="31" xfId="892" applyNumberFormat="1" applyFont="1" applyBorder="1"/>
    <xf numFmtId="180" fontId="6" fillId="0" borderId="0" xfId="3" applyNumberFormat="1" applyFont="1" applyFill="1" applyBorder="1"/>
    <xf numFmtId="0" fontId="6" fillId="0" borderId="7" xfId="3" applyFont="1" applyFill="1" applyBorder="1" applyAlignment="1">
      <alignment horizontal="left"/>
    </xf>
    <xf numFmtId="0" fontId="6" fillId="0" borderId="25" xfId="3" applyFont="1" applyFill="1" applyBorder="1" applyAlignment="1">
      <alignment horizontal="left"/>
    </xf>
    <xf numFmtId="164" fontId="6" fillId="0" borderId="25" xfId="3" applyNumberFormat="1" applyFont="1" applyFill="1" applyBorder="1"/>
    <xf numFmtId="164" fontId="6" fillId="0" borderId="7" xfId="3" applyNumberFormat="1" applyFont="1" applyFill="1" applyBorder="1"/>
    <xf numFmtId="0" fontId="7" fillId="0" borderId="29" xfId="3" applyFont="1" applyFill="1" applyBorder="1" applyAlignment="1">
      <alignment horizontal="left" indent="1"/>
    </xf>
    <xf numFmtId="0" fontId="7" fillId="0" borderId="30" xfId="3" applyFont="1" applyFill="1" applyBorder="1" applyAlignment="1">
      <alignment horizontal="left" indent="1"/>
    </xf>
    <xf numFmtId="181" fontId="7" fillId="0" borderId="1" xfId="3" applyNumberFormat="1" applyFont="1" applyFill="1" applyBorder="1"/>
    <xf numFmtId="181" fontId="7" fillId="0" borderId="30" xfId="3" applyNumberFormat="1" applyFont="1" applyFill="1" applyBorder="1"/>
    <xf numFmtId="181" fontId="7" fillId="0" borderId="29" xfId="3" applyNumberFormat="1" applyFont="1" applyFill="1" applyBorder="1"/>
    <xf numFmtId="164" fontId="11" fillId="0" borderId="28" xfId="3" applyNumberFormat="1" applyFont="1" applyFill="1" applyBorder="1"/>
    <xf numFmtId="37" fontId="7" fillId="0" borderId="0" xfId="857" applyNumberFormat="1" applyFont="1" applyFill="1" applyBorder="1"/>
    <xf numFmtId="164" fontId="6" fillId="0" borderId="1" xfId="3" applyNumberFormat="1" applyFont="1" applyFill="1" applyBorder="1"/>
    <xf numFmtId="178" fontId="6" fillId="0" borderId="21" xfId="329" applyNumberFormat="1" applyFont="1" applyFill="1" applyBorder="1"/>
    <xf numFmtId="178" fontId="6" fillId="0" borderId="30" xfId="329" applyNumberFormat="1" applyFont="1" applyFill="1" applyBorder="1"/>
    <xf numFmtId="178" fontId="6" fillId="0" borderId="7" xfId="329" applyNumberFormat="1" applyFont="1" applyFill="1" applyBorder="1"/>
    <xf numFmtId="178" fontId="6" fillId="0" borderId="25" xfId="329" applyNumberFormat="1" applyFont="1" applyFill="1" applyBorder="1"/>
    <xf numFmtId="0" fontId="6" fillId="0" borderId="31" xfId="3" applyFont="1" applyFill="1" applyBorder="1"/>
    <xf numFmtId="178" fontId="21" fillId="0" borderId="1" xfId="329" applyNumberFormat="1" applyFont="1" applyFill="1" applyBorder="1" applyAlignment="1"/>
    <xf numFmtId="182" fontId="6" fillId="0" borderId="0" xfId="3" applyNumberFormat="1" applyFont="1" applyFill="1" applyBorder="1"/>
    <xf numFmtId="164" fontId="6" fillId="29" borderId="0" xfId="856" applyNumberFormat="1" applyFont="1" applyFill="1" applyBorder="1"/>
    <xf numFmtId="167" fontId="6" fillId="29" borderId="0" xfId="856" applyNumberFormat="1" applyFont="1" applyFill="1" applyBorder="1"/>
    <xf numFmtId="167" fontId="6" fillId="29" borderId="26" xfId="856" applyNumberFormat="1" applyFont="1" applyFill="1" applyBorder="1"/>
    <xf numFmtId="167" fontId="22" fillId="29" borderId="0" xfId="856" applyNumberFormat="1" applyFont="1" applyFill="1" applyBorder="1"/>
    <xf numFmtId="167" fontId="22" fillId="29" borderId="2" xfId="856" applyNumberFormat="1" applyFont="1" applyFill="1" applyBorder="1"/>
    <xf numFmtId="167" fontId="22" fillId="29" borderId="26" xfId="856" applyNumberFormat="1" applyFont="1" applyFill="1" applyBorder="1"/>
    <xf numFmtId="164" fontId="6" fillId="29" borderId="26" xfId="856" applyNumberFormat="1" applyFont="1" applyFill="1" applyBorder="1"/>
    <xf numFmtId="164" fontId="22" fillId="29" borderId="0" xfId="856" applyNumberFormat="1" applyFont="1" applyFill="1" applyBorder="1"/>
    <xf numFmtId="164" fontId="22" fillId="29" borderId="2" xfId="856" applyNumberFormat="1" applyFont="1" applyFill="1" applyBorder="1"/>
    <xf numFmtId="164" fontId="22" fillId="29" borderId="26" xfId="856" applyNumberFormat="1" applyFont="1" applyFill="1" applyBorder="1"/>
    <xf numFmtId="164" fontId="6" fillId="29" borderId="3" xfId="856" applyNumberFormat="1" applyFont="1" applyFill="1" applyBorder="1"/>
    <xf numFmtId="164" fontId="6" fillId="29" borderId="28" xfId="856" applyNumberFormat="1" applyFont="1" applyFill="1" applyBorder="1"/>
    <xf numFmtId="164" fontId="22" fillId="29" borderId="3" xfId="856" applyNumberFormat="1" applyFont="1" applyFill="1" applyBorder="1"/>
    <xf numFmtId="164" fontId="22" fillId="29" borderId="27" xfId="856" applyNumberFormat="1" applyFont="1" applyFill="1" applyBorder="1"/>
    <xf numFmtId="164" fontId="22" fillId="29" borderId="28" xfId="856" applyNumberFormat="1" applyFont="1" applyFill="1" applyBorder="1"/>
    <xf numFmtId="0" fontId="11" fillId="0" borderId="0" xfId="3" applyFont="1" applyAlignment="1">
      <alignment horizontal="center"/>
    </xf>
    <xf numFmtId="164" fontId="6" fillId="0" borderId="0" xfId="3" applyNumberFormat="1" applyFont="1" applyAlignment="1">
      <alignment horizontal="center"/>
    </xf>
    <xf numFmtId="0" fontId="1" fillId="0" borderId="0" xfId="3" applyFont="1" applyFill="1" applyBorder="1" applyAlignment="1">
      <alignment horizontal="left" wrapText="1" indent="2"/>
    </xf>
    <xf numFmtId="0" fontId="1" fillId="0" borderId="0" xfId="3" applyFont="1" applyBorder="1"/>
    <xf numFmtId="2" fontId="1" fillId="0" borderId="0" xfId="3" applyNumberFormat="1" applyFont="1"/>
    <xf numFmtId="0" fontId="8" fillId="0" borderId="28" xfId="3" applyFont="1" applyBorder="1"/>
    <xf numFmtId="0" fontId="7" fillId="0" borderId="7" xfId="3" applyFont="1" applyFill="1" applyBorder="1"/>
    <xf numFmtId="37" fontId="6" fillId="0" borderId="0" xfId="3" applyNumberFormat="1" applyFont="1" applyFill="1" applyBorder="1"/>
    <xf numFmtId="37" fontId="6" fillId="0" borderId="26" xfId="3" applyNumberFormat="1" applyFont="1" applyFill="1" applyBorder="1"/>
    <xf numFmtId="37" fontId="6" fillId="0" borderId="2" xfId="3" applyNumberFormat="1" applyFont="1" applyFill="1" applyBorder="1"/>
    <xf numFmtId="0" fontId="6" fillId="0" borderId="2" xfId="3" applyFont="1" applyFill="1" applyBorder="1" applyAlignment="1">
      <alignment horizontal="left" wrapText="1" indent="1"/>
    </xf>
    <xf numFmtId="0" fontId="6" fillId="0" borderId="26" xfId="3" applyFont="1" applyFill="1" applyBorder="1" applyAlignment="1">
      <alignment horizontal="left" wrapText="1" indent="1"/>
    </xf>
    <xf numFmtId="41" fontId="11" fillId="0" borderId="0" xfId="3" applyNumberFormat="1" applyFont="1" applyFill="1" applyBorder="1"/>
    <xf numFmtId="41" fontId="11" fillId="0" borderId="26" xfId="3" applyNumberFormat="1" applyFont="1" applyFill="1" applyBorder="1"/>
    <xf numFmtId="41" fontId="11" fillId="0" borderId="2" xfId="3" applyNumberFormat="1" applyFont="1" applyFill="1" applyBorder="1"/>
    <xf numFmtId="181" fontId="6" fillId="0" borderId="0" xfId="3" applyNumberFormat="1" applyFont="1" applyFill="1" applyBorder="1"/>
    <xf numFmtId="181" fontId="6" fillId="0" borderId="26" xfId="3" applyNumberFormat="1" applyFont="1" applyFill="1" applyBorder="1"/>
    <xf numFmtId="181" fontId="6" fillId="0" borderId="2" xfId="3" applyNumberFormat="1" applyFont="1" applyFill="1" applyBorder="1"/>
    <xf numFmtId="181" fontId="11" fillId="0" borderId="0" xfId="3" applyNumberFormat="1" applyFont="1" applyFill="1" applyBorder="1"/>
    <xf numFmtId="181" fontId="11" fillId="0" borderId="26" xfId="3" applyNumberFormat="1" applyFont="1" applyFill="1" applyBorder="1"/>
    <xf numFmtId="181" fontId="11" fillId="0" borderId="2" xfId="3" applyNumberFormat="1" applyFont="1" applyFill="1" applyBorder="1"/>
    <xf numFmtId="0" fontId="7" fillId="0" borderId="32" xfId="3" applyFont="1" applyFill="1" applyBorder="1" applyAlignment="1">
      <alignment horizontal="left"/>
    </xf>
    <xf numFmtId="0" fontId="7" fillId="0" borderId="33" xfId="3" applyFont="1" applyFill="1" applyBorder="1" applyAlignment="1">
      <alignment horizontal="left"/>
    </xf>
    <xf numFmtId="181" fontId="7" fillId="0" borderId="34" xfId="3" applyNumberFormat="1" applyFont="1" applyFill="1" applyBorder="1"/>
    <xf numFmtId="181" fontId="7" fillId="0" borderId="32" xfId="3" applyNumberFormat="1" applyFont="1" applyFill="1" applyBorder="1"/>
    <xf numFmtId="181" fontId="7" fillId="0" borderId="33" xfId="3" applyNumberFormat="1" applyFont="1" applyFill="1" applyBorder="1"/>
    <xf numFmtId="0" fontId="7" fillId="0" borderId="2" xfId="3" applyFont="1" applyFill="1" applyBorder="1" applyAlignment="1">
      <alignment horizontal="left"/>
    </xf>
    <xf numFmtId="0" fontId="7" fillId="0" borderId="26" xfId="3" applyFont="1" applyFill="1" applyBorder="1" applyAlignment="1">
      <alignment horizontal="left"/>
    </xf>
    <xf numFmtId="181" fontId="13" fillId="0" borderId="0" xfId="3" applyNumberFormat="1" applyFont="1" applyFill="1" applyBorder="1"/>
    <xf numFmtId="181" fontId="7" fillId="0" borderId="0" xfId="3" applyNumberFormat="1" applyFont="1" applyFill="1" applyBorder="1"/>
    <xf numFmtId="181" fontId="7" fillId="0" borderId="2" xfId="3" applyNumberFormat="1" applyFont="1" applyFill="1" applyBorder="1"/>
    <xf numFmtId="181" fontId="7" fillId="0" borderId="26" xfId="3" applyNumberFormat="1" applyFont="1" applyFill="1" applyBorder="1"/>
    <xf numFmtId="181" fontId="16" fillId="0" borderId="0" xfId="3" applyNumberFormat="1" applyFont="1" applyFill="1" applyBorder="1"/>
    <xf numFmtId="181" fontId="16" fillId="0" borderId="26" xfId="3" applyNumberFormat="1" applyFont="1" applyFill="1" applyBorder="1"/>
    <xf numFmtId="181" fontId="16" fillId="0" borderId="2" xfId="3" applyNumberFormat="1" applyFont="1" applyFill="1" applyBorder="1"/>
    <xf numFmtId="0" fontId="7" fillId="0" borderId="28" xfId="3" applyFont="1" applyFill="1" applyBorder="1" applyAlignment="1">
      <alignment horizontal="left"/>
    </xf>
    <xf numFmtId="181" fontId="7" fillId="0" borderId="3" xfId="3" applyNumberFormat="1" applyFont="1" applyFill="1" applyBorder="1"/>
    <xf numFmtId="181" fontId="7" fillId="0" borderId="27" xfId="3" applyNumberFormat="1" applyFont="1" applyFill="1" applyBorder="1"/>
    <xf numFmtId="181" fontId="7" fillId="0" borderId="28" xfId="3" applyNumberFormat="1" applyFont="1" applyFill="1" applyBorder="1"/>
    <xf numFmtId="0" fontId="7" fillId="0" borderId="0" xfId="3" applyFont="1" applyFill="1" applyBorder="1" applyAlignment="1">
      <alignment horizontal="left"/>
    </xf>
    <xf numFmtId="181" fontId="7" fillId="0" borderId="21" xfId="3" applyNumberFormat="1" applyFont="1" applyFill="1" applyBorder="1"/>
    <xf numFmtId="0" fontId="6" fillId="0" borderId="30" xfId="3" applyFont="1" applyFill="1" applyBorder="1"/>
    <xf numFmtId="178" fontId="6" fillId="0" borderId="1" xfId="329" applyNumberFormat="1" applyFont="1" applyFill="1" applyBorder="1"/>
    <xf numFmtId="178" fontId="21" fillId="0" borderId="3" xfId="329" applyNumberFormat="1" applyFont="1" applyFill="1" applyBorder="1"/>
    <xf numFmtId="178" fontId="21" fillId="0" borderId="28" xfId="329" applyNumberFormat="1" applyFont="1" applyFill="1" applyBorder="1"/>
    <xf numFmtId="0" fontId="8" fillId="0" borderId="0" xfId="3" applyFont="1" applyFill="1" applyBorder="1"/>
    <xf numFmtId="37" fontId="16" fillId="0" borderId="0" xfId="3" applyNumberFormat="1" applyFont="1" applyFill="1" applyBorder="1"/>
    <xf numFmtId="0" fontId="11" fillId="0" borderId="0" xfId="3" applyFont="1"/>
    <xf numFmtId="0" fontId="6" fillId="0" borderId="3" xfId="3" applyFont="1" applyBorder="1"/>
    <xf numFmtId="1" fontId="7" fillId="23" borderId="1" xfId="857" applyNumberFormat="1" applyFont="1" applyFill="1" applyBorder="1" applyAlignment="1">
      <alignment horizontal="right"/>
    </xf>
    <xf numFmtId="1" fontId="7" fillId="23" borderId="30" xfId="857" applyNumberFormat="1" applyFont="1" applyFill="1" applyBorder="1" applyAlignment="1">
      <alignment horizontal="right"/>
    </xf>
    <xf numFmtId="0" fontId="6" fillId="0" borderId="25" xfId="3" applyFont="1" applyBorder="1"/>
    <xf numFmtId="178" fontId="6" fillId="0" borderId="0" xfId="329" applyNumberFormat="1" applyFont="1" applyFill="1"/>
    <xf numFmtId="178" fontId="6" fillId="0" borderId="26" xfId="329" applyNumberFormat="1" applyFont="1" applyFill="1" applyBorder="1"/>
    <xf numFmtId="178" fontId="6" fillId="0" borderId="0" xfId="329" applyNumberFormat="1" applyFont="1" applyBorder="1"/>
    <xf numFmtId="178" fontId="6" fillId="0" borderId="26" xfId="329" applyNumberFormat="1" applyFont="1" applyBorder="1"/>
    <xf numFmtId="178" fontId="22" fillId="0" borderId="21" xfId="329" applyNumberFormat="1" applyFont="1" applyFill="1" applyBorder="1"/>
    <xf numFmtId="0" fontId="6" fillId="0" borderId="26" xfId="3" applyFont="1" applyBorder="1"/>
    <xf numFmtId="178" fontId="11" fillId="0" borderId="0" xfId="329" applyNumberFormat="1" applyFont="1" applyFill="1"/>
    <xf numFmtId="178" fontId="11" fillId="0" borderId="26" xfId="329" applyNumberFormat="1" applyFont="1" applyFill="1" applyBorder="1"/>
    <xf numFmtId="178" fontId="11" fillId="0" borderId="0" xfId="329" applyNumberFormat="1" applyFont="1" applyBorder="1"/>
    <xf numFmtId="178" fontId="11" fillId="0" borderId="26" xfId="329" applyNumberFormat="1" applyFont="1" applyBorder="1"/>
    <xf numFmtId="178" fontId="11" fillId="0" borderId="2" xfId="329" applyNumberFormat="1" applyFont="1" applyFill="1" applyBorder="1"/>
    <xf numFmtId="178" fontId="11" fillId="0" borderId="0" xfId="329" applyNumberFormat="1" applyFont="1" applyFill="1" applyBorder="1"/>
    <xf numFmtId="0" fontId="8" fillId="0" borderId="2" xfId="3" applyFont="1" applyBorder="1" applyAlignment="1">
      <alignment horizontal="left" indent="1"/>
    </xf>
    <xf numFmtId="0" fontId="8" fillId="0" borderId="26" xfId="3" applyFont="1" applyBorder="1" applyAlignment="1">
      <alignment horizontal="left" indent="1"/>
    </xf>
    <xf numFmtId="168" fontId="8" fillId="0" borderId="2" xfId="892" applyNumberFormat="1" applyFont="1" applyBorder="1"/>
    <xf numFmtId="168" fontId="8" fillId="0" borderId="0" xfId="892" applyNumberFormat="1" applyFont="1" applyBorder="1"/>
    <xf numFmtId="168" fontId="8" fillId="0" borderId="3" xfId="892" applyNumberFormat="1" applyFont="1" applyFill="1" applyBorder="1"/>
    <xf numFmtId="168" fontId="8" fillId="0" borderId="28" xfId="892" applyNumberFormat="1" applyFont="1" applyFill="1" applyBorder="1"/>
    <xf numFmtId="178" fontId="22" fillId="0" borderId="3" xfId="329" applyNumberFormat="1" applyFont="1" applyFill="1" applyBorder="1"/>
    <xf numFmtId="178" fontId="6" fillId="0" borderId="28" xfId="329" applyNumberFormat="1" applyFont="1" applyFill="1" applyBorder="1"/>
    <xf numFmtId="178" fontId="6" fillId="0" borderId="3" xfId="329" applyNumberFormat="1" applyFont="1" applyFill="1" applyBorder="1"/>
    <xf numFmtId="178" fontId="6" fillId="0" borderId="27" xfId="329" applyNumberFormat="1" applyFont="1" applyFill="1" applyBorder="1"/>
    <xf numFmtId="178" fontId="6" fillId="0" borderId="0" xfId="329" applyNumberFormat="1" applyFont="1" applyFill="1" applyBorder="1"/>
    <xf numFmtId="178" fontId="6" fillId="0" borderId="2" xfId="329" applyNumberFormat="1" applyFont="1" applyFill="1" applyBorder="1"/>
    <xf numFmtId="0" fontId="7" fillId="0" borderId="27" xfId="3" applyFont="1" applyBorder="1"/>
    <xf numFmtId="0" fontId="7" fillId="0" borderId="28" xfId="3" applyFont="1" applyBorder="1"/>
    <xf numFmtId="178" fontId="7" fillId="0" borderId="1" xfId="329" applyNumberFormat="1" applyFont="1" applyBorder="1"/>
    <xf numFmtId="178" fontId="7" fillId="0" borderId="30" xfId="329" applyNumberFormat="1" applyFont="1" applyBorder="1"/>
    <xf numFmtId="178" fontId="7" fillId="0" borderId="29" xfId="329" applyNumberFormat="1" applyFont="1" applyBorder="1"/>
    <xf numFmtId="178" fontId="6" fillId="0" borderId="1" xfId="329" applyNumberFormat="1" applyFont="1" applyBorder="1"/>
    <xf numFmtId="168" fontId="8" fillId="0" borderId="0" xfId="892" applyNumberFormat="1" applyFont="1" applyFill="1"/>
    <xf numFmtId="178" fontId="11" fillId="0" borderId="0" xfId="3" applyNumberFormat="1" applyFont="1"/>
    <xf numFmtId="0" fontId="13" fillId="0" borderId="0" xfId="3" applyFont="1"/>
    <xf numFmtId="1" fontId="7" fillId="23" borderId="29" xfId="857" applyNumberFormat="1" applyFont="1" applyFill="1" applyBorder="1" applyAlignment="1">
      <alignment horizontal="right"/>
    </xf>
    <xf numFmtId="0" fontId="7" fillId="0" borderId="2" xfId="3" applyFont="1" applyBorder="1"/>
    <xf numFmtId="0" fontId="8" fillId="0" borderId="27" xfId="3" applyFont="1" applyBorder="1" applyAlignment="1">
      <alignment horizontal="left" indent="1"/>
    </xf>
    <xf numFmtId="0" fontId="8" fillId="0" borderId="28" xfId="3" applyFont="1" applyBorder="1" applyAlignment="1">
      <alignment horizontal="left" indent="1"/>
    </xf>
    <xf numFmtId="168" fontId="8" fillId="0" borderId="3" xfId="892" applyNumberFormat="1" applyFont="1" applyBorder="1"/>
    <xf numFmtId="168" fontId="8" fillId="0" borderId="28" xfId="892" applyNumberFormat="1" applyFont="1" applyBorder="1"/>
    <xf numFmtId="168" fontId="8" fillId="0" borderId="27" xfId="892" applyNumberFormat="1" applyFont="1" applyBorder="1"/>
    <xf numFmtId="181" fontId="6" fillId="0" borderId="0" xfId="3" applyNumberFormat="1" applyFont="1"/>
    <xf numFmtId="181" fontId="6" fillId="0" borderId="25" xfId="3" applyNumberFormat="1" applyFont="1" applyBorder="1"/>
    <xf numFmtId="181" fontId="6" fillId="0" borderId="7" xfId="3" applyNumberFormat="1" applyFont="1" applyBorder="1"/>
    <xf numFmtId="181" fontId="6" fillId="0" borderId="21" xfId="3" applyNumberFormat="1" applyFont="1" applyBorder="1"/>
    <xf numFmtId="181" fontId="6" fillId="0" borderId="3" xfId="3" applyNumberFormat="1" applyFont="1" applyBorder="1"/>
    <xf numFmtId="181" fontId="6" fillId="0" borderId="28" xfId="3" applyNumberFormat="1" applyFont="1" applyBorder="1"/>
    <xf numFmtId="181" fontId="6" fillId="0" borderId="27" xfId="3" applyNumberFormat="1" applyFont="1" applyBorder="1"/>
    <xf numFmtId="0" fontId="23" fillId="0" borderId="0" xfId="3" applyFont="1"/>
    <xf numFmtId="0" fontId="23" fillId="0" borderId="0" xfId="3" applyFont="1" applyBorder="1"/>
    <xf numFmtId="0" fontId="7" fillId="0" borderId="3" xfId="3" applyFont="1" applyFill="1" applyBorder="1" applyAlignment="1">
      <alignment horizontal="left"/>
    </xf>
    <xf numFmtId="0" fontId="7" fillId="0" borderId="30" xfId="3" applyFont="1" applyFill="1" applyBorder="1" applyAlignment="1">
      <alignment horizontal="left"/>
    </xf>
    <xf numFmtId="0" fontId="1" fillId="23" borderId="0" xfId="3" applyFont="1" applyFill="1" applyBorder="1"/>
    <xf numFmtId="37" fontId="1" fillId="0" borderId="0" xfId="3" applyNumberFormat="1" applyFont="1" applyFill="1" applyAlignment="1">
      <alignment horizontal="center"/>
    </xf>
    <xf numFmtId="0" fontId="25" fillId="0" borderId="0" xfId="3" applyFont="1"/>
    <xf numFmtId="49" fontId="0" fillId="0" borderId="0" xfId="3" applyNumberFormat="1" applyFont="1"/>
    <xf numFmtId="0" fontId="7" fillId="0" borderId="0" xfId="3" applyFont="1" applyBorder="1"/>
    <xf numFmtId="0" fontId="1" fillId="0" borderId="0" xfId="3" applyFont="1" applyFill="1" applyBorder="1"/>
    <xf numFmtId="0" fontId="36" fillId="0" borderId="0" xfId="858" applyNumberFormat="1" applyFont="1" applyFill="1" applyBorder="1" applyAlignment="1">
      <alignment horizontal="left"/>
    </xf>
    <xf numFmtId="0" fontId="8" fillId="0" borderId="0" xfId="3" applyFont="1" applyBorder="1"/>
    <xf numFmtId="0" fontId="7" fillId="0" borderId="3" xfId="3" applyFont="1" applyBorder="1"/>
    <xf numFmtId="0" fontId="0" fillId="0" borderId="2" xfId="3" applyFont="1" applyBorder="1"/>
    <xf numFmtId="168" fontId="8" fillId="0" borderId="26" xfId="892" applyNumberFormat="1" applyFont="1" applyBorder="1"/>
    <xf numFmtId="164" fontId="7" fillId="0" borderId="0" xfId="3" applyNumberFormat="1" applyFont="1" applyBorder="1"/>
    <xf numFmtId="164" fontId="7" fillId="0" borderId="26" xfId="3" applyNumberFormat="1" applyFont="1" applyBorder="1"/>
    <xf numFmtId="0" fontId="7" fillId="0" borderId="31" xfId="3" applyFont="1" applyBorder="1"/>
    <xf numFmtId="164" fontId="7" fillId="0" borderId="3" xfId="3" applyNumberFormat="1" applyFont="1" applyBorder="1"/>
    <xf numFmtId="164" fontId="7" fillId="0" borderId="28" xfId="3" applyNumberFormat="1" applyFont="1" applyBorder="1"/>
    <xf numFmtId="0" fontId="7" fillId="0" borderId="29" xfId="3" applyFont="1" applyBorder="1"/>
    <xf numFmtId="0" fontId="7" fillId="0" borderId="1" xfId="3" applyFont="1" applyBorder="1"/>
    <xf numFmtId="175" fontId="7" fillId="0" borderId="29" xfId="3" applyNumberFormat="1" applyFont="1" applyBorder="1" applyAlignment="1">
      <alignment horizontal="centerContinuous"/>
    </xf>
    <xf numFmtId="175" fontId="7" fillId="0" borderId="1" xfId="3" applyNumberFormat="1" applyFont="1" applyBorder="1" applyAlignment="1">
      <alignment horizontal="centerContinuous"/>
    </xf>
    <xf numFmtId="175" fontId="7" fillId="0" borderId="30" xfId="3" applyNumberFormat="1" applyFont="1" applyBorder="1" applyAlignment="1">
      <alignment horizontal="centerContinuous"/>
    </xf>
    <xf numFmtId="0" fontId="1" fillId="0" borderId="0" xfId="3" quotePrefix="1" applyFont="1" applyFill="1" applyBorder="1"/>
    <xf numFmtId="184" fontId="6" fillId="0" borderId="0" xfId="329" applyNumberFormat="1" applyFont="1" applyBorder="1"/>
    <xf numFmtId="165" fontId="1" fillId="0" borderId="0" xfId="3" applyNumberFormat="1" applyFont="1"/>
    <xf numFmtId="0" fontId="8" fillId="0" borderId="2" xfId="3" applyFont="1" applyFill="1" applyBorder="1" applyAlignment="1">
      <alignment horizontal="left" indent="2"/>
    </xf>
    <xf numFmtId="168" fontId="6" fillId="0" borderId="31" xfId="3" applyNumberFormat="1" applyFont="1" applyBorder="1"/>
    <xf numFmtId="0" fontId="51" fillId="0" borderId="0" xfId="3" applyFont="1" applyFill="1"/>
    <xf numFmtId="37" fontId="6" fillId="0" borderId="0" xfId="3" applyNumberFormat="1" applyFont="1"/>
    <xf numFmtId="175" fontId="6" fillId="0" borderId="2" xfId="3" applyNumberFormat="1" applyFont="1" applyFill="1" applyBorder="1"/>
    <xf numFmtId="164" fontId="6" fillId="0" borderId="27" xfId="3" applyNumberFormat="1" applyFont="1" applyFill="1" applyBorder="1"/>
    <xf numFmtId="178" fontId="6" fillId="0" borderId="29" xfId="329" applyNumberFormat="1" applyFont="1" applyFill="1" applyBorder="1"/>
    <xf numFmtId="178" fontId="21" fillId="0" borderId="27" xfId="329" applyNumberFormat="1" applyFont="1" applyFill="1" applyBorder="1"/>
    <xf numFmtId="178" fontId="22" fillId="0" borderId="7" xfId="329" applyNumberFormat="1" applyFont="1" applyFill="1" applyBorder="1"/>
    <xf numFmtId="178" fontId="22" fillId="0" borderId="27" xfId="329" applyNumberFormat="1" applyFont="1" applyFill="1" applyBorder="1"/>
    <xf numFmtId="43" fontId="1" fillId="0" borderId="0" xfId="3" applyNumberFormat="1" applyFont="1"/>
    <xf numFmtId="181" fontId="7" fillId="0" borderId="37" xfId="3" applyNumberFormat="1" applyFont="1" applyFill="1" applyBorder="1"/>
    <xf numFmtId="0" fontId="8" fillId="0" borderId="27" xfId="3" applyFont="1" applyBorder="1"/>
    <xf numFmtId="43" fontId="11" fillId="0" borderId="0" xfId="3" applyNumberFormat="1" applyFont="1"/>
    <xf numFmtId="201" fontId="12" fillId="0" borderId="2" xfId="892" applyNumberFormat="1" applyFont="1" applyFill="1" applyBorder="1" applyAlignment="1"/>
    <xf numFmtId="201" fontId="12" fillId="0" borderId="0" xfId="892" applyNumberFormat="1" applyFont="1" applyFill="1" applyBorder="1" applyAlignment="1"/>
    <xf numFmtId="201" fontId="12" fillId="0" borderId="26" xfId="892" applyNumberFormat="1" applyFont="1" applyFill="1" applyBorder="1" applyAlignment="1"/>
    <xf numFmtId="3" fontId="0" fillId="0" borderId="0" xfId="3" applyNumberFormat="1" applyFont="1"/>
    <xf numFmtId="166" fontId="8" fillId="0" borderId="3" xfId="857" applyNumberFormat="1" applyFont="1" applyFill="1" applyBorder="1" applyAlignment="1"/>
    <xf numFmtId="194" fontId="6" fillId="0" borderId="0" xfId="3" applyNumberFormat="1" applyFont="1"/>
    <xf numFmtId="164" fontId="6" fillId="0" borderId="0" xfId="3" applyNumberFormat="1" applyFont="1"/>
    <xf numFmtId="1" fontId="9" fillId="0" borderId="36" xfId="858" applyNumberFormat="1" applyFont="1" applyFill="1" applyBorder="1" applyAlignment="1">
      <alignment horizontal="right"/>
    </xf>
    <xf numFmtId="0" fontId="7" fillId="0" borderId="26" xfId="3" applyFont="1" applyBorder="1"/>
    <xf numFmtId="0" fontId="20" fillId="0" borderId="31" xfId="3" applyFont="1" applyBorder="1"/>
    <xf numFmtId="0" fontId="25" fillId="0" borderId="2" xfId="3" applyFont="1" applyBorder="1"/>
    <xf numFmtId="168" fontId="14" fillId="0" borderId="26" xfId="3" applyNumberFormat="1" applyFont="1" applyBorder="1"/>
    <xf numFmtId="0" fontId="35" fillId="31" borderId="29" xfId="3" applyFont="1" applyFill="1" applyBorder="1"/>
    <xf numFmtId="0" fontId="53" fillId="31" borderId="1" xfId="3" applyFont="1" applyFill="1" applyBorder="1"/>
    <xf numFmtId="1" fontId="53" fillId="31" borderId="1" xfId="858" applyNumberFormat="1" applyFont="1" applyFill="1" applyBorder="1" applyAlignment="1">
      <alignment horizontal="right"/>
    </xf>
    <xf numFmtId="1" fontId="53" fillId="31" borderId="30" xfId="858" applyNumberFormat="1" applyFont="1" applyFill="1" applyBorder="1" applyAlignment="1">
      <alignment horizontal="right"/>
    </xf>
    <xf numFmtId="1" fontId="35" fillId="31" borderId="1" xfId="858" applyNumberFormat="1" applyFont="1" applyFill="1" applyBorder="1" applyAlignment="1">
      <alignment horizontal="right"/>
    </xf>
    <xf numFmtId="1" fontId="35" fillId="31" borderId="30" xfId="858" applyNumberFormat="1" applyFont="1" applyFill="1" applyBorder="1" applyAlignment="1">
      <alignment horizontal="right"/>
    </xf>
    <xf numFmtId="168" fontId="12" fillId="0" borderId="3" xfId="892" applyNumberFormat="1" applyFont="1" applyFill="1" applyBorder="1"/>
    <xf numFmtId="168" fontId="12" fillId="0" borderId="28" xfId="892" applyNumberFormat="1" applyFont="1" applyFill="1" applyBorder="1"/>
    <xf numFmtId="169" fontId="1" fillId="0" borderId="0" xfId="3" applyNumberFormat="1" applyFont="1"/>
    <xf numFmtId="0" fontId="20" fillId="0" borderId="2" xfId="3" applyFont="1" applyFill="1" applyBorder="1"/>
    <xf numFmtId="0" fontId="8" fillId="0" borderId="27" xfId="3" applyFont="1" applyFill="1" applyBorder="1" applyAlignment="1">
      <alignment horizontal="left" indent="1"/>
    </xf>
    <xf numFmtId="164" fontId="18" fillId="0" borderId="0" xfId="3" applyNumberFormat="1" applyFont="1" applyFill="1" applyBorder="1" applyAlignment="1"/>
    <xf numFmtId="0" fontId="25" fillId="0" borderId="7" xfId="3" applyFont="1" applyFill="1" applyBorder="1"/>
    <xf numFmtId="0" fontId="25" fillId="0" borderId="2" xfId="3" applyFont="1" applyFill="1" applyBorder="1"/>
    <xf numFmtId="183" fontId="1" fillId="0" borderId="0" xfId="3" applyNumberFormat="1" applyFont="1"/>
    <xf numFmtId="0" fontId="0" fillId="0" borderId="0" xfId="3" applyFont="1" applyBorder="1"/>
    <xf numFmtId="0" fontId="0" fillId="0" borderId="26" xfId="3" applyFont="1" applyBorder="1"/>
    <xf numFmtId="0" fontId="0" fillId="0" borderId="28" xfId="3" applyFont="1" applyBorder="1"/>
    <xf numFmtId="164" fontId="25" fillId="0" borderId="0" xfId="3" applyNumberFormat="1" applyFont="1" applyFill="1" applyBorder="1" applyAlignment="1"/>
    <xf numFmtId="164" fontId="25" fillId="0" borderId="26" xfId="3" applyNumberFormat="1" applyFont="1" applyFill="1" applyBorder="1" applyAlignment="1"/>
    <xf numFmtId="0" fontId="25" fillId="0" borderId="2" xfId="3" applyFont="1" applyFill="1" applyBorder="1" applyAlignment="1">
      <alignment horizontal="left" indent="1"/>
    </xf>
    <xf numFmtId="166" fontId="52" fillId="32" borderId="8" xfId="857" applyNumberFormat="1" applyFont="1" applyFill="1" applyBorder="1" applyAlignment="1"/>
    <xf numFmtId="0" fontId="56" fillId="0" borderId="0" xfId="3" applyFont="1"/>
    <xf numFmtId="164" fontId="0" fillId="0" borderId="0" xfId="3" applyNumberFormat="1" applyFont="1"/>
    <xf numFmtId="164" fontId="62" fillId="0" borderId="2" xfId="3" applyNumberFormat="1" applyFont="1" applyFill="1" applyBorder="1"/>
    <xf numFmtId="41" fontId="62" fillId="0" borderId="2" xfId="3" applyNumberFormat="1" applyFont="1" applyFill="1" applyBorder="1"/>
    <xf numFmtId="181" fontId="62" fillId="0" borderId="2" xfId="3" applyNumberFormat="1" applyFont="1" applyFill="1" applyBorder="1"/>
    <xf numFmtId="2" fontId="11" fillId="0" borderId="0" xfId="3" applyNumberFormat="1" applyFont="1" applyFill="1" applyBorder="1"/>
    <xf numFmtId="174" fontId="11" fillId="0" borderId="0" xfId="3" applyNumberFormat="1" applyFont="1" applyFill="1" applyBorder="1"/>
    <xf numFmtId="171" fontId="11" fillId="0" borderId="0" xfId="3" applyNumberFormat="1" applyFont="1" applyFill="1" applyBorder="1"/>
    <xf numFmtId="1" fontId="9" fillId="0" borderId="25" xfId="858" applyNumberFormat="1" applyFont="1" applyFill="1" applyBorder="1" applyAlignment="1">
      <alignment horizontal="right"/>
    </xf>
    <xf numFmtId="175" fontId="7" fillId="0" borderId="0" xfId="3" applyNumberFormat="1" applyFont="1" applyBorder="1" applyAlignment="1">
      <alignment horizontal="centerContinuous"/>
    </xf>
    <xf numFmtId="164" fontId="11" fillId="0" borderId="3" xfId="3" applyNumberFormat="1" applyFont="1" applyFill="1" applyBorder="1"/>
    <xf numFmtId="181" fontId="6" fillId="0" borderId="2" xfId="3" applyNumberFormat="1" applyFont="1" applyBorder="1"/>
    <xf numFmtId="181" fontId="6" fillId="0" borderId="0" xfId="3" applyNumberFormat="1" applyFont="1" applyBorder="1"/>
    <xf numFmtId="178" fontId="6" fillId="0" borderId="2" xfId="329" applyNumberFormat="1" applyFont="1" applyBorder="1"/>
    <xf numFmtId="168" fontId="8" fillId="0" borderId="27" xfId="892" applyNumberFormat="1" applyFont="1" applyFill="1" applyBorder="1"/>
    <xf numFmtId="178" fontId="6" fillId="0" borderId="7" xfId="329" applyNumberFormat="1" applyFont="1" applyBorder="1"/>
    <xf numFmtId="178" fontId="6" fillId="0" borderId="21" xfId="329" applyNumberFormat="1" applyFont="1" applyBorder="1"/>
    <xf numFmtId="178" fontId="11" fillId="0" borderId="2" xfId="329" applyNumberFormat="1" applyFont="1" applyBorder="1"/>
    <xf numFmtId="0" fontId="0" fillId="0" borderId="0" xfId="3" applyFont="1" applyFill="1"/>
    <xf numFmtId="169" fontId="6" fillId="0" borderId="0" xfId="3" applyNumberFormat="1" applyFont="1" applyFill="1" applyBorder="1" applyAlignment="1"/>
    <xf numFmtId="169" fontId="6" fillId="0" borderId="2" xfId="3" applyNumberFormat="1" applyFont="1" applyFill="1" applyBorder="1" applyAlignment="1"/>
    <xf numFmtId="170" fontId="6" fillId="0" borderId="0" xfId="3" applyNumberFormat="1" applyFont="1" applyFill="1" applyBorder="1"/>
    <xf numFmtId="170" fontId="6" fillId="0" borderId="2" xfId="3" applyNumberFormat="1" applyFont="1" applyFill="1" applyBorder="1"/>
    <xf numFmtId="2" fontId="6" fillId="0" borderId="0" xfId="3" applyNumberFormat="1" applyFont="1" applyFill="1" applyBorder="1"/>
    <xf numFmtId="171" fontId="6" fillId="0" borderId="0" xfId="3" applyNumberFormat="1" applyFont="1" applyFill="1" applyBorder="1"/>
    <xf numFmtId="175" fontId="6" fillId="0" borderId="7" xfId="3" applyNumberFormat="1" applyFont="1" applyFill="1" applyBorder="1"/>
    <xf numFmtId="41" fontId="6" fillId="0" borderId="2" xfId="3" applyNumberFormat="1" applyFont="1" applyFill="1" applyBorder="1"/>
    <xf numFmtId="41" fontId="6" fillId="0" borderId="0" xfId="3" applyNumberFormat="1" applyFont="1" applyFill="1" applyBorder="1"/>
    <xf numFmtId="41" fontId="6" fillId="0" borderId="26" xfId="3" applyNumberFormat="1" applyFont="1" applyFill="1" applyBorder="1"/>
    <xf numFmtId="0" fontId="7" fillId="0" borderId="27" xfId="3" applyFont="1" applyFill="1" applyBorder="1" applyAlignment="1">
      <alignment horizontal="left"/>
    </xf>
    <xf numFmtId="181" fontId="80" fillId="0" borderId="0" xfId="3" applyNumberFormat="1" applyFont="1" applyFill="1" applyBorder="1"/>
    <xf numFmtId="180" fontId="20" fillId="0" borderId="0" xfId="3" applyNumberFormat="1" applyFont="1" applyBorder="1"/>
    <xf numFmtId="180" fontId="20" fillId="0" borderId="26" xfId="3" applyNumberFormat="1" applyFont="1" applyBorder="1"/>
    <xf numFmtId="180" fontId="6" fillId="0" borderId="0" xfId="3" applyNumberFormat="1" applyFont="1" applyBorder="1"/>
    <xf numFmtId="180" fontId="6" fillId="0" borderId="26" xfId="3" applyNumberFormat="1" applyFont="1" applyBorder="1"/>
    <xf numFmtId="180" fontId="20" fillId="0" borderId="2" xfId="3" applyNumberFormat="1" applyFont="1" applyBorder="1"/>
    <xf numFmtId="168" fontId="14" fillId="0" borderId="26" xfId="892" applyNumberFormat="1" applyFont="1" applyBorder="1"/>
    <xf numFmtId="168" fontId="14" fillId="0" borderId="0" xfId="892" applyNumberFormat="1" applyFont="1" applyBorder="1"/>
    <xf numFmtId="180" fontId="7" fillId="0" borderId="0" xfId="3" applyNumberFormat="1" applyFont="1" applyFill="1" applyBorder="1"/>
    <xf numFmtId="180" fontId="7" fillId="0" borderId="26" xfId="3" applyNumberFormat="1" applyFont="1" applyFill="1" applyBorder="1"/>
    <xf numFmtId="0" fontId="0" fillId="0" borderId="25" xfId="3" applyFont="1" applyBorder="1"/>
    <xf numFmtId="180" fontId="11" fillId="0" borderId="7" xfId="3" applyNumberFormat="1" applyFont="1" applyBorder="1" applyAlignment="1">
      <alignment horizontal="right"/>
    </xf>
    <xf numFmtId="180" fontId="11" fillId="0" borderId="21" xfId="3" applyNumberFormat="1" applyFont="1" applyBorder="1" applyAlignment="1">
      <alignment horizontal="right"/>
    </xf>
    <xf numFmtId="6" fontId="0" fillId="0" borderId="21" xfId="3" applyNumberFormat="1" applyFont="1" applyBorder="1" applyAlignment="1">
      <alignment horizontal="center"/>
    </xf>
    <xf numFmtId="6" fontId="0" fillId="0" borderId="25" xfId="3" applyNumberFormat="1" applyFont="1" applyBorder="1" applyAlignment="1">
      <alignment horizontal="center"/>
    </xf>
    <xf numFmtId="6" fontId="0" fillId="0" borderId="7" xfId="3" applyNumberFormat="1" applyFont="1" applyBorder="1" applyAlignment="1">
      <alignment horizontal="center"/>
    </xf>
    <xf numFmtId="0" fontId="0" fillId="0" borderId="31" xfId="3" applyFont="1" applyBorder="1"/>
    <xf numFmtId="180" fontId="6" fillId="0" borderId="21" xfId="3" applyNumberFormat="1" applyFont="1" applyBorder="1"/>
    <xf numFmtId="180" fontId="6" fillId="0" borderId="25" xfId="3" applyNumberFormat="1" applyFont="1" applyBorder="1"/>
    <xf numFmtId="180" fontId="11" fillId="0" borderId="2" xfId="3" applyNumberFormat="1" applyFont="1" applyBorder="1" applyAlignment="1">
      <alignment horizontal="right"/>
    </xf>
    <xf numFmtId="180" fontId="11" fillId="0" borderId="0" xfId="3" applyNumberFormat="1" applyFont="1" applyBorder="1" applyAlignment="1">
      <alignment horizontal="right"/>
    </xf>
    <xf numFmtId="6" fontId="0" fillId="0" borderId="0" xfId="3" applyNumberFormat="1" applyFont="1" applyBorder="1" applyAlignment="1">
      <alignment horizontal="center"/>
    </xf>
    <xf numFmtId="6" fontId="0" fillId="0" borderId="26" xfId="3" applyNumberFormat="1" applyFont="1" applyBorder="1" applyAlignment="1">
      <alignment horizontal="center"/>
    </xf>
    <xf numFmtId="6" fontId="0" fillId="0" borderId="2" xfId="3" applyNumberFormat="1" applyFont="1" applyBorder="1" applyAlignment="1">
      <alignment horizontal="center"/>
    </xf>
    <xf numFmtId="180" fontId="6" fillId="0" borderId="3" xfId="3" applyNumberFormat="1" applyFont="1" applyBorder="1"/>
    <xf numFmtId="180" fontId="6" fillId="0" borderId="28" xfId="3" applyNumberFormat="1" applyFont="1" applyBorder="1"/>
    <xf numFmtId="0" fontId="20" fillId="0" borderId="29" xfId="3" applyFont="1" applyFill="1" applyBorder="1" applyAlignment="1"/>
    <xf numFmtId="0" fontId="19" fillId="0" borderId="30" xfId="3" applyFont="1" applyBorder="1"/>
    <xf numFmtId="180" fontId="20" fillId="0" borderId="29" xfId="3" applyNumberFormat="1" applyFont="1" applyBorder="1" applyAlignment="1">
      <alignment horizontal="right"/>
    </xf>
    <xf numFmtId="180" fontId="20" fillId="0" borderId="1" xfId="3" applyNumberFormat="1" applyFont="1" applyBorder="1" applyAlignment="1">
      <alignment horizontal="right"/>
    </xf>
    <xf numFmtId="180" fontId="20" fillId="0" borderId="30" xfId="3" applyNumberFormat="1" applyFont="1" applyBorder="1" applyAlignment="1">
      <alignment horizontal="right"/>
    </xf>
    <xf numFmtId="6" fontId="19" fillId="0" borderId="1" xfId="3" applyNumberFormat="1" applyFont="1" applyBorder="1" applyAlignment="1">
      <alignment horizontal="center"/>
    </xf>
    <xf numFmtId="6" fontId="19" fillId="0" borderId="30" xfId="3" applyNumberFormat="1" applyFont="1" applyBorder="1" applyAlignment="1">
      <alignment horizontal="center"/>
    </xf>
    <xf numFmtId="6" fontId="19" fillId="0" borderId="29" xfId="3" applyNumberFormat="1" applyFont="1" applyBorder="1" applyAlignment="1">
      <alignment horizontal="center"/>
    </xf>
    <xf numFmtId="0" fontId="19" fillId="0" borderId="31" xfId="3" applyFont="1" applyBorder="1"/>
    <xf numFmtId="183" fontId="20" fillId="0" borderId="1" xfId="3" applyNumberFormat="1" applyFont="1" applyBorder="1"/>
    <xf numFmtId="164" fontId="20" fillId="0" borderId="1" xfId="3" applyNumberFormat="1" applyFont="1" applyBorder="1"/>
    <xf numFmtId="164" fontId="20" fillId="0" borderId="30" xfId="3" applyNumberFormat="1" applyFont="1" applyBorder="1"/>
    <xf numFmtId="175" fontId="7" fillId="0" borderId="29" xfId="3" applyNumberFormat="1" applyFont="1" applyBorder="1" applyAlignment="1">
      <alignment horizontal="center"/>
    </xf>
    <xf numFmtId="175" fontId="7" fillId="0" borderId="1" xfId="3" applyNumberFormat="1" applyFont="1" applyBorder="1" applyAlignment="1">
      <alignment horizontal="center"/>
    </xf>
    <xf numFmtId="0" fontId="0" fillId="0" borderId="0" xfId="3" applyFont="1" applyFill="1" applyBorder="1"/>
    <xf numFmtId="0" fontId="8" fillId="0" borderId="7" xfId="3" applyFont="1" applyFill="1" applyBorder="1"/>
    <xf numFmtId="168" fontId="14" fillId="0" borderId="7" xfId="892" applyNumberFormat="1" applyFont="1" applyBorder="1" applyAlignment="1">
      <alignment horizontal="right"/>
    </xf>
    <xf numFmtId="168" fontId="14" fillId="0" borderId="21" xfId="892" applyNumberFormat="1" applyFont="1" applyBorder="1" applyAlignment="1">
      <alignment horizontal="right"/>
    </xf>
    <xf numFmtId="168" fontId="14" fillId="0" borderId="25" xfId="892" applyNumberFormat="1" applyFont="1" applyBorder="1" applyAlignment="1">
      <alignment horizontal="right"/>
    </xf>
    <xf numFmtId="9" fontId="0" fillId="0" borderId="21" xfId="3" applyNumberFormat="1" applyFont="1" applyBorder="1" applyAlignment="1">
      <alignment horizontal="center"/>
    </xf>
    <xf numFmtId="9" fontId="0" fillId="0" borderId="25" xfId="3" applyNumberFormat="1" applyFont="1" applyBorder="1" applyAlignment="1">
      <alignment horizontal="center"/>
    </xf>
    <xf numFmtId="9" fontId="0" fillId="0" borderId="7" xfId="3" applyNumberFormat="1" applyFont="1" applyBorder="1" applyAlignment="1">
      <alignment horizontal="center"/>
    </xf>
    <xf numFmtId="168" fontId="14" fillId="0" borderId="21" xfId="892" applyNumberFormat="1" applyFont="1" applyBorder="1"/>
    <xf numFmtId="168" fontId="8" fillId="0" borderId="21" xfId="892" applyNumberFormat="1" applyFont="1" applyBorder="1"/>
    <xf numFmtId="168" fontId="14" fillId="0" borderId="25" xfId="892" applyNumberFormat="1" applyFont="1" applyBorder="1"/>
    <xf numFmtId="0" fontId="0" fillId="0" borderId="26" xfId="3" applyFont="1" applyFill="1" applyBorder="1"/>
    <xf numFmtId="0" fontId="8" fillId="0" borderId="2" xfId="3" applyFont="1" applyFill="1" applyBorder="1"/>
    <xf numFmtId="168" fontId="14" fillId="0" borderId="2" xfId="892" applyNumberFormat="1" applyFont="1" applyBorder="1" applyAlignment="1">
      <alignment horizontal="right"/>
    </xf>
    <xf numFmtId="168" fontId="14" fillId="0" borderId="0" xfId="892" applyNumberFormat="1" applyFont="1" applyBorder="1" applyAlignment="1">
      <alignment horizontal="right"/>
    </xf>
    <xf numFmtId="168" fontId="14" fillId="0" borderId="26" xfId="892" applyNumberFormat="1" applyFont="1" applyBorder="1" applyAlignment="1">
      <alignment horizontal="right"/>
    </xf>
    <xf numFmtId="9" fontId="0" fillId="0" borderId="0" xfId="3" applyNumberFormat="1" applyFont="1" applyBorder="1" applyAlignment="1">
      <alignment horizontal="center"/>
    </xf>
    <xf numFmtId="9" fontId="0" fillId="0" borderId="26" xfId="3" applyNumberFormat="1" applyFont="1" applyBorder="1" applyAlignment="1">
      <alignment horizontal="center"/>
    </xf>
    <xf numFmtId="9" fontId="0" fillId="0" borderId="2" xfId="3" applyNumberFormat="1" applyFont="1" applyBorder="1" applyAlignment="1">
      <alignment horizontal="center"/>
    </xf>
    <xf numFmtId="168" fontId="8" fillId="0" borderId="0" xfId="892" applyNumberFormat="1" applyFont="1" applyBorder="1" applyAlignment="1">
      <alignment horizontal="right"/>
    </xf>
    <xf numFmtId="168" fontId="14" fillId="0" borderId="2" xfId="892" applyNumberFormat="1" applyFont="1" applyBorder="1"/>
    <xf numFmtId="0" fontId="81" fillId="0" borderId="29" xfId="3" applyFont="1" applyBorder="1" applyAlignment="1"/>
    <xf numFmtId="168" fontId="81" fillId="0" borderId="29" xfId="892" applyNumberFormat="1" applyFont="1" applyBorder="1" applyAlignment="1">
      <alignment horizontal="right"/>
    </xf>
    <xf numFmtId="168" fontId="81" fillId="0" borderId="1" xfId="892" applyNumberFormat="1" applyFont="1" applyBorder="1" applyAlignment="1">
      <alignment horizontal="right"/>
    </xf>
    <xf numFmtId="168" fontId="81" fillId="0" borderId="30" xfId="892" applyNumberFormat="1" applyFont="1" applyBorder="1" applyAlignment="1">
      <alignment horizontal="right"/>
    </xf>
    <xf numFmtId="9" fontId="19" fillId="0" borderId="1" xfId="3" applyNumberFormat="1" applyFont="1" applyBorder="1" applyAlignment="1">
      <alignment horizontal="center"/>
    </xf>
    <xf numFmtId="9" fontId="19" fillId="0" borderId="30" xfId="3" applyNumberFormat="1" applyFont="1" applyBorder="1" applyAlignment="1">
      <alignment horizontal="center"/>
    </xf>
    <xf numFmtId="9" fontId="19" fillId="0" borderId="29" xfId="3" applyNumberFormat="1" applyFont="1" applyBorder="1" applyAlignment="1">
      <alignment horizontal="center"/>
    </xf>
    <xf numFmtId="168" fontId="81" fillId="0" borderId="1" xfId="892" applyNumberFormat="1" applyFont="1" applyBorder="1"/>
    <xf numFmtId="168" fontId="54" fillId="0" borderId="1" xfId="892" applyNumberFormat="1" applyFont="1" applyBorder="1"/>
    <xf numFmtId="168" fontId="81" fillId="0" borderId="30" xfId="892" applyNumberFormat="1" applyFont="1" applyBorder="1"/>
    <xf numFmtId="0" fontId="7" fillId="0" borderId="0" xfId="3" applyFont="1" applyFill="1" applyBorder="1"/>
    <xf numFmtId="168" fontId="14" fillId="0" borderId="0" xfId="892" applyNumberFormat="1" applyFont="1" applyFill="1" applyBorder="1"/>
    <xf numFmtId="180" fontId="20" fillId="0" borderId="26" xfId="3" applyNumberFormat="1" applyFont="1" applyFill="1" applyBorder="1"/>
    <xf numFmtId="180" fontId="20" fillId="0" borderId="0" xfId="3" applyNumberFormat="1" applyFont="1" applyFill="1" applyBorder="1"/>
    <xf numFmtId="167" fontId="6" fillId="0" borderId="0" xfId="3" applyNumberFormat="1" applyFont="1" applyFill="1"/>
    <xf numFmtId="0" fontId="6" fillId="0" borderId="30" xfId="3" applyFont="1" applyBorder="1"/>
    <xf numFmtId="0" fontId="0" fillId="0" borderId="25" xfId="3" applyFont="1" applyFill="1" applyBorder="1"/>
    <xf numFmtId="180" fontId="7" fillId="0" borderId="2" xfId="3" applyNumberFormat="1" applyFont="1" applyFill="1" applyBorder="1"/>
    <xf numFmtId="180" fontId="20" fillId="0" borderId="7" xfId="3" applyNumberFormat="1" applyFont="1" applyBorder="1"/>
    <xf numFmtId="180" fontId="20" fillId="0" borderId="21" xfId="3" applyNumberFormat="1" applyFont="1" applyBorder="1"/>
    <xf numFmtId="180" fontId="20" fillId="0" borderId="25" xfId="3" applyNumberFormat="1" applyFont="1" applyBorder="1"/>
    <xf numFmtId="164" fontId="7" fillId="0" borderId="27" xfId="3" applyNumberFormat="1" applyFont="1" applyBorder="1"/>
    <xf numFmtId="164" fontId="7" fillId="0" borderId="3" xfId="3" applyNumberFormat="1" applyFont="1" applyFill="1" applyBorder="1"/>
    <xf numFmtId="0" fontId="25" fillId="0" borderId="26" xfId="3" applyFont="1" applyFill="1" applyBorder="1"/>
    <xf numFmtId="181" fontId="26" fillId="0" borderId="2" xfId="3" applyNumberFormat="1" applyFont="1" applyFill="1" applyBorder="1"/>
    <xf numFmtId="181" fontId="26" fillId="0" borderId="0" xfId="3" applyNumberFormat="1" applyFont="1" applyFill="1" applyBorder="1"/>
    <xf numFmtId="181" fontId="26" fillId="0" borderId="26" xfId="3" applyNumberFormat="1" applyFont="1" applyFill="1" applyBorder="1"/>
    <xf numFmtId="0" fontId="25" fillId="0" borderId="31" xfId="3" applyFont="1" applyFill="1" applyBorder="1"/>
    <xf numFmtId="0" fontId="25" fillId="0" borderId="31" xfId="3" applyFont="1" applyBorder="1"/>
    <xf numFmtId="181" fontId="25" fillId="0" borderId="2" xfId="3" applyNumberFormat="1" applyFont="1" applyFill="1" applyBorder="1"/>
    <xf numFmtId="181" fontId="25" fillId="0" borderId="0" xfId="3" applyNumberFormat="1" applyFont="1" applyFill="1" applyBorder="1"/>
    <xf numFmtId="181" fontId="25" fillId="0" borderId="26" xfId="3" applyNumberFormat="1" applyFont="1" applyFill="1" applyBorder="1"/>
    <xf numFmtId="164" fontId="7" fillId="0" borderId="28" xfId="3" applyNumberFormat="1" applyFont="1" applyFill="1" applyBorder="1"/>
    <xf numFmtId="168" fontId="8" fillId="0" borderId="0" xfId="3" applyNumberFormat="1" applyFont="1" applyFill="1" applyBorder="1"/>
    <xf numFmtId="168" fontId="8" fillId="0" borderId="26" xfId="3" applyNumberFormat="1" applyFont="1" applyFill="1" applyBorder="1"/>
    <xf numFmtId="180" fontId="20" fillId="0" borderId="21" xfId="3" applyNumberFormat="1" applyFont="1" applyFill="1" applyBorder="1"/>
    <xf numFmtId="0" fontId="61" fillId="0" borderId="0" xfId="3" applyFont="1"/>
    <xf numFmtId="164" fontId="11" fillId="0" borderId="27" xfId="3" applyNumberFormat="1" applyFont="1" applyFill="1" applyBorder="1"/>
    <xf numFmtId="178" fontId="11" fillId="0" borderId="28" xfId="329" applyNumberFormat="1" applyFont="1" applyBorder="1"/>
    <xf numFmtId="178" fontId="11" fillId="0" borderId="25" xfId="329" applyNumberFormat="1" applyFont="1" applyBorder="1"/>
    <xf numFmtId="164" fontId="13" fillId="0" borderId="26" xfId="3" applyNumberFormat="1" applyFont="1" applyFill="1" applyBorder="1" applyAlignment="1"/>
    <xf numFmtId="167" fontId="13" fillId="0" borderId="26" xfId="3" applyNumberFormat="1" applyFont="1" applyFill="1" applyBorder="1" applyAlignment="1"/>
    <xf numFmtId="202" fontId="11" fillId="0" borderId="0" xfId="3" applyNumberFormat="1" applyFont="1" applyFill="1" applyBorder="1"/>
    <xf numFmtId="202" fontId="11" fillId="0" borderId="26" xfId="3" applyNumberFormat="1" applyFont="1" applyFill="1" applyBorder="1"/>
    <xf numFmtId="202" fontId="11" fillId="0" borderId="2" xfId="3" applyNumberFormat="1" applyFont="1" applyFill="1" applyBorder="1"/>
    <xf numFmtId="0" fontId="55" fillId="33" borderId="0" xfId="3" applyFont="1" applyFill="1"/>
    <xf numFmtId="0" fontId="0" fillId="33" borderId="0" xfId="3" applyFont="1" applyFill="1"/>
    <xf numFmtId="0" fontId="58" fillId="33" borderId="0" xfId="3" applyFont="1" applyFill="1"/>
    <xf numFmtId="0" fontId="59" fillId="33" borderId="0" xfId="3" applyFont="1" applyFill="1"/>
    <xf numFmtId="14" fontId="0" fillId="0" borderId="0" xfId="3" applyNumberFormat="1" applyFont="1"/>
    <xf numFmtId="0" fontId="7" fillId="33" borderId="29" xfId="3" applyFont="1" applyFill="1" applyBorder="1"/>
    <xf numFmtId="0" fontId="7" fillId="33" borderId="1" xfId="3" applyFont="1" applyFill="1" applyBorder="1"/>
    <xf numFmtId="1" fontId="7" fillId="33" borderId="1" xfId="858" applyNumberFormat="1" applyFont="1" applyFill="1" applyBorder="1" applyAlignment="1">
      <alignment horizontal="right"/>
    </xf>
    <xf numFmtId="1" fontId="7" fillId="33" borderId="30" xfId="858" applyNumberFormat="1" applyFont="1" applyFill="1" applyBorder="1" applyAlignment="1">
      <alignment horizontal="right"/>
    </xf>
    <xf numFmtId="1" fontId="35" fillId="33" borderId="29" xfId="858" applyNumberFormat="1" applyFont="1" applyFill="1" applyBorder="1" applyAlignment="1">
      <alignment horizontal="right"/>
    </xf>
    <xf numFmtId="1" fontId="35" fillId="33" borderId="1" xfId="858" applyNumberFormat="1" applyFont="1" applyFill="1" applyBorder="1" applyAlignment="1">
      <alignment horizontal="right"/>
    </xf>
    <xf numFmtId="1" fontId="35" fillId="33" borderId="30" xfId="858" applyNumberFormat="1" applyFont="1" applyFill="1" applyBorder="1" applyAlignment="1">
      <alignment horizontal="right"/>
    </xf>
    <xf numFmtId="168" fontId="12" fillId="0" borderId="0" xfId="892" applyNumberFormat="1" applyFont="1" applyBorder="1"/>
    <xf numFmtId="0" fontId="20" fillId="0" borderId="2" xfId="3" applyFont="1" applyBorder="1"/>
    <xf numFmtId="164" fontId="20" fillId="0" borderId="2" xfId="3" applyNumberFormat="1" applyFont="1" applyFill="1" applyBorder="1" applyAlignment="1"/>
    <xf numFmtId="164" fontId="20" fillId="0" borderId="0" xfId="3" applyNumberFormat="1" applyFont="1" applyFill="1" applyBorder="1" applyAlignment="1"/>
    <xf numFmtId="164" fontId="20" fillId="0" borderId="26" xfId="3" applyNumberFormat="1" applyFont="1" applyFill="1" applyBorder="1" applyAlignment="1"/>
    <xf numFmtId="0" fontId="20" fillId="0" borderId="26" xfId="3" applyFont="1" applyBorder="1"/>
    <xf numFmtId="0" fontId="60" fillId="33" borderId="2" xfId="3" applyFont="1" applyFill="1" applyBorder="1"/>
    <xf numFmtId="0" fontId="42" fillId="33" borderId="0" xfId="3" applyFont="1" applyFill="1" applyBorder="1"/>
    <xf numFmtId="164" fontId="42" fillId="33" borderId="0" xfId="3" applyNumberFormat="1" applyFont="1" applyFill="1" applyBorder="1"/>
    <xf numFmtId="164" fontId="42" fillId="33" borderId="26" xfId="3" applyNumberFormat="1" applyFont="1" applyFill="1" applyBorder="1"/>
    <xf numFmtId="164" fontId="60" fillId="33" borderId="0" xfId="3" applyNumberFormat="1" applyFont="1" applyFill="1" applyBorder="1"/>
    <xf numFmtId="164" fontId="60" fillId="33" borderId="26" xfId="3" applyNumberFormat="1" applyFont="1" applyFill="1" applyBorder="1"/>
    <xf numFmtId="1" fontId="53" fillId="31" borderId="26" xfId="858" applyNumberFormat="1" applyFont="1" applyFill="1" applyBorder="1" applyAlignment="1">
      <alignment horizontal="right"/>
    </xf>
    <xf numFmtId="1" fontId="6" fillId="0" borderId="31" xfId="3" applyNumberFormat="1" applyFont="1" applyBorder="1"/>
    <xf numFmtId="180" fontId="11" fillId="23" borderId="7" xfId="3" applyNumberFormat="1" applyFont="1" applyFill="1" applyBorder="1" applyAlignment="1">
      <alignment horizontal="right"/>
    </xf>
    <xf numFmtId="180" fontId="11" fillId="23" borderId="21" xfId="3" applyNumberFormat="1" applyFont="1" applyFill="1" applyBorder="1" applyAlignment="1">
      <alignment horizontal="right"/>
    </xf>
    <xf numFmtId="180" fontId="13" fillId="23" borderId="25" xfId="3" applyNumberFormat="1" applyFont="1" applyFill="1" applyBorder="1" applyAlignment="1">
      <alignment horizontal="right"/>
    </xf>
    <xf numFmtId="180" fontId="11" fillId="0" borderId="25" xfId="3" applyNumberFormat="1" applyFont="1" applyBorder="1" applyAlignment="1">
      <alignment horizontal="right"/>
    </xf>
    <xf numFmtId="180" fontId="6" fillId="23" borderId="7" xfId="3" applyNumberFormat="1" applyFont="1" applyFill="1" applyBorder="1"/>
    <xf numFmtId="180" fontId="11" fillId="23" borderId="2" xfId="3" applyNumberFormat="1" applyFont="1" applyFill="1" applyBorder="1" applyAlignment="1">
      <alignment horizontal="right"/>
    </xf>
    <xf numFmtId="180" fontId="11" fillId="23" borderId="0" xfId="3" applyNumberFormat="1" applyFont="1" applyFill="1" applyBorder="1" applyAlignment="1">
      <alignment horizontal="right"/>
    </xf>
    <xf numFmtId="180" fontId="13" fillId="23" borderId="26" xfId="3" applyNumberFormat="1" applyFont="1" applyFill="1" applyBorder="1" applyAlignment="1">
      <alignment horizontal="right"/>
    </xf>
    <xf numFmtId="180" fontId="11" fillId="0" borderId="26" xfId="3" applyNumberFormat="1" applyFont="1" applyBorder="1" applyAlignment="1">
      <alignment horizontal="right"/>
    </xf>
    <xf numFmtId="180" fontId="6" fillId="23" borderId="2" xfId="3" applyNumberFormat="1" applyFont="1" applyFill="1" applyBorder="1"/>
    <xf numFmtId="180" fontId="6" fillId="23" borderId="2" xfId="3" applyNumberFormat="1" applyFont="1" applyFill="1" applyBorder="1" applyAlignment="1">
      <alignment horizontal="right"/>
    </xf>
    <xf numFmtId="180" fontId="6" fillId="23" borderId="0" xfId="3" applyNumberFormat="1" applyFont="1" applyFill="1" applyBorder="1" applyAlignment="1">
      <alignment horizontal="right"/>
    </xf>
    <xf numFmtId="180" fontId="6" fillId="23" borderId="26" xfId="3" applyNumberFormat="1" applyFont="1" applyFill="1" applyBorder="1" applyAlignment="1">
      <alignment horizontal="right"/>
    </xf>
    <xf numFmtId="180" fontId="20" fillId="23" borderId="29" xfId="3" applyNumberFormat="1" applyFont="1" applyFill="1" applyBorder="1" applyAlignment="1">
      <alignment horizontal="right"/>
    </xf>
    <xf numFmtId="180" fontId="20" fillId="23" borderId="1" xfId="3" applyNumberFormat="1" applyFont="1" applyFill="1" applyBorder="1" applyAlignment="1">
      <alignment horizontal="right"/>
    </xf>
    <xf numFmtId="180" fontId="20" fillId="23" borderId="30" xfId="3" applyNumberFormat="1" applyFont="1" applyFill="1" applyBorder="1" applyAlignment="1">
      <alignment horizontal="right"/>
    </xf>
    <xf numFmtId="164" fontId="20" fillId="23" borderId="1" xfId="3" applyNumberFormat="1" applyFont="1" applyFill="1" applyBorder="1"/>
    <xf numFmtId="175" fontId="7" fillId="23" borderId="29" xfId="3" applyNumberFormat="1" applyFont="1" applyFill="1" applyBorder="1" applyAlignment="1">
      <alignment horizontal="center"/>
    </xf>
    <xf numFmtId="175" fontId="7" fillId="23" borderId="1" xfId="3" applyNumberFormat="1" applyFont="1" applyFill="1" applyBorder="1" applyAlignment="1">
      <alignment horizontal="center"/>
    </xf>
    <xf numFmtId="175" fontId="7" fillId="23" borderId="29" xfId="3" applyNumberFormat="1" applyFont="1" applyFill="1" applyBorder="1" applyAlignment="1">
      <alignment horizontal="centerContinuous"/>
    </xf>
    <xf numFmtId="168" fontId="14" fillId="23" borderId="7" xfId="892" applyNumberFormat="1" applyFont="1" applyFill="1" applyBorder="1" applyAlignment="1">
      <alignment horizontal="right"/>
    </xf>
    <xf numFmtId="168" fontId="14" fillId="23" borderId="21" xfId="892" applyNumberFormat="1" applyFont="1" applyFill="1" applyBorder="1" applyAlignment="1">
      <alignment horizontal="right"/>
    </xf>
    <xf numFmtId="168" fontId="14" fillId="23" borderId="25" xfId="892" applyNumberFormat="1" applyFont="1" applyFill="1" applyBorder="1" applyAlignment="1">
      <alignment horizontal="right"/>
    </xf>
    <xf numFmtId="168" fontId="14" fillId="23" borderId="7" xfId="892" applyNumberFormat="1" applyFont="1" applyFill="1" applyBorder="1"/>
    <xf numFmtId="168" fontId="14" fillId="23" borderId="2" xfId="892" applyNumberFormat="1" applyFont="1" applyFill="1" applyBorder="1" applyAlignment="1">
      <alignment horizontal="right"/>
    </xf>
    <xf numFmtId="168" fontId="14" fillId="23" borderId="0" xfId="892" applyNumberFormat="1" applyFont="1" applyFill="1" applyBorder="1" applyAlignment="1">
      <alignment horizontal="right"/>
    </xf>
    <xf numFmtId="168" fontId="14" fillId="23" borderId="26" xfId="892" applyNumberFormat="1" applyFont="1" applyFill="1" applyBorder="1" applyAlignment="1">
      <alignment horizontal="right"/>
    </xf>
    <xf numFmtId="168" fontId="14" fillId="23" borderId="2" xfId="892" applyNumberFormat="1" applyFont="1" applyFill="1" applyBorder="1"/>
    <xf numFmtId="168" fontId="81" fillId="23" borderId="29" xfId="892" applyNumberFormat="1" applyFont="1" applyFill="1" applyBorder="1" applyAlignment="1">
      <alignment horizontal="right"/>
    </xf>
    <xf numFmtId="168" fontId="81" fillId="23" borderId="1" xfId="892" applyNumberFormat="1" applyFont="1" applyFill="1" applyBorder="1" applyAlignment="1">
      <alignment horizontal="right"/>
    </xf>
    <xf numFmtId="168" fontId="81" fillId="23" borderId="30" xfId="892" applyNumberFormat="1" applyFont="1" applyFill="1" applyBorder="1" applyAlignment="1">
      <alignment horizontal="right"/>
    </xf>
    <xf numFmtId="168" fontId="81" fillId="23" borderId="29" xfId="892" applyNumberFormat="1" applyFont="1" applyFill="1" applyBorder="1"/>
    <xf numFmtId="180" fontId="6" fillId="0" borderId="7" xfId="3" applyNumberFormat="1" applyFont="1" applyBorder="1" applyAlignment="1">
      <alignment horizontal="right"/>
    </xf>
    <xf numFmtId="180" fontId="6" fillId="0" borderId="21" xfId="3" applyNumberFormat="1" applyFont="1" applyBorder="1" applyAlignment="1">
      <alignment horizontal="right"/>
    </xf>
    <xf numFmtId="180" fontId="6" fillId="0" borderId="25" xfId="3" applyNumberFormat="1" applyFont="1" applyBorder="1" applyAlignment="1">
      <alignment horizontal="right"/>
    </xf>
    <xf numFmtId="180" fontId="6" fillId="0" borderId="2" xfId="3" applyNumberFormat="1" applyFont="1" applyBorder="1" applyAlignment="1">
      <alignment horizontal="right"/>
    </xf>
    <xf numFmtId="180" fontId="6" fillId="0" borderId="0" xfId="3" applyNumberFormat="1" applyFont="1" applyBorder="1" applyAlignment="1">
      <alignment horizontal="right"/>
    </xf>
    <xf numFmtId="180" fontId="6" fillId="0" borderId="26" xfId="3" applyNumberFormat="1" applyFont="1" applyBorder="1" applyAlignment="1">
      <alignment horizontal="right"/>
    </xf>
    <xf numFmtId="183" fontId="20" fillId="23" borderId="29" xfId="3" applyNumberFormat="1" applyFont="1" applyFill="1" applyBorder="1"/>
    <xf numFmtId="168" fontId="15" fillId="0" borderId="7" xfId="892" applyNumberFormat="1" applyFont="1" applyFill="1" applyBorder="1" applyAlignment="1">
      <alignment horizontal="right"/>
    </xf>
    <xf numFmtId="168" fontId="15" fillId="0" borderId="21" xfId="892" applyNumberFormat="1" applyFont="1" applyFill="1" applyBorder="1" applyAlignment="1">
      <alignment horizontal="right"/>
    </xf>
    <xf numFmtId="168" fontId="15" fillId="0" borderId="25" xfId="892" applyNumberFormat="1" applyFont="1" applyFill="1" applyBorder="1" applyAlignment="1">
      <alignment horizontal="right"/>
    </xf>
    <xf numFmtId="168" fontId="15" fillId="0" borderId="2" xfId="892" applyNumberFormat="1" applyFont="1" applyBorder="1" applyAlignment="1">
      <alignment horizontal="right"/>
    </xf>
    <xf numFmtId="168" fontId="15" fillId="0" borderId="0" xfId="892" applyNumberFormat="1" applyFont="1" applyBorder="1" applyAlignment="1">
      <alignment horizontal="right"/>
    </xf>
    <xf numFmtId="168" fontId="15" fillId="0" borderId="26" xfId="892" applyNumberFormat="1" applyFont="1" applyBorder="1" applyAlignment="1">
      <alignment horizontal="right"/>
    </xf>
    <xf numFmtId="180" fontId="6" fillId="23" borderId="27" xfId="3" applyNumberFormat="1" applyFont="1" applyFill="1" applyBorder="1"/>
    <xf numFmtId="0" fontId="14" fillId="23" borderId="7" xfId="892" applyNumberFormat="1" applyFont="1" applyFill="1" applyBorder="1" applyAlignment="1">
      <alignment horizontal="right"/>
    </xf>
    <xf numFmtId="0" fontId="25" fillId="0" borderId="27" xfId="3" applyFont="1" applyFill="1" applyBorder="1"/>
    <xf numFmtId="180" fontId="11" fillId="0" borderId="27" xfId="3" applyNumberFormat="1" applyFont="1" applyBorder="1" applyAlignment="1">
      <alignment horizontal="right"/>
    </xf>
    <xf numFmtId="180" fontId="11" fillId="0" borderId="3" xfId="3" applyNumberFormat="1" applyFont="1" applyBorder="1" applyAlignment="1">
      <alignment horizontal="right"/>
    </xf>
    <xf numFmtId="180" fontId="11" fillId="0" borderId="28" xfId="3" applyNumberFormat="1" applyFont="1" applyBorder="1" applyAlignment="1">
      <alignment horizontal="right"/>
    </xf>
    <xf numFmtId="6" fontId="0" fillId="0" borderId="3" xfId="3" applyNumberFormat="1" applyFont="1" applyBorder="1" applyAlignment="1">
      <alignment horizontal="center"/>
    </xf>
    <xf numFmtId="6" fontId="0" fillId="0" borderId="28" xfId="3" applyNumberFormat="1" applyFont="1" applyBorder="1" applyAlignment="1">
      <alignment horizontal="center"/>
    </xf>
    <xf numFmtId="6" fontId="0" fillId="0" borderId="27" xfId="3" applyNumberFormat="1" applyFont="1" applyBorder="1" applyAlignment="1">
      <alignment horizontal="center"/>
    </xf>
    <xf numFmtId="8" fontId="0" fillId="0" borderId="0" xfId="3" applyNumberFormat="1" applyFont="1"/>
    <xf numFmtId="0" fontId="38" fillId="0" borderId="0" xfId="1173" applyFont="1" applyFill="1" applyAlignment="1">
      <alignment horizontal="center"/>
    </xf>
    <xf numFmtId="174" fontId="25" fillId="0" borderId="0" xfId="3" applyNumberFormat="1" applyFont="1" applyFill="1" applyBorder="1"/>
    <xf numFmtId="174" fontId="25" fillId="0" borderId="26" xfId="3" applyNumberFormat="1" applyFont="1" applyFill="1" applyBorder="1"/>
    <xf numFmtId="168" fontId="15" fillId="23" borderId="7" xfId="892" applyNumberFormat="1" applyFont="1" applyFill="1" applyBorder="1" applyAlignment="1">
      <alignment horizontal="right"/>
    </xf>
    <xf numFmtId="168" fontId="15" fillId="23" borderId="21" xfId="892" applyNumberFormat="1" applyFont="1" applyFill="1" applyBorder="1" applyAlignment="1">
      <alignment horizontal="right"/>
    </xf>
    <xf numFmtId="168" fontId="15" fillId="23" borderId="25" xfId="892" applyNumberFormat="1" applyFont="1" applyFill="1" applyBorder="1" applyAlignment="1">
      <alignment horizontal="right"/>
    </xf>
    <xf numFmtId="168" fontId="15" fillId="23" borderId="2" xfId="892" applyNumberFormat="1" applyFont="1" applyFill="1" applyBorder="1" applyAlignment="1">
      <alignment horizontal="right"/>
    </xf>
    <xf numFmtId="168" fontId="15" fillId="23" borderId="0" xfId="892" applyNumberFormat="1" applyFont="1" applyFill="1" applyBorder="1" applyAlignment="1">
      <alignment horizontal="right"/>
    </xf>
    <xf numFmtId="168" fontId="15" fillId="23" borderId="26" xfId="892" applyNumberFormat="1" applyFont="1" applyFill="1" applyBorder="1" applyAlignment="1">
      <alignment horizontal="right"/>
    </xf>
    <xf numFmtId="180" fontId="6" fillId="23" borderId="7" xfId="3" applyNumberFormat="1" applyFont="1" applyFill="1" applyBorder="1" applyAlignment="1">
      <alignment horizontal="right"/>
    </xf>
    <xf numFmtId="180" fontId="6" fillId="23" borderId="21" xfId="3" applyNumberFormat="1" applyFont="1" applyFill="1" applyBorder="1" applyAlignment="1">
      <alignment horizontal="right"/>
    </xf>
    <xf numFmtId="180" fontId="6" fillId="23" borderId="25" xfId="3" applyNumberFormat="1" applyFont="1" applyFill="1" applyBorder="1" applyAlignment="1">
      <alignment horizontal="right"/>
    </xf>
    <xf numFmtId="180" fontId="6" fillId="23" borderId="21" xfId="3" applyNumberFormat="1" applyFont="1" applyFill="1" applyBorder="1"/>
    <xf numFmtId="180" fontId="6" fillId="23" borderId="0" xfId="3" applyNumberFormat="1" applyFont="1" applyFill="1" applyBorder="1"/>
    <xf numFmtId="183" fontId="20" fillId="23" borderId="1" xfId="3" applyNumberFormat="1" applyFont="1" applyFill="1" applyBorder="1"/>
    <xf numFmtId="175" fontId="7" fillId="23" borderId="1" xfId="3" applyNumberFormat="1" applyFont="1" applyFill="1" applyBorder="1" applyAlignment="1">
      <alignment horizontal="centerContinuous"/>
    </xf>
    <xf numFmtId="168" fontId="14" fillId="23" borderId="21" xfId="892" applyNumberFormat="1" applyFont="1" applyFill="1" applyBorder="1"/>
    <xf numFmtId="168" fontId="14" fillId="23" borderId="0" xfId="892" applyNumberFormat="1" applyFont="1" applyFill="1" applyBorder="1"/>
    <xf numFmtId="168" fontId="81" fillId="23" borderId="1" xfId="892" applyNumberFormat="1" applyFont="1" applyFill="1" applyBorder="1"/>
    <xf numFmtId="174" fontId="25" fillId="0" borderId="2" xfId="3" applyNumberFormat="1" applyFont="1" applyFill="1" applyBorder="1"/>
    <xf numFmtId="168" fontId="15" fillId="0" borderId="21" xfId="892" applyNumberFormat="1" applyFont="1" applyBorder="1" applyAlignment="1">
      <alignment horizontal="right"/>
    </xf>
    <xf numFmtId="168" fontId="15" fillId="0" borderId="25" xfId="892" applyNumberFormat="1" applyFont="1" applyBorder="1" applyAlignment="1">
      <alignment horizontal="right"/>
    </xf>
    <xf numFmtId="1" fontId="9" fillId="0" borderId="8" xfId="858" applyNumberFormat="1" applyFont="1" applyFill="1" applyBorder="1" applyAlignment="1">
      <alignment horizontal="right"/>
    </xf>
    <xf numFmtId="168" fontId="12" fillId="0" borderId="21" xfId="892" applyNumberFormat="1" applyFont="1" applyBorder="1"/>
    <xf numFmtId="168" fontId="12" fillId="0" borderId="21" xfId="892" applyNumberFormat="1" applyFont="1" applyBorder="1" applyAlignment="1">
      <alignment horizontal="right"/>
    </xf>
    <xf numFmtId="168" fontId="12" fillId="0" borderId="0" xfId="892" applyNumberFormat="1" applyFont="1" applyBorder="1" applyAlignment="1">
      <alignment horizontal="right"/>
    </xf>
    <xf numFmtId="0" fontId="25" fillId="0" borderId="7" xfId="3" applyFont="1" applyFill="1" applyBorder="1" applyAlignment="1">
      <alignment horizontal="left"/>
    </xf>
    <xf numFmtId="180" fontId="11" fillId="0" borderId="7" xfId="3" applyNumberFormat="1" applyFont="1" applyFill="1" applyBorder="1" applyAlignment="1">
      <alignment horizontal="right"/>
    </xf>
    <xf numFmtId="180" fontId="11" fillId="0" borderId="21" xfId="3" applyNumberFormat="1" applyFont="1" applyFill="1" applyBorder="1" applyAlignment="1">
      <alignment horizontal="right"/>
    </xf>
    <xf numFmtId="180" fontId="11" fillId="0" borderId="25" xfId="3" applyNumberFormat="1" applyFont="1" applyFill="1" applyBorder="1" applyAlignment="1">
      <alignment horizontal="right"/>
    </xf>
    <xf numFmtId="180" fontId="26" fillId="0" borderId="2" xfId="3" applyNumberFormat="1" applyFont="1" applyBorder="1" applyAlignment="1">
      <alignment horizontal="right"/>
    </xf>
    <xf numFmtId="180" fontId="26" fillId="0" borderId="0" xfId="3" applyNumberFormat="1" applyFont="1" applyBorder="1" applyAlignment="1">
      <alignment horizontal="right"/>
    </xf>
    <xf numFmtId="180" fontId="26" fillId="0" borderId="26" xfId="3" applyNumberFormat="1" applyFont="1" applyBorder="1" applyAlignment="1">
      <alignment horizontal="right"/>
    </xf>
    <xf numFmtId="180" fontId="25" fillId="0" borderId="2" xfId="3" applyNumberFormat="1" applyFont="1" applyFill="1" applyBorder="1"/>
    <xf numFmtId="180" fontId="25" fillId="0" borderId="0" xfId="3" applyNumberFormat="1" applyFont="1" applyBorder="1"/>
    <xf numFmtId="180" fontId="20" fillId="0" borderId="29" xfId="3" applyNumberFormat="1" applyFont="1" applyFill="1" applyBorder="1"/>
    <xf numFmtId="180" fontId="20" fillId="0" borderId="1" xfId="3" applyNumberFormat="1" applyFont="1" applyBorder="1"/>
    <xf numFmtId="7" fontId="25" fillId="0" borderId="2" xfId="3" applyNumberFormat="1" applyFont="1" applyFill="1" applyBorder="1" applyAlignment="1">
      <alignment horizontal="right"/>
    </xf>
    <xf numFmtId="7" fontId="25" fillId="0" borderId="0" xfId="3" applyNumberFormat="1" applyFont="1" applyFill="1" applyBorder="1" applyAlignment="1">
      <alignment horizontal="right"/>
    </xf>
    <xf numFmtId="7" fontId="25" fillId="0" borderId="26" xfId="3" applyNumberFormat="1" applyFont="1" applyFill="1" applyBorder="1" applyAlignment="1">
      <alignment horizontal="right"/>
    </xf>
    <xf numFmtId="7" fontId="25" fillId="0" borderId="2" xfId="3" applyNumberFormat="1" applyFont="1" applyBorder="1" applyAlignment="1">
      <alignment horizontal="right"/>
    </xf>
    <xf numFmtId="7" fontId="25" fillId="0" borderId="0" xfId="3" applyNumberFormat="1" applyFont="1" applyBorder="1" applyAlignment="1">
      <alignment horizontal="right"/>
    </xf>
    <xf numFmtId="7" fontId="25" fillId="0" borderId="26" xfId="3" applyNumberFormat="1" applyFont="1" applyBorder="1" applyAlignment="1">
      <alignment horizontal="right"/>
    </xf>
    <xf numFmtId="7" fontId="6" fillId="0" borderId="2" xfId="3" applyNumberFormat="1" applyFont="1" applyBorder="1" applyAlignment="1">
      <alignment horizontal="right"/>
    </xf>
    <xf numFmtId="6" fontId="1" fillId="0" borderId="0" xfId="3" applyNumberFormat="1" applyFont="1" applyBorder="1" applyAlignment="1">
      <alignment horizontal="center"/>
    </xf>
    <xf numFmtId="6" fontId="1" fillId="0" borderId="26" xfId="3" applyNumberFormat="1" applyFont="1" applyBorder="1" applyAlignment="1">
      <alignment horizontal="center"/>
    </xf>
    <xf numFmtId="7" fontId="25" fillId="0" borderId="2" xfId="3" applyNumberFormat="1" applyFont="1" applyFill="1" applyBorder="1"/>
    <xf numFmtId="7" fontId="25" fillId="0" borderId="0" xfId="3" applyNumberFormat="1" applyFont="1" applyBorder="1"/>
    <xf numFmtId="7" fontId="20" fillId="0" borderId="0" xfId="3" applyNumberFormat="1" applyFont="1" applyBorder="1"/>
    <xf numFmtId="7" fontId="20" fillId="0" borderId="29" xfId="3" applyNumberFormat="1" applyFont="1" applyBorder="1" applyAlignment="1">
      <alignment horizontal="right"/>
    </xf>
    <xf numFmtId="7" fontId="20" fillId="0" borderId="1" xfId="3" applyNumberFormat="1" applyFont="1" applyBorder="1" applyAlignment="1">
      <alignment horizontal="right"/>
    </xf>
    <xf numFmtId="7" fontId="20" fillId="0" borderId="30" xfId="3" applyNumberFormat="1" applyFont="1" applyBorder="1" applyAlignment="1">
      <alignment horizontal="right"/>
    </xf>
    <xf numFmtId="7" fontId="20" fillId="0" borderId="29" xfId="3" applyNumberFormat="1" applyFont="1" applyFill="1" applyBorder="1"/>
    <xf numFmtId="7" fontId="20" fillId="0" borderId="1" xfId="3" applyNumberFormat="1" applyFont="1" applyBorder="1"/>
    <xf numFmtId="0" fontId="14" fillId="0" borderId="2" xfId="3" applyFont="1" applyFill="1" applyBorder="1" applyAlignment="1">
      <alignment horizontal="left" indent="1"/>
    </xf>
    <xf numFmtId="0" fontId="82" fillId="0" borderId="0" xfId="3" applyFont="1"/>
    <xf numFmtId="0" fontId="82" fillId="0" borderId="26" xfId="3" applyFont="1" applyBorder="1"/>
    <xf numFmtId="168" fontId="14" fillId="0" borderId="26" xfId="3" applyNumberFormat="1" applyFont="1" applyBorder="1" applyAlignment="1">
      <alignment horizontal="right"/>
    </xf>
    <xf numFmtId="168" fontId="14" fillId="0" borderId="0" xfId="3" applyNumberFormat="1" applyFont="1" applyBorder="1" applyAlignment="1">
      <alignment horizontal="right"/>
    </xf>
    <xf numFmtId="168" fontId="14" fillId="0" borderId="2" xfId="3" applyNumberFormat="1" applyFont="1" applyBorder="1" applyAlignment="1">
      <alignment horizontal="right"/>
    </xf>
    <xf numFmtId="6" fontId="82" fillId="0" borderId="0" xfId="3" applyNumberFormat="1" applyFont="1" applyBorder="1" applyAlignment="1">
      <alignment horizontal="center"/>
    </xf>
    <xf numFmtId="6" fontId="82" fillId="0" borderId="26" xfId="3" applyNumberFormat="1" applyFont="1" applyBorder="1" applyAlignment="1">
      <alignment horizontal="center"/>
    </xf>
    <xf numFmtId="6" fontId="82" fillId="0" borderId="2" xfId="3" applyNumberFormat="1" applyFont="1" applyBorder="1" applyAlignment="1">
      <alignment horizontal="center"/>
    </xf>
    <xf numFmtId="0" fontId="82" fillId="0" borderId="31" xfId="3" applyFont="1" applyBorder="1"/>
    <xf numFmtId="180" fontId="14" fillId="23" borderId="2" xfId="3" applyNumberFormat="1" applyFont="1" applyFill="1" applyBorder="1"/>
    <xf numFmtId="180" fontId="14" fillId="0" borderId="0" xfId="3" applyNumberFormat="1" applyFont="1" applyBorder="1"/>
    <xf numFmtId="180" fontId="14" fillId="0" borderId="26" xfId="3" applyNumberFormat="1" applyFont="1" applyBorder="1"/>
    <xf numFmtId="0" fontId="82" fillId="0" borderId="0" xfId="3" applyFont="1" applyBorder="1"/>
    <xf numFmtId="7" fontId="11" fillId="0" borderId="0" xfId="3" applyNumberFormat="1" applyFont="1" applyFill="1" applyBorder="1"/>
    <xf numFmtId="7" fontId="13" fillId="0" borderId="26" xfId="3" applyNumberFormat="1" applyFont="1" applyFill="1" applyBorder="1"/>
    <xf numFmtId="7" fontId="6" fillId="0" borderId="26" xfId="3" applyNumberFormat="1" applyFont="1" applyFill="1" applyBorder="1"/>
    <xf numFmtId="7" fontId="6" fillId="0" borderId="0" xfId="3" applyNumberFormat="1" applyFont="1" applyFill="1" applyBorder="1"/>
    <xf numFmtId="7" fontId="6" fillId="0" borderId="31" xfId="3" applyNumberFormat="1" applyFont="1" applyBorder="1"/>
    <xf numFmtId="7" fontId="6" fillId="0" borderId="0" xfId="3" applyNumberFormat="1" applyFont="1" applyFill="1" applyBorder="1" applyAlignment="1"/>
    <xf numFmtId="7" fontId="6" fillId="0" borderId="26" xfId="3" applyNumberFormat="1" applyFont="1" applyFill="1" applyBorder="1" applyAlignment="1"/>
    <xf numFmtId="180" fontId="11" fillId="23" borderId="25" xfId="3" applyNumberFormat="1" applyFont="1" applyFill="1" applyBorder="1" applyAlignment="1">
      <alignment horizontal="right"/>
    </xf>
    <xf numFmtId="180" fontId="11" fillId="23" borderId="26" xfId="3" applyNumberFormat="1" applyFont="1" applyFill="1" applyBorder="1" applyAlignment="1">
      <alignment horizontal="right"/>
    </xf>
    <xf numFmtId="180" fontId="14" fillId="23" borderId="0" xfId="3" applyNumberFormat="1" applyFont="1" applyFill="1" applyBorder="1"/>
    <xf numFmtId="168" fontId="12" fillId="23" borderId="0" xfId="892" applyNumberFormat="1" applyFont="1" applyFill="1" applyBorder="1" applyAlignment="1">
      <alignment horizontal="right"/>
    </xf>
    <xf numFmtId="180" fontId="13" fillId="0" borderId="25" xfId="3" applyNumberFormat="1" applyFont="1" applyBorder="1" applyAlignment="1">
      <alignment horizontal="right"/>
    </xf>
    <xf numFmtId="180" fontId="83" fillId="23" borderId="0" xfId="3" applyNumberFormat="1" applyFont="1" applyFill="1" applyBorder="1" applyAlignment="1">
      <alignment horizontal="right"/>
    </xf>
    <xf numFmtId="180" fontId="83" fillId="23" borderId="26" xfId="3" applyNumberFormat="1" applyFont="1" applyFill="1" applyBorder="1" applyAlignment="1">
      <alignment horizontal="right"/>
    </xf>
    <xf numFmtId="180" fontId="11" fillId="0" borderId="2" xfId="3" applyNumberFormat="1" applyFont="1" applyFill="1" applyBorder="1" applyAlignment="1">
      <alignment horizontal="right"/>
    </xf>
    <xf numFmtId="180" fontId="11" fillId="0" borderId="0" xfId="3" applyNumberFormat="1" applyFont="1" applyFill="1" applyBorder="1" applyAlignment="1">
      <alignment horizontal="right"/>
    </xf>
    <xf numFmtId="180" fontId="11" fillId="0" borderId="26" xfId="3" applyNumberFormat="1" applyFont="1" applyFill="1" applyBorder="1" applyAlignment="1">
      <alignment horizontal="right"/>
    </xf>
    <xf numFmtId="180" fontId="26" fillId="0" borderId="26" xfId="3" applyNumberFormat="1" applyFont="1" applyFill="1" applyBorder="1" applyAlignment="1">
      <alignment horizontal="right"/>
    </xf>
    <xf numFmtId="180" fontId="26" fillId="0" borderId="2" xfId="3" applyNumberFormat="1" applyFont="1" applyFill="1" applyBorder="1" applyAlignment="1">
      <alignment horizontal="right"/>
    </xf>
    <xf numFmtId="180" fontId="26" fillId="0" borderId="0" xfId="3" applyNumberFormat="1" applyFont="1" applyFill="1" applyBorder="1" applyAlignment="1">
      <alignment horizontal="right"/>
    </xf>
    <xf numFmtId="180" fontId="11" fillId="0" borderId="27" xfId="3" applyNumberFormat="1" applyFont="1" applyFill="1" applyBorder="1" applyAlignment="1">
      <alignment horizontal="right"/>
    </xf>
    <xf numFmtId="180" fontId="11" fillId="0" borderId="3" xfId="3" applyNumberFormat="1" applyFont="1" applyFill="1" applyBorder="1" applyAlignment="1">
      <alignment horizontal="right"/>
    </xf>
    <xf numFmtId="180" fontId="11" fillId="0" borderId="28" xfId="3" applyNumberFormat="1" applyFont="1" applyFill="1" applyBorder="1" applyAlignment="1">
      <alignment horizontal="right"/>
    </xf>
    <xf numFmtId="180" fontId="84" fillId="0" borderId="28" xfId="3" applyNumberFormat="1" applyFont="1" applyBorder="1" applyAlignment="1">
      <alignment horizontal="center"/>
    </xf>
    <xf numFmtId="180" fontId="85" fillId="0" borderId="3" xfId="3" applyNumberFormat="1" applyFont="1" applyBorder="1" applyAlignment="1">
      <alignment horizontal="center"/>
    </xf>
    <xf numFmtId="180" fontId="84" fillId="0" borderId="3" xfId="3" applyNumberFormat="1" applyFont="1" applyBorder="1" applyAlignment="1">
      <alignment horizontal="center"/>
    </xf>
    <xf numFmtId="180" fontId="84" fillId="0" borderId="27" xfId="3" applyNumberFormat="1" applyFont="1" applyBorder="1" applyAlignment="1">
      <alignment horizontal="center"/>
    </xf>
    <xf numFmtId="180" fontId="86" fillId="0" borderId="28" xfId="3" applyNumberFormat="1" applyFont="1" applyBorder="1" applyAlignment="1">
      <alignment horizontal="center"/>
    </xf>
    <xf numFmtId="180" fontId="87" fillId="0" borderId="3" xfId="3" applyNumberFormat="1" applyFont="1" applyBorder="1" applyAlignment="1">
      <alignment horizontal="center"/>
    </xf>
    <xf numFmtId="180" fontId="87" fillId="0" borderId="28" xfId="3" applyNumberFormat="1" applyFont="1" applyBorder="1" applyAlignment="1">
      <alignment horizontal="center"/>
    </xf>
    <xf numFmtId="180" fontId="6" fillId="23" borderId="3" xfId="3" applyNumberFormat="1" applyFont="1" applyFill="1" applyBorder="1"/>
    <xf numFmtId="168" fontId="8" fillId="23" borderId="21" xfId="892" applyNumberFormat="1" applyFont="1" applyFill="1" applyBorder="1"/>
    <xf numFmtId="168" fontId="8" fillId="23" borderId="0" xfId="892" applyNumberFormat="1" applyFont="1" applyFill="1" applyBorder="1"/>
    <xf numFmtId="168" fontId="11" fillId="23" borderId="0" xfId="3" applyNumberFormat="1" applyFont="1" applyFill="1" applyBorder="1" applyAlignment="1">
      <alignment horizontal="right"/>
    </xf>
    <xf numFmtId="203" fontId="7" fillId="0" borderId="0" xfId="3" applyNumberFormat="1" applyFont="1" applyFill="1" applyBorder="1" applyAlignment="1"/>
    <xf numFmtId="175" fontId="11" fillId="0" borderId="21" xfId="3" applyNumberFormat="1" applyFont="1" applyFill="1" applyBorder="1"/>
    <xf numFmtId="181" fontId="1" fillId="0" borderId="0" xfId="3" applyNumberFormat="1" applyFont="1"/>
    <xf numFmtId="184" fontId="0" fillId="0" borderId="0" xfId="329" applyNumberFormat="1" applyFont="1"/>
    <xf numFmtId="0" fontId="88" fillId="0" borderId="0" xfId="3" applyFont="1"/>
    <xf numFmtId="180" fontId="0" fillId="0" borderId="0" xfId="3" applyNumberFormat="1" applyFont="1"/>
    <xf numFmtId="183" fontId="53" fillId="31" borderId="26" xfId="858" applyNumberFormat="1" applyFont="1" applyFill="1" applyBorder="1" applyAlignment="1">
      <alignment horizontal="right"/>
    </xf>
    <xf numFmtId="183" fontId="8" fillId="0" borderId="2" xfId="3" applyNumberFormat="1" applyFont="1" applyFill="1" applyBorder="1" applyAlignment="1">
      <alignment horizontal="left" indent="1"/>
    </xf>
    <xf numFmtId="183" fontId="8" fillId="0" borderId="26" xfId="3" applyNumberFormat="1" applyFont="1" applyBorder="1" applyAlignment="1">
      <alignment horizontal="left" indent="1"/>
    </xf>
    <xf numFmtId="183" fontId="8" fillId="0" borderId="2" xfId="892" applyNumberFormat="1" applyFont="1" applyFill="1" applyBorder="1"/>
    <xf numFmtId="183" fontId="8" fillId="0" borderId="0" xfId="892" applyNumberFormat="1" applyFont="1" applyFill="1" applyBorder="1"/>
    <xf numFmtId="183" fontId="8" fillId="0" borderId="26" xfId="892" applyNumberFormat="1" applyFont="1" applyFill="1" applyBorder="1"/>
    <xf numFmtId="183" fontId="6" fillId="0" borderId="31" xfId="3" applyNumberFormat="1" applyFont="1" applyBorder="1"/>
    <xf numFmtId="183" fontId="14" fillId="0" borderId="0" xfId="892" applyNumberFormat="1" applyFont="1" applyFill="1" applyBorder="1"/>
    <xf numFmtId="183" fontId="14" fillId="0" borderId="0" xfId="892" applyNumberFormat="1" applyFont="1" applyBorder="1"/>
    <xf numFmtId="183" fontId="6" fillId="0" borderId="2" xfId="3" applyNumberFormat="1" applyFont="1" applyBorder="1"/>
    <xf numFmtId="183" fontId="6" fillId="0" borderId="0" xfId="3" applyNumberFormat="1" applyFont="1"/>
    <xf numFmtId="0" fontId="40" fillId="0" borderId="2" xfId="3" applyFont="1" applyFill="1" applyBorder="1"/>
    <xf numFmtId="0" fontId="40" fillId="0" borderId="26" xfId="3" applyFont="1" applyFill="1" applyBorder="1"/>
    <xf numFmtId="164" fontId="39" fillId="0" borderId="0" xfId="3" applyNumberFormat="1" applyFont="1" applyFill="1" applyBorder="1" applyAlignment="1"/>
    <xf numFmtId="164" fontId="89" fillId="0" borderId="26" xfId="3" applyNumberFormat="1" applyFont="1" applyFill="1" applyBorder="1" applyAlignment="1"/>
    <xf numFmtId="164" fontId="40" fillId="0" borderId="26" xfId="3" applyNumberFormat="1" applyFont="1" applyFill="1" applyBorder="1" applyAlignment="1"/>
    <xf numFmtId="164" fontId="40" fillId="0" borderId="0" xfId="3" applyNumberFormat="1" applyFont="1" applyFill="1" applyBorder="1" applyAlignment="1"/>
    <xf numFmtId="0" fontId="40" fillId="0" borderId="31" xfId="3" applyFont="1" applyBorder="1"/>
    <xf numFmtId="0" fontId="20" fillId="0" borderId="26" xfId="3" applyFont="1" applyFill="1" applyBorder="1"/>
    <xf numFmtId="164" fontId="40" fillId="0" borderId="31" xfId="3" applyNumberFormat="1" applyFont="1" applyBorder="1"/>
    <xf numFmtId="1" fontId="9" fillId="23" borderId="7" xfId="857" applyNumberFormat="1" applyFont="1" applyFill="1" applyBorder="1" applyAlignment="1">
      <alignment horizontal="right"/>
    </xf>
    <xf numFmtId="1" fontId="9" fillId="23" borderId="21" xfId="857" applyNumberFormat="1" applyFont="1" applyFill="1" applyBorder="1" applyAlignment="1">
      <alignment horizontal="right"/>
    </xf>
    <xf numFmtId="1" fontId="9" fillId="0" borderId="27" xfId="857" applyNumberFormat="1" applyFont="1" applyFill="1" applyBorder="1" applyAlignment="1">
      <alignment horizontal="right"/>
    </xf>
    <xf numFmtId="1" fontId="9" fillId="0" borderId="3" xfId="857" applyNumberFormat="1" applyFont="1" applyFill="1" applyBorder="1" applyAlignment="1">
      <alignment horizontal="right"/>
    </xf>
    <xf numFmtId="1" fontId="9" fillId="0" borderId="28" xfId="857" applyNumberFormat="1" applyFont="1" applyFill="1" applyBorder="1" applyAlignment="1">
      <alignment horizontal="right"/>
    </xf>
    <xf numFmtId="9" fontId="6" fillId="0" borderId="0" xfId="892" applyFont="1" applyFill="1" applyBorder="1"/>
    <xf numFmtId="1" fontId="35" fillId="31" borderId="3" xfId="858" applyNumberFormat="1" applyFont="1" applyFill="1" applyBorder="1" applyAlignment="1">
      <alignment horizontal="right"/>
    </xf>
    <xf numFmtId="167" fontId="6" fillId="0" borderId="26" xfId="3" applyNumberFormat="1" applyFont="1" applyFill="1" applyBorder="1" applyAlignment="1"/>
    <xf numFmtId="0" fontId="40" fillId="0" borderId="0" xfId="3" applyFont="1"/>
    <xf numFmtId="164" fontId="39" fillId="0" borderId="26" xfId="3" applyNumberFormat="1" applyFont="1" applyFill="1" applyBorder="1" applyAlignment="1"/>
    <xf numFmtId="164" fontId="40" fillId="0" borderId="2" xfId="3" applyNumberFormat="1" applyFont="1" applyFill="1" applyBorder="1" applyAlignment="1"/>
    <xf numFmtId="0" fontId="40" fillId="0" borderId="2" xfId="3" applyFont="1" applyBorder="1"/>
    <xf numFmtId="0" fontId="90" fillId="0" borderId="0" xfId="3" applyFont="1"/>
    <xf numFmtId="204" fontId="21" fillId="0" borderId="1" xfId="329" applyNumberFormat="1" applyFont="1" applyFill="1" applyBorder="1"/>
    <xf numFmtId="168" fontId="14" fillId="0" borderId="3" xfId="892" applyNumberFormat="1" applyFont="1" applyBorder="1" applyAlignment="1">
      <alignment horizontal="right"/>
    </xf>
    <xf numFmtId="168" fontId="14" fillId="0" borderId="28" xfId="892" applyNumberFormat="1" applyFont="1" applyBorder="1" applyAlignment="1">
      <alignment horizontal="right"/>
    </xf>
    <xf numFmtId="205" fontId="0" fillId="0" borderId="0" xfId="3" applyNumberFormat="1" applyFont="1"/>
    <xf numFmtId="167" fontId="18" fillId="0" borderId="21" xfId="3" applyNumberFormat="1" applyFont="1" applyFill="1" applyBorder="1" applyAlignment="1"/>
    <xf numFmtId="167" fontId="18" fillId="0" borderId="25" xfId="3" applyNumberFormat="1" applyFont="1" applyFill="1" applyBorder="1" applyAlignment="1"/>
    <xf numFmtId="168" fontId="15" fillId="0" borderId="26" xfId="892" applyNumberFormat="1" applyFont="1" applyFill="1" applyBorder="1" applyAlignment="1"/>
    <xf numFmtId="168" fontId="15" fillId="0" borderId="0" xfId="892" applyNumberFormat="1" applyFont="1" applyFill="1" applyBorder="1" applyAlignment="1"/>
    <xf numFmtId="0" fontId="91" fillId="0" borderId="0" xfId="3" applyFont="1"/>
    <xf numFmtId="0" fontId="91" fillId="0" borderId="2" xfId="3" applyFont="1" applyFill="1" applyBorder="1"/>
    <xf numFmtId="0" fontId="91" fillId="0" borderId="26" xfId="3" applyFont="1" applyFill="1" applyBorder="1"/>
    <xf numFmtId="164" fontId="92" fillId="0" borderId="0" xfId="3" applyNumberFormat="1" applyFont="1" applyFill="1" applyBorder="1" applyAlignment="1"/>
    <xf numFmtId="164" fontId="93" fillId="0" borderId="26" xfId="3" applyNumberFormat="1" applyFont="1" applyFill="1" applyBorder="1" applyAlignment="1"/>
    <xf numFmtId="164" fontId="91" fillId="0" borderId="26" xfId="3" applyNumberFormat="1" applyFont="1" applyFill="1" applyBorder="1" applyAlignment="1"/>
    <xf numFmtId="164" fontId="91" fillId="0" borderId="0" xfId="3" applyNumberFormat="1" applyFont="1" applyFill="1" applyBorder="1" applyAlignment="1"/>
    <xf numFmtId="0" fontId="91" fillId="0" borderId="31" xfId="3" applyFont="1" applyBorder="1"/>
    <xf numFmtId="164" fontId="91" fillId="0" borderId="2" xfId="3" applyNumberFormat="1" applyFont="1" applyFill="1" applyBorder="1" applyAlignment="1"/>
    <xf numFmtId="0" fontId="94" fillId="0" borderId="0" xfId="3" applyFont="1"/>
    <xf numFmtId="0" fontId="19" fillId="0" borderId="0" xfId="3" applyFont="1" applyFill="1"/>
    <xf numFmtId="184" fontId="90" fillId="0" borderId="0" xfId="329" applyNumberFormat="1" applyFont="1"/>
    <xf numFmtId="184" fontId="19" fillId="0" borderId="0" xfId="329" applyNumberFormat="1" applyFont="1"/>
    <xf numFmtId="165" fontId="9" fillId="23" borderId="29" xfId="858" applyNumberFormat="1" applyFont="1" applyFill="1" applyBorder="1" applyAlignment="1">
      <alignment horizontal="right"/>
    </xf>
    <xf numFmtId="165" fontId="9" fillId="23" borderId="1" xfId="858" applyNumberFormat="1" applyFont="1" applyFill="1" applyBorder="1" applyAlignment="1">
      <alignment horizontal="right"/>
    </xf>
    <xf numFmtId="165" fontId="9" fillId="23" borderId="30" xfId="858" applyNumberFormat="1" applyFont="1" applyFill="1" applyBorder="1" applyAlignment="1">
      <alignment horizontal="right"/>
    </xf>
    <xf numFmtId="165" fontId="16" fillId="23" borderId="0" xfId="858" applyNumberFormat="1" applyFont="1" applyFill="1" applyBorder="1" applyAlignment="1">
      <alignment horizontal="right"/>
    </xf>
    <xf numFmtId="165" fontId="9" fillId="23" borderId="0" xfId="858" applyNumberFormat="1" applyFont="1" applyFill="1" applyBorder="1" applyAlignment="1">
      <alignment horizontal="right"/>
    </xf>
    <xf numFmtId="165" fontId="9" fillId="23" borderId="26" xfId="858" applyNumberFormat="1" applyFont="1" applyFill="1" applyBorder="1" applyAlignment="1">
      <alignment horizontal="right"/>
    </xf>
    <xf numFmtId="165" fontId="9" fillId="23" borderId="7" xfId="858" applyNumberFormat="1" applyFont="1" applyFill="1" applyBorder="1" applyAlignment="1">
      <alignment horizontal="right"/>
    </xf>
    <xf numFmtId="165" fontId="9" fillId="23" borderId="21" xfId="858" applyNumberFormat="1" applyFont="1" applyFill="1" applyBorder="1" applyAlignment="1">
      <alignment horizontal="right"/>
    </xf>
    <xf numFmtId="165" fontId="9" fillId="23" borderId="25" xfId="858" applyNumberFormat="1" applyFont="1" applyFill="1" applyBorder="1" applyAlignment="1">
      <alignment horizontal="right"/>
    </xf>
    <xf numFmtId="1" fontId="9" fillId="23" borderId="29" xfId="858" applyNumberFormat="1" applyFont="1" applyFill="1" applyBorder="1" applyAlignment="1">
      <alignment horizontal="right"/>
    </xf>
    <xf numFmtId="1" fontId="9" fillId="23" borderId="1" xfId="858" applyNumberFormat="1" applyFont="1" applyFill="1" applyBorder="1" applyAlignment="1">
      <alignment horizontal="right"/>
    </xf>
    <xf numFmtId="1" fontId="9" fillId="23" borderId="30" xfId="858" applyNumberFormat="1" applyFont="1" applyFill="1" applyBorder="1" applyAlignment="1">
      <alignment horizontal="right"/>
    </xf>
    <xf numFmtId="178" fontId="22" fillId="0" borderId="0" xfId="329" applyNumberFormat="1" applyFont="1" applyFill="1" applyBorder="1"/>
    <xf numFmtId="178" fontId="8" fillId="0" borderId="0" xfId="329" applyNumberFormat="1" applyFont="1" applyFill="1" applyBorder="1" applyAlignment="1"/>
    <xf numFmtId="0" fontId="20" fillId="0" borderId="27" xfId="3" applyFont="1" applyFill="1" applyBorder="1"/>
    <xf numFmtId="0" fontId="20" fillId="0" borderId="28" xfId="3" applyFont="1" applyFill="1" applyBorder="1"/>
    <xf numFmtId="174" fontId="20" fillId="0" borderId="3" xfId="3" applyNumberFormat="1" applyFont="1" applyFill="1" applyBorder="1"/>
    <xf numFmtId="174" fontId="20" fillId="0" borderId="28" xfId="3" applyNumberFormat="1" applyFont="1" applyFill="1" applyBorder="1"/>
    <xf numFmtId="180" fontId="0" fillId="0" borderId="0" xfId="3" applyNumberFormat="1" applyFont="1" applyBorder="1"/>
    <xf numFmtId="164" fontId="92" fillId="0" borderId="26" xfId="3" applyNumberFormat="1" applyFont="1" applyFill="1" applyBorder="1" applyAlignment="1"/>
    <xf numFmtId="7" fontId="11" fillId="0" borderId="26" xfId="3" applyNumberFormat="1" applyFont="1" applyFill="1" applyBorder="1"/>
    <xf numFmtId="180" fontId="13" fillId="0" borderId="26" xfId="3" applyNumberFormat="1" applyFont="1" applyBorder="1" applyAlignment="1">
      <alignment horizontal="right"/>
    </xf>
    <xf numFmtId="168" fontId="0" fillId="0" borderId="0" xfId="892" applyNumberFormat="1" applyFont="1"/>
    <xf numFmtId="167" fontId="11" fillId="0" borderId="7" xfId="3" applyNumberFormat="1" applyFont="1" applyFill="1" applyBorder="1" applyAlignment="1"/>
    <xf numFmtId="7" fontId="11" fillId="0" borderId="2" xfId="3" applyNumberFormat="1" applyFont="1" applyFill="1" applyBorder="1"/>
    <xf numFmtId="183" fontId="95" fillId="33" borderId="1" xfId="858" applyNumberFormat="1" applyFont="1" applyFill="1" applyBorder="1" applyAlignment="1">
      <alignment horizontal="right"/>
    </xf>
    <xf numFmtId="168" fontId="11" fillId="0" borderId="0" xfId="3" applyNumberFormat="1" applyFont="1" applyBorder="1" applyAlignment="1">
      <alignment horizontal="right"/>
    </xf>
    <xf numFmtId="180" fontId="85" fillId="0" borderId="27" xfId="3" applyNumberFormat="1" applyFont="1" applyBorder="1" applyAlignment="1">
      <alignment horizontal="center"/>
    </xf>
    <xf numFmtId="0" fontId="20" fillId="0" borderId="0" xfId="3" applyFont="1" applyFill="1" applyBorder="1" applyAlignment="1">
      <alignment horizontal="centerContinuous"/>
    </xf>
    <xf numFmtId="0" fontId="6" fillId="0" borderId="0" xfId="3" applyFont="1" applyFill="1" applyBorder="1" applyAlignment="1">
      <alignment horizontal="centerContinuous"/>
    </xf>
    <xf numFmtId="0" fontId="20" fillId="23" borderId="1" xfId="3" applyFont="1" applyFill="1" applyBorder="1" applyAlignment="1">
      <alignment horizontal="right"/>
    </xf>
    <xf numFmtId="0" fontId="20" fillId="23" borderId="30" xfId="3" applyFont="1" applyFill="1" applyBorder="1" applyAlignment="1">
      <alignment horizontal="right"/>
    </xf>
    <xf numFmtId="0" fontId="6" fillId="33" borderId="29" xfId="3" applyFont="1" applyFill="1" applyBorder="1"/>
    <xf numFmtId="0" fontId="6" fillId="33" borderId="1" xfId="3" applyFont="1" applyFill="1" applyBorder="1"/>
    <xf numFmtId="0" fontId="6" fillId="33" borderId="30" xfId="3" applyFont="1" applyFill="1" applyBorder="1"/>
    <xf numFmtId="183" fontId="6" fillId="0" borderId="0" xfId="3" applyNumberFormat="1" applyFont="1" applyBorder="1"/>
    <xf numFmtId="183" fontId="6" fillId="0" borderId="26" xfId="3" applyNumberFormat="1" applyFont="1" applyBorder="1"/>
    <xf numFmtId="1" fontId="96" fillId="31" borderId="26" xfId="858" applyNumberFormat="1" applyFont="1" applyFill="1" applyBorder="1" applyAlignment="1">
      <alignment horizontal="right"/>
    </xf>
    <xf numFmtId="180" fontId="20" fillId="0" borderId="2" xfId="3" applyNumberFormat="1" applyFont="1" applyFill="1" applyBorder="1"/>
    <xf numFmtId="180" fontId="97" fillId="0" borderId="26" xfId="3" applyNumberFormat="1" applyFont="1" applyFill="1" applyBorder="1"/>
    <xf numFmtId="180" fontId="20" fillId="0" borderId="25" xfId="3" applyNumberFormat="1" applyFont="1" applyFill="1" applyBorder="1"/>
    <xf numFmtId="1" fontId="9" fillId="23" borderId="25" xfId="858" applyNumberFormat="1" applyFont="1" applyFill="1" applyBorder="1" applyAlignment="1">
      <alignment horizontal="right"/>
    </xf>
    <xf numFmtId="180" fontId="97" fillId="0" borderId="0" xfId="3" applyNumberFormat="1" applyFont="1" applyFill="1" applyBorder="1"/>
    <xf numFmtId="0" fontId="81" fillId="0" borderId="26" xfId="3" applyFont="1" applyBorder="1" applyAlignment="1">
      <alignment horizontal="left" indent="1"/>
    </xf>
    <xf numFmtId="168" fontId="81" fillId="0" borderId="0" xfId="892" applyNumberFormat="1" applyFont="1" applyFill="1" applyBorder="1"/>
    <xf numFmtId="168" fontId="81" fillId="0" borderId="26" xfId="892" applyNumberFormat="1" applyFont="1" applyFill="1" applyBorder="1"/>
    <xf numFmtId="164" fontId="20" fillId="0" borderId="0" xfId="3" applyNumberFormat="1" applyFont="1" applyBorder="1"/>
    <xf numFmtId="0" fontId="19" fillId="0" borderId="0" xfId="3" applyFont="1" applyBorder="1"/>
    <xf numFmtId="0" fontId="6" fillId="35" borderId="0" xfId="3" applyFont="1" applyFill="1" applyBorder="1"/>
    <xf numFmtId="1" fontId="20" fillId="23" borderId="29" xfId="3" applyNumberFormat="1" applyFont="1" applyFill="1" applyBorder="1" applyAlignment="1">
      <alignment horizontal="right"/>
    </xf>
    <xf numFmtId="0" fontId="6" fillId="35" borderId="2" xfId="3" applyFont="1" applyFill="1" applyBorder="1"/>
    <xf numFmtId="9" fontId="0" fillId="0" borderId="0" xfId="892" applyFont="1" applyBorder="1"/>
    <xf numFmtId="168" fontId="14" fillId="0" borderId="0" xfId="3" applyNumberFormat="1" applyFont="1" applyFill="1" applyBorder="1"/>
    <xf numFmtId="0" fontId="14" fillId="0" borderId="2" xfId="3" applyFont="1" applyFill="1" applyBorder="1"/>
    <xf numFmtId="180" fontId="15" fillId="23" borderId="7" xfId="3" applyNumberFormat="1" applyFont="1" applyFill="1" applyBorder="1" applyAlignment="1">
      <alignment horizontal="right"/>
    </xf>
    <xf numFmtId="180" fontId="15" fillId="23" borderId="21" xfId="3" applyNumberFormat="1" applyFont="1" applyFill="1" applyBorder="1" applyAlignment="1">
      <alignment horizontal="right"/>
    </xf>
    <xf numFmtId="180" fontId="98" fillId="23" borderId="25" xfId="3" applyNumberFormat="1" applyFont="1" applyFill="1" applyBorder="1" applyAlignment="1">
      <alignment horizontal="right"/>
    </xf>
    <xf numFmtId="180" fontId="15" fillId="0" borderId="7" xfId="3" applyNumberFormat="1" applyFont="1" applyBorder="1" applyAlignment="1">
      <alignment horizontal="right"/>
    </xf>
    <xf numFmtId="180" fontId="15" fillId="0" borderId="21" xfId="3" applyNumberFormat="1" applyFont="1" applyBorder="1" applyAlignment="1">
      <alignment horizontal="right"/>
    </xf>
    <xf numFmtId="180" fontId="98" fillId="0" borderId="25" xfId="3" applyNumberFormat="1" applyFont="1" applyBorder="1" applyAlignment="1">
      <alignment horizontal="right"/>
    </xf>
    <xf numFmtId="180" fontId="15" fillId="0" borderId="25" xfId="3" applyNumberFormat="1" applyFont="1" applyBorder="1" applyAlignment="1">
      <alignment horizontal="right"/>
    </xf>
    <xf numFmtId="168" fontId="15" fillId="0" borderId="21" xfId="3" applyNumberFormat="1" applyFont="1" applyBorder="1" applyAlignment="1">
      <alignment horizontal="right"/>
    </xf>
    <xf numFmtId="168" fontId="15" fillId="23" borderId="25" xfId="3" applyNumberFormat="1" applyFont="1" applyFill="1" applyBorder="1" applyAlignment="1">
      <alignment horizontal="right"/>
    </xf>
    <xf numFmtId="168" fontId="15" fillId="0" borderId="7" xfId="3" applyNumberFormat="1" applyFont="1" applyBorder="1" applyAlignment="1">
      <alignment horizontal="right"/>
    </xf>
    <xf numFmtId="168" fontId="8" fillId="0" borderId="26" xfId="892" applyNumberFormat="1" applyFont="1" applyBorder="1" applyAlignment="1">
      <alignment horizontal="right"/>
    </xf>
    <xf numFmtId="168" fontId="8" fillId="0" borderId="3" xfId="892" applyNumberFormat="1" applyFont="1" applyBorder="1" applyAlignment="1">
      <alignment horizontal="right"/>
    </xf>
    <xf numFmtId="168" fontId="8" fillId="0" borderId="28" xfId="892" applyNumberFormat="1" applyFont="1" applyBorder="1" applyAlignment="1">
      <alignment horizontal="right"/>
    </xf>
    <xf numFmtId="183" fontId="14" fillId="0" borderId="2" xfId="892" applyNumberFormat="1" applyFont="1" applyFill="1" applyBorder="1"/>
    <xf numFmtId="167" fontId="11" fillId="0" borderId="21" xfId="3" applyNumberFormat="1" applyFont="1" applyFill="1" applyBorder="1" applyAlignment="1"/>
    <xf numFmtId="44" fontId="6" fillId="29" borderId="0" xfId="542" applyFont="1" applyFill="1" applyBorder="1"/>
    <xf numFmtId="44" fontId="6" fillId="29" borderId="26" xfId="542" applyFont="1" applyFill="1" applyBorder="1"/>
    <xf numFmtId="207" fontId="6" fillId="29" borderId="0" xfId="856" applyNumberFormat="1" applyFont="1" applyFill="1" applyBorder="1"/>
    <xf numFmtId="207" fontId="6" fillId="29" borderId="26" xfId="856" applyNumberFormat="1" applyFont="1" applyFill="1" applyBorder="1"/>
    <xf numFmtId="168" fontId="14" fillId="0" borderId="2" xfId="892" applyNumberFormat="1" applyFont="1" applyFill="1" applyBorder="1"/>
    <xf numFmtId="168" fontId="14" fillId="0" borderId="27" xfId="892" applyNumberFormat="1" applyFont="1" applyFill="1" applyBorder="1"/>
    <xf numFmtId="168" fontId="14" fillId="0" borderId="3" xfId="892" applyNumberFormat="1" applyFont="1" applyFill="1" applyBorder="1"/>
    <xf numFmtId="168" fontId="14" fillId="0" borderId="3" xfId="892" applyNumberFormat="1" applyFont="1" applyBorder="1"/>
    <xf numFmtId="9" fontId="0" fillId="0" borderId="0" xfId="892" applyFont="1"/>
    <xf numFmtId="0" fontId="19" fillId="0" borderId="0" xfId="3" applyFont="1" applyFill="1" applyBorder="1"/>
    <xf numFmtId="184" fontId="19" fillId="0" borderId="0" xfId="329" applyNumberFormat="1" applyFont="1" applyFill="1" applyBorder="1"/>
    <xf numFmtId="178" fontId="20" fillId="0" borderId="0" xfId="3" applyNumberFormat="1" applyFont="1"/>
    <xf numFmtId="184" fontId="11" fillId="0" borderId="0" xfId="329" applyNumberFormat="1" applyFont="1" applyBorder="1"/>
    <xf numFmtId="184" fontId="11" fillId="0" borderId="0" xfId="3" applyNumberFormat="1" applyFont="1" applyBorder="1"/>
    <xf numFmtId="184" fontId="6" fillId="0" borderId="0" xfId="3" applyNumberFormat="1" applyFont="1" applyBorder="1"/>
    <xf numFmtId="184" fontId="6" fillId="0" borderId="26" xfId="3" applyNumberFormat="1" applyFont="1" applyBorder="1"/>
    <xf numFmtId="0" fontId="40" fillId="0" borderId="0" xfId="3" applyFont="1" applyBorder="1"/>
    <xf numFmtId="164" fontId="40" fillId="0" borderId="0" xfId="3" applyNumberFormat="1" applyFont="1" applyBorder="1"/>
    <xf numFmtId="184" fontId="40" fillId="0" borderId="0" xfId="3" applyNumberFormat="1" applyFont="1" applyBorder="1"/>
    <xf numFmtId="184" fontId="40" fillId="0" borderId="26" xfId="3" applyNumberFormat="1" applyFont="1" applyBorder="1"/>
    <xf numFmtId="164" fontId="6" fillId="0" borderId="0" xfId="3" applyNumberFormat="1" applyFont="1" applyBorder="1"/>
    <xf numFmtId="10" fontId="11" fillId="0" borderId="0" xfId="3" applyNumberFormat="1" applyFont="1" applyBorder="1"/>
    <xf numFmtId="10" fontId="6" fillId="0" borderId="0" xfId="3" applyNumberFormat="1" applyFont="1" applyBorder="1"/>
    <xf numFmtId="10" fontId="6" fillId="0" borderId="26" xfId="3" applyNumberFormat="1" applyFont="1" applyBorder="1"/>
    <xf numFmtId="178" fontId="40" fillId="0" borderId="0" xfId="329" applyNumberFormat="1" applyFont="1" applyBorder="1"/>
    <xf numFmtId="178" fontId="40" fillId="0" borderId="26" xfId="329" applyNumberFormat="1" applyFont="1" applyBorder="1"/>
    <xf numFmtId="184" fontId="6" fillId="0" borderId="2" xfId="3" applyNumberFormat="1" applyFont="1" applyBorder="1"/>
    <xf numFmtId="184" fontId="40" fillId="0" borderId="2" xfId="3" applyNumberFormat="1" applyFont="1" applyBorder="1"/>
    <xf numFmtId="10" fontId="6" fillId="0" borderId="2" xfId="3" applyNumberFormat="1" applyFont="1" applyBorder="1"/>
    <xf numFmtId="178" fontId="40" fillId="0" borderId="2" xfId="329" applyNumberFormat="1" applyFont="1" applyBorder="1"/>
    <xf numFmtId="9" fontId="6" fillId="0" borderId="0" xfId="892" applyFont="1"/>
    <xf numFmtId="181" fontId="40" fillId="0" borderId="0" xfId="3" applyNumberFormat="1" applyFont="1" applyFill="1" applyBorder="1"/>
    <xf numFmtId="181" fontId="40" fillId="0" borderId="26" xfId="3" applyNumberFormat="1" applyFont="1" applyFill="1" applyBorder="1"/>
    <xf numFmtId="181" fontId="20" fillId="0" borderId="0" xfId="3" applyNumberFormat="1" applyFont="1" applyFill="1" applyBorder="1"/>
    <xf numFmtId="181" fontId="20" fillId="0" borderId="26" xfId="3" applyNumberFormat="1" applyFont="1" applyFill="1" applyBorder="1"/>
    <xf numFmtId="0" fontId="20" fillId="0" borderId="0" xfId="3" applyFont="1" applyBorder="1"/>
    <xf numFmtId="168" fontId="6" fillId="0" borderId="0" xfId="892" applyNumberFormat="1" applyFont="1" applyBorder="1"/>
    <xf numFmtId="168" fontId="6" fillId="0" borderId="26" xfId="3" applyNumberFormat="1" applyFont="1" applyBorder="1"/>
    <xf numFmtId="168" fontId="6" fillId="0" borderId="26" xfId="892" applyNumberFormat="1" applyFont="1" applyBorder="1"/>
    <xf numFmtId="9" fontId="6" fillId="0" borderId="2" xfId="892" applyFont="1" applyBorder="1"/>
    <xf numFmtId="9" fontId="6" fillId="0" borderId="0" xfId="892" applyFont="1" applyBorder="1"/>
    <xf numFmtId="9" fontId="61" fillId="0" borderId="0" xfId="892" applyFont="1"/>
    <xf numFmtId="168" fontId="11" fillId="0" borderId="0" xfId="892" applyNumberFormat="1" applyFont="1" applyBorder="1"/>
    <xf numFmtId="168" fontId="11" fillId="0" borderId="2" xfId="892" applyNumberFormat="1" applyFont="1" applyBorder="1"/>
    <xf numFmtId="168" fontId="11" fillId="0" borderId="26" xfId="892" applyNumberFormat="1" applyFont="1" applyBorder="1"/>
    <xf numFmtId="168" fontId="6" fillId="0" borderId="0" xfId="892" applyNumberFormat="1" applyFont="1" applyFill="1" applyBorder="1"/>
    <xf numFmtId="168" fontId="6" fillId="0" borderId="26" xfId="892" applyNumberFormat="1" applyFont="1" applyFill="1" applyBorder="1"/>
    <xf numFmtId="178" fontId="20" fillId="0" borderId="0" xfId="329" applyNumberFormat="1" applyFont="1" applyBorder="1"/>
    <xf numFmtId="178" fontId="20" fillId="0" borderId="2" xfId="329" applyNumberFormat="1" applyFont="1" applyBorder="1"/>
    <xf numFmtId="178" fontId="20" fillId="0" borderId="26" xfId="329" applyNumberFormat="1" applyFont="1" applyBorder="1"/>
    <xf numFmtId="43" fontId="14" fillId="0" borderId="0" xfId="329" applyFont="1" applyFill="1" applyBorder="1"/>
    <xf numFmtId="206" fontId="6" fillId="0" borderId="0" xfId="3" applyNumberFormat="1" applyFont="1" applyFill="1" applyBorder="1"/>
    <xf numFmtId="174" fontId="11" fillId="0" borderId="3" xfId="3" applyNumberFormat="1" applyFont="1" applyFill="1" applyBorder="1"/>
    <xf numFmtId="168" fontId="11" fillId="0" borderId="3" xfId="892" applyNumberFormat="1" applyFont="1" applyFill="1" applyBorder="1"/>
    <xf numFmtId="181" fontId="6" fillId="0" borderId="26" xfId="3" applyNumberFormat="1" applyFont="1" applyBorder="1"/>
    <xf numFmtId="0" fontId="40" fillId="0" borderId="26" xfId="3" applyFont="1" applyBorder="1"/>
    <xf numFmtId="181" fontId="40" fillId="0" borderId="2" xfId="3" applyNumberFormat="1" applyFont="1" applyBorder="1"/>
    <xf numFmtId="181" fontId="40" fillId="0" borderId="0" xfId="3" applyNumberFormat="1" applyFont="1" applyBorder="1"/>
    <xf numFmtId="181" fontId="40" fillId="0" borderId="26" xfId="3" applyNumberFormat="1" applyFont="1" applyBorder="1"/>
    <xf numFmtId="181" fontId="40" fillId="0" borderId="0" xfId="3" applyNumberFormat="1" applyFont="1"/>
    <xf numFmtId="181" fontId="20" fillId="0" borderId="2" xfId="3" applyNumberFormat="1" applyFont="1" applyBorder="1"/>
    <xf numFmtId="181" fontId="20" fillId="0" borderId="0" xfId="3" applyNumberFormat="1" applyFont="1" applyBorder="1"/>
    <xf numFmtId="181" fontId="20" fillId="0" borderId="26" xfId="3" applyNumberFormat="1" applyFont="1" applyBorder="1"/>
    <xf numFmtId="181" fontId="20" fillId="0" borderId="0" xfId="3" applyNumberFormat="1" applyFont="1"/>
    <xf numFmtId="184" fontId="6" fillId="0" borderId="0" xfId="329" applyNumberFormat="1" applyFont="1"/>
    <xf numFmtId="184" fontId="61" fillId="0" borderId="0" xfId="329" applyNumberFormat="1" applyFont="1"/>
    <xf numFmtId="184" fontId="40" fillId="0" borderId="0" xfId="329" applyNumberFormat="1" applyFont="1"/>
    <xf numFmtId="184" fontId="6" fillId="0" borderId="2" xfId="329" applyNumberFormat="1" applyFont="1" applyBorder="1"/>
    <xf numFmtId="184" fontId="6" fillId="0" borderId="26" xfId="329" applyNumberFormat="1" applyFont="1" applyBorder="1"/>
    <xf numFmtId="184" fontId="6" fillId="0" borderId="2" xfId="329" applyNumberFormat="1" applyFont="1" applyFill="1" applyBorder="1"/>
    <xf numFmtId="184" fontId="6" fillId="0" borderId="0" xfId="329" applyNumberFormat="1" applyFont="1" applyFill="1" applyBorder="1"/>
    <xf numFmtId="184" fontId="6" fillId="0" borderId="26" xfId="329" applyNumberFormat="1" applyFont="1" applyFill="1" applyBorder="1"/>
    <xf numFmtId="184" fontId="40" fillId="0" borderId="2" xfId="329" applyNumberFormat="1" applyFont="1" applyFill="1" applyBorder="1"/>
    <xf numFmtId="184" fontId="40" fillId="0" borderId="0" xfId="329" applyNumberFormat="1" applyFont="1" applyFill="1" applyBorder="1"/>
    <xf numFmtId="184" fontId="40" fillId="0" borderId="26" xfId="329" applyNumberFormat="1" applyFont="1" applyFill="1" applyBorder="1"/>
    <xf numFmtId="184" fontId="40" fillId="0" borderId="0" xfId="329" applyNumberFormat="1" applyFont="1" applyBorder="1"/>
    <xf numFmtId="184" fontId="40" fillId="0" borderId="26" xfId="329" applyNumberFormat="1" applyFont="1" applyBorder="1"/>
    <xf numFmtId="184" fontId="40" fillId="0" borderId="2" xfId="329" applyNumberFormat="1" applyFont="1" applyBorder="1"/>
    <xf numFmtId="184" fontId="20" fillId="0" borderId="0" xfId="329" applyNumberFormat="1" applyFont="1"/>
    <xf numFmtId="0" fontId="6" fillId="23" borderId="1" xfId="3" applyFont="1" applyFill="1" applyBorder="1"/>
    <xf numFmtId="0" fontId="20" fillId="23" borderId="29" xfId="3" applyFont="1" applyFill="1" applyBorder="1"/>
    <xf numFmtId="0" fontId="6" fillId="0" borderId="2" xfId="329" applyNumberFormat="1" applyFont="1" applyBorder="1"/>
    <xf numFmtId="0" fontId="40" fillId="0" borderId="2" xfId="329" applyNumberFormat="1" applyFont="1" applyBorder="1"/>
    <xf numFmtId="184" fontId="20" fillId="0" borderId="0" xfId="329" applyNumberFormat="1" applyFont="1" applyBorder="1"/>
    <xf numFmtId="184" fontId="20" fillId="0" borderId="0" xfId="329" applyNumberFormat="1" applyFont="1" applyFill="1" applyBorder="1"/>
    <xf numFmtId="0" fontId="20" fillId="0" borderId="2" xfId="329" applyNumberFormat="1" applyFont="1" applyBorder="1"/>
    <xf numFmtId="184" fontId="20" fillId="0" borderId="2" xfId="329" applyNumberFormat="1" applyFont="1" applyBorder="1"/>
    <xf numFmtId="184" fontId="20" fillId="0" borderId="26" xfId="329" applyNumberFormat="1" applyFont="1" applyBorder="1"/>
    <xf numFmtId="184" fontId="20" fillId="0" borderId="2" xfId="329" applyNumberFormat="1" applyFont="1" applyFill="1" applyBorder="1"/>
    <xf numFmtId="184" fontId="20" fillId="0" borderId="26" xfId="329" applyNumberFormat="1" applyFont="1" applyFill="1" applyBorder="1"/>
    <xf numFmtId="184" fontId="19" fillId="0" borderId="0" xfId="329" applyNumberFormat="1" applyFont="1" applyBorder="1"/>
    <xf numFmtId="0" fontId="25" fillId="0" borderId="2" xfId="329" applyNumberFormat="1" applyFont="1" applyBorder="1"/>
    <xf numFmtId="0" fontId="91" fillId="0" borderId="2" xfId="329" applyNumberFormat="1" applyFont="1" applyBorder="1"/>
    <xf numFmtId="9" fontId="25" fillId="0" borderId="2" xfId="329" applyNumberFormat="1" applyFont="1" applyBorder="1" applyAlignment="1">
      <alignment horizontal="left"/>
    </xf>
    <xf numFmtId="0" fontId="20" fillId="0" borderId="27" xfId="542" applyNumberFormat="1" applyFont="1" applyBorder="1"/>
    <xf numFmtId="184" fontId="25" fillId="0" borderId="0" xfId="329" applyNumberFormat="1" applyFont="1" applyBorder="1"/>
    <xf numFmtId="184" fontId="25" fillId="0" borderId="0" xfId="329" applyNumberFormat="1" applyFont="1" applyFill="1" applyBorder="1"/>
    <xf numFmtId="184" fontId="23" fillId="0" borderId="0" xfId="329" applyNumberFormat="1" applyFont="1" applyBorder="1"/>
    <xf numFmtId="184" fontId="91" fillId="0" borderId="0" xfId="329" applyNumberFormat="1" applyFont="1" applyBorder="1"/>
    <xf numFmtId="184" fontId="91" fillId="0" borderId="0" xfId="329" applyNumberFormat="1" applyFont="1" applyFill="1" applyBorder="1"/>
    <xf numFmtId="184" fontId="94" fillId="0" borderId="0" xfId="329" applyNumberFormat="1" applyFont="1" applyBorder="1"/>
    <xf numFmtId="44" fontId="20" fillId="0" borderId="0" xfId="542" applyFont="1"/>
    <xf numFmtId="44" fontId="20" fillId="0" borderId="27" xfId="542" applyFont="1" applyBorder="1"/>
    <xf numFmtId="44" fontId="19" fillId="0" borderId="0" xfId="542" applyFont="1"/>
    <xf numFmtId="184" fontId="25" fillId="0" borderId="26" xfId="329" applyNumberFormat="1" applyFont="1" applyBorder="1"/>
    <xf numFmtId="184" fontId="91" fillId="0" borderId="26" xfId="329" applyNumberFormat="1" applyFont="1" applyBorder="1"/>
    <xf numFmtId="44" fontId="20" fillId="0" borderId="3" xfId="542" applyFont="1" applyBorder="1"/>
    <xf numFmtId="44" fontId="20" fillId="0" borderId="28" xfId="542" applyFont="1" applyBorder="1"/>
    <xf numFmtId="184" fontId="25" fillId="0" borderId="2" xfId="329" applyNumberFormat="1" applyFont="1" applyFill="1" applyBorder="1"/>
    <xf numFmtId="184" fontId="91" fillId="0" borderId="2" xfId="329" applyNumberFormat="1" applyFont="1" applyFill="1" applyBorder="1"/>
    <xf numFmtId="44" fontId="20" fillId="0" borderId="27" xfId="542" applyFont="1" applyFill="1" applyBorder="1"/>
    <xf numFmtId="44" fontId="20" fillId="0" borderId="3" xfId="542" applyFont="1" applyFill="1" applyBorder="1"/>
    <xf numFmtId="184" fontId="25" fillId="0" borderId="26" xfId="329" applyNumberFormat="1" applyFont="1" applyFill="1" applyBorder="1"/>
    <xf numFmtId="184" fontId="91" fillId="0" borderId="26" xfId="329" applyNumberFormat="1" applyFont="1" applyFill="1" applyBorder="1"/>
    <xf numFmtId="44" fontId="20" fillId="0" borderId="28" xfId="542" applyFont="1" applyFill="1" applyBorder="1"/>
    <xf numFmtId="0" fontId="25" fillId="0" borderId="26" xfId="3" applyFont="1" applyBorder="1"/>
    <xf numFmtId="181" fontId="25" fillId="0" borderId="2" xfId="3" applyNumberFormat="1" applyFont="1" applyBorder="1"/>
    <xf numFmtId="181" fontId="25" fillId="0" borderId="0" xfId="3" applyNumberFormat="1" applyFont="1" applyBorder="1"/>
    <xf numFmtId="181" fontId="25" fillId="0" borderId="26" xfId="3" applyNumberFormat="1" applyFont="1" applyBorder="1"/>
    <xf numFmtId="181" fontId="25" fillId="0" borderId="0" xfId="3" applyNumberFormat="1" applyFont="1"/>
    <xf numFmtId="184" fontId="25" fillId="0" borderId="2" xfId="329" applyNumberFormat="1" applyFont="1" applyBorder="1"/>
    <xf numFmtId="184" fontId="91" fillId="0" borderId="2" xfId="329" applyNumberFormat="1" applyFont="1" applyBorder="1"/>
    <xf numFmtId="9" fontId="14" fillId="0" borderId="0" xfId="892" applyFont="1" applyBorder="1"/>
    <xf numFmtId="9" fontId="14" fillId="0" borderId="2" xfId="892" applyFont="1" applyBorder="1" applyAlignment="1">
      <alignment horizontal="left"/>
    </xf>
    <xf numFmtId="9" fontId="101" fillId="0" borderId="2" xfId="892" applyFont="1" applyBorder="1"/>
    <xf numFmtId="9" fontId="14" fillId="0" borderId="2" xfId="892" applyFont="1" applyBorder="1"/>
    <xf numFmtId="9" fontId="14" fillId="0" borderId="26" xfId="892" applyFont="1" applyBorder="1"/>
    <xf numFmtId="9" fontId="14" fillId="0" borderId="2" xfId="892" applyFont="1" applyFill="1" applyBorder="1"/>
    <xf numFmtId="9" fontId="14" fillId="0" borderId="0" xfId="892" applyFont="1" applyFill="1" applyBorder="1"/>
    <xf numFmtId="9" fontId="14" fillId="0" borderId="26" xfId="892" applyFont="1" applyFill="1" applyBorder="1"/>
    <xf numFmtId="9" fontId="82" fillId="0" borderId="0" xfId="892" applyFont="1" applyBorder="1"/>
    <xf numFmtId="184" fontId="26" fillId="0" borderId="26" xfId="329" applyNumberFormat="1" applyFont="1" applyFill="1" applyBorder="1"/>
    <xf numFmtId="184" fontId="26" fillId="0" borderId="28" xfId="329" applyNumberFormat="1" applyFont="1" applyFill="1" applyBorder="1"/>
    <xf numFmtId="180" fontId="20" fillId="0" borderId="7" xfId="3" applyNumberFormat="1" applyFont="1" applyFill="1" applyBorder="1"/>
    <xf numFmtId="8" fontId="19" fillId="0" borderId="29" xfId="3" applyNumberFormat="1" applyFont="1" applyBorder="1" applyAlignment="1">
      <alignment horizontal="center"/>
    </xf>
    <xf numFmtId="0" fontId="20" fillId="0" borderId="0" xfId="3" applyFont="1" applyFill="1" applyBorder="1" applyAlignment="1"/>
    <xf numFmtId="180" fontId="20" fillId="23" borderId="0" xfId="3" applyNumberFormat="1" applyFont="1" applyFill="1" applyBorder="1" applyAlignment="1">
      <alignment horizontal="right"/>
    </xf>
    <xf numFmtId="180" fontId="20" fillId="0" borderId="0" xfId="3" applyNumberFormat="1" applyFont="1" applyBorder="1" applyAlignment="1">
      <alignment horizontal="right"/>
    </xf>
    <xf numFmtId="6" fontId="19" fillId="0" borderId="0" xfId="3" applyNumberFormat="1" applyFont="1" applyBorder="1" applyAlignment="1">
      <alignment horizontal="center"/>
    </xf>
    <xf numFmtId="183" fontId="20" fillId="23" borderId="0" xfId="3" applyNumberFormat="1" applyFont="1" applyFill="1" applyBorder="1"/>
    <xf numFmtId="168" fontId="102" fillId="0" borderId="2" xfId="3" applyNumberFormat="1" applyFont="1" applyBorder="1" applyAlignment="1">
      <alignment horizontal="right"/>
    </xf>
    <xf numFmtId="168" fontId="102" fillId="0" borderId="0" xfId="3" applyNumberFormat="1" applyFont="1" applyBorder="1" applyAlignment="1">
      <alignment horizontal="right"/>
    </xf>
    <xf numFmtId="0" fontId="103" fillId="0" borderId="0" xfId="3" applyFont="1" applyBorder="1"/>
    <xf numFmtId="6" fontId="103" fillId="0" borderId="0" xfId="3" applyNumberFormat="1" applyFont="1" applyBorder="1" applyAlignment="1">
      <alignment horizontal="center"/>
    </xf>
    <xf numFmtId="6" fontId="103" fillId="0" borderId="26" xfId="3" applyNumberFormat="1" applyFont="1" applyBorder="1" applyAlignment="1">
      <alignment horizontal="center"/>
    </xf>
    <xf numFmtId="183" fontId="81" fillId="23" borderId="0" xfId="3" applyNumberFormat="1" applyFont="1" applyFill="1" applyBorder="1"/>
    <xf numFmtId="164" fontId="81" fillId="0" borderId="0" xfId="3" applyNumberFormat="1" applyFont="1" applyBorder="1"/>
    <xf numFmtId="164" fontId="81" fillId="0" borderId="2" xfId="3" applyNumberFormat="1" applyFont="1" applyBorder="1"/>
    <xf numFmtId="164" fontId="81" fillId="0" borderId="26" xfId="3" applyNumberFormat="1" applyFont="1" applyBorder="1"/>
    <xf numFmtId="0" fontId="103" fillId="0" borderId="0" xfId="3" applyFont="1"/>
    <xf numFmtId="0" fontId="104" fillId="0" borderId="0" xfId="3" applyFont="1" applyBorder="1"/>
    <xf numFmtId="180" fontId="104" fillId="23" borderId="0" xfId="3" applyNumberFormat="1" applyFont="1" applyFill="1" applyBorder="1" applyAlignment="1">
      <alignment horizontal="right"/>
    </xf>
    <xf numFmtId="180" fontId="104" fillId="0" borderId="0" xfId="3" applyNumberFormat="1" applyFont="1" applyBorder="1" applyAlignment="1">
      <alignment horizontal="right"/>
    </xf>
    <xf numFmtId="178" fontId="19" fillId="0" borderId="0" xfId="329" applyNumberFormat="1" applyFont="1" applyBorder="1"/>
    <xf numFmtId="178" fontId="20" fillId="23" borderId="0" xfId="329" applyNumberFormat="1" applyFont="1" applyFill="1" applyBorder="1" applyAlignment="1">
      <alignment horizontal="right"/>
    </xf>
    <xf numFmtId="178" fontId="20" fillId="0" borderId="0" xfId="329" applyNumberFormat="1" applyFont="1" applyBorder="1" applyAlignment="1">
      <alignment horizontal="right"/>
    </xf>
    <xf numFmtId="178" fontId="25" fillId="0" borderId="2" xfId="329" applyNumberFormat="1" applyFont="1" applyBorder="1" applyAlignment="1">
      <alignment horizontal="right"/>
    </xf>
    <xf numFmtId="178" fontId="25" fillId="0" borderId="0" xfId="329" applyNumberFormat="1" applyFont="1" applyBorder="1" applyAlignment="1">
      <alignment horizontal="right"/>
    </xf>
    <xf numFmtId="178" fontId="25" fillId="0" borderId="26" xfId="329" applyNumberFormat="1" applyFont="1" applyBorder="1" applyAlignment="1">
      <alignment horizontal="right"/>
    </xf>
    <xf numFmtId="178" fontId="19" fillId="0" borderId="0" xfId="329" applyNumberFormat="1" applyFont="1" applyBorder="1" applyAlignment="1">
      <alignment horizontal="center"/>
    </xf>
    <xf numFmtId="178" fontId="20" fillId="23" borderId="0" xfId="329" applyNumberFormat="1" applyFont="1" applyFill="1" applyBorder="1"/>
    <xf numFmtId="178" fontId="19" fillId="0" borderId="0" xfId="329" applyNumberFormat="1" applyFont="1"/>
    <xf numFmtId="178" fontId="91" fillId="0" borderId="0" xfId="329" applyNumberFormat="1" applyFont="1" applyBorder="1" applyAlignment="1">
      <alignment horizontal="right"/>
    </xf>
    <xf numFmtId="178" fontId="91" fillId="0" borderId="26" xfId="329" applyNumberFormat="1" applyFont="1" applyBorder="1" applyAlignment="1">
      <alignment horizontal="right"/>
    </xf>
    <xf numFmtId="178" fontId="91" fillId="0" borderId="2" xfId="329" applyNumberFormat="1" applyFont="1" applyBorder="1" applyAlignment="1">
      <alignment horizontal="right"/>
    </xf>
    <xf numFmtId="178" fontId="19" fillId="0" borderId="26" xfId="329" applyNumberFormat="1" applyFont="1" applyBorder="1" applyAlignment="1">
      <alignment horizontal="center"/>
    </xf>
    <xf numFmtId="178" fontId="6" fillId="0" borderId="0" xfId="329" applyNumberFormat="1" applyFont="1" applyBorder="1" applyAlignment="1">
      <alignment horizontal="right"/>
    </xf>
    <xf numFmtId="178" fontId="20" fillId="0" borderId="27" xfId="329" applyNumberFormat="1" applyFont="1" applyBorder="1"/>
    <xf numFmtId="178" fontId="20" fillId="0" borderId="28" xfId="329" applyNumberFormat="1" applyFont="1" applyBorder="1"/>
    <xf numFmtId="178" fontId="19" fillId="0" borderId="30" xfId="329" applyNumberFormat="1" applyFont="1" applyBorder="1"/>
    <xf numFmtId="178" fontId="20" fillId="23" borderId="1" xfId="329" applyNumberFormat="1" applyFont="1" applyFill="1" applyBorder="1" applyAlignment="1">
      <alignment horizontal="right"/>
    </xf>
    <xf numFmtId="178" fontId="20" fillId="0" borderId="1" xfId="329" applyNumberFormat="1" applyFont="1" applyBorder="1" applyAlignment="1">
      <alignment horizontal="right"/>
    </xf>
    <xf numFmtId="178" fontId="19" fillId="0" borderId="1" xfId="329" applyNumberFormat="1" applyFont="1" applyBorder="1" applyAlignment="1">
      <alignment horizontal="center"/>
    </xf>
    <xf numFmtId="178" fontId="19" fillId="0" borderId="30" xfId="329" applyNumberFormat="1" applyFont="1" applyBorder="1" applyAlignment="1">
      <alignment horizontal="center"/>
    </xf>
    <xf numFmtId="178" fontId="20" fillId="0" borderId="29" xfId="329" applyNumberFormat="1" applyFont="1" applyBorder="1"/>
    <xf numFmtId="178" fontId="20" fillId="0" borderId="1" xfId="329" applyNumberFormat="1" applyFont="1" applyBorder="1"/>
    <xf numFmtId="180" fontId="103" fillId="23" borderId="0" xfId="3" applyNumberFormat="1" applyFont="1" applyFill="1" applyBorder="1" applyAlignment="1">
      <alignment horizontal="right"/>
    </xf>
    <xf numFmtId="180" fontId="103" fillId="0" borderId="0" xfId="3" applyNumberFormat="1" applyFont="1" applyBorder="1" applyAlignment="1">
      <alignment horizontal="right"/>
    </xf>
    <xf numFmtId="168" fontId="82" fillId="0" borderId="2" xfId="3" applyNumberFormat="1" applyFont="1" applyBorder="1" applyAlignment="1">
      <alignment horizontal="right"/>
    </xf>
    <xf numFmtId="168" fontId="82" fillId="0" borderId="0" xfId="3" applyNumberFormat="1" applyFont="1" applyBorder="1" applyAlignment="1">
      <alignment horizontal="right"/>
    </xf>
    <xf numFmtId="183" fontId="103" fillId="23" borderId="0" xfId="3" applyNumberFormat="1" applyFont="1" applyFill="1" applyBorder="1"/>
    <xf numFmtId="164" fontId="103" fillId="0" borderId="0" xfId="3" applyNumberFormat="1" applyFont="1" applyBorder="1"/>
    <xf numFmtId="164" fontId="103" fillId="0" borderId="2" xfId="3" applyNumberFormat="1" applyFont="1" applyBorder="1"/>
    <xf numFmtId="164" fontId="103" fillId="0" borderId="26" xfId="3" applyNumberFormat="1" applyFont="1" applyBorder="1"/>
    <xf numFmtId="178" fontId="94" fillId="0" borderId="0" xfId="329" applyNumberFormat="1" applyFont="1"/>
    <xf numFmtId="178" fontId="94" fillId="0" borderId="0" xfId="329" applyNumberFormat="1" applyFont="1" applyBorder="1"/>
    <xf numFmtId="178" fontId="91" fillId="23" borderId="0" xfId="329" applyNumberFormat="1" applyFont="1" applyFill="1" applyBorder="1" applyAlignment="1">
      <alignment horizontal="right"/>
    </xf>
    <xf numFmtId="178" fontId="94" fillId="0" borderId="0" xfId="329" applyNumberFormat="1" applyFont="1" applyBorder="1" applyAlignment="1">
      <alignment horizontal="center"/>
    </xf>
    <xf numFmtId="178" fontId="91" fillId="23" borderId="0" xfId="329" applyNumberFormat="1" applyFont="1" applyFill="1" applyBorder="1"/>
    <xf numFmtId="178" fontId="91" fillId="0" borderId="0" xfId="329" applyNumberFormat="1" applyFont="1" applyBorder="1"/>
    <xf numFmtId="178" fontId="91" fillId="0" borderId="2" xfId="329" applyNumberFormat="1" applyFont="1" applyBorder="1"/>
    <xf numFmtId="178" fontId="23" fillId="0" borderId="0" xfId="329" applyNumberFormat="1" applyFont="1"/>
    <xf numFmtId="178" fontId="23" fillId="0" borderId="0" xfId="329" applyNumberFormat="1" applyFont="1" applyBorder="1"/>
    <xf numFmtId="178" fontId="25" fillId="23" borderId="0" xfId="329" applyNumberFormat="1" applyFont="1" applyFill="1" applyBorder="1" applyAlignment="1">
      <alignment horizontal="right"/>
    </xf>
    <xf numFmtId="178" fontId="23" fillId="0" borderId="0" xfId="329" applyNumberFormat="1" applyFont="1" applyBorder="1" applyAlignment="1">
      <alignment horizontal="center"/>
    </xf>
    <xf numFmtId="178" fontId="25" fillId="23" borderId="0" xfId="329" applyNumberFormat="1" applyFont="1" applyFill="1" applyBorder="1"/>
    <xf numFmtId="178" fontId="25" fillId="0" borderId="0" xfId="329" applyNumberFormat="1" applyFont="1" applyBorder="1"/>
    <xf numFmtId="178" fontId="25" fillId="0" borderId="2" xfId="329" applyNumberFormat="1" applyFont="1" applyBorder="1"/>
    <xf numFmtId="178" fontId="25" fillId="0" borderId="26" xfId="329" applyNumberFormat="1" applyFont="1" applyBorder="1"/>
    <xf numFmtId="0" fontId="82" fillId="0" borderId="2" xfId="3" applyNumberFormat="1" applyFont="1" applyFill="1" applyBorder="1" applyAlignment="1">
      <alignment horizontal="left" indent="1"/>
    </xf>
    <xf numFmtId="0" fontId="102" fillId="0" borderId="2" xfId="3" applyNumberFormat="1" applyFont="1" applyFill="1" applyBorder="1"/>
    <xf numFmtId="0" fontId="25" fillId="0" borderId="2" xfId="329" applyNumberFormat="1" applyFont="1" applyFill="1" applyBorder="1"/>
    <xf numFmtId="0" fontId="91" fillId="0" borderId="2" xfId="329" applyNumberFormat="1" applyFont="1" applyFill="1" applyBorder="1"/>
    <xf numFmtId="168" fontId="82" fillId="0" borderId="26" xfId="3" applyNumberFormat="1" applyFont="1" applyBorder="1" applyAlignment="1">
      <alignment horizontal="right"/>
    </xf>
    <xf numFmtId="168" fontId="102" fillId="0" borderId="26" xfId="3" applyNumberFormat="1" applyFont="1" applyBorder="1" applyAlignment="1">
      <alignment horizontal="right"/>
    </xf>
    <xf numFmtId="44" fontId="25" fillId="0" borderId="2" xfId="542" applyFont="1" applyBorder="1" applyAlignment="1">
      <alignment horizontal="right"/>
    </xf>
    <xf numFmtId="44" fontId="25" fillId="0" borderId="0" xfId="542" applyFont="1" applyBorder="1" applyAlignment="1">
      <alignment horizontal="right"/>
    </xf>
    <xf numFmtId="44" fontId="25" fillId="0" borderId="26" xfId="542" applyFont="1" applyBorder="1" applyAlignment="1">
      <alignment horizontal="right"/>
    </xf>
    <xf numFmtId="178" fontId="23" fillId="0" borderId="26" xfId="329" applyNumberFormat="1" applyFont="1" applyBorder="1" applyAlignment="1">
      <alignment horizontal="center"/>
    </xf>
    <xf numFmtId="178" fontId="25" fillId="0" borderId="28" xfId="329" applyNumberFormat="1" applyFont="1" applyBorder="1"/>
    <xf numFmtId="1" fontId="9" fillId="0" borderId="7" xfId="858" applyNumberFormat="1" applyFont="1" applyFill="1" applyBorder="1" applyAlignment="1">
      <alignment horizontal="right"/>
    </xf>
    <xf numFmtId="1" fontId="9" fillId="0" borderId="0" xfId="858" applyNumberFormat="1" applyFont="1" applyFill="1" applyBorder="1" applyAlignment="1">
      <alignment horizontal="right"/>
    </xf>
    <xf numFmtId="1" fontId="9" fillId="0" borderId="1" xfId="858" applyNumberFormat="1" applyFont="1" applyFill="1" applyBorder="1" applyAlignment="1">
      <alignment horizontal="right"/>
    </xf>
    <xf numFmtId="6" fontId="103" fillId="0" borderId="2" xfId="3" applyNumberFormat="1" applyFont="1" applyBorder="1" applyAlignment="1">
      <alignment horizontal="center"/>
    </xf>
    <xf numFmtId="178" fontId="19" fillId="0" borderId="2" xfId="329" applyNumberFormat="1" applyFont="1" applyBorder="1" applyAlignment="1">
      <alignment horizontal="center"/>
    </xf>
    <xf numFmtId="178" fontId="23" fillId="0" borderId="2" xfId="329" applyNumberFormat="1" applyFont="1" applyBorder="1" applyAlignment="1">
      <alignment horizontal="center"/>
    </xf>
    <xf numFmtId="178" fontId="94" fillId="0" borderId="2" xfId="329" applyNumberFormat="1" applyFont="1" applyBorder="1" applyAlignment="1">
      <alignment horizontal="center"/>
    </xf>
    <xf numFmtId="178" fontId="94" fillId="0" borderId="26" xfId="329" applyNumberFormat="1" applyFont="1" applyBorder="1" applyAlignment="1">
      <alignment horizontal="center"/>
    </xf>
    <xf numFmtId="178" fontId="19" fillId="0" borderId="29" xfId="329" applyNumberFormat="1" applyFont="1" applyBorder="1" applyAlignment="1">
      <alignment horizontal="center"/>
    </xf>
    <xf numFmtId="0" fontId="25" fillId="0" borderId="2" xfId="3" applyNumberFormat="1" applyFont="1" applyFill="1" applyBorder="1"/>
    <xf numFmtId="1" fontId="9" fillId="0" borderId="2" xfId="858" applyNumberFormat="1" applyFont="1" applyFill="1" applyBorder="1" applyAlignment="1">
      <alignment horizontal="right"/>
    </xf>
    <xf numFmtId="1" fontId="9" fillId="0" borderId="26" xfId="858" applyNumberFormat="1" applyFont="1" applyFill="1" applyBorder="1" applyAlignment="1">
      <alignment horizontal="right"/>
    </xf>
    <xf numFmtId="164" fontId="20" fillId="0" borderId="0" xfId="3" applyNumberFormat="1" applyFont="1" applyFill="1" applyBorder="1"/>
    <xf numFmtId="0" fontId="20" fillId="0" borderId="29" xfId="329" applyNumberFormat="1" applyFont="1" applyFill="1" applyBorder="1" applyAlignment="1"/>
    <xf numFmtId="0" fontId="58" fillId="0" borderId="2" xfId="329" applyNumberFormat="1" applyFont="1" applyFill="1" applyBorder="1"/>
    <xf numFmtId="178" fontId="88" fillId="0" borderId="0" xfId="329" applyNumberFormat="1" applyFont="1" applyBorder="1"/>
    <xf numFmtId="178" fontId="42" fillId="23" borderId="0" xfId="329" applyNumberFormat="1" applyFont="1" applyFill="1" applyBorder="1" applyAlignment="1">
      <alignment horizontal="right"/>
    </xf>
    <xf numFmtId="178" fontId="42" fillId="0" borderId="0" xfId="329" applyNumberFormat="1" applyFont="1" applyBorder="1" applyAlignment="1">
      <alignment horizontal="right"/>
    </xf>
    <xf numFmtId="180" fontId="25" fillId="23" borderId="0" xfId="3" applyNumberFormat="1" applyFont="1" applyFill="1" applyBorder="1" applyAlignment="1">
      <alignment horizontal="right"/>
    </xf>
    <xf numFmtId="178" fontId="58" fillId="0" borderId="2" xfId="329" applyNumberFormat="1" applyFont="1" applyBorder="1"/>
    <xf numFmtId="178" fontId="58" fillId="0" borderId="0" xfId="329" applyNumberFormat="1" applyFont="1" applyBorder="1"/>
    <xf numFmtId="178" fontId="58" fillId="0" borderId="26" xfId="329" applyNumberFormat="1" applyFont="1" applyBorder="1"/>
    <xf numFmtId="178" fontId="58" fillId="0" borderId="0" xfId="329" applyNumberFormat="1" applyFont="1"/>
    <xf numFmtId="178" fontId="91" fillId="0" borderId="26" xfId="329" applyNumberFormat="1" applyFont="1" applyBorder="1"/>
    <xf numFmtId="180" fontId="25" fillId="0" borderId="0" xfId="3" applyNumberFormat="1" applyFont="1" applyBorder="1" applyAlignment="1">
      <alignment horizontal="right"/>
    </xf>
    <xf numFmtId="180" fontId="25" fillId="0" borderId="2" xfId="3" applyNumberFormat="1" applyFont="1" applyBorder="1" applyAlignment="1">
      <alignment horizontal="right"/>
    </xf>
    <xf numFmtId="180" fontId="25" fillId="0" borderId="26" xfId="3" applyNumberFormat="1" applyFont="1" applyBorder="1" applyAlignment="1">
      <alignment horizontal="right"/>
    </xf>
    <xf numFmtId="6" fontId="23" fillId="0" borderId="0" xfId="3" applyNumberFormat="1" applyFont="1" applyBorder="1" applyAlignment="1">
      <alignment horizontal="center"/>
    </xf>
    <xf numFmtId="6" fontId="23" fillId="0" borderId="26" xfId="3" applyNumberFormat="1" applyFont="1" applyBorder="1" applyAlignment="1">
      <alignment horizontal="center"/>
    </xf>
    <xf numFmtId="6" fontId="23" fillId="0" borderId="2" xfId="3" applyNumberFormat="1" applyFont="1" applyBorder="1" applyAlignment="1">
      <alignment horizontal="center"/>
    </xf>
    <xf numFmtId="183" fontId="25" fillId="23" borderId="0" xfId="3" applyNumberFormat="1" applyFont="1" applyFill="1" applyBorder="1"/>
    <xf numFmtId="164" fontId="25" fillId="0" borderId="0" xfId="3" applyNumberFormat="1" applyFont="1" applyBorder="1"/>
    <xf numFmtId="164" fontId="25" fillId="0" borderId="2" xfId="3" applyNumberFormat="1" applyFont="1" applyBorder="1"/>
    <xf numFmtId="164" fontId="25" fillId="0" borderId="26" xfId="3" applyNumberFormat="1" applyFont="1" applyBorder="1"/>
    <xf numFmtId="178" fontId="6" fillId="0" borderId="3" xfId="329" applyNumberFormat="1" applyFont="1" applyFill="1" applyBorder="1" applyAlignment="1">
      <alignment horizontal="right"/>
    </xf>
    <xf numFmtId="178" fontId="6" fillId="0" borderId="0" xfId="329" applyNumberFormat="1" applyFont="1" applyFill="1" applyBorder="1" applyAlignment="1">
      <alignment horizontal="right"/>
    </xf>
    <xf numFmtId="178" fontId="19" fillId="0" borderId="3" xfId="329" applyNumberFormat="1" applyFont="1" applyFill="1" applyBorder="1" applyAlignment="1">
      <alignment horizontal="center"/>
    </xf>
    <xf numFmtId="178" fontId="19" fillId="0" borderId="28" xfId="329" applyNumberFormat="1" applyFont="1" applyFill="1" applyBorder="1" applyAlignment="1">
      <alignment horizontal="center"/>
    </xf>
    <xf numFmtId="178" fontId="6" fillId="0" borderId="2" xfId="329" applyNumberFormat="1" applyFont="1" applyBorder="1" applyAlignment="1">
      <alignment horizontal="right"/>
    </xf>
    <xf numFmtId="178" fontId="6" fillId="0" borderId="26" xfId="329" applyNumberFormat="1" applyFont="1" applyBorder="1" applyAlignment="1">
      <alignment horizontal="right"/>
    </xf>
    <xf numFmtId="178" fontId="99" fillId="0" borderId="0" xfId="329" applyNumberFormat="1" applyFont="1"/>
    <xf numFmtId="178" fontId="99" fillId="0" borderId="0" xfId="329" applyNumberFormat="1" applyFont="1" applyBorder="1"/>
    <xf numFmtId="178" fontId="105" fillId="23" borderId="0" xfId="329" applyNumberFormat="1" applyFont="1" applyFill="1" applyBorder="1" applyAlignment="1">
      <alignment horizontal="right"/>
    </xf>
    <xf numFmtId="178" fontId="105" fillId="0" borderId="0" xfId="329" applyNumberFormat="1" applyFont="1" applyBorder="1" applyAlignment="1">
      <alignment horizontal="right"/>
    </xf>
    <xf numFmtId="178" fontId="99" fillId="0" borderId="2" xfId="329" applyNumberFormat="1" applyFont="1" applyBorder="1" applyAlignment="1">
      <alignment horizontal="center"/>
    </xf>
    <xf numFmtId="178" fontId="99" fillId="0" borderId="0" xfId="329" applyNumberFormat="1" applyFont="1" applyBorder="1" applyAlignment="1">
      <alignment horizontal="center"/>
    </xf>
    <xf numFmtId="178" fontId="99" fillId="0" borderId="26" xfId="329" applyNumberFormat="1" applyFont="1" applyBorder="1" applyAlignment="1">
      <alignment horizontal="center"/>
    </xf>
    <xf numFmtId="178" fontId="105" fillId="23" borderId="0" xfId="329" applyNumberFormat="1" applyFont="1" applyFill="1" applyBorder="1"/>
    <xf numFmtId="178" fontId="105" fillId="0" borderId="0" xfId="329" applyNumberFormat="1" applyFont="1" applyBorder="1"/>
    <xf numFmtId="178" fontId="105" fillId="0" borderId="2" xfId="329" applyNumberFormat="1" applyFont="1" applyBorder="1"/>
    <xf numFmtId="0" fontId="25" fillId="0" borderId="2" xfId="329" applyNumberFormat="1" applyFont="1" applyFill="1" applyBorder="1" applyAlignment="1">
      <alignment horizontal="left" indent="1"/>
    </xf>
    <xf numFmtId="168" fontId="11" fillId="0" borderId="0" xfId="892" applyNumberFormat="1" applyFont="1" applyBorder="1" applyAlignment="1">
      <alignment horizontal="right"/>
    </xf>
    <xf numFmtId="0" fontId="25" fillId="0" borderId="2" xfId="329" applyNumberFormat="1" applyFont="1" applyFill="1" applyBorder="1" applyAlignment="1"/>
    <xf numFmtId="0" fontId="91" fillId="0" borderId="2" xfId="329" applyNumberFormat="1" applyFont="1" applyFill="1" applyBorder="1" applyAlignment="1">
      <alignment horizontal="left" indent="1"/>
    </xf>
    <xf numFmtId="178" fontId="26" fillId="0" borderId="26" xfId="329" applyNumberFormat="1" applyFont="1" applyBorder="1" applyAlignment="1">
      <alignment horizontal="right"/>
    </xf>
    <xf numFmtId="168" fontId="11" fillId="0" borderId="2" xfId="892" applyNumberFormat="1" applyFont="1" applyBorder="1" applyAlignment="1">
      <alignment horizontal="right"/>
    </xf>
    <xf numFmtId="168" fontId="11" fillId="0" borderId="26" xfId="892" applyNumberFormat="1" applyFont="1" applyBorder="1" applyAlignment="1">
      <alignment horizontal="right"/>
    </xf>
    <xf numFmtId="178" fontId="6" fillId="0" borderId="2" xfId="329" applyNumberFormat="1" applyFont="1" applyFill="1" applyBorder="1" applyAlignment="1">
      <alignment horizontal="right"/>
    </xf>
    <xf numFmtId="178" fontId="6" fillId="0" borderId="26" xfId="329" applyNumberFormat="1" applyFont="1" applyFill="1" applyBorder="1" applyAlignment="1">
      <alignment horizontal="right"/>
    </xf>
    <xf numFmtId="178" fontId="6" fillId="0" borderId="27" xfId="329" applyNumberFormat="1" applyFont="1" applyFill="1" applyBorder="1" applyAlignment="1">
      <alignment horizontal="right"/>
    </xf>
    <xf numFmtId="178" fontId="6" fillId="0" borderId="28" xfId="329" applyNumberFormat="1" applyFont="1" applyFill="1" applyBorder="1" applyAlignment="1">
      <alignment horizontal="right"/>
    </xf>
    <xf numFmtId="178" fontId="25" fillId="0" borderId="29" xfId="329" applyNumberFormat="1" applyFont="1" applyBorder="1" applyAlignment="1">
      <alignment horizontal="right"/>
    </xf>
    <xf numFmtId="178" fontId="20" fillId="0" borderId="30" xfId="329" applyNumberFormat="1" applyFont="1" applyBorder="1" applyAlignment="1">
      <alignment horizontal="right"/>
    </xf>
    <xf numFmtId="178" fontId="20" fillId="0" borderId="29" xfId="329" applyNumberFormat="1" applyFont="1" applyBorder="1" applyAlignment="1">
      <alignment horizontal="right"/>
    </xf>
    <xf numFmtId="168" fontId="6" fillId="0" borderId="2" xfId="892" applyNumberFormat="1" applyFont="1" applyBorder="1" applyAlignment="1">
      <alignment horizontal="right"/>
    </xf>
    <xf numFmtId="168" fontId="6" fillId="0" borderId="0" xfId="892" applyNumberFormat="1" applyFont="1" applyBorder="1" applyAlignment="1">
      <alignment horizontal="right"/>
    </xf>
    <xf numFmtId="178" fontId="17" fillId="0" borderId="26" xfId="329" applyNumberFormat="1" applyFont="1" applyBorder="1" applyAlignment="1">
      <alignment horizontal="right"/>
    </xf>
    <xf numFmtId="0" fontId="25" fillId="0" borderId="0" xfId="3" applyFont="1" applyFill="1" applyBorder="1"/>
    <xf numFmtId="9" fontId="25" fillId="0" borderId="0" xfId="892" applyFont="1" applyFill="1" applyBorder="1" applyAlignment="1">
      <alignment horizontal="left"/>
    </xf>
    <xf numFmtId="9" fontId="28" fillId="0" borderId="0" xfId="892" applyFont="1" applyFill="1" applyBorder="1" applyAlignment="1">
      <alignment horizontal="right"/>
    </xf>
    <xf numFmtId="9" fontId="28" fillId="0" borderId="2" xfId="892" applyFont="1" applyFill="1" applyBorder="1" applyAlignment="1">
      <alignment horizontal="right"/>
    </xf>
    <xf numFmtId="9" fontId="28" fillId="0" borderId="26" xfId="892" applyFont="1" applyFill="1" applyBorder="1" applyAlignment="1">
      <alignment horizontal="right"/>
    </xf>
    <xf numFmtId="9" fontId="25" fillId="0" borderId="0" xfId="892" applyFont="1" applyFill="1" applyBorder="1"/>
    <xf numFmtId="9" fontId="26" fillId="0" borderId="2" xfId="892" applyFont="1" applyFill="1" applyBorder="1" applyAlignment="1">
      <alignment horizontal="right"/>
    </xf>
    <xf numFmtId="9" fontId="26" fillId="0" borderId="0" xfId="892" applyFont="1" applyFill="1" applyBorder="1" applyAlignment="1">
      <alignment horizontal="right"/>
    </xf>
    <xf numFmtId="0" fontId="25" fillId="0" borderId="2" xfId="3" applyNumberFormat="1" applyFont="1" applyFill="1" applyBorder="1" applyAlignment="1">
      <alignment horizontal="left"/>
    </xf>
    <xf numFmtId="9" fontId="25" fillId="0" borderId="0" xfId="892" applyFont="1" applyFill="1"/>
    <xf numFmtId="9" fontId="14" fillId="0" borderId="2" xfId="892" applyFont="1" applyFill="1" applyBorder="1" applyAlignment="1">
      <alignment horizontal="left" indent="1"/>
    </xf>
    <xf numFmtId="178" fontId="25" fillId="0" borderId="0" xfId="329" applyNumberFormat="1" applyFont="1" applyFill="1"/>
    <xf numFmtId="178" fontId="25" fillId="0" borderId="0" xfId="329" applyNumberFormat="1" applyFont="1" applyFill="1" applyBorder="1" applyAlignment="1">
      <alignment horizontal="left"/>
    </xf>
    <xf numFmtId="178" fontId="28" fillId="0" borderId="0" xfId="329" applyNumberFormat="1" applyFont="1" applyFill="1" applyBorder="1" applyAlignment="1">
      <alignment horizontal="right"/>
    </xf>
    <xf numFmtId="178" fontId="28" fillId="0" borderId="2" xfId="329" applyNumberFormat="1" applyFont="1" applyFill="1" applyBorder="1" applyAlignment="1">
      <alignment horizontal="right"/>
    </xf>
    <xf numFmtId="178" fontId="28" fillId="0" borderId="26" xfId="329" applyNumberFormat="1" applyFont="1" applyFill="1" applyBorder="1" applyAlignment="1">
      <alignment horizontal="right"/>
    </xf>
    <xf numFmtId="178" fontId="25" fillId="0" borderId="0" xfId="329" applyNumberFormat="1" applyFont="1" applyFill="1" applyBorder="1"/>
    <xf numFmtId="0" fontId="20" fillId="0" borderId="0" xfId="3" applyFont="1" applyFill="1"/>
    <xf numFmtId="0" fontId="20" fillId="0" borderId="0" xfId="3" applyFont="1" applyFill="1" applyBorder="1" applyAlignment="1">
      <alignment horizontal="left"/>
    </xf>
    <xf numFmtId="1" fontId="27" fillId="0" borderId="0" xfId="858" applyNumberFormat="1" applyFont="1" applyFill="1" applyBorder="1" applyAlignment="1">
      <alignment horizontal="right"/>
    </xf>
    <xf numFmtId="1" fontId="27" fillId="0" borderId="2" xfId="858" applyNumberFormat="1" applyFont="1" applyFill="1" applyBorder="1" applyAlignment="1">
      <alignment horizontal="right"/>
    </xf>
    <xf numFmtId="1" fontId="27" fillId="0" borderId="26" xfId="858" applyNumberFormat="1" applyFont="1" applyFill="1" applyBorder="1" applyAlignment="1">
      <alignment horizontal="right"/>
    </xf>
    <xf numFmtId="0" fontId="20" fillId="0" borderId="0" xfId="3" applyFont="1" applyFill="1" applyBorder="1"/>
    <xf numFmtId="0" fontId="20" fillId="0" borderId="2" xfId="3" applyNumberFormat="1" applyFont="1" applyFill="1" applyBorder="1" applyAlignment="1">
      <alignment horizontal="left"/>
    </xf>
    <xf numFmtId="0" fontId="105" fillId="0" borderId="2" xfId="3" applyNumberFormat="1" applyFont="1" applyFill="1" applyBorder="1" applyAlignment="1">
      <alignment horizontal="left"/>
    </xf>
    <xf numFmtId="168" fontId="26" fillId="0" borderId="2" xfId="892" applyNumberFormat="1" applyFont="1" applyFill="1" applyBorder="1" applyAlignment="1">
      <alignment horizontal="right"/>
    </xf>
    <xf numFmtId="168" fontId="26" fillId="0" borderId="0" xfId="892" applyNumberFormat="1" applyFont="1" applyFill="1" applyBorder="1" applyAlignment="1">
      <alignment horizontal="right"/>
    </xf>
    <xf numFmtId="178" fontId="91" fillId="0" borderId="0" xfId="329" applyNumberFormat="1" applyFont="1" applyFill="1"/>
    <xf numFmtId="178" fontId="91" fillId="0" borderId="0" xfId="329" applyNumberFormat="1" applyFont="1" applyFill="1" applyBorder="1" applyAlignment="1">
      <alignment horizontal="left"/>
    </xf>
    <xf numFmtId="178" fontId="106" fillId="0" borderId="0" xfId="329" applyNumberFormat="1" applyFont="1" applyFill="1" applyBorder="1" applyAlignment="1">
      <alignment horizontal="right"/>
    </xf>
    <xf numFmtId="178" fontId="106" fillId="0" borderId="2" xfId="329" applyNumberFormat="1" applyFont="1" applyFill="1" applyBorder="1" applyAlignment="1">
      <alignment horizontal="right"/>
    </xf>
    <xf numFmtId="178" fontId="106" fillId="0" borderId="26" xfId="329" applyNumberFormat="1" applyFont="1" applyFill="1" applyBorder="1" applyAlignment="1">
      <alignment horizontal="right"/>
    </xf>
    <xf numFmtId="178" fontId="91" fillId="0" borderId="0" xfId="329" applyNumberFormat="1" applyFont="1" applyFill="1" applyBorder="1"/>
    <xf numFmtId="0" fontId="91" fillId="0" borderId="2" xfId="3" applyNumberFormat="1" applyFont="1" applyFill="1" applyBorder="1" applyAlignment="1">
      <alignment horizontal="left"/>
    </xf>
    <xf numFmtId="178" fontId="107" fillId="0" borderId="2" xfId="329" applyNumberFormat="1" applyFont="1" applyFill="1" applyBorder="1" applyAlignment="1">
      <alignment horizontal="right"/>
    </xf>
    <xf numFmtId="178" fontId="107" fillId="0" borderId="0" xfId="329" applyNumberFormat="1" applyFont="1" applyFill="1" applyBorder="1" applyAlignment="1">
      <alignment horizontal="right"/>
    </xf>
    <xf numFmtId="180" fontId="57" fillId="0" borderId="2" xfId="3" applyNumberFormat="1" applyFont="1" applyBorder="1" applyAlignment="1">
      <alignment horizontal="right"/>
    </xf>
    <xf numFmtId="180" fontId="57" fillId="0" borderId="0" xfId="3" applyNumberFormat="1" applyFont="1" applyBorder="1" applyAlignment="1">
      <alignment horizontal="right"/>
    </xf>
    <xf numFmtId="180" fontId="57" fillId="0" borderId="26" xfId="3" applyNumberFormat="1" applyFont="1" applyBorder="1" applyAlignment="1">
      <alignment horizontal="right"/>
    </xf>
    <xf numFmtId="168" fontId="28" fillId="0" borderId="2" xfId="892" applyNumberFormat="1" applyFont="1" applyFill="1" applyBorder="1" applyAlignment="1">
      <alignment horizontal="right"/>
    </xf>
    <xf numFmtId="168" fontId="28" fillId="0" borderId="0" xfId="892" applyNumberFormat="1" applyFont="1" applyFill="1" applyBorder="1" applyAlignment="1">
      <alignment horizontal="right"/>
    </xf>
    <xf numFmtId="168" fontId="28" fillId="0" borderId="26" xfId="892" applyNumberFormat="1" applyFont="1" applyFill="1" applyBorder="1" applyAlignment="1">
      <alignment horizontal="right"/>
    </xf>
    <xf numFmtId="178" fontId="25" fillId="0" borderId="0" xfId="329" applyNumberFormat="1" applyFont="1" applyBorder="1" applyAlignment="1">
      <alignment horizontal="center"/>
    </xf>
    <xf numFmtId="178" fontId="25" fillId="0" borderId="26" xfId="329" applyNumberFormat="1" applyFont="1" applyBorder="1" applyAlignment="1">
      <alignment horizontal="center"/>
    </xf>
    <xf numFmtId="178" fontId="25" fillId="0" borderId="0" xfId="329" applyNumberFormat="1" applyFont="1" applyFill="1" applyBorder="1" applyAlignment="1">
      <alignment horizontal="center"/>
    </xf>
    <xf numFmtId="178" fontId="25" fillId="0" borderId="26" xfId="329" applyNumberFormat="1" applyFont="1" applyFill="1" applyBorder="1" applyAlignment="1">
      <alignment horizontal="center"/>
    </xf>
    <xf numFmtId="168" fontId="6" fillId="0" borderId="0" xfId="892" applyNumberFormat="1" applyFont="1" applyBorder="1" applyAlignment="1"/>
    <xf numFmtId="168" fontId="25" fillId="0" borderId="0" xfId="892" applyNumberFormat="1" applyFont="1" applyBorder="1" applyAlignment="1"/>
    <xf numFmtId="168" fontId="25" fillId="0" borderId="26" xfId="892" applyNumberFormat="1" applyFont="1" applyBorder="1" applyAlignment="1"/>
    <xf numFmtId="184" fontId="19" fillId="0" borderId="0" xfId="329" applyNumberFormat="1" applyFont="1" applyFill="1"/>
    <xf numFmtId="0" fontId="20" fillId="0" borderId="7" xfId="329" applyNumberFormat="1" applyFont="1" applyFill="1" applyBorder="1" applyAlignment="1">
      <alignment horizontal="left"/>
    </xf>
    <xf numFmtId="184" fontId="20" fillId="0" borderId="0" xfId="329" applyNumberFormat="1" applyFont="1" applyFill="1" applyBorder="1" applyAlignment="1">
      <alignment horizontal="left"/>
    </xf>
    <xf numFmtId="184" fontId="27" fillId="0" borderId="0" xfId="329" applyNumberFormat="1" applyFont="1" applyFill="1" applyBorder="1" applyAlignment="1">
      <alignment horizontal="right"/>
    </xf>
    <xf numFmtId="184" fontId="27" fillId="0" borderId="2" xfId="329" applyNumberFormat="1" applyFont="1" applyFill="1" applyBorder="1" applyAlignment="1">
      <alignment horizontal="right"/>
    </xf>
    <xf numFmtId="184" fontId="27" fillId="0" borderId="26" xfId="329" applyNumberFormat="1" applyFont="1" applyFill="1" applyBorder="1" applyAlignment="1">
      <alignment horizontal="right"/>
    </xf>
    <xf numFmtId="184" fontId="27" fillId="0" borderId="21" xfId="329" applyNumberFormat="1" applyFont="1" applyFill="1" applyBorder="1" applyAlignment="1">
      <alignment horizontal="right"/>
    </xf>
    <xf numFmtId="184" fontId="27" fillId="0" borderId="25" xfId="329" applyNumberFormat="1" applyFont="1" applyFill="1" applyBorder="1" applyAlignment="1">
      <alignment horizontal="right"/>
    </xf>
    <xf numFmtId="184" fontId="27" fillId="0" borderId="7" xfId="329" applyNumberFormat="1" applyFont="1" applyFill="1" applyBorder="1" applyAlignment="1">
      <alignment horizontal="right"/>
    </xf>
    <xf numFmtId="178" fontId="57" fillId="0" borderId="2" xfId="329" applyNumberFormat="1" applyFont="1" applyBorder="1" applyAlignment="1">
      <alignment horizontal="right"/>
    </xf>
    <xf numFmtId="178" fontId="57" fillId="0" borderId="0" xfId="329" applyNumberFormat="1" applyFont="1" applyBorder="1" applyAlignment="1">
      <alignment horizontal="right"/>
    </xf>
    <xf numFmtId="178" fontId="57" fillId="0" borderId="26" xfId="329" applyNumberFormat="1" applyFont="1" applyBorder="1" applyAlignment="1">
      <alignment horizontal="right"/>
    </xf>
    <xf numFmtId="178" fontId="108" fillId="0" borderId="2" xfId="329" applyNumberFormat="1" applyFont="1" applyBorder="1" applyAlignment="1">
      <alignment horizontal="right"/>
    </xf>
    <xf numFmtId="178" fontId="108" fillId="0" borderId="0" xfId="329" applyNumberFormat="1" applyFont="1" applyBorder="1" applyAlignment="1">
      <alignment horizontal="right"/>
    </xf>
    <xf numFmtId="178" fontId="108" fillId="0" borderId="26" xfId="329" applyNumberFormat="1" applyFont="1" applyBorder="1" applyAlignment="1">
      <alignment horizontal="right"/>
    </xf>
    <xf numFmtId="178" fontId="107" fillId="0" borderId="2" xfId="329" applyNumberFormat="1" applyFont="1" applyBorder="1" applyAlignment="1">
      <alignment horizontal="right"/>
    </xf>
    <xf numFmtId="178" fontId="107" fillId="0" borderId="0" xfId="329" applyNumberFormat="1" applyFont="1" applyBorder="1" applyAlignment="1">
      <alignment horizontal="right"/>
    </xf>
    <xf numFmtId="178" fontId="107" fillId="0" borderId="26" xfId="329" applyNumberFormat="1" applyFont="1" applyBorder="1" applyAlignment="1">
      <alignment horizontal="right"/>
    </xf>
    <xf numFmtId="9" fontId="105" fillId="0" borderId="2" xfId="892" applyFont="1" applyFill="1" applyBorder="1" applyAlignment="1">
      <alignment horizontal="left"/>
    </xf>
    <xf numFmtId="0" fontId="105" fillId="0" borderId="2" xfId="329" applyNumberFormat="1" applyFont="1" applyFill="1" applyBorder="1"/>
    <xf numFmtId="178" fontId="92" fillId="0" borderId="26" xfId="329" applyNumberFormat="1" applyFont="1" applyFill="1" applyBorder="1" applyAlignment="1">
      <alignment horizontal="right"/>
    </xf>
    <xf numFmtId="178" fontId="92" fillId="0" borderId="0" xfId="329" applyNumberFormat="1" applyFont="1" applyFill="1" applyBorder="1" applyAlignment="1">
      <alignment horizontal="right"/>
    </xf>
    <xf numFmtId="0" fontId="91" fillId="0" borderId="2" xfId="329" applyNumberFormat="1" applyFont="1" applyFill="1" applyBorder="1" applyAlignment="1"/>
    <xf numFmtId="178" fontId="27" fillId="0" borderId="26" xfId="329" applyNumberFormat="1" applyFont="1" applyFill="1" applyBorder="1" applyAlignment="1">
      <alignment horizontal="right"/>
    </xf>
    <xf numFmtId="168" fontId="9" fillId="0" borderId="26" xfId="892" applyNumberFormat="1" applyFont="1" applyFill="1" applyBorder="1" applyAlignment="1">
      <alignment horizontal="right"/>
    </xf>
    <xf numFmtId="168" fontId="27" fillId="0" borderId="0" xfId="892" applyNumberFormat="1" applyFont="1" applyFill="1" applyBorder="1" applyAlignment="1">
      <alignment horizontal="right"/>
    </xf>
    <xf numFmtId="168" fontId="9" fillId="0" borderId="0" xfId="892" applyNumberFormat="1" applyFont="1" applyFill="1" applyBorder="1" applyAlignment="1">
      <alignment horizontal="right"/>
    </xf>
    <xf numFmtId="9" fontId="25" fillId="0" borderId="0" xfId="892" applyFont="1" applyBorder="1"/>
    <xf numFmtId="204" fontId="102" fillId="0" borderId="0" xfId="329" applyNumberFormat="1" applyFont="1" applyBorder="1" applyAlignment="1">
      <alignment horizontal="right"/>
    </xf>
    <xf numFmtId="178" fontId="11" fillId="0" borderId="0" xfId="3" applyNumberFormat="1" applyFont="1" applyFill="1" applyBorder="1"/>
    <xf numFmtId="167" fontId="11" fillId="0" borderId="25" xfId="3" applyNumberFormat="1" applyFont="1" applyFill="1" applyBorder="1" applyAlignment="1"/>
    <xf numFmtId="10" fontId="0" fillId="0" borderId="0" xfId="892" applyNumberFormat="1" applyFont="1"/>
    <xf numFmtId="168" fontId="111" fillId="0" borderId="0" xfId="3" applyNumberFormat="1" applyFont="1" applyBorder="1" applyAlignment="1">
      <alignment horizontal="right"/>
    </xf>
    <xf numFmtId="184" fontId="112" fillId="0" borderId="2" xfId="329" applyNumberFormat="1" applyFont="1" applyFill="1" applyBorder="1" applyAlignment="1">
      <alignment horizontal="right"/>
    </xf>
    <xf numFmtId="184" fontId="112" fillId="0" borderId="0" xfId="329" applyNumberFormat="1" applyFont="1" applyFill="1" applyBorder="1" applyAlignment="1">
      <alignment horizontal="right"/>
    </xf>
    <xf numFmtId="184" fontId="112" fillId="0" borderId="26" xfId="329" applyNumberFormat="1" applyFont="1" applyFill="1" applyBorder="1" applyAlignment="1">
      <alignment horizontal="right"/>
    </xf>
    <xf numFmtId="164" fontId="28" fillId="0" borderId="0" xfId="892" applyNumberFormat="1" applyFont="1" applyFill="1" applyBorder="1" applyAlignment="1">
      <alignment horizontal="right"/>
    </xf>
    <xf numFmtId="184" fontId="28" fillId="0" borderId="0" xfId="892" applyNumberFormat="1" applyFont="1" applyFill="1" applyBorder="1" applyAlignment="1">
      <alignment horizontal="right"/>
    </xf>
    <xf numFmtId="180" fontId="26" fillId="36" borderId="26" xfId="3" applyNumberFormat="1" applyFont="1" applyFill="1" applyBorder="1" applyAlignment="1">
      <alignment horizontal="right"/>
    </xf>
    <xf numFmtId="168" fontId="12" fillId="0" borderId="27" xfId="892" applyNumberFormat="1" applyFont="1" applyFill="1" applyBorder="1"/>
    <xf numFmtId="174" fontId="20" fillId="0" borderId="27" xfId="3" applyNumberFormat="1" applyFont="1" applyFill="1" applyBorder="1"/>
    <xf numFmtId="184" fontId="26" fillId="0" borderId="2" xfId="329" applyNumberFormat="1" applyFont="1" applyFill="1" applyBorder="1" applyAlignment="1">
      <alignment horizontal="right"/>
    </xf>
    <xf numFmtId="10" fontId="11" fillId="0" borderId="3" xfId="892" applyNumberFormat="1" applyFont="1" applyFill="1" applyBorder="1"/>
    <xf numFmtId="184" fontId="28" fillId="0" borderId="0" xfId="329" applyNumberFormat="1" applyFont="1" applyFill="1" applyBorder="1" applyAlignment="1">
      <alignment horizontal="right"/>
    </xf>
    <xf numFmtId="168" fontId="1" fillId="0" borderId="0" xfId="892" applyNumberFormat="1" applyFont="1"/>
    <xf numFmtId="37" fontId="6" fillId="0" borderId="0" xfId="3" applyNumberFormat="1" applyFont="1" applyFill="1" applyBorder="1" applyAlignment="1">
      <alignment horizontal="center"/>
    </xf>
    <xf numFmtId="0" fontId="11" fillId="0" borderId="0" xfId="3" applyFont="1" applyBorder="1" applyAlignment="1">
      <alignment horizontal="center"/>
    </xf>
    <xf numFmtId="164" fontId="6" fillId="0" borderId="0" xfId="3" applyNumberFormat="1" applyFont="1" applyBorder="1" applyAlignment="1">
      <alignment horizontal="center"/>
    </xf>
    <xf numFmtId="0" fontId="20" fillId="0" borderId="7" xfId="3" applyFont="1" applyBorder="1"/>
    <xf numFmtId="0" fontId="20" fillId="0" borderId="25" xfId="3" applyFont="1" applyBorder="1"/>
    <xf numFmtId="0" fontId="8" fillId="0" borderId="28" xfId="3" applyFont="1" applyFill="1" applyBorder="1" applyAlignment="1">
      <alignment horizontal="left" indent="1"/>
    </xf>
    <xf numFmtId="165" fontId="9" fillId="23" borderId="2" xfId="858" applyNumberFormat="1" applyFont="1" applyFill="1" applyBorder="1" applyAlignment="1">
      <alignment horizontal="right"/>
    </xf>
    <xf numFmtId="168" fontId="6" fillId="0" borderId="2" xfId="892" applyNumberFormat="1" applyFont="1" applyFill="1" applyBorder="1" applyAlignment="1"/>
    <xf numFmtId="168" fontId="6" fillId="0" borderId="0" xfId="892" applyNumberFormat="1" applyFont="1" applyFill="1" applyBorder="1" applyAlignment="1"/>
    <xf numFmtId="168" fontId="6" fillId="0" borderId="26" xfId="892" applyNumberFormat="1" applyFont="1" applyFill="1" applyBorder="1" applyAlignment="1"/>
    <xf numFmtId="178" fontId="6" fillId="0" borderId="2" xfId="329" applyNumberFormat="1" applyFont="1" applyFill="1" applyBorder="1" applyAlignment="1"/>
    <xf numFmtId="178" fontId="6" fillId="0" borderId="0" xfId="329" applyNumberFormat="1" applyFont="1" applyFill="1" applyBorder="1" applyAlignment="1"/>
    <xf numFmtId="0" fontId="0" fillId="0" borderId="0" xfId="0" applyBorder="1"/>
    <xf numFmtId="0" fontId="0" fillId="0" borderId="0" xfId="0" applyFill="1"/>
    <xf numFmtId="168" fontId="6" fillId="0" borderId="0" xfId="892" applyNumberFormat="1" applyFont="1"/>
    <xf numFmtId="1" fontId="7" fillId="33" borderId="21" xfId="858" applyNumberFormat="1" applyFont="1" applyFill="1" applyBorder="1" applyAlignment="1">
      <alignment horizontal="right"/>
    </xf>
    <xf numFmtId="169" fontId="6" fillId="0" borderId="26" xfId="3" applyNumberFormat="1" applyFont="1" applyFill="1" applyBorder="1" applyAlignment="1"/>
    <xf numFmtId="184" fontId="6" fillId="0" borderId="31" xfId="329" applyNumberFormat="1" applyFont="1" applyBorder="1"/>
    <xf numFmtId="184" fontId="40" fillId="0" borderId="31" xfId="329" applyNumberFormat="1" applyFont="1" applyBorder="1"/>
    <xf numFmtId="184" fontId="20" fillId="0" borderId="31" xfId="329" applyNumberFormat="1" applyFont="1" applyBorder="1"/>
    <xf numFmtId="184" fontId="25" fillId="0" borderId="31" xfId="329" applyNumberFormat="1" applyFont="1" applyBorder="1"/>
    <xf numFmtId="9" fontId="14" fillId="0" borderId="31" xfId="892" applyFont="1" applyBorder="1"/>
    <xf numFmtId="184" fontId="91" fillId="0" borderId="31" xfId="329" applyNumberFormat="1" applyFont="1" applyBorder="1"/>
    <xf numFmtId="44" fontId="20" fillId="0" borderId="31" xfId="542" applyFont="1" applyBorder="1"/>
    <xf numFmtId="9" fontId="6" fillId="0" borderId="31" xfId="892" applyFont="1" applyBorder="1"/>
    <xf numFmtId="181" fontId="40" fillId="0" borderId="28" xfId="3" applyNumberFormat="1" applyFont="1" applyFill="1" applyBorder="1"/>
    <xf numFmtId="0" fontId="40" fillId="0" borderId="27" xfId="3" applyFont="1" applyBorder="1"/>
    <xf numFmtId="0" fontId="40" fillId="0" borderId="3" xfId="3" applyFont="1" applyBorder="1"/>
    <xf numFmtId="178" fontId="40" fillId="0" borderId="3" xfId="329" applyNumberFormat="1" applyFont="1" applyBorder="1"/>
    <xf numFmtId="178" fontId="40" fillId="0" borderId="27" xfId="329" applyNumberFormat="1" applyFont="1" applyBorder="1"/>
    <xf numFmtId="178" fontId="40" fillId="0" borderId="28" xfId="329" applyNumberFormat="1" applyFont="1" applyBorder="1"/>
    <xf numFmtId="0" fontId="1" fillId="0" borderId="26" xfId="3" applyFont="1" applyBorder="1"/>
    <xf numFmtId="0" fontId="6" fillId="0" borderId="36" xfId="3" applyFont="1" applyBorder="1"/>
    <xf numFmtId="0" fontId="6" fillId="0" borderId="35" xfId="3" applyFont="1" applyBorder="1"/>
    <xf numFmtId="164" fontId="100" fillId="29" borderId="0" xfId="3" applyNumberFormat="1" applyFont="1" applyFill="1" applyBorder="1" applyAlignment="1"/>
    <xf numFmtId="1" fontId="53" fillId="31" borderId="0" xfId="858" applyNumberFormat="1" applyFont="1" applyFill="1" applyBorder="1" applyAlignment="1">
      <alignment horizontal="right"/>
    </xf>
    <xf numFmtId="1" fontId="96" fillId="31" borderId="0" xfId="858" applyNumberFormat="1" applyFont="1" applyFill="1" applyBorder="1" applyAlignment="1">
      <alignment horizontal="right"/>
    </xf>
    <xf numFmtId="168" fontId="14" fillId="0" borderId="2" xfId="3" applyNumberFormat="1" applyFont="1" applyFill="1" applyBorder="1"/>
    <xf numFmtId="164" fontId="60" fillId="33" borderId="2" xfId="3" applyNumberFormat="1" applyFont="1" applyFill="1" applyBorder="1"/>
    <xf numFmtId="168" fontId="14" fillId="0" borderId="26" xfId="892" applyNumberFormat="1" applyFont="1" applyFill="1" applyBorder="1"/>
    <xf numFmtId="168" fontId="8" fillId="0" borderId="2" xfId="3" applyNumberFormat="1" applyFont="1" applyFill="1" applyBorder="1"/>
    <xf numFmtId="164" fontId="7" fillId="0" borderId="2" xfId="3" applyNumberFormat="1" applyFont="1" applyBorder="1"/>
    <xf numFmtId="0" fontId="6" fillId="0" borderId="21" xfId="3" applyFont="1" applyBorder="1"/>
    <xf numFmtId="1" fontId="9" fillId="0" borderId="21" xfId="858" applyNumberFormat="1" applyFont="1" applyFill="1" applyBorder="1" applyAlignment="1">
      <alignment horizontal="right"/>
    </xf>
    <xf numFmtId="1" fontId="9" fillId="0" borderId="30" xfId="858" applyNumberFormat="1" applyFont="1" applyFill="1" applyBorder="1" applyAlignment="1">
      <alignment horizontal="right"/>
    </xf>
    <xf numFmtId="1" fontId="9" fillId="0" borderId="29" xfId="858" applyNumberFormat="1" applyFont="1" applyFill="1" applyBorder="1" applyAlignment="1">
      <alignment horizontal="right"/>
    </xf>
    <xf numFmtId="37" fontId="1" fillId="0" borderId="0" xfId="3" applyNumberFormat="1" applyFont="1" applyFill="1" applyBorder="1" applyAlignment="1">
      <alignment horizontal="center"/>
    </xf>
    <xf numFmtId="0" fontId="20" fillId="0" borderId="21" xfId="3" applyFont="1" applyBorder="1"/>
    <xf numFmtId="0" fontId="19" fillId="0" borderId="21" xfId="3" applyFont="1" applyBorder="1"/>
    <xf numFmtId="9" fontId="1" fillId="0" borderId="0" xfId="892" applyFont="1"/>
    <xf numFmtId="168" fontId="12" fillId="0" borderId="2" xfId="892" applyNumberFormat="1" applyFont="1" applyFill="1" applyBorder="1" applyAlignment="1"/>
    <xf numFmtId="164" fontId="25" fillId="0" borderId="2" xfId="3" applyNumberFormat="1" applyFont="1" applyFill="1" applyBorder="1" applyAlignment="1"/>
    <xf numFmtId="169" fontId="11" fillId="0" borderId="2" xfId="892" applyNumberFormat="1" applyFont="1" applyFill="1" applyBorder="1" applyAlignment="1"/>
    <xf numFmtId="172" fontId="6" fillId="0" borderId="2" xfId="3" applyNumberFormat="1" applyFont="1" applyFill="1" applyBorder="1" applyAlignment="1"/>
    <xf numFmtId="168" fontId="8" fillId="0" borderId="2" xfId="892" applyNumberFormat="1" applyFont="1" applyFill="1" applyBorder="1" applyAlignment="1">
      <alignment horizontal="right"/>
    </xf>
    <xf numFmtId="164" fontId="92" fillId="0" borderId="2" xfId="3" applyNumberFormat="1" applyFont="1" applyFill="1" applyBorder="1" applyAlignment="1"/>
    <xf numFmtId="168" fontId="15" fillId="0" borderId="2" xfId="892" applyNumberFormat="1" applyFont="1" applyFill="1" applyBorder="1" applyAlignment="1"/>
    <xf numFmtId="168" fontId="11" fillId="0" borderId="2" xfId="892" applyNumberFormat="1" applyFont="1" applyFill="1" applyBorder="1" applyAlignment="1"/>
    <xf numFmtId="164" fontId="11" fillId="0" borderId="2" xfId="3" applyNumberFormat="1" applyFont="1" applyFill="1" applyBorder="1" applyAlignment="1"/>
    <xf numFmtId="164" fontId="39" fillId="0" borderId="2" xfId="3" applyNumberFormat="1" applyFont="1" applyFill="1" applyBorder="1" applyAlignment="1"/>
    <xf numFmtId="169" fontId="11" fillId="0" borderId="2" xfId="3" applyNumberFormat="1" applyFont="1" applyFill="1" applyBorder="1" applyAlignment="1"/>
    <xf numFmtId="168" fontId="8" fillId="0" borderId="0" xfId="935" applyNumberFormat="1" applyFont="1" applyFill="1" applyBorder="1" applyAlignment="1"/>
    <xf numFmtId="169" fontId="25" fillId="0" borderId="26" xfId="3" applyNumberFormat="1" applyFont="1" applyFill="1" applyBorder="1" applyAlignment="1"/>
    <xf numFmtId="169" fontId="25" fillId="0" borderId="0" xfId="3" applyNumberFormat="1" applyFont="1" applyFill="1" applyBorder="1" applyAlignment="1"/>
    <xf numFmtId="170" fontId="6" fillId="0" borderId="0" xfId="3" applyNumberFormat="1" applyFont="1" applyFill="1" applyBorder="1" applyAlignment="1"/>
    <xf numFmtId="170" fontId="6" fillId="0" borderId="2" xfId="3" applyNumberFormat="1" applyFont="1" applyFill="1" applyBorder="1" applyAlignment="1"/>
    <xf numFmtId="164" fontId="23" fillId="0" borderId="0" xfId="3" applyNumberFormat="1" applyFont="1" applyBorder="1"/>
    <xf numFmtId="178" fontId="6" fillId="29" borderId="25" xfId="329" applyNumberFormat="1" applyFont="1" applyFill="1" applyBorder="1"/>
    <xf numFmtId="178" fontId="11" fillId="29" borderId="26" xfId="329" applyNumberFormat="1" applyFont="1" applyFill="1" applyBorder="1"/>
    <xf numFmtId="168" fontId="12" fillId="0" borderId="26" xfId="892" applyNumberFormat="1" applyFont="1" applyBorder="1"/>
    <xf numFmtId="164" fontId="20" fillId="0" borderId="21" xfId="3" applyNumberFormat="1" applyFont="1" applyBorder="1"/>
    <xf numFmtId="168" fontId="14" fillId="0" borderId="28" xfId="892" applyNumberFormat="1" applyFont="1" applyBorder="1"/>
    <xf numFmtId="0" fontId="7" fillId="0" borderId="21" xfId="3" applyFont="1" applyBorder="1"/>
    <xf numFmtId="164" fontId="7" fillId="0" borderId="21" xfId="3" applyNumberFormat="1" applyFont="1" applyBorder="1"/>
    <xf numFmtId="164" fontId="7" fillId="0" borderId="25" xfId="3" applyNumberFormat="1" applyFont="1" applyBorder="1"/>
    <xf numFmtId="164" fontId="7" fillId="0" borderId="7" xfId="3" applyNumberFormat="1" applyFont="1" applyBorder="1"/>
    <xf numFmtId="0" fontId="7" fillId="0" borderId="36" xfId="3" applyFont="1" applyBorder="1"/>
    <xf numFmtId="0" fontId="7" fillId="0" borderId="35" xfId="3" applyFont="1" applyBorder="1"/>
    <xf numFmtId="183" fontId="6" fillId="0" borderId="21" xfId="3" applyNumberFormat="1" applyFont="1" applyBorder="1"/>
    <xf numFmtId="183" fontId="6" fillId="0" borderId="25" xfId="3" applyNumberFormat="1" applyFont="1" applyBorder="1"/>
    <xf numFmtId="0" fontId="6" fillId="35" borderId="21" xfId="3" applyFont="1" applyFill="1" applyBorder="1"/>
    <xf numFmtId="0" fontId="6" fillId="35" borderId="25" xfId="3" applyFont="1" applyFill="1" applyBorder="1"/>
    <xf numFmtId="164" fontId="120" fillId="0" borderId="0" xfId="3" applyNumberFormat="1" applyFont="1" applyFill="1" applyBorder="1" applyAlignment="1"/>
    <xf numFmtId="168" fontId="121" fillId="0" borderId="0" xfId="892" applyNumberFormat="1" applyFont="1" applyFill="1" applyBorder="1" applyAlignment="1"/>
    <xf numFmtId="168" fontId="25" fillId="0" borderId="0" xfId="3" applyNumberFormat="1" applyFont="1" applyFill="1" applyBorder="1" applyAlignment="1"/>
    <xf numFmtId="168" fontId="6" fillId="0" borderId="0" xfId="3" applyNumberFormat="1" applyFont="1" applyFill="1" applyBorder="1" applyAlignment="1"/>
    <xf numFmtId="168" fontId="6" fillId="0" borderId="26" xfId="3" applyNumberFormat="1" applyFont="1" applyFill="1" applyBorder="1" applyAlignment="1"/>
    <xf numFmtId="168" fontId="6" fillId="0" borderId="2" xfId="3" applyNumberFormat="1" applyFont="1" applyFill="1" applyBorder="1" applyAlignment="1"/>
    <xf numFmtId="180" fontId="0" fillId="0" borderId="0" xfId="0" applyNumberFormat="1"/>
    <xf numFmtId="168" fontId="0" fillId="0" borderId="0" xfId="0" applyNumberFormat="1"/>
    <xf numFmtId="183" fontId="8" fillId="0" borderId="0" xfId="892" applyNumberFormat="1" applyFont="1" applyFill="1" applyBorder="1" applyAlignment="1"/>
    <xf numFmtId="183" fontId="8" fillId="0" borderId="26" xfId="892" applyNumberFormat="1" applyFont="1" applyFill="1" applyBorder="1" applyAlignment="1"/>
    <xf numFmtId="183" fontId="25" fillId="0" borderId="0" xfId="3" applyNumberFormat="1" applyFont="1" applyFill="1" applyBorder="1" applyAlignment="1"/>
    <xf numFmtId="183" fontId="6" fillId="0" borderId="0" xfId="3" applyNumberFormat="1" applyFont="1" applyFill="1"/>
    <xf numFmtId="183" fontId="6" fillId="0" borderId="26" xfId="3" applyNumberFormat="1" applyFont="1" applyFill="1" applyBorder="1" applyAlignment="1">
      <alignment horizontal="left" indent="2"/>
    </xf>
    <xf numFmtId="183" fontId="6" fillId="0" borderId="0" xfId="3" applyNumberFormat="1" applyFont="1" applyFill="1" applyBorder="1" applyAlignment="1"/>
    <xf numFmtId="183" fontId="6" fillId="0" borderId="26" xfId="3" applyNumberFormat="1" applyFont="1" applyFill="1" applyBorder="1" applyAlignment="1"/>
    <xf numFmtId="183" fontId="6" fillId="0" borderId="2" xfId="3" applyNumberFormat="1" applyFont="1" applyFill="1" applyBorder="1" applyAlignment="1"/>
    <xf numFmtId="183" fontId="6" fillId="0" borderId="31" xfId="3" applyNumberFormat="1" applyFont="1" applyFill="1" applyBorder="1"/>
    <xf numFmtId="183" fontId="11" fillId="0" borderId="0" xfId="3" applyNumberFormat="1" applyFont="1" applyFill="1" applyBorder="1"/>
    <xf numFmtId="183" fontId="6" fillId="0" borderId="0" xfId="3" applyNumberFormat="1" applyFont="1" applyFill="1" applyBorder="1"/>
    <xf numFmtId="183" fontId="6" fillId="0" borderId="26" xfId="3" applyNumberFormat="1" applyFont="1" applyFill="1" applyBorder="1"/>
    <xf numFmtId="183" fontId="6" fillId="0" borderId="2" xfId="3" applyNumberFormat="1" applyFont="1" applyFill="1" applyBorder="1"/>
    <xf numFmtId="183" fontId="6" fillId="0" borderId="0" xfId="892" applyNumberFormat="1" applyFont="1" applyFill="1" applyBorder="1"/>
    <xf numFmtId="183" fontId="0" fillId="0" borderId="0" xfId="3" applyNumberFormat="1" applyFont="1" applyFill="1"/>
    <xf numFmtId="164" fontId="100" fillId="29" borderId="26" xfId="3" applyNumberFormat="1" applyFont="1" applyFill="1" applyBorder="1" applyAlignment="1"/>
    <xf numFmtId="164" fontId="100" fillId="29" borderId="2" xfId="3" applyNumberFormat="1" applyFont="1" applyFill="1" applyBorder="1" applyAlignment="1"/>
    <xf numFmtId="167" fontId="18" fillId="0" borderId="0" xfId="4" applyNumberFormat="1" applyFont="1" applyFill="1" applyBorder="1" applyAlignment="1"/>
    <xf numFmtId="37" fontId="6" fillId="0" borderId="7" xfId="3" applyNumberFormat="1" applyFont="1" applyFill="1" applyBorder="1"/>
    <xf numFmtId="37" fontId="6" fillId="0" borderId="21" xfId="3" applyNumberFormat="1" applyFont="1" applyFill="1" applyBorder="1"/>
    <xf numFmtId="37" fontId="6" fillId="0" borderId="25" xfId="3" applyNumberFormat="1" applyFont="1" applyFill="1" applyBorder="1"/>
    <xf numFmtId="167" fontId="18" fillId="0" borderId="2" xfId="4" applyNumberFormat="1" applyFont="1" applyFill="1" applyBorder="1" applyAlignment="1"/>
    <xf numFmtId="167" fontId="18" fillId="0" borderId="26" xfId="4" applyNumberFormat="1" applyFont="1" applyFill="1" applyBorder="1" applyAlignment="1"/>
    <xf numFmtId="168" fontId="164" fillId="0" borderId="2" xfId="892" applyNumberFormat="1" applyFont="1" applyFill="1" applyBorder="1" applyAlignment="1"/>
    <xf numFmtId="168" fontId="164" fillId="0" borderId="0" xfId="892" applyNumberFormat="1" applyFont="1" applyFill="1" applyBorder="1" applyAlignment="1"/>
    <xf numFmtId="168" fontId="164" fillId="0" borderId="26" xfId="892" applyNumberFormat="1" applyFont="1" applyFill="1" applyBorder="1" applyAlignment="1"/>
    <xf numFmtId="178" fontId="18" fillId="0" borderId="2" xfId="329" applyNumberFormat="1" applyFont="1" applyFill="1" applyBorder="1" applyAlignment="1"/>
    <xf numFmtId="178" fontId="18" fillId="0" borderId="0" xfId="329" applyNumberFormat="1" applyFont="1" applyFill="1" applyBorder="1" applyAlignment="1"/>
    <xf numFmtId="168" fontId="164" fillId="0" borderId="0" xfId="4" applyNumberFormat="1" applyFont="1" applyFill="1" applyBorder="1" applyAlignment="1"/>
    <xf numFmtId="168" fontId="168" fillId="27" borderId="0" xfId="377" applyNumberFormat="1" applyFont="1" applyFill="1" applyBorder="1"/>
    <xf numFmtId="168" fontId="168" fillId="27" borderId="26" xfId="377" applyNumberFormat="1" applyFont="1" applyFill="1" applyBorder="1"/>
    <xf numFmtId="178" fontId="18" fillId="0" borderId="26" xfId="329" applyNumberFormat="1" applyFont="1" applyFill="1" applyBorder="1" applyAlignment="1"/>
    <xf numFmtId="178" fontId="165" fillId="0" borderId="0" xfId="329" applyNumberFormat="1" applyFont="1" applyFill="1" applyBorder="1" applyAlignment="1"/>
    <xf numFmtId="178" fontId="165" fillId="0" borderId="26" xfId="329" applyNumberFormat="1" applyFont="1" applyFill="1" applyBorder="1" applyAlignment="1"/>
    <xf numFmtId="178" fontId="165" fillId="0" borderId="2" xfId="329" applyNumberFormat="1" applyFont="1" applyFill="1" applyBorder="1" applyAlignment="1"/>
    <xf numFmtId="181" fontId="18" fillId="0" borderId="0" xfId="4" applyNumberFormat="1" applyFont="1" applyFill="1" applyBorder="1" applyAlignment="1"/>
    <xf numFmtId="181" fontId="18" fillId="0" borderId="26" xfId="4" applyNumberFormat="1" applyFont="1" applyFill="1" applyBorder="1" applyAlignment="1"/>
    <xf numFmtId="178" fontId="168" fillId="27" borderId="0" xfId="329" applyNumberFormat="1" applyFont="1" applyFill="1" applyBorder="1"/>
    <xf numFmtId="178" fontId="168" fillId="27" borderId="26" xfId="329" applyNumberFormat="1" applyFont="1" applyFill="1" applyBorder="1"/>
    <xf numFmtId="178" fontId="18" fillId="0" borderId="27" xfId="329" applyNumberFormat="1" applyFont="1" applyFill="1" applyBorder="1" applyAlignment="1"/>
    <xf numFmtId="178" fontId="18" fillId="0" borderId="3" xfId="329" applyNumberFormat="1" applyFont="1" applyFill="1" applyBorder="1" applyAlignment="1"/>
    <xf numFmtId="178" fontId="18" fillId="0" borderId="28" xfId="329" applyNumberFormat="1" applyFont="1" applyFill="1" applyBorder="1" applyAlignment="1"/>
    <xf numFmtId="167" fontId="170" fillId="0" borderId="0" xfId="3" applyNumberFormat="1" applyFont="1" applyFill="1" applyBorder="1" applyAlignment="1"/>
    <xf numFmtId="167" fontId="170" fillId="0" borderId="2" xfId="3" applyNumberFormat="1" applyFont="1" applyFill="1" applyBorder="1" applyAlignment="1"/>
    <xf numFmtId="167" fontId="170" fillId="0" borderId="26" xfId="3" applyNumberFormat="1" applyFont="1" applyFill="1" applyBorder="1" applyAlignment="1"/>
    <xf numFmtId="168" fontId="168" fillId="27" borderId="0" xfId="0" applyNumberFormat="1" applyFont="1" applyFill="1" applyBorder="1"/>
    <xf numFmtId="168" fontId="168" fillId="27" borderId="26" xfId="0" applyNumberFormat="1" applyFont="1" applyFill="1" applyBorder="1"/>
    <xf numFmtId="174" fontId="170" fillId="0" borderId="26" xfId="3" applyNumberFormat="1" applyFont="1" applyFill="1" applyBorder="1" applyAlignment="1">
      <alignment horizontal="left"/>
    </xf>
    <xf numFmtId="174" fontId="170" fillId="0" borderId="0" xfId="3" applyNumberFormat="1" applyFont="1" applyFill="1" applyBorder="1" applyAlignment="1">
      <alignment horizontal="left"/>
    </xf>
    <xf numFmtId="174" fontId="170" fillId="0" borderId="26" xfId="3" applyNumberFormat="1" applyFont="1" applyFill="1" applyBorder="1"/>
    <xf numFmtId="174" fontId="170" fillId="0" borderId="2" xfId="3" applyNumberFormat="1" applyFont="1" applyFill="1" applyBorder="1" applyAlignment="1">
      <alignment horizontal="left"/>
    </xf>
    <xf numFmtId="174" fontId="170" fillId="0" borderId="0" xfId="3" applyNumberFormat="1" applyFont="1" applyFill="1" applyBorder="1"/>
    <xf numFmtId="174" fontId="170" fillId="0" borderId="2" xfId="3" applyNumberFormat="1" applyFont="1" applyFill="1" applyBorder="1"/>
    <xf numFmtId="168" fontId="166" fillId="29" borderId="0" xfId="892" applyNumberFormat="1" applyFont="1" applyFill="1" applyBorder="1" applyAlignment="1"/>
    <xf numFmtId="168" fontId="166" fillId="29" borderId="2" xfId="892" applyNumberFormat="1" applyFont="1" applyFill="1" applyBorder="1" applyAlignment="1"/>
    <xf numFmtId="168" fontId="166" fillId="29" borderId="26" xfId="892" applyNumberFormat="1" applyFont="1" applyFill="1" applyBorder="1" applyAlignment="1"/>
    <xf numFmtId="44" fontId="169" fillId="0" borderId="0" xfId="542" applyFont="1" applyFill="1" applyBorder="1" applyAlignment="1"/>
    <xf numFmtId="164" fontId="0" fillId="0" borderId="0" xfId="0" applyNumberFormat="1"/>
    <xf numFmtId="168" fontId="25" fillId="0" borderId="2" xfId="892" applyNumberFormat="1" applyFont="1" applyFill="1" applyBorder="1" applyAlignment="1"/>
    <xf numFmtId="168" fontId="25" fillId="0" borderId="0" xfId="892" applyNumberFormat="1" applyFont="1" applyFill="1" applyBorder="1" applyAlignment="1"/>
    <xf numFmtId="44" fontId="8" fillId="0" borderId="0" xfId="542" applyNumberFormat="1" applyFont="1" applyFill="1" applyBorder="1" applyAlignment="1"/>
    <xf numFmtId="168" fontId="25" fillId="0" borderId="26" xfId="892" applyNumberFormat="1" applyFont="1" applyFill="1" applyBorder="1" applyAlignment="1"/>
    <xf numFmtId="174" fontId="20" fillId="0" borderId="0" xfId="3" applyNumberFormat="1" applyFont="1" applyFill="1" applyBorder="1"/>
    <xf numFmtId="164" fontId="169" fillId="0" borderId="2" xfId="3" applyNumberFormat="1" applyFont="1" applyFill="1" applyBorder="1" applyAlignment="1"/>
    <xf numFmtId="168" fontId="121" fillId="0" borderId="2" xfId="892" applyNumberFormat="1" applyFont="1" applyFill="1" applyBorder="1" applyAlignment="1"/>
    <xf numFmtId="204" fontId="21" fillId="0" borderId="30" xfId="329" applyNumberFormat="1" applyFont="1" applyFill="1" applyBorder="1"/>
    <xf numFmtId="185" fontId="11" fillId="0" borderId="26" xfId="3" applyNumberFormat="1" applyFont="1" applyFill="1" applyBorder="1"/>
    <xf numFmtId="168" fontId="14" fillId="0" borderId="2" xfId="892" applyNumberFormat="1" applyFont="1" applyFill="1" applyBorder="1" applyAlignment="1"/>
    <xf numFmtId="189" fontId="8" fillId="0" borderId="0" xfId="542" applyNumberFormat="1" applyFont="1" applyFill="1" applyBorder="1" applyAlignment="1"/>
    <xf numFmtId="186" fontId="0" fillId="0" borderId="0" xfId="542" applyNumberFormat="1" applyFont="1"/>
    <xf numFmtId="186" fontId="18" fillId="0" borderId="0" xfId="542" applyNumberFormat="1" applyFont="1" applyFill="1" applyBorder="1" applyAlignment="1"/>
    <xf numFmtId="186" fontId="18" fillId="0" borderId="26" xfId="542" applyNumberFormat="1" applyFont="1" applyFill="1" applyBorder="1" applyAlignment="1"/>
    <xf numFmtId="167" fontId="18" fillId="0" borderId="7" xfId="3" applyNumberFormat="1" applyFont="1" applyFill="1" applyBorder="1" applyAlignment="1"/>
    <xf numFmtId="9" fontId="11" fillId="0" borderId="0" xfId="892" applyNumberFormat="1" applyFont="1" applyFill="1" applyBorder="1" applyAlignment="1"/>
    <xf numFmtId="168" fontId="168" fillId="27" borderId="2" xfId="0" applyNumberFormat="1" applyFont="1" applyFill="1" applyBorder="1"/>
    <xf numFmtId="174" fontId="7" fillId="0" borderId="0" xfId="4" applyNumberFormat="1" applyFont="1" applyFill="1" applyBorder="1"/>
    <xf numFmtId="226" fontId="169" fillId="0" borderId="0" xfId="542" applyNumberFormat="1" applyFont="1" applyFill="1" applyBorder="1" applyAlignment="1"/>
    <xf numFmtId="186" fontId="8" fillId="0" borderId="0" xfId="542" applyNumberFormat="1" applyFont="1" applyFill="1" applyBorder="1" applyAlignment="1"/>
    <xf numFmtId="166" fontId="7" fillId="0" borderId="2" xfId="857" applyFont="1" applyFill="1" applyBorder="1"/>
    <xf numFmtId="166" fontId="7" fillId="0" borderId="26" xfId="857" applyFont="1" applyFill="1" applyBorder="1"/>
    <xf numFmtId="166" fontId="7" fillId="0" borderId="2" xfId="857" applyNumberFormat="1" applyFont="1" applyFill="1" applyBorder="1" applyAlignment="1"/>
    <xf numFmtId="166" fontId="7" fillId="0" borderId="26" xfId="857" applyNumberFormat="1" applyFont="1" applyFill="1" applyBorder="1" applyAlignment="1"/>
    <xf numFmtId="166" fontId="7" fillId="0" borderId="29" xfId="857" applyFont="1" applyFill="1" applyBorder="1"/>
    <xf numFmtId="166" fontId="7" fillId="0" borderId="30" xfId="857" applyFont="1" applyFill="1" applyBorder="1"/>
    <xf numFmtId="37" fontId="7" fillId="0" borderId="2" xfId="857" applyNumberFormat="1" applyFont="1" applyFill="1" applyBorder="1"/>
    <xf numFmtId="37" fontId="7" fillId="0" borderId="26" xfId="857" applyNumberFormat="1" applyFont="1" applyFill="1" applyBorder="1"/>
    <xf numFmtId="174" fontId="20" fillId="0" borderId="2" xfId="3" applyNumberFormat="1" applyFont="1" applyFill="1" applyBorder="1"/>
    <xf numFmtId="0" fontId="3" fillId="0" borderId="0" xfId="3" applyFont="1" applyFill="1" applyBorder="1" applyAlignment="1">
      <alignment vertical="center"/>
    </xf>
    <xf numFmtId="10" fontId="0" fillId="0" borderId="0" xfId="892" applyNumberFormat="1" applyFont="1" applyBorder="1"/>
    <xf numFmtId="164" fontId="0" fillId="0" borderId="0" xfId="3" applyNumberFormat="1" applyFont="1" applyBorder="1"/>
    <xf numFmtId="1" fontId="53" fillId="31" borderId="29" xfId="858" applyNumberFormat="1" applyFont="1" applyFill="1" applyBorder="1" applyAlignment="1">
      <alignment horizontal="right"/>
    </xf>
    <xf numFmtId="1" fontId="7" fillId="33" borderId="29" xfId="858" applyNumberFormat="1" applyFont="1" applyFill="1" applyBorder="1" applyAlignment="1">
      <alignment horizontal="right"/>
    </xf>
    <xf numFmtId="0" fontId="23" fillId="23" borderId="0" xfId="3" applyFont="1" applyFill="1" applyBorder="1"/>
    <xf numFmtId="178" fontId="168" fillId="27" borderId="25" xfId="329" applyNumberFormat="1" applyFont="1" applyFill="1" applyBorder="1"/>
    <xf numFmtId="180" fontId="20" fillId="0" borderId="0" xfId="3" applyNumberFormat="1" applyFont="1"/>
    <xf numFmtId="178" fontId="11" fillId="0" borderId="0" xfId="3" applyNumberFormat="1" applyFont="1" applyFill="1"/>
    <xf numFmtId="178" fontId="208" fillId="29" borderId="26" xfId="329" applyNumberFormat="1" applyFont="1" applyFill="1" applyBorder="1"/>
    <xf numFmtId="168" fontId="166" fillId="0" borderId="0" xfId="892" applyNumberFormat="1" applyFont="1" applyFill="1" applyBorder="1" applyAlignment="1"/>
    <xf numFmtId="168" fontId="15" fillId="0" borderId="0" xfId="892" applyNumberFormat="1" applyFont="1" applyFill="1" applyBorder="1" applyAlignment="1">
      <alignment horizontal="right"/>
    </xf>
    <xf numFmtId="168" fontId="15" fillId="0" borderId="26" xfId="892" applyNumberFormat="1" applyFont="1" applyFill="1" applyBorder="1" applyAlignment="1">
      <alignment horizontal="right"/>
    </xf>
    <xf numFmtId="168" fontId="15" fillId="0" borderId="2" xfId="892" applyNumberFormat="1" applyFont="1" applyFill="1" applyBorder="1" applyAlignment="1">
      <alignment horizontal="right"/>
    </xf>
    <xf numFmtId="0" fontId="7" fillId="0" borderId="29" xfId="3" applyFont="1" applyFill="1" applyBorder="1" applyAlignment="1"/>
    <xf numFmtId="186" fontId="19" fillId="0" borderId="30" xfId="542" applyNumberFormat="1" applyFont="1" applyBorder="1" applyAlignment="1">
      <alignment horizontal="center"/>
    </xf>
    <xf numFmtId="9" fontId="6" fillId="0" borderId="25" xfId="3" applyNumberFormat="1" applyFont="1" applyBorder="1" applyAlignment="1">
      <alignment horizontal="center"/>
    </xf>
    <xf numFmtId="9" fontId="6" fillId="0" borderId="26" xfId="3" applyNumberFormat="1" applyFont="1" applyBorder="1" applyAlignment="1">
      <alignment horizontal="center"/>
    </xf>
    <xf numFmtId="186" fontId="7" fillId="0" borderId="30" xfId="542" applyNumberFormat="1" applyFont="1" applyBorder="1" applyAlignment="1">
      <alignment horizontal="center"/>
    </xf>
    <xf numFmtId="9" fontId="6" fillId="0" borderId="7" xfId="3" applyNumberFormat="1" applyFont="1" applyBorder="1" applyAlignment="1">
      <alignment horizontal="center"/>
    </xf>
    <xf numFmtId="9" fontId="6" fillId="0" borderId="2" xfId="3" applyNumberFormat="1" applyFont="1" applyBorder="1" applyAlignment="1">
      <alignment horizontal="center"/>
    </xf>
    <xf numFmtId="186" fontId="7" fillId="0" borderId="29" xfId="542" applyNumberFormat="1" applyFont="1" applyBorder="1" applyAlignment="1">
      <alignment horizontal="center"/>
    </xf>
    <xf numFmtId="9" fontId="6" fillId="0" borderId="21" xfId="3" applyNumberFormat="1" applyFont="1" applyBorder="1" applyAlignment="1">
      <alignment horizontal="center"/>
    </xf>
    <xf numFmtId="9" fontId="6" fillId="0" borderId="0" xfId="3" applyNumberFormat="1" applyFont="1" applyBorder="1" applyAlignment="1">
      <alignment horizontal="center"/>
    </xf>
    <xf numFmtId="186" fontId="7" fillId="0" borderId="1" xfId="542" applyNumberFormat="1" applyFont="1" applyBorder="1" applyAlignment="1">
      <alignment horizontal="center"/>
    </xf>
    <xf numFmtId="0" fontId="8" fillId="38" borderId="2" xfId="3" applyFont="1" applyFill="1" applyBorder="1" applyAlignment="1">
      <alignment horizontal="left" indent="3"/>
    </xf>
    <xf numFmtId="0" fontId="8" fillId="38" borderId="26" xfId="3" applyFont="1" applyFill="1" applyBorder="1" applyAlignment="1">
      <alignment horizontal="left" indent="1"/>
    </xf>
    <xf numFmtId="168" fontId="8" fillId="38" borderId="2" xfId="892" applyNumberFormat="1" applyFont="1" applyFill="1" applyBorder="1"/>
    <xf numFmtId="168" fontId="8" fillId="38" borderId="0" xfId="892" applyNumberFormat="1" applyFont="1" applyFill="1" applyBorder="1"/>
    <xf numFmtId="168" fontId="8" fillId="38" borderId="26" xfId="892" applyNumberFormat="1" applyFont="1" applyFill="1" applyBorder="1"/>
    <xf numFmtId="168" fontId="14" fillId="38" borderId="2" xfId="892" applyNumberFormat="1" applyFont="1" applyFill="1" applyBorder="1"/>
    <xf numFmtId="168" fontId="14" fillId="38" borderId="0" xfId="892" applyNumberFormat="1" applyFont="1" applyFill="1" applyBorder="1"/>
    <xf numFmtId="168" fontId="14" fillId="38" borderId="26" xfId="892" applyNumberFormat="1" applyFont="1" applyFill="1" applyBorder="1"/>
    <xf numFmtId="178" fontId="14" fillId="38" borderId="26" xfId="329" applyNumberFormat="1" applyFont="1" applyFill="1" applyBorder="1"/>
    <xf numFmtId="178" fontId="14" fillId="38" borderId="2" xfId="329" applyNumberFormat="1" applyFont="1" applyFill="1" applyBorder="1"/>
    <xf numFmtId="178" fontId="14" fillId="38" borderId="0" xfId="329" applyNumberFormat="1" applyFont="1" applyFill="1" applyBorder="1"/>
    <xf numFmtId="0" fontId="8" fillId="38" borderId="2" xfId="3" applyFont="1" applyFill="1" applyBorder="1" applyAlignment="1">
      <alignment horizontal="left" indent="5"/>
    </xf>
    <xf numFmtId="168" fontId="12" fillId="38" borderId="2" xfId="996" applyNumberFormat="1" applyFont="1" applyFill="1" applyBorder="1"/>
    <xf numFmtId="168" fontId="12" fillId="38" borderId="0" xfId="996" applyNumberFormat="1" applyFont="1" applyFill="1" applyBorder="1"/>
    <xf numFmtId="168" fontId="12" fillId="38" borderId="26" xfId="996" applyNumberFormat="1" applyFont="1" applyFill="1" applyBorder="1"/>
    <xf numFmtId="178" fontId="8" fillId="38" borderId="0" xfId="329" applyNumberFormat="1" applyFont="1" applyFill="1" applyBorder="1"/>
    <xf numFmtId="184" fontId="14" fillId="0" borderId="3" xfId="329" applyNumberFormat="1" applyFont="1" applyFill="1" applyBorder="1"/>
    <xf numFmtId="184" fontId="12" fillId="0" borderId="28" xfId="329" applyNumberFormat="1" applyFont="1" applyFill="1" applyBorder="1"/>
    <xf numFmtId="186" fontId="19" fillId="0" borderId="1" xfId="542" applyNumberFormat="1" applyFont="1" applyBorder="1" applyAlignment="1">
      <alignment horizontal="center"/>
    </xf>
    <xf numFmtId="1" fontId="9" fillId="0" borderId="0" xfId="857" applyNumberFormat="1" applyFont="1" applyFill="1" applyBorder="1" applyAlignment="1">
      <alignment horizontal="right"/>
    </xf>
    <xf numFmtId="168" fontId="168" fillId="0" borderId="0" xfId="0" applyNumberFormat="1" applyFont="1" applyFill="1" applyBorder="1"/>
    <xf numFmtId="178" fontId="168" fillId="0" borderId="0" xfId="329" applyNumberFormat="1" applyFont="1" applyFill="1" applyBorder="1"/>
    <xf numFmtId="164" fontId="100" fillId="0" borderId="0" xfId="3" applyNumberFormat="1" applyFont="1" applyFill="1" applyBorder="1" applyAlignment="1"/>
    <xf numFmtId="44" fontId="20" fillId="0" borderId="0" xfId="542" applyFont="1" applyFill="1" applyBorder="1"/>
    <xf numFmtId="0" fontId="91" fillId="0" borderId="26" xfId="3" applyFont="1" applyBorder="1"/>
    <xf numFmtId="205" fontId="20" fillId="0" borderId="26" xfId="3" applyNumberFormat="1" applyFont="1" applyBorder="1"/>
    <xf numFmtId="0" fontId="0" fillId="0" borderId="0" xfId="0" applyFill="1" applyBorder="1"/>
    <xf numFmtId="164" fontId="0" fillId="0" borderId="0" xfId="3" applyNumberFormat="1" applyFont="1" applyFill="1" applyBorder="1"/>
    <xf numFmtId="181" fontId="18" fillId="0" borderId="2" xfId="4" applyNumberFormat="1" applyFont="1" applyFill="1" applyBorder="1" applyAlignment="1"/>
    <xf numFmtId="181" fontId="11" fillId="0" borderId="39" xfId="3" applyNumberFormat="1" applyFont="1" applyFill="1" applyBorder="1"/>
    <xf numFmtId="168" fontId="14" fillId="0" borderId="0" xfId="892" applyNumberFormat="1" applyFont="1" applyFill="1" applyBorder="1" applyAlignment="1">
      <alignment horizontal="right"/>
    </xf>
    <xf numFmtId="183" fontId="20" fillId="0" borderId="0" xfId="3" applyNumberFormat="1" applyFont="1" applyFill="1" applyBorder="1"/>
    <xf numFmtId="165" fontId="9" fillId="0" borderId="0" xfId="858" applyNumberFormat="1" applyFont="1" applyFill="1" applyBorder="1" applyAlignment="1">
      <alignment horizontal="right"/>
    </xf>
    <xf numFmtId="37" fontId="6" fillId="0" borderId="0" xfId="3" applyNumberFormat="1" applyFont="1" applyFill="1"/>
    <xf numFmtId="178" fontId="21" fillId="0" borderId="0" xfId="329" applyNumberFormat="1" applyFont="1" applyFill="1" applyBorder="1"/>
    <xf numFmtId="168" fontId="168" fillId="0" borderId="0" xfId="377" applyNumberFormat="1" applyFont="1" applyFill="1" applyBorder="1"/>
    <xf numFmtId="184" fontId="6" fillId="0" borderId="0" xfId="3" applyNumberFormat="1" applyFont="1" applyFill="1" applyBorder="1"/>
    <xf numFmtId="184" fontId="40" fillId="0" borderId="0" xfId="3" applyNumberFormat="1" applyFont="1" applyFill="1" applyBorder="1"/>
    <xf numFmtId="168" fontId="6" fillId="0" borderId="0" xfId="3" applyNumberFormat="1" applyFont="1" applyFill="1" applyBorder="1"/>
    <xf numFmtId="167" fontId="22" fillId="0" borderId="0" xfId="856" applyNumberFormat="1" applyFont="1" applyFill="1" applyBorder="1"/>
    <xf numFmtId="164" fontId="22" fillId="0" borderId="0" xfId="856" applyNumberFormat="1" applyFont="1" applyFill="1" applyBorder="1"/>
    <xf numFmtId="0" fontId="11" fillId="0" borderId="0" xfId="3" applyFont="1" applyFill="1" applyBorder="1" applyAlignment="1">
      <alignment horizontal="center"/>
    </xf>
    <xf numFmtId="164" fontId="6" fillId="0" borderId="0" xfId="3" applyNumberFormat="1" applyFont="1" applyFill="1" applyBorder="1" applyAlignment="1">
      <alignment horizontal="center"/>
    </xf>
    <xf numFmtId="0" fontId="11" fillId="0" borderId="25" xfId="3" applyFont="1" applyFill="1" applyBorder="1"/>
    <xf numFmtId="178" fontId="7" fillId="0" borderId="0" xfId="329" applyNumberFormat="1" applyFont="1" applyFill="1" applyBorder="1"/>
    <xf numFmtId="0" fontId="23" fillId="0" borderId="0" xfId="3" applyFont="1" applyFill="1" applyBorder="1"/>
    <xf numFmtId="1" fontId="35" fillId="0" borderId="0" xfId="858" applyNumberFormat="1" applyFont="1" applyFill="1" applyBorder="1" applyAlignment="1">
      <alignment horizontal="right"/>
    </xf>
    <xf numFmtId="168" fontId="15" fillId="0" borderId="0" xfId="3" applyNumberFormat="1" applyFont="1" applyFill="1" applyBorder="1" applyAlignment="1"/>
    <xf numFmtId="164" fontId="60" fillId="0" borderId="0" xfId="3" applyNumberFormat="1" applyFont="1" applyFill="1" applyBorder="1"/>
    <xf numFmtId="0" fontId="103" fillId="0" borderId="0" xfId="3" applyFont="1" applyFill="1" applyBorder="1"/>
    <xf numFmtId="178" fontId="19" fillId="0" borderId="0" xfId="329" applyNumberFormat="1" applyFont="1" applyFill="1" applyBorder="1"/>
    <xf numFmtId="178" fontId="23" fillId="0" borderId="0" xfId="329" applyNumberFormat="1" applyFont="1" applyFill="1" applyBorder="1"/>
    <xf numFmtId="178" fontId="94" fillId="0" borderId="0" xfId="329" applyNumberFormat="1" applyFont="1" applyFill="1" applyBorder="1"/>
    <xf numFmtId="178" fontId="99" fillId="0" borderId="0" xfId="329" applyNumberFormat="1" applyFont="1" applyFill="1" applyBorder="1"/>
    <xf numFmtId="0" fontId="82" fillId="0" borderId="0" xfId="3" applyFont="1" applyFill="1" applyBorder="1"/>
    <xf numFmtId="180" fontId="7" fillId="0" borderId="25" xfId="3" applyNumberFormat="1" applyFont="1" applyFill="1" applyBorder="1"/>
    <xf numFmtId="168" fontId="8" fillId="0" borderId="26" xfId="3" applyNumberFormat="1" applyFont="1" applyFill="1" applyBorder="1" applyAlignment="1"/>
    <xf numFmtId="175" fontId="11" fillId="0" borderId="7" xfId="3" applyNumberFormat="1" applyFont="1" applyFill="1" applyBorder="1"/>
    <xf numFmtId="0" fontId="0" fillId="0" borderId="0" xfId="892" applyNumberFormat="1" applyFont="1"/>
    <xf numFmtId="0" fontId="0" fillId="0" borderId="0" xfId="892" applyNumberFormat="1" applyFont="1" applyBorder="1"/>
    <xf numFmtId="43" fontId="0" fillId="0" borderId="0" xfId="892" applyNumberFormat="1" applyFont="1" applyBorder="1"/>
    <xf numFmtId="0" fontId="8" fillId="0" borderId="0" xfId="892" applyNumberFormat="1" applyFont="1" applyFill="1" applyBorder="1" applyAlignment="1"/>
    <xf numFmtId="168" fontId="166" fillId="0" borderId="2" xfId="892" applyNumberFormat="1" applyFont="1" applyFill="1" applyBorder="1" applyAlignment="1"/>
    <xf numFmtId="168" fontId="8" fillId="38" borderId="2" xfId="996" applyNumberFormat="1" applyFont="1" applyFill="1" applyBorder="1"/>
    <xf numFmtId="2" fontId="6" fillId="0" borderId="25" xfId="3" applyNumberFormat="1" applyFont="1" applyBorder="1" applyAlignment="1">
      <alignment horizontal="center"/>
    </xf>
    <xf numFmtId="2" fontId="6" fillId="0" borderId="26" xfId="3" applyNumberFormat="1" applyFont="1" applyBorder="1" applyAlignment="1">
      <alignment horizontal="center"/>
    </xf>
    <xf numFmtId="2" fontId="6" fillId="0" borderId="21" xfId="3" applyNumberFormat="1" applyFont="1" applyBorder="1" applyAlignment="1">
      <alignment horizontal="center"/>
    </xf>
    <xf numFmtId="2" fontId="6" fillId="0" borderId="0" xfId="3" applyNumberFormat="1" applyFont="1" applyBorder="1" applyAlignment="1">
      <alignment horizontal="center"/>
    </xf>
    <xf numFmtId="2" fontId="6" fillId="0" borderId="7" xfId="3" applyNumberFormat="1" applyFont="1" applyBorder="1" applyAlignment="1">
      <alignment horizontal="center"/>
    </xf>
    <xf numFmtId="2" fontId="6" fillId="0" borderId="2" xfId="3" applyNumberFormat="1" applyFont="1" applyBorder="1" applyAlignment="1">
      <alignment horizontal="center"/>
    </xf>
    <xf numFmtId="0" fontId="38" fillId="0" borderId="0" xfId="1173" applyFont="1" applyFill="1" applyBorder="1" applyAlignment="1">
      <alignment horizontal="center"/>
    </xf>
    <xf numFmtId="1" fontId="9" fillId="0" borderId="2" xfId="857" applyNumberFormat="1" applyFont="1" applyFill="1" applyBorder="1" applyAlignment="1">
      <alignment horizontal="right"/>
    </xf>
    <xf numFmtId="168" fontId="168" fillId="0" borderId="2" xfId="0" applyNumberFormat="1" applyFont="1" applyFill="1" applyBorder="1"/>
    <xf numFmtId="183" fontId="11" fillId="0" borderId="2" xfId="3" applyNumberFormat="1" applyFont="1" applyFill="1" applyBorder="1"/>
    <xf numFmtId="164" fontId="120" fillId="0" borderId="2" xfId="3" applyNumberFormat="1" applyFont="1" applyFill="1" applyBorder="1" applyAlignment="1"/>
    <xf numFmtId="164" fontId="100" fillId="0" borderId="2" xfId="3" applyNumberFormat="1" applyFont="1" applyFill="1" applyBorder="1" applyAlignment="1"/>
    <xf numFmtId="178" fontId="168" fillId="0" borderId="2" xfId="329" applyNumberFormat="1" applyFont="1" applyFill="1" applyBorder="1"/>
    <xf numFmtId="169" fontId="202" fillId="0" borderId="0" xfId="3" applyNumberFormat="1" applyFont="1" applyFill="1" applyBorder="1"/>
    <xf numFmtId="164" fontId="120" fillId="0" borderId="26" xfId="3" applyNumberFormat="1" applyFont="1" applyFill="1" applyBorder="1" applyAlignment="1"/>
    <xf numFmtId="44" fontId="20" fillId="0" borderId="2" xfId="542" applyFont="1" applyFill="1" applyBorder="1"/>
    <xf numFmtId="44" fontId="20" fillId="0" borderId="26" xfId="542" applyFont="1" applyFill="1" applyBorder="1"/>
    <xf numFmtId="186" fontId="18" fillId="0" borderId="2" xfId="542" applyNumberFormat="1" applyFont="1" applyFill="1" applyBorder="1" applyAlignment="1"/>
    <xf numFmtId="178" fontId="21" fillId="0" borderId="2" xfId="329" applyNumberFormat="1" applyFont="1" applyFill="1" applyBorder="1"/>
    <xf numFmtId="168" fontId="168" fillId="0" borderId="2" xfId="377" applyNumberFormat="1" applyFont="1" applyFill="1" applyBorder="1"/>
    <xf numFmtId="167" fontId="22" fillId="0" borderId="2" xfId="856" applyNumberFormat="1" applyFont="1" applyFill="1" applyBorder="1"/>
    <xf numFmtId="164" fontId="22" fillId="0" borderId="2" xfId="856" applyNumberFormat="1" applyFont="1" applyFill="1" applyBorder="1"/>
    <xf numFmtId="184" fontId="6" fillId="0" borderId="2" xfId="3" applyNumberFormat="1" applyFont="1" applyFill="1" applyBorder="1"/>
    <xf numFmtId="184" fontId="40" fillId="0" borderId="2" xfId="3" applyNumberFormat="1" applyFont="1" applyFill="1" applyBorder="1"/>
    <xf numFmtId="168" fontId="6" fillId="0" borderId="2" xfId="3" applyNumberFormat="1" applyFont="1" applyFill="1" applyBorder="1"/>
    <xf numFmtId="181" fontId="40" fillId="0" borderId="2" xfId="3" applyNumberFormat="1" applyFont="1" applyFill="1" applyBorder="1"/>
    <xf numFmtId="181" fontId="20" fillId="0" borderId="2" xfId="3" applyNumberFormat="1" applyFont="1" applyFill="1" applyBorder="1"/>
    <xf numFmtId="168" fontId="6" fillId="0" borderId="2" xfId="892" applyNumberFormat="1" applyFont="1" applyFill="1" applyBorder="1"/>
    <xf numFmtId="181" fontId="80" fillId="0" borderId="2" xfId="3" applyNumberFormat="1" applyFont="1" applyFill="1" applyBorder="1"/>
    <xf numFmtId="178" fontId="7" fillId="0" borderId="2" xfId="329" applyNumberFormat="1" applyFont="1" applyFill="1" applyBorder="1"/>
    <xf numFmtId="1" fontId="35" fillId="0" borderId="2" xfId="858" applyNumberFormat="1" applyFont="1" applyFill="1" applyBorder="1" applyAlignment="1">
      <alignment horizontal="right"/>
    </xf>
    <xf numFmtId="168" fontId="15" fillId="0" borderId="2" xfId="3" applyNumberFormat="1" applyFont="1" applyFill="1" applyBorder="1" applyAlignment="1"/>
    <xf numFmtId="164" fontId="20" fillId="0" borderId="2" xfId="3" applyNumberFormat="1" applyFont="1" applyFill="1" applyBorder="1"/>
    <xf numFmtId="164" fontId="60" fillId="0" borderId="2" xfId="3" applyNumberFormat="1" applyFont="1" applyFill="1" applyBorder="1"/>
    <xf numFmtId="0" fontId="0" fillId="0" borderId="2" xfId="3" applyFont="1" applyFill="1" applyBorder="1"/>
    <xf numFmtId="0" fontId="19" fillId="0" borderId="2" xfId="3" applyFont="1" applyFill="1" applyBorder="1"/>
    <xf numFmtId="164" fontId="6" fillId="29" borderId="0" xfId="3" applyNumberFormat="1" applyFont="1" applyFill="1" applyBorder="1" applyAlignment="1"/>
    <xf numFmtId="181" fontId="209" fillId="0" borderId="0" xfId="3" applyNumberFormat="1" applyFont="1" applyFill="1" applyBorder="1"/>
    <xf numFmtId="181" fontId="209" fillId="0" borderId="0" xfId="4" applyNumberFormat="1" applyFont="1" applyFill="1" applyBorder="1" applyAlignment="1"/>
    <xf numFmtId="178" fontId="209" fillId="0" borderId="0" xfId="329" applyNumberFormat="1" applyFont="1" applyFill="1" applyBorder="1" applyAlignment="1"/>
    <xf numFmtId="178" fontId="208" fillId="0" borderId="0" xfId="329" applyNumberFormat="1" applyFont="1" applyBorder="1"/>
    <xf numFmtId="168" fontId="8" fillId="38" borderId="0" xfId="996" applyNumberFormat="1" applyFont="1" applyFill="1" applyBorder="1"/>
    <xf numFmtId="43" fontId="1" fillId="0" borderId="0" xfId="3" applyNumberFormat="1" applyFont="1" applyFill="1"/>
    <xf numFmtId="44" fontId="6" fillId="0" borderId="0" xfId="1173" applyNumberFormat="1" applyFont="1" applyFill="1" applyAlignment="1">
      <alignment horizontal="center"/>
    </xf>
    <xf numFmtId="44" fontId="6" fillId="0" borderId="0" xfId="3" applyNumberFormat="1" applyFont="1" applyBorder="1"/>
    <xf numFmtId="178" fontId="209" fillId="0" borderId="0" xfId="329" applyNumberFormat="1" applyFont="1" applyFill="1" applyBorder="1"/>
    <xf numFmtId="9" fontId="11" fillId="0" borderId="0" xfId="892" applyFont="1" applyFill="1" applyBorder="1"/>
    <xf numFmtId="0" fontId="1" fillId="0" borderId="0" xfId="8830"/>
    <xf numFmtId="0" fontId="1" fillId="100" borderId="0" xfId="8829" applyFont="1" applyFill="1" applyAlignment="1">
      <alignment vertical="top"/>
    </xf>
    <xf numFmtId="0" fontId="1" fillId="100" borderId="0" xfId="8830" applyFill="1" applyAlignment="1">
      <alignment vertical="top"/>
    </xf>
    <xf numFmtId="0" fontId="1" fillId="100" borderId="0" xfId="8830" applyFill="1"/>
    <xf numFmtId="0" fontId="6" fillId="100" borderId="0" xfId="8829" applyFont="1" applyFill="1" applyAlignment="1">
      <alignment horizontal="left" vertical="top"/>
    </xf>
    <xf numFmtId="0" fontId="1" fillId="100" borderId="0" xfId="8830" applyFont="1" applyFill="1" applyAlignment="1">
      <alignment vertical="top"/>
    </xf>
    <xf numFmtId="0" fontId="82" fillId="100" borderId="0" xfId="8829" applyFont="1" applyFill="1" applyAlignment="1">
      <alignment vertical="top"/>
    </xf>
    <xf numFmtId="0" fontId="0" fillId="100" borderId="0" xfId="0" applyFill="1" applyAlignment="1">
      <alignment vertical="top"/>
    </xf>
    <xf numFmtId="0" fontId="335" fillId="100" borderId="0" xfId="0" applyFont="1" applyFill="1" applyAlignment="1">
      <alignment vertical="top"/>
    </xf>
    <xf numFmtId="0" fontId="336" fillId="100" borderId="0" xfId="0" applyFont="1" applyFill="1" applyAlignment="1">
      <alignment vertical="top"/>
    </xf>
    <xf numFmtId="0" fontId="336" fillId="100" borderId="0" xfId="0" applyFont="1" applyFill="1" applyAlignment="1">
      <alignment vertical="top"/>
    </xf>
    <xf numFmtId="0" fontId="335" fillId="100" borderId="0" xfId="0" applyFont="1" applyFill="1" applyAlignment="1">
      <alignment vertical="top"/>
    </xf>
    <xf numFmtId="0" fontId="0" fillId="100" borderId="0" xfId="0" applyFill="1" applyAlignment="1">
      <alignment vertical="top"/>
    </xf>
    <xf numFmtId="0" fontId="0" fillId="100" borderId="66" xfId="0" applyFill="1" applyBorder="1" applyAlignment="1">
      <alignment vertical="top"/>
    </xf>
    <xf numFmtId="0" fontId="335" fillId="100" borderId="62" xfId="0" applyFont="1" applyFill="1" applyBorder="1" applyAlignment="1">
      <alignment vertical="top"/>
    </xf>
    <xf numFmtId="0" fontId="335" fillId="100" borderId="63" xfId="0" applyFont="1" applyFill="1" applyBorder="1" applyAlignment="1">
      <alignment vertical="top"/>
    </xf>
    <xf numFmtId="0" fontId="335" fillId="100" borderId="64" xfId="0" applyFont="1" applyFill="1" applyBorder="1" applyAlignment="1">
      <alignment vertical="top"/>
    </xf>
    <xf numFmtId="0" fontId="335" fillId="100" borderId="65" xfId="0" applyFont="1" applyFill="1" applyBorder="1" applyAlignment="1">
      <alignment vertical="top"/>
    </xf>
    <xf numFmtId="9" fontId="335" fillId="100" borderId="62" xfId="0" applyNumberFormat="1" applyFont="1" applyFill="1" applyBorder="1" applyAlignment="1">
      <alignment vertical="top"/>
    </xf>
    <xf numFmtId="3" fontId="335" fillId="100" borderId="62" xfId="0" applyNumberFormat="1" applyFont="1" applyFill="1" applyBorder="1" applyAlignment="1">
      <alignment vertical="top"/>
    </xf>
    <xf numFmtId="0" fontId="0" fillId="100" borderId="67" xfId="0" applyFill="1" applyBorder="1" applyAlignment="1">
      <alignment vertical="top"/>
    </xf>
    <xf numFmtId="2" fontId="1" fillId="0" borderId="0" xfId="8830" applyNumberFormat="1" applyAlignment="1">
      <alignment horizontal="left"/>
    </xf>
    <xf numFmtId="0" fontId="1" fillId="0" borderId="0" xfId="8830" applyNumberFormat="1" applyAlignment="1">
      <alignment horizontal="left"/>
    </xf>
    <xf numFmtId="1" fontId="1" fillId="0" borderId="0" xfId="8830" applyNumberFormat="1" applyAlignment="1">
      <alignment horizontal="left"/>
    </xf>
    <xf numFmtId="0" fontId="1" fillId="0" borderId="0" xfId="8830" applyFont="1"/>
    <xf numFmtId="280" fontId="1" fillId="0" borderId="0" xfId="8830" applyNumberFormat="1" applyAlignment="1">
      <alignment horizontal="left"/>
    </xf>
    <xf numFmtId="49" fontId="1" fillId="0" borderId="0" xfId="8830" applyNumberFormat="1"/>
  </cellXfs>
  <cellStyles count="8831">
    <cellStyle name="-" xfId="1"/>
    <cellStyle name=" 1" xfId="2"/>
    <cellStyle name=" 1 2" xfId="1304"/>
    <cellStyle name=" 1 2 2" xfId="4094"/>
    <cellStyle name=" 1 2 3" xfId="4402"/>
    <cellStyle name="_x000a_386grabber=M" xfId="3"/>
    <cellStyle name="_x000a_386grabber=M 2" xfId="4"/>
    <cellStyle name="_x000a_386grabber=M 2 2" xfId="5"/>
    <cellStyle name="_x000a_386grabber=M 2 2 2" xfId="1307"/>
    <cellStyle name="_x000a_386grabber=M 2 3" xfId="1308"/>
    <cellStyle name="_x000a_386grabber=M 2 3 2" xfId="1309"/>
    <cellStyle name="_x000a_386grabber=M 3" xfId="6"/>
    <cellStyle name="_x000a_386grabber=M 3 2" xfId="7"/>
    <cellStyle name="_x000a_386grabber=M 3 2 2" xfId="1310"/>
    <cellStyle name="_x000a_386grabber=M 3 2 3" xfId="1311"/>
    <cellStyle name="_x000a_386grabber=M 3 3" xfId="4235"/>
    <cellStyle name="_x000a_386grabber=M 4" xfId="1312"/>
    <cellStyle name="_x000a_386grabber=M 4 2" xfId="1313"/>
    <cellStyle name="_x000a_386grabber=M 5" xfId="1314"/>
    <cellStyle name="$" xfId="1315"/>
    <cellStyle name="$ &amp; ¢" xfId="1316"/>
    <cellStyle name="$ 1 decimal" xfId="8"/>
    <cellStyle name="$_AA - BenefitsBonus " xfId="1317"/>
    <cellStyle name="%" xfId="9"/>
    <cellStyle name="% 2" xfId="10"/>
    <cellStyle name="% 2 2" xfId="11"/>
    <cellStyle name="% 2 2 2" xfId="1320"/>
    <cellStyle name="% 2 2 2 2" xfId="1321"/>
    <cellStyle name="% 2 2 3" xfId="1322"/>
    <cellStyle name="% 2 3" xfId="1323"/>
    <cellStyle name="% 2 3 2" xfId="1324"/>
    <cellStyle name="% 2 4" xfId="1325"/>
    <cellStyle name="% 3" xfId="12"/>
    <cellStyle name="% 3 2" xfId="13"/>
    <cellStyle name="% 3 2 2" xfId="1327"/>
    <cellStyle name="% 3 3" xfId="1328"/>
    <cellStyle name="% 4" xfId="14"/>
    <cellStyle name="% 4 2" xfId="15"/>
    <cellStyle name="% 4 2 2" xfId="2133"/>
    <cellStyle name="% 4 3" xfId="2134"/>
    <cellStyle name="% 5" xfId="16"/>
    <cellStyle name="% 5 2" xfId="17"/>
    <cellStyle name="% 5 2 2" xfId="2131"/>
    <cellStyle name="% 5 3" xfId="2132"/>
    <cellStyle name="% 6" xfId="18"/>
    <cellStyle name="% 6 2" xfId="2130"/>
    <cellStyle name="% 7" xfId="1329"/>
    <cellStyle name="% 7 2" xfId="1330"/>
    <cellStyle name="% 8" xfId="1331"/>
    <cellStyle name="% 8 2" xfId="1332"/>
    <cellStyle name="% Growth" xfId="1333"/>
    <cellStyle name="% of Revenues" xfId="1334"/>
    <cellStyle name="%.00" xfId="1335"/>
    <cellStyle name="%.00 2" xfId="1336"/>
    <cellStyle name="%.00 3" xfId="4403"/>
    <cellStyle name="******************************************" xfId="19"/>
    <cellStyle name="****************************************** 2" xfId="1337"/>
    <cellStyle name="****************************************** 3" xfId="1338"/>
    <cellStyle name="****************************************** 4" xfId="1339"/>
    <cellStyle name="****************************************** 4 2" xfId="4095"/>
    <cellStyle name="??" xfId="1340"/>
    <cellStyle name="?? [0.00]_HELPDESK" xfId="1341"/>
    <cellStyle name="?? [0]_??" xfId="1342"/>
    <cellStyle name="?? 2" xfId="3806"/>
    <cellStyle name="??&amp;O?&amp;H?_x0008_??_x0007__x0001__x0001_" xfId="1343"/>
    <cellStyle name="???? [0.00]_HELPDESK" xfId="1344"/>
    <cellStyle name="?????_VERA" xfId="1345"/>
    <cellStyle name="????_HELPDESK" xfId="1346"/>
    <cellStyle name="???[0]_For vlookup" xfId="3807"/>
    <cellStyle name="???_For vlookup" xfId="3808"/>
    <cellStyle name="??_?.????" xfId="1347"/>
    <cellStyle name="?@疾_2332JT3_2313COP2 " xfId="20"/>
    <cellStyle name="?Q\?1@" xfId="21"/>
    <cellStyle name="?Q\?1@ 2" xfId="22"/>
    <cellStyle name="?Q\?1@ 2 2" xfId="1348"/>
    <cellStyle name="?Q\?1@ 3" xfId="1349"/>
    <cellStyle name="_2003AIMInformation for Reports" xfId="23"/>
    <cellStyle name="_2345" xfId="3809"/>
    <cellStyle name="_2345_Exhibit NB QoQ" xfId="3810"/>
    <cellStyle name="_2345_Exhibt NB MOM" xfId="3811"/>
    <cellStyle name="_2345_MBNB shipments_20080909" xfId="3812"/>
    <cellStyle name="_2345_MBNB shipments_20090309.wip" xfId="3813"/>
    <cellStyle name="_2345_MBNB shipments_Dec06_wip" xfId="3814"/>
    <cellStyle name="_2345_MBNB shipments_July07.wip" xfId="3815"/>
    <cellStyle name="_2345_NB-Mthly(0)" xfId="3816"/>
    <cellStyle name="_2345_TWN Top 4 MB 5 NB" xfId="3817"/>
    <cellStyle name="_2379-13" xfId="3818"/>
    <cellStyle name="_2379-13_Exhibit NB QoQ" xfId="3819"/>
    <cellStyle name="_2379-13_Exhibt NB MOM" xfId="3820"/>
    <cellStyle name="_2379-13_MBNB shipments_20080909" xfId="3821"/>
    <cellStyle name="_2379-13_MBNB shipments_20090309.wip" xfId="3822"/>
    <cellStyle name="_2379-13_MBNB shipments_Dec06_wip" xfId="3823"/>
    <cellStyle name="_2379-13_MBNB shipments_July07.wip" xfId="3824"/>
    <cellStyle name="_2379-13_NB-Mthly(0)" xfId="3825"/>
    <cellStyle name="_2379-13_TWN Top 4 MB 5 NB" xfId="3826"/>
    <cellStyle name="_2391_050503" xfId="3827"/>
    <cellStyle name="_2391_050503_Exhibit NB QoQ" xfId="3828"/>
    <cellStyle name="_2391_050503_Exhibt NB MOM" xfId="3829"/>
    <cellStyle name="_2391_050503_MBNB shipments_20080909" xfId="3830"/>
    <cellStyle name="_2391_050503_MBNB shipments_20090309.wip" xfId="3831"/>
    <cellStyle name="_2391_050503_MBNB shipments_Dec06_wip" xfId="3832"/>
    <cellStyle name="_2391_050503_MBNB shipments_July07.wip" xfId="3833"/>
    <cellStyle name="_2391_050503_NB-Mthly(0)" xfId="3834"/>
    <cellStyle name="_2391_050503_TWN Top 4 MB 5 NB" xfId="3835"/>
    <cellStyle name="_AA - BenefitsBonus " xfId="1350"/>
    <cellStyle name="_AC_InterContinental" xfId="1351"/>
    <cellStyle name="_AIMP Europe Stats May 2004" xfId="24"/>
    <cellStyle name="_AIMP Europe Stats May 2004 2" xfId="1353"/>
    <cellStyle name="_AIMP Europe Stats May 2004_Pivot Table Tips" xfId="1354"/>
    <cellStyle name="_All Public cubes and views" xfId="1355"/>
    <cellStyle name="_AMCCmodelware" xfId="1356"/>
    <cellStyle name="_AMCCmodelware 2" xfId="1357"/>
    <cellStyle name="_AMCCmodelware 2 2" xfId="1358"/>
    <cellStyle name="_AMCCmodelware 2 2 2" xfId="1359"/>
    <cellStyle name="_AMCCmodelware 2 2 2 2" xfId="1360"/>
    <cellStyle name="_AMCCmodelware 2 2 3" xfId="1361"/>
    <cellStyle name="_AMCCmodelware 2 3" xfId="1362"/>
    <cellStyle name="_AMCCmodelware 2 3 2" xfId="1363"/>
    <cellStyle name="_AMCCmodelware 2 4" xfId="1364"/>
    <cellStyle name="_AMCCmodelware 3" xfId="1365"/>
    <cellStyle name="_AMCCmodelware 3 2" xfId="1366"/>
    <cellStyle name="_AMCCmodelware 3 2 2" xfId="1367"/>
    <cellStyle name="_AMCCmodelware 3 3" xfId="1368"/>
    <cellStyle name="_AMCCmodelware 4" xfId="1369"/>
    <cellStyle name="_AMCCmodelware 4 2" xfId="1370"/>
    <cellStyle name="_AMCCmodelware 5" xfId="1371"/>
    <cellStyle name="_Analyst_Coverage_Map" xfId="1372"/>
    <cellStyle name="_Annaul model" xfId="3836"/>
    <cellStyle name="_ARX Modelware (12)" xfId="1373"/>
    <cellStyle name="_ARX QoQ Chart" xfId="1374"/>
    <cellStyle name="_asustek0613" xfId="3837"/>
    <cellStyle name="_asustek0613_Exhibit NB QoQ" xfId="3838"/>
    <cellStyle name="_asustek0613_Exhibt NB MOM" xfId="3839"/>
    <cellStyle name="_asustek0613_MBNB shipments_20080909" xfId="3840"/>
    <cellStyle name="_asustek0613_MBNB shipments_20090309.wip" xfId="3841"/>
    <cellStyle name="_asustek0613_MBNB shipments_Dec06_wip" xfId="3842"/>
    <cellStyle name="_asustek0613_MBNB shipments_July07.wip" xfId="3843"/>
    <cellStyle name="_asustek0613_NB-Mthly(0)" xfId="3844"/>
    <cellStyle name="_asustek0613_TWN Top 4 MB 5 NB" xfId="3845"/>
    <cellStyle name="_Book1" xfId="25"/>
    <cellStyle name="_Book2" xfId="3846"/>
    <cellStyle name="_Book2_Exhibit NB QoQ" xfId="3847"/>
    <cellStyle name="_Book2_Exhibt NB MOM" xfId="3848"/>
    <cellStyle name="_Book2_MBNB shipments_20080909" xfId="3849"/>
    <cellStyle name="_Book2_MBNB shipments_20090309.wip" xfId="3850"/>
    <cellStyle name="_Book2_MBNB shipments_Dec06_wip" xfId="3851"/>
    <cellStyle name="_Book2_MBNB shipments_July07.wip" xfId="3852"/>
    <cellStyle name="_Book2_NB-Mthly(0)" xfId="3853"/>
    <cellStyle name="_Book2_TWN Top 4 MB 5 NB" xfId="3854"/>
    <cellStyle name="_Book7" xfId="3855"/>
    <cellStyle name="_Book7_Exhibit NB QoQ" xfId="3856"/>
    <cellStyle name="_Book7_Exhibt NB MOM" xfId="3857"/>
    <cellStyle name="_Book7_MBNB shipments_20080909" xfId="3858"/>
    <cellStyle name="_Book7_MBNB shipments_20090309.wip" xfId="3859"/>
    <cellStyle name="_Book7_MBNB shipments_Dec06_wip" xfId="3860"/>
    <cellStyle name="_Book7_MBNB shipments_July07.wip" xfId="3861"/>
    <cellStyle name="_Book7_NB-Mthly(0)" xfId="3862"/>
    <cellStyle name="_Book7_TWN Top 4 MB 5 NB" xfId="3863"/>
    <cellStyle name="_Broadcasting&amp;Cable" xfId="1376"/>
    <cellStyle name="_By Technology, Market Share_Copy of Model2018_AAC_(WIP) " xfId="26"/>
    <cellStyle name="_By Technology, Market Share_Copy of Model2018_AAC_(WIP)  2" xfId="2129"/>
    <cellStyle name="_CAVM Modelware" xfId="1378"/>
    <cellStyle name="_CAVM WIP" xfId="1379"/>
    <cellStyle name="_CAVM_122910 v.2" xfId="1380"/>
    <cellStyle name="_CFA10" xfId="1381"/>
    <cellStyle name="_CFA4" xfId="1382"/>
    <cellStyle name="_Change since preliminary  - page for decision support workbook" xfId="1383"/>
    <cellStyle name="_Chartered_Copy of Model2018_AAC_(WIP) " xfId="27"/>
    <cellStyle name="_Chartered_Copy of Model2018_AAC_(WIP)  2" xfId="2128"/>
    <cellStyle name="_Chartered_Ichia Model2402_Modelware_Copy of Model2018_AAC_(WIP) " xfId="28"/>
    <cellStyle name="_Chartered_Ichia Model2402_Modelware_Copy of Model2018_AAC_(WIP)  2" xfId="2122"/>
    <cellStyle name="_Chartered_Model_2402(New)_Modelware_Copy of Model2018_AAC_(WIP) " xfId="29"/>
    <cellStyle name="_Chartered_Model_2402(New)_Modelware_Copy of Model2018_AAC_(WIP)  2" xfId="2121"/>
    <cellStyle name="_Chartered_Model_3311(New)_Copy of Model2018_AAC_(WIP) " xfId="30"/>
    <cellStyle name="_Chartered_Model_3311(New)_Copy of Model2018_AAC_(WIP)  2" xfId="2120"/>
    <cellStyle name="_Comma_AA - BenefitsBonus " xfId="1386"/>
    <cellStyle name="_Copy of ITGIWWDBDA02_ITGI02" xfId="1387"/>
    <cellStyle name="_Copy of Model2018_AAC_(WIP) " xfId="31"/>
    <cellStyle name="_Copy of Model2018_AAC_(WIP)  2" xfId="2118"/>
    <cellStyle name="_Country" xfId="1389"/>
    <cellStyle name="_Country distribution--Reference" xfId="1390"/>
    <cellStyle name="_Currency_AA - BenefitsBonus " xfId="1391"/>
    <cellStyle name="_CurrencySpace_AA - BenefitsBonus " xfId="1392"/>
    <cellStyle name="_DA" xfId="1393"/>
    <cellStyle name="_Data (2)" xfId="4236"/>
    <cellStyle name="_DPA" xfId="1394"/>
    <cellStyle name="_DQDMS-check" xfId="1395"/>
    <cellStyle name="_DQDMS-check 2" xfId="1396"/>
    <cellStyle name="_EBS Template" xfId="3864"/>
    <cellStyle name="_EBS Template_Exhibit NB QoQ" xfId="3865"/>
    <cellStyle name="_EBS Template_Exhibt NB MOM" xfId="3866"/>
    <cellStyle name="_EBS Template_MBNB shipments_20080909" xfId="3867"/>
    <cellStyle name="_EBS Template_MBNB shipments_20090309.wip" xfId="3868"/>
    <cellStyle name="_EBS Template_MBNB shipments_Dec06_wip" xfId="3869"/>
    <cellStyle name="_EBS Template_MBNB shipments_July07.wip" xfId="3870"/>
    <cellStyle name="_EBS Template_NB-Mthly(0)" xfId="3871"/>
    <cellStyle name="_EBS Template_TWN Top 4 MB 5 NB" xfId="3872"/>
    <cellStyle name="_EBS Template1" xfId="3873"/>
    <cellStyle name="_EBS Template1_Exhibit NB QoQ" xfId="3874"/>
    <cellStyle name="_EBS Template1_Exhibt NB MOM" xfId="3875"/>
    <cellStyle name="_EBS Template1_MBNB shipments_20080909" xfId="3876"/>
    <cellStyle name="_EBS Template1_MBNB shipments_20090309.wip" xfId="3877"/>
    <cellStyle name="_EBS Template1_MBNB shipments_Dec06_wip" xfId="3878"/>
    <cellStyle name="_EBS Template1_MBNB shipments_July07.wip" xfId="3879"/>
    <cellStyle name="_EBS Template1_NB-Mthly(0)" xfId="3880"/>
    <cellStyle name="_EBS Template1_TWN Top 4 MB 5 NB" xfId="3881"/>
    <cellStyle name="_EPS" xfId="1397"/>
    <cellStyle name="_EPS1" xfId="1398"/>
    <cellStyle name="_exchange rates" xfId="32"/>
    <cellStyle name="_exchange rates 2" xfId="1400"/>
    <cellStyle name="_Exhibit NB QoQ" xfId="3882"/>
    <cellStyle name="_Exhibt NB MOM" xfId="3883"/>
    <cellStyle name="_Fall 2002 IT Services Forecast Supplement" xfId="33"/>
    <cellStyle name="_Fall 2002 IT Services Forecast Supplement 2" xfId="1401"/>
    <cellStyle name="_Fall 2002 IT Services Forecast Supplement_Japan Worstcase" xfId="1402"/>
    <cellStyle name="_Fall 2002 IT Services Forecast Supplement_Japan Worstcase 2" xfId="1403"/>
    <cellStyle name="_Forecast Enterprise Software Markets, Worldwide, 2008-2013, 3Q09 Update 10-sept-09" xfId="1404"/>
    <cellStyle name="_Forecast Review -Fall 2002 IT Services Nov 13" xfId="34"/>
    <cellStyle name="_Forecast Review -Fall 2002 IT Services Nov 13 2" xfId="1405"/>
    <cellStyle name="_Forecast Review -Fall 2002 IT Services Nov 13_Japan Worstcase" xfId="1406"/>
    <cellStyle name="_Forecast Review -Fall 2002 IT Services Nov 13_Japan Worstcase 2" xfId="1407"/>
    <cellStyle name="_forecast_enterprise_software_166478" xfId="1408"/>
    <cellStyle name="_Forward Looking" xfId="4237"/>
    <cellStyle name="_GMT_070822" xfId="35"/>
    <cellStyle name="_GMT_070822 2" xfId="2117"/>
    <cellStyle name="_Google Inc_Draft_112907_OPT for MSFT" xfId="1410"/>
    <cellStyle name="_Growth charts" xfId="4238"/>
    <cellStyle name="_Growth data" xfId="4239"/>
    <cellStyle name="—_GS_Cash " xfId="36"/>
    <cellStyle name="—_GS_Cash  2" xfId="1412"/>
    <cellStyle name="—_GS_Cash  2 2" xfId="4096"/>
    <cellStyle name="_IBMNorth America2005 YR" xfId="1413"/>
    <cellStyle name="_Ichia Model2402_Modelware_Copy of Model2018_AAC_(WIP) " xfId="37"/>
    <cellStyle name="_Ichia Model2402_Modelware_Copy of Model2018_AAC_(WIP)  2" xfId="2116"/>
    <cellStyle name="_Info" xfId="38"/>
    <cellStyle name="_Internal--Forecast Accuracy" xfId="39"/>
    <cellStyle name="_Internal--Market Share and Service Line Forecast" xfId="40"/>
    <cellStyle name="_Internal--Market Share and Vertical Forecast" xfId="41"/>
    <cellStyle name="_IT Databook - Pivot_Sep09" xfId="1415"/>
    <cellStyle name="_IT Services Forecast Decision Support--Sept 2007" xfId="1416"/>
    <cellStyle name="_IT Services Forecast Decision Support--Sept 2007_Japan Worstcase" xfId="1417"/>
    <cellStyle name="_IT Services Forecast Decision Support--Sept 2007_Japan Worstcase 2" xfId="1418"/>
    <cellStyle name="_ITBOWWDBDA01_ITBOWWFC" xfId="1419"/>
    <cellStyle name="_ITDatabook_hardware_Jun09_v1" xfId="1420"/>
    <cellStyle name="_ITGIWW 2008-07" xfId="1421"/>
    <cellStyle name="_ITSTWWDBDA01_ITSTWWFC" xfId="1422"/>
    <cellStyle name="_IV6" xfId="1423"/>
    <cellStyle name="_Japan Worstcase" xfId="1424"/>
    <cellStyle name="_Japan Worstcase 2" xfId="1425"/>
    <cellStyle name="_JapaneseCatalog" xfId="1426"/>
    <cellStyle name="_LLTC WIP_ASR" xfId="4240"/>
    <cellStyle name="_LSI Modelware_021111" xfId="1427"/>
    <cellStyle name="_LSI Modelware_021111 2" xfId="1428"/>
    <cellStyle name="_LSI Modelware_021111 2 2" xfId="1429"/>
    <cellStyle name="_LSI Modelware_021111 2 2 2" xfId="1430"/>
    <cellStyle name="_LSI Modelware_021111 2 2 2 2" xfId="1431"/>
    <cellStyle name="_LSI Modelware_021111 2 2 3" xfId="1432"/>
    <cellStyle name="_LSI Modelware_021111 2 3" xfId="1433"/>
    <cellStyle name="_LSI Modelware_021111 2 3 2" xfId="1434"/>
    <cellStyle name="_LSI Modelware_021111 2 4" xfId="1435"/>
    <cellStyle name="_LSI Modelware_021111 3" xfId="1436"/>
    <cellStyle name="_LSI Modelware_021111 3 2" xfId="1437"/>
    <cellStyle name="_LSI Modelware_021111 3 2 2" xfId="1438"/>
    <cellStyle name="_LSI Modelware_021111 3 3" xfId="1439"/>
    <cellStyle name="_LSI Modelware_021111 4" xfId="1440"/>
    <cellStyle name="_LSI Modelware_021111 4 2" xfId="1441"/>
    <cellStyle name="_LSI Modelware_021111 5" xfId="1442"/>
    <cellStyle name="_LSI Modelware_021611" xfId="1443"/>
    <cellStyle name="_LSI Modelware_021611 2" xfId="1444"/>
    <cellStyle name="_LSI Modelware_021611 2 2" xfId="1445"/>
    <cellStyle name="_LSI Modelware_021611 2 2 2" xfId="1446"/>
    <cellStyle name="_LSI Modelware_021611 2 2 2 2" xfId="1447"/>
    <cellStyle name="_LSI Modelware_021611 2 2 3" xfId="1448"/>
    <cellStyle name="_LSI Modelware_021611 2 3" xfId="1449"/>
    <cellStyle name="_LSI Modelware_021611 2 3 2" xfId="1450"/>
    <cellStyle name="_LSI Modelware_021611 2 4" xfId="1451"/>
    <cellStyle name="_LSI Modelware_021611 3" xfId="1452"/>
    <cellStyle name="_LSI Modelware_021611 3 2" xfId="1453"/>
    <cellStyle name="_LSI Modelware_021611 3 2 2" xfId="1454"/>
    <cellStyle name="_LSI Modelware_021611 3 3" xfId="1455"/>
    <cellStyle name="_LSI Modelware_021611 4" xfId="1456"/>
    <cellStyle name="_LSI Modelware_021611 4 2" xfId="1457"/>
    <cellStyle name="_LSI Modelware_021611 5" xfId="1458"/>
    <cellStyle name="_LSI_012511 (5)" xfId="1459"/>
    <cellStyle name="_LSI_012511 (5) 2" xfId="1460"/>
    <cellStyle name="_LSI_012511 (5) 2 2" xfId="1461"/>
    <cellStyle name="_LSI_012511 (5) 2 2 2" xfId="1462"/>
    <cellStyle name="_LSI_012511 (5) 2 2 2 2" xfId="1463"/>
    <cellStyle name="_LSI_012511 (5) 2 2 3" xfId="1464"/>
    <cellStyle name="_LSI_012511 (5) 2 3" xfId="1465"/>
    <cellStyle name="_LSI_012511 (5) 2 3 2" xfId="1466"/>
    <cellStyle name="_LSI_012511 (5) 2 4" xfId="1467"/>
    <cellStyle name="_LSI_012511 (5) 3" xfId="1468"/>
    <cellStyle name="_LSI_012511 (5) 3 2" xfId="1469"/>
    <cellStyle name="_LSI_012511 (5) 3 2 2" xfId="1470"/>
    <cellStyle name="_LSI_012511 (5) 3 3" xfId="1471"/>
    <cellStyle name="_LSI_012511 (5) 4" xfId="1472"/>
    <cellStyle name="_LSI_012511 (5) 4 2" xfId="1473"/>
    <cellStyle name="_LSI_012511 (5) 5" xfId="1474"/>
    <cellStyle name="_LXK_MS_Model_wip" xfId="1475"/>
    <cellStyle name="_Market sizing Generic" xfId="42"/>
    <cellStyle name="_MBNB shipments_20080909" xfId="3884"/>
    <cellStyle name="_MBNB shipments_20090309.wip" xfId="3885"/>
    <cellStyle name="_MBNB shipments_Dec06_wip" xfId="3886"/>
    <cellStyle name="_MBNB shipments_July07.wip" xfId="3887"/>
    <cellStyle name="_Metrics1" xfId="1476"/>
    <cellStyle name="_Metrics11" xfId="1477"/>
    <cellStyle name="_Metrics13" xfId="1478"/>
    <cellStyle name="_Metrics3" xfId="1479"/>
    <cellStyle name="_Metrics5" xfId="1480"/>
    <cellStyle name="_Metrics7" xfId="1481"/>
    <cellStyle name="_Metrics9" xfId="1482"/>
    <cellStyle name="_Mkt Seg SRS Shell" xfId="1483"/>
    <cellStyle name="_Mkt Seg SRS Shell 2" xfId="1484"/>
    <cellStyle name="_Model_2402(New)_Modelware_Copy of Model2018_AAC_(WIP) " xfId="43"/>
    <cellStyle name="_Model_2402(New)_Modelware_Copy of Model2018_AAC_(WIP)  2" xfId="2115"/>
    <cellStyle name="_Model_3311(New)_Copy of Model2018_AAC_(WIP) " xfId="44"/>
    <cellStyle name="_Model_3311(New)_Copy of Model2018_AAC_(WIP)  2" xfId="2114"/>
    <cellStyle name="_Model2394" xfId="3888"/>
    <cellStyle name="_Model2394_Exhibit NB QoQ" xfId="3889"/>
    <cellStyle name="_Model2394_Exhibt NB MOM" xfId="3890"/>
    <cellStyle name="_Model2394_MBNB shipments_20080909" xfId="3891"/>
    <cellStyle name="_Model2394_MBNB shipments_20090309.wip" xfId="3892"/>
    <cellStyle name="_Model2394_MBNB shipments_Dec06_wip" xfId="3893"/>
    <cellStyle name="_Model2394_MBNB shipments_July07.wip" xfId="3894"/>
    <cellStyle name="_Model2394_NB-Mthly(0)" xfId="3895"/>
    <cellStyle name="_Model2394_TWN Top 4 MB 5 NB" xfId="3896"/>
    <cellStyle name="_Model2401_2Q03result" xfId="3897"/>
    <cellStyle name="_Model2401_2Q03result_Exhibit NB QoQ" xfId="3898"/>
    <cellStyle name="_Model2401_2Q03result_Exhibt NB MOM" xfId="3899"/>
    <cellStyle name="_Model2401_2Q03result_MBNB shipments_20080909" xfId="3900"/>
    <cellStyle name="_Model2401_2Q03result_MBNB shipments_20090309.wip" xfId="3901"/>
    <cellStyle name="_Model2401_2Q03result_MBNB shipments_Dec06_wip" xfId="3902"/>
    <cellStyle name="_Model2401_2Q03result_MBNB shipments_July07.wip" xfId="3903"/>
    <cellStyle name="_Model2401_2Q03result_NB-Mthly(0)" xfId="3904"/>
    <cellStyle name="_Model2401_2Q03result_TWN Top 4 MB 5 NB" xfId="3905"/>
    <cellStyle name="_Model3008_08'03" xfId="3906"/>
    <cellStyle name="_Model3008_08'03_Exhibit NB QoQ" xfId="3907"/>
    <cellStyle name="_Model3008_08'03_Exhibt NB MOM" xfId="3908"/>
    <cellStyle name="_Model3008_08'03_MBNB shipments_20080909" xfId="3909"/>
    <cellStyle name="_Model3008_08'03_MBNB shipments_20090309.wip" xfId="3910"/>
    <cellStyle name="_Model3008_08'03_MBNB shipments_Dec06_wip" xfId="3911"/>
    <cellStyle name="_Model3008_08'03_MBNB shipments_July07.wip" xfId="3912"/>
    <cellStyle name="_Model3008_08'03_NB-Mthly(0)" xfId="3913"/>
    <cellStyle name="_Model3008_08'03_TWN Top 4 MB 5 NB" xfId="3914"/>
    <cellStyle name="_Model3019_08'03" xfId="3915"/>
    <cellStyle name="_Model3019_08'03_Exhibit NB QoQ" xfId="3916"/>
    <cellStyle name="_Model3019_08'03_Exhibt NB MOM" xfId="3917"/>
    <cellStyle name="_Model3019_08'03_MBNB shipments_20080909" xfId="3918"/>
    <cellStyle name="_Model3019_08'03_MBNB shipments_20090309.wip" xfId="3919"/>
    <cellStyle name="_Model3019_08'03_MBNB shipments_Dec06_wip" xfId="3920"/>
    <cellStyle name="_Model3019_08'03_MBNB shipments_July07.wip" xfId="3921"/>
    <cellStyle name="_Model3019_08'03_NB-Mthly(0)" xfId="3922"/>
    <cellStyle name="_Model3019_08'03_TWN Top 4 MB 5 NB" xfId="3923"/>
    <cellStyle name="_Model3059" xfId="3924"/>
    <cellStyle name="_Model3059_Exhibit NB QoQ" xfId="3925"/>
    <cellStyle name="_Model3059_Exhibt NB MOM" xfId="3926"/>
    <cellStyle name="_Model3059_MBNB shipments_20080909" xfId="3927"/>
    <cellStyle name="_Model3059_MBNB shipments_20090309.wip" xfId="3928"/>
    <cellStyle name="_Model3059_MBNB shipments_Dec06_wip" xfId="3929"/>
    <cellStyle name="_Model3059_MBNB shipments_July07.wip" xfId="3930"/>
    <cellStyle name="_Model3059_NB-Mthly(0)" xfId="3931"/>
    <cellStyle name="_Model3059_TWN Top 4 MB 5 NB" xfId="3932"/>
    <cellStyle name="_Monthly sales" xfId="3933"/>
    <cellStyle name="_Multiple_AA - BenefitsBonus " xfId="1485"/>
    <cellStyle name="_MultipleSpace_AA - BenefitsBonus " xfId="1486"/>
    <cellStyle name="_MW_CFA" xfId="1487"/>
    <cellStyle name="_MWAnalytics" xfId="1488"/>
    <cellStyle name="_NB-Mthly(0)" xfId="3934"/>
    <cellStyle name="_Percent_AA - BenefitsBonus " xfId="1489"/>
    <cellStyle name="_PercentSpace_AA - BenefitsBonus " xfId="1490"/>
    <cellStyle name="_Pivot AIMP 2003 2 June 2004 for publication" xfId="45"/>
    <cellStyle name="_Pivot AIMP 2003 2 June 2004 for publication 2" xfId="1491"/>
    <cellStyle name="_Pivot AIMP 2003 2 June 2004 for publication_Pivot Table Tips" xfId="1492"/>
    <cellStyle name="_Pivot_Table_templateApril05" xfId="1493"/>
    <cellStyle name="_prelim vs final" xfId="46"/>
    <cellStyle name="_Print Generic Charts Library" xfId="47"/>
    <cellStyle name="_Print Generic Charts Library 2" xfId="1495"/>
    <cellStyle name="_Print Generic Charts Library_Pivot Table Tips" xfId="1496"/>
    <cellStyle name="_Printers WW" xfId="1497"/>
    <cellStyle name="_quaterly model" xfId="3935"/>
    <cellStyle name="_Rama Other Companies" xfId="48"/>
    <cellStyle name="_Rama Other Companies 2" xfId="1499"/>
    <cellStyle name="_Rama Other Companies_Japan Worstcase" xfId="1500"/>
    <cellStyle name="_Rama Other Companies_Japan Worstcase 2" xfId="1501"/>
    <cellStyle name="_RI valuation" xfId="3936"/>
    <cellStyle name="_ROE2" xfId="1502"/>
    <cellStyle name="_ROE4" xfId="1503"/>
    <cellStyle name="_ROE8" xfId="1504"/>
    <cellStyle name="_RRS1" xfId="49"/>
    <cellStyle name="_RRS1 2" xfId="50"/>
    <cellStyle name="_RRS1 2 2" xfId="51"/>
    <cellStyle name="_RRS1 2 2 2" xfId="1507"/>
    <cellStyle name="_RRS1 2 2 2 2" xfId="1508"/>
    <cellStyle name="_RRS1 2 2 3" xfId="1509"/>
    <cellStyle name="_RRS1 2 3" xfId="1510"/>
    <cellStyle name="_RRS1 2 3 2" xfId="1511"/>
    <cellStyle name="_RRS1 2 4" xfId="1512"/>
    <cellStyle name="_RRS1 3" xfId="52"/>
    <cellStyle name="_RRS1 3 2" xfId="53"/>
    <cellStyle name="_RRS1 3 2 2" xfId="1513"/>
    <cellStyle name="_RRS1 3 3" xfId="1514"/>
    <cellStyle name="_RRS1 4" xfId="54"/>
    <cellStyle name="_RRS1 4 2" xfId="55"/>
    <cellStyle name="_RRS1 4 2 2" xfId="2106"/>
    <cellStyle name="_RRS1 4 3" xfId="2107"/>
    <cellStyle name="_RRS1 5" xfId="56"/>
    <cellStyle name="_RRS1 5 2" xfId="57"/>
    <cellStyle name="_RRS1 5 2 2" xfId="2102"/>
    <cellStyle name="_RRS1 5 3" xfId="2103"/>
    <cellStyle name="_RRS1 6" xfId="58"/>
    <cellStyle name="_RRS1 6 2" xfId="2099"/>
    <cellStyle name="_RRS1 7" xfId="1515"/>
    <cellStyle name="_RRS1 7 2" xfId="1516"/>
    <cellStyle name="_RRS1 8" xfId="1517"/>
    <cellStyle name="_RRS1 8 2" xfId="1518"/>
    <cellStyle name="_RRS10" xfId="1519"/>
    <cellStyle name="_RRS10 2" xfId="1520"/>
    <cellStyle name="_RRS10 2 2" xfId="1521"/>
    <cellStyle name="_RRS10 2 2 2" xfId="1522"/>
    <cellStyle name="_RRS10 2 2 2 2" xfId="1523"/>
    <cellStyle name="_RRS10 2 2 3" xfId="1524"/>
    <cellStyle name="_RRS10 2 3" xfId="1525"/>
    <cellStyle name="_RRS10 2 3 2" xfId="1526"/>
    <cellStyle name="_RRS10 2 4" xfId="1527"/>
    <cellStyle name="_RRS10 3" xfId="1528"/>
    <cellStyle name="_RRS10 3 2" xfId="1529"/>
    <cellStyle name="_RRS10 3 2 2" xfId="1530"/>
    <cellStyle name="_RRS10 3 3" xfId="1531"/>
    <cellStyle name="_RRS10 4" xfId="1532"/>
    <cellStyle name="_RRS10 4 2" xfId="1533"/>
    <cellStyle name="_RRS10 5" xfId="1534"/>
    <cellStyle name="_RRS13" xfId="1535"/>
    <cellStyle name="_RRS15" xfId="1536"/>
    <cellStyle name="_RRS16" xfId="1537"/>
    <cellStyle name="_RRS2" xfId="1538"/>
    <cellStyle name="_RRS2 2" xfId="2096"/>
    <cellStyle name="_RRS20" xfId="1539"/>
    <cellStyle name="_RRS3" xfId="59"/>
    <cellStyle name="_RRS3 2" xfId="60"/>
    <cellStyle name="_RRS3 2 2" xfId="61"/>
    <cellStyle name="_RRS3 2 2 2" xfId="1540"/>
    <cellStyle name="_RRS3 2 2 2 2" xfId="1541"/>
    <cellStyle name="_RRS3 2 2 3" xfId="1542"/>
    <cellStyle name="_RRS3 2 3" xfId="1543"/>
    <cellStyle name="_RRS3 2 3 2" xfId="1544"/>
    <cellStyle name="_RRS3 2 4" xfId="1545"/>
    <cellStyle name="_RRS3 3" xfId="62"/>
    <cellStyle name="_RRS3 3 2" xfId="63"/>
    <cellStyle name="_RRS3 3 2 2" xfId="1546"/>
    <cellStyle name="_RRS3 3 3" xfId="1547"/>
    <cellStyle name="_RRS3 4" xfId="64"/>
    <cellStyle name="_RRS3 4 2" xfId="65"/>
    <cellStyle name="_RRS3 4 2 2" xfId="2090"/>
    <cellStyle name="_RRS3 4 3" xfId="2091"/>
    <cellStyle name="_RRS3 5" xfId="66"/>
    <cellStyle name="_RRS3 5 2" xfId="67"/>
    <cellStyle name="_RRS3 5 2 2" xfId="2088"/>
    <cellStyle name="_RRS3 5 3" xfId="2089"/>
    <cellStyle name="_RRS3 6" xfId="68"/>
    <cellStyle name="_RRS3 6 2" xfId="2087"/>
    <cellStyle name="_RRS3 7" xfId="1553"/>
    <cellStyle name="_RRS3 7 2" xfId="1554"/>
    <cellStyle name="_RRS3 8" xfId="1555"/>
    <cellStyle name="_RRS3 8 2" xfId="1556"/>
    <cellStyle name="_RRS4" xfId="69"/>
    <cellStyle name="_RRS4 2" xfId="70"/>
    <cellStyle name="_RRS4 2 2" xfId="71"/>
    <cellStyle name="_RRS4 2 2 2" xfId="1557"/>
    <cellStyle name="_RRS4 2 2 2 2" xfId="1558"/>
    <cellStyle name="_RRS4 2 2 3" xfId="1559"/>
    <cellStyle name="_RRS4 2 3" xfId="1560"/>
    <cellStyle name="_RRS4 2 3 2" xfId="1561"/>
    <cellStyle name="_RRS4 2 4" xfId="1562"/>
    <cellStyle name="_RRS4 3" xfId="72"/>
    <cellStyle name="_RRS4 3 2" xfId="73"/>
    <cellStyle name="_RRS4 3 2 2" xfId="1564"/>
    <cellStyle name="_RRS4 3 3" xfId="1565"/>
    <cellStyle name="_RRS4 4" xfId="74"/>
    <cellStyle name="_RRS4 4 2" xfId="75"/>
    <cellStyle name="_RRS4 4 2 2" xfId="2080"/>
    <cellStyle name="_RRS4 4 3" xfId="2086"/>
    <cellStyle name="_RRS4 5" xfId="76"/>
    <cellStyle name="_RRS4 5 2" xfId="77"/>
    <cellStyle name="_RRS4 5 2 2" xfId="2077"/>
    <cellStyle name="_RRS4 5 3" xfId="2078"/>
    <cellStyle name="_RRS4 6" xfId="78"/>
    <cellStyle name="_RRS4 6 2" xfId="2076"/>
    <cellStyle name="_RRS4 7" xfId="1570"/>
    <cellStyle name="_RRS4 7 2" xfId="1571"/>
    <cellStyle name="_RRS4 8" xfId="1572"/>
    <cellStyle name="_RRS4 8 2" xfId="1573"/>
    <cellStyle name="_RRS6" xfId="1574"/>
    <cellStyle name="_RRS8" xfId="1575"/>
    <cellStyle name="_sftwre_Dec08" xfId="1576"/>
    <cellStyle name="_Sheet1" xfId="1577"/>
    <cellStyle name="_SUMMARY " xfId="79"/>
    <cellStyle name="_SUMMARY  10" xfId="80"/>
    <cellStyle name="_SUMMARY  10 2" xfId="81"/>
    <cellStyle name="_SUMMARY  11" xfId="82"/>
    <cellStyle name="_SUMMARY  11 2" xfId="83"/>
    <cellStyle name="_SUMMARY  12" xfId="84"/>
    <cellStyle name="_SUMMARY  12 2" xfId="85"/>
    <cellStyle name="_SUMMARY  12 3" xfId="1582"/>
    <cellStyle name="_SUMMARY  13" xfId="86"/>
    <cellStyle name="_SUMMARY  13 2" xfId="1584"/>
    <cellStyle name="_SUMMARY  13 3" xfId="1585"/>
    <cellStyle name="_SUMMARY  13 4" xfId="1583"/>
    <cellStyle name="_SUMMARY  14" xfId="1586"/>
    <cellStyle name="_SUMMARY  14 2" xfId="1587"/>
    <cellStyle name="_SUMMARY  2" xfId="87"/>
    <cellStyle name="_SUMMARY  2 2" xfId="88"/>
    <cellStyle name="_SUMMARY  2 2 2" xfId="1589"/>
    <cellStyle name="_SUMMARY  2 2 2 2" xfId="1590"/>
    <cellStyle name="_SUMMARY  2 2 3" xfId="1591"/>
    <cellStyle name="_SUMMARY  2 3" xfId="1592"/>
    <cellStyle name="_SUMMARY  2 3 2" xfId="1593"/>
    <cellStyle name="_SUMMARY  2 4" xfId="1594"/>
    <cellStyle name="_SUMMARY  3" xfId="89"/>
    <cellStyle name="_SUMMARY  3 2" xfId="90"/>
    <cellStyle name="_SUMMARY  3 2 2" xfId="91"/>
    <cellStyle name="_SUMMARY  3 2 2 2" xfId="92"/>
    <cellStyle name="_SUMMARY  3 2 3" xfId="93"/>
    <cellStyle name="_SUMMARY  3 3" xfId="94"/>
    <cellStyle name="_SUMMARY  3 3 2" xfId="95"/>
    <cellStyle name="_SUMMARY  3 4" xfId="96"/>
    <cellStyle name="_SUMMARY  4" xfId="97"/>
    <cellStyle name="_SUMMARY  4 2" xfId="98"/>
    <cellStyle name="_SUMMARY  4 2 2" xfId="99"/>
    <cellStyle name="_SUMMARY  4 2 2 2" xfId="1596"/>
    <cellStyle name="_SUMMARY  4 2 3" xfId="1597"/>
    <cellStyle name="_SUMMARY  4 3" xfId="100"/>
    <cellStyle name="_SUMMARY  4 3 2" xfId="1598"/>
    <cellStyle name="_SUMMARY  4 3 2 2" xfId="1599"/>
    <cellStyle name="_SUMMARY  4 3 3" xfId="1600"/>
    <cellStyle name="_SUMMARY  4 4" xfId="1601"/>
    <cellStyle name="_SUMMARY  4 4 2" xfId="1602"/>
    <cellStyle name="_SUMMARY  4 5" xfId="1603"/>
    <cellStyle name="_SUMMARY  4 5 2" xfId="1604"/>
    <cellStyle name="_SUMMARY  4 6" xfId="1605"/>
    <cellStyle name="_SUMMARY  5" xfId="101"/>
    <cellStyle name="_SUMMARY  5 2" xfId="102"/>
    <cellStyle name="_SUMMARY  5 2 2" xfId="103"/>
    <cellStyle name="_SUMMARY  5 2 2 2" xfId="1606"/>
    <cellStyle name="_SUMMARY  5 2 3" xfId="1607"/>
    <cellStyle name="_SUMMARY  5 3" xfId="104"/>
    <cellStyle name="_SUMMARY  5 3 2" xfId="1608"/>
    <cellStyle name="_SUMMARY  5 4" xfId="1609"/>
    <cellStyle name="_SUMMARY  6" xfId="105"/>
    <cellStyle name="_SUMMARY  6 2" xfId="106"/>
    <cellStyle name="_SUMMARY  6 2 2" xfId="107"/>
    <cellStyle name="_SUMMARY  6 2 2 2" xfId="2043"/>
    <cellStyle name="_SUMMARY  6 2 3" xfId="2045"/>
    <cellStyle name="_SUMMARY  6 3" xfId="108"/>
    <cellStyle name="_SUMMARY  6 3 2" xfId="2040"/>
    <cellStyle name="_SUMMARY  6 4" xfId="109"/>
    <cellStyle name="_SUMMARY  7" xfId="110"/>
    <cellStyle name="_SUMMARY  7 2" xfId="111"/>
    <cellStyle name="_SUMMARY  7 2 2" xfId="2038"/>
    <cellStyle name="_SUMMARY  7 3" xfId="112"/>
    <cellStyle name="_SUMMARY  7 3 2" xfId="2037"/>
    <cellStyle name="_SUMMARY  7 4" xfId="2039"/>
    <cellStyle name="_SUMMARY  8" xfId="113"/>
    <cellStyle name="_SUMMARY  8 2" xfId="114"/>
    <cellStyle name="_SUMMARY  8 2 2" xfId="3652"/>
    <cellStyle name="_SUMMARY  8 2 2 2" xfId="2033"/>
    <cellStyle name="_SUMMARY  8 2 3" xfId="2034"/>
    <cellStyle name="_SUMMARY  8 3" xfId="115"/>
    <cellStyle name="_SUMMARY  8 3 2" xfId="116"/>
    <cellStyle name="_SUMMARY  8 4" xfId="2035"/>
    <cellStyle name="_SUMMARY  9" xfId="117"/>
    <cellStyle name="_SUMMARY  9 2" xfId="118"/>
    <cellStyle name="_SUMMARY  9 2 2" xfId="1612"/>
    <cellStyle name="_SUMMARY  9 3" xfId="1613"/>
    <cellStyle name="_SUMMARY _RRST1" xfId="1614"/>
    <cellStyle name="_SUMMARY _RRST6" xfId="1615"/>
    <cellStyle name="_Survey form sample" xfId="1616"/>
    <cellStyle name="_SWKS WIPsls" xfId="1617"/>
    <cellStyle name="_SWKS_113010" xfId="1618"/>
    <cellStyle name="_SWKS_113010 2" xfId="1619"/>
    <cellStyle name="_SWKS_113010 2 2" xfId="1620"/>
    <cellStyle name="_SWKS_113010 2 2 2" xfId="1621"/>
    <cellStyle name="_SWKS_113010 2 2 2 2" xfId="1622"/>
    <cellStyle name="_SWKS_113010 2 2 3" xfId="1623"/>
    <cellStyle name="_SWKS_113010 2 3" xfId="1624"/>
    <cellStyle name="_SWKS_113010 2 3 2" xfId="1625"/>
    <cellStyle name="_SWKS_113010 2 4" xfId="1626"/>
    <cellStyle name="_SWKS_113010 3" xfId="1627"/>
    <cellStyle name="_SWKS_113010 3 2" xfId="1628"/>
    <cellStyle name="_SWKS_113010 3 2 2" xfId="1629"/>
    <cellStyle name="_SWKS_113010 3 3" xfId="1630"/>
    <cellStyle name="_SWKS_113010 4" xfId="1631"/>
    <cellStyle name="_SWKS_113010 4 2" xfId="1632"/>
    <cellStyle name="_SWKS_113010 5" xfId="1633"/>
    <cellStyle name="_SWKS_122210" xfId="1634"/>
    <cellStyle name="_SWKS_122210 2" xfId="1635"/>
    <cellStyle name="_SWKS_122210 2 2" xfId="1636"/>
    <cellStyle name="_SWKS_122210 2 2 2" xfId="1637"/>
    <cellStyle name="_SWKS_122210 2 2 2 2" xfId="1638"/>
    <cellStyle name="_SWKS_122210 2 2 3" xfId="1639"/>
    <cellStyle name="_SWKS_122210 2 3" xfId="1640"/>
    <cellStyle name="_SWKS_122210 2 3 2" xfId="1641"/>
    <cellStyle name="_SWKS_122210 2 4" xfId="1642"/>
    <cellStyle name="_SWKS_122210 3" xfId="1643"/>
    <cellStyle name="_SWKS_122210 3 2" xfId="1644"/>
    <cellStyle name="_SWKS_122210 3 2 2" xfId="1645"/>
    <cellStyle name="_SWKS_122210 3 3" xfId="1646"/>
    <cellStyle name="_SWKS_122210 4" xfId="1647"/>
    <cellStyle name="_SWKS_122210 4 2" xfId="1648"/>
    <cellStyle name="_SWKS_122210 5" xfId="1649"/>
    <cellStyle name="_SY Earnings(Labor cost)" xfId="1650"/>
    <cellStyle name="_Taiwan" xfId="3937"/>
    <cellStyle name="_Telecom Constraint" xfId="1651"/>
    <cellStyle name="_Template Stats" xfId="119"/>
    <cellStyle name="_TWN Top 4 MB 5 NB" xfId="3938"/>
    <cellStyle name="_TXN modelware NEW" xfId="1652"/>
    <cellStyle name="_US GAAP" xfId="3939"/>
    <cellStyle name="_US GAAP_Copy of Model2018_AAC_(WIP) " xfId="120"/>
    <cellStyle name="_US GAAP_Copy of Model2018_AAC_(WIP)  2" xfId="2030"/>
    <cellStyle name="_US GAAP_Exhibit NB QoQ" xfId="3940"/>
    <cellStyle name="_US GAAP_Exhibt NB MOM" xfId="3941"/>
    <cellStyle name="_US GAAP_MBNB shipments_20080909" xfId="3942"/>
    <cellStyle name="_US GAAP_MBNB shipments_20090309.wip" xfId="3943"/>
    <cellStyle name="_US GAAP_MBNB shipments_Dec06_wip" xfId="3944"/>
    <cellStyle name="_US GAAP_MBNB shipments_July07.wip" xfId="3945"/>
    <cellStyle name="_US GAAP_NB-Mthly(0)" xfId="3946"/>
    <cellStyle name="_US GAAP_TWN Top 4 MB 5 NB" xfId="3947"/>
    <cellStyle name="_Valuation_ROC RI" xfId="3948"/>
    <cellStyle name="_WIP_to_published" xfId="1653"/>
    <cellStyle name="_Wireline Tel Forecast " xfId="121"/>
    <cellStyle name="_Wireline Tel Forecast  2" xfId="122"/>
    <cellStyle name="_Wireline Tel Forecast  2 2" xfId="1654"/>
    <cellStyle name="_Wireline Tel Forecast  3" xfId="1655"/>
    <cellStyle name="_Word Charts" xfId="1656"/>
    <cellStyle name="_Word Charts 2" xfId="1657"/>
    <cellStyle name="_Zip Stats_2004" xfId="123"/>
    <cellStyle name="’Ê‰Ý [0.00]_GE 3 MINIMUM" xfId="124"/>
    <cellStyle name="’Ê‰Ý_GE 3 MINIMUM" xfId="125"/>
    <cellStyle name="“ú–{Œê" xfId="1658"/>
    <cellStyle name="£ BP" xfId="126"/>
    <cellStyle name="£ BP 2" xfId="1660"/>
    <cellStyle name="¤@¯ë_2311" xfId="3949"/>
    <cellStyle name="¤d¤À¦ì[0]_2311" xfId="3950"/>
    <cellStyle name="¤d¤À¦ì_2311" xfId="3951"/>
    <cellStyle name="¥ JY" xfId="127"/>
    <cellStyle name="¥ JY 2" xfId="1661"/>
    <cellStyle name="¥ JY 3" xfId="3952"/>
    <cellStyle name="=C:\WINNT35\SYSTEM32\COMMAND.COM" xfId="128"/>
    <cellStyle name="=C:\WINNT35\SYSTEM32\COMMAND.COM 2" xfId="129"/>
    <cellStyle name="=C:\WINNT35\SYSTEM32\COMMAND.COM 2 2" xfId="130"/>
    <cellStyle name="=C:\WINNT35\SYSTEM32\COMMAND.COM 2 2 2" xfId="1662"/>
    <cellStyle name="=C:\WINNT35\SYSTEM32\COMMAND.COM 2 2 2 2" xfId="1663"/>
    <cellStyle name="=C:\WINNT35\SYSTEM32\COMMAND.COM 2 2 3" xfId="1664"/>
    <cellStyle name="=C:\WINNT35\SYSTEM32\COMMAND.COM 2 3" xfId="1665"/>
    <cellStyle name="=C:\WINNT35\SYSTEM32\COMMAND.COM 2 3 2" xfId="1666"/>
    <cellStyle name="=C:\WINNT35\SYSTEM32\COMMAND.COM 2 4" xfId="1667"/>
    <cellStyle name="=C:\WINNT35\SYSTEM32\COMMAND.COM 3" xfId="131"/>
    <cellStyle name="=C:\WINNT35\SYSTEM32\COMMAND.COM 3 2" xfId="132"/>
    <cellStyle name="=C:\WINNT35\SYSTEM32\COMMAND.COM 3 2 2" xfId="1668"/>
    <cellStyle name="=C:\WINNT35\SYSTEM32\COMMAND.COM 3 3" xfId="1669"/>
    <cellStyle name="=C:\WINNT35\SYSTEM32\COMMAND.COM 4" xfId="133"/>
    <cellStyle name="=C:\WINNT35\SYSTEM32\COMMAND.COM 4 2" xfId="134"/>
    <cellStyle name="=C:\WINNT35\SYSTEM32\COMMAND.COM 4 2 2" xfId="2023"/>
    <cellStyle name="=C:\WINNT35\SYSTEM32\COMMAND.COM 4 3" xfId="2024"/>
    <cellStyle name="=C:\WINNT35\SYSTEM32\COMMAND.COM 5" xfId="135"/>
    <cellStyle name="=C:\WINNT35\SYSTEM32\COMMAND.COM 5 2" xfId="136"/>
    <cellStyle name="=C:\WINNT35\SYSTEM32\COMMAND.COM 5 2 2" xfId="2002"/>
    <cellStyle name="=C:\WINNT35\SYSTEM32\COMMAND.COM 5 3" xfId="2006"/>
    <cellStyle name="=C:\WINNT35\SYSTEM32\COMMAND.COM 6" xfId="137"/>
    <cellStyle name="=C:\WINNT35\SYSTEM32\COMMAND.COM 6 2" xfId="2001"/>
    <cellStyle name="=C:\WINNT35\SYSTEM32\COMMAND.COM 7" xfId="1675"/>
    <cellStyle name="=C:\WINNT35\SYSTEM32\COMMAND.COM 7 2" xfId="1676"/>
    <cellStyle name="=C:\WINNT35\SYSTEM32\COMMAND.COM 8" xfId="1677"/>
    <cellStyle name="=C:\WINNT35\SYSTEM32\COMMAND.COM 8 2" xfId="1678"/>
    <cellStyle name="§Q\?1@" xfId="138"/>
    <cellStyle name="§Q\?1@ 2" xfId="1984"/>
    <cellStyle name="•W€_Comparables" xfId="139"/>
    <cellStyle name="•W_9501sales" xfId="4241"/>
    <cellStyle name="0" xfId="140"/>
    <cellStyle name="0 2" xfId="1679"/>
    <cellStyle name="0%" xfId="141"/>
    <cellStyle name="0% 2" xfId="142"/>
    <cellStyle name="0% 2 2" xfId="143"/>
    <cellStyle name="0% 2 2 2" xfId="1682"/>
    <cellStyle name="0% 2 2 2 2" xfId="1683"/>
    <cellStyle name="0% 2 2 3" xfId="1684"/>
    <cellStyle name="0% 2 3" xfId="1685"/>
    <cellStyle name="0% 2 3 2" xfId="1686"/>
    <cellStyle name="0% 2 4" xfId="1687"/>
    <cellStyle name="0% 3" xfId="144"/>
    <cellStyle name="0% 3 2" xfId="145"/>
    <cellStyle name="0% 3 2 2" xfId="1690"/>
    <cellStyle name="0% 3 3" xfId="1691"/>
    <cellStyle name="0% 4" xfId="146"/>
    <cellStyle name="0% 4 2" xfId="147"/>
    <cellStyle name="0% 4 2 2" xfId="1973"/>
    <cellStyle name="0% 4 3" xfId="1978"/>
    <cellStyle name="0% 5" xfId="148"/>
    <cellStyle name="0% 5 2" xfId="149"/>
    <cellStyle name="0% 5 2 2" xfId="1969"/>
    <cellStyle name="0% 5 3" xfId="1971"/>
    <cellStyle name="0% 6" xfId="150"/>
    <cellStyle name="0% 6 2" xfId="1967"/>
    <cellStyle name="0% 7" xfId="1693"/>
    <cellStyle name="0% 7 2" xfId="1694"/>
    <cellStyle name="0% 8" xfId="1695"/>
    <cellStyle name="0% 8 2" xfId="1696"/>
    <cellStyle name="0,0_x000d__x000a_NA_x000d__x000a_" xfId="151"/>
    <cellStyle name="0,0_x000d__x000a_NA_x000d__x000a_ 2" xfId="1698"/>
    <cellStyle name="0,0_x000d__x000a_NA_x000d__x000a__Pivot Table Tips" xfId="1699"/>
    <cellStyle name="0.0" xfId="152"/>
    <cellStyle name="0.0 2" xfId="1700"/>
    <cellStyle name="0.0%" xfId="153"/>
    <cellStyle name="0.0% 2" xfId="1702"/>
    <cellStyle name="0.0_40050504 (pension)" xfId="1703"/>
    <cellStyle name="0.00" xfId="154"/>
    <cellStyle name="0.00 2" xfId="1704"/>
    <cellStyle name="0.00%" xfId="155"/>
    <cellStyle name="0.00% 2" xfId="1705"/>
    <cellStyle name="0.00_40050504 (pension)" xfId="1706"/>
    <cellStyle name="0_40050504 (pension)" xfId="1707"/>
    <cellStyle name="0_Capex &amp; Depreciation " xfId="156"/>
    <cellStyle name="0_Capex &amp; Depreciation  2" xfId="1708"/>
    <cellStyle name="0_Capex &amp; Depreciation  2 2" xfId="1709"/>
    <cellStyle name="0_Capex &amp; Depreciation _RRST1" xfId="157"/>
    <cellStyle name="0_Capex &amp; Depreciation _RRST1 2" xfId="158"/>
    <cellStyle name="0_Capex &amp; Depreciation _RRST12" xfId="159"/>
    <cellStyle name="0_Capex &amp; Depreciation _RRST19" xfId="160"/>
    <cellStyle name="0_Capex &amp; Depreciation _RRST19 2" xfId="161"/>
    <cellStyle name="0_Capex &amp; Depreciation _RRST20" xfId="162"/>
    <cellStyle name="0_Capex &amp; Depreciation _RRST20 2" xfId="163"/>
    <cellStyle name="0_Capex &amp; Depreciation _RRST25" xfId="164"/>
    <cellStyle name="0_Capex &amp; Depreciation _RRST25 2" xfId="165"/>
    <cellStyle name="0_Capex &amp; Depreciation _RRST3" xfId="166"/>
    <cellStyle name="0_Capex &amp; Depreciation _RRST6" xfId="167"/>
    <cellStyle name="0_Capex &amp; Depreciation _RRST6 2" xfId="168"/>
    <cellStyle name="0_Capex &amp; Depreciation _RRST9" xfId="169"/>
    <cellStyle name="0_Capex &amp; Depreciation _RRST9 2" xfId="170"/>
    <cellStyle name="0_ConsensusPanel_v20080325 (2)" xfId="1712"/>
    <cellStyle name="0_Copy of Model2018_AAC_(WIP) " xfId="171"/>
    <cellStyle name="0_geconsensusv1" xfId="1714"/>
    <cellStyle name="0_Handset component data_Copy of Model2018_AAC_(WIP) " xfId="172"/>
    <cellStyle name="0_IV2" xfId="1715"/>
    <cellStyle name="0_IV6" xfId="1716"/>
    <cellStyle name="0_Japan Pension Module Sumitomo Chemical" xfId="1717"/>
    <cellStyle name="0_JapaneseCatalog" xfId="1718"/>
    <cellStyle name="0_MB-Mthly(1)" xfId="3953"/>
    <cellStyle name="0_MB-Mthly(1)_Exhibit NB QoQ" xfId="3954"/>
    <cellStyle name="0_MB-Mthly(1)_Exhibt NB MOM" xfId="3955"/>
    <cellStyle name="0_MB-Mthly(1)_MBNB shipments_20080909" xfId="3956"/>
    <cellStyle name="0_MB-Mthly(1)_MBNB shipments_20090309.wip" xfId="3957"/>
    <cellStyle name="0_MB-Mthly(1)_MBNB shipments_Dec06_wip" xfId="3958"/>
    <cellStyle name="0_MB-Mthly(1)_MBNB shipments_July07.wip" xfId="3959"/>
    <cellStyle name="0_MB-Mthly(1)_NB-Mthly(0)" xfId="3960"/>
    <cellStyle name="0_ROE2" xfId="1719"/>
    <cellStyle name="0_ROE4" xfId="1720"/>
    <cellStyle name="0_SmartChart_B1035" xfId="1721"/>
    <cellStyle name="0_SmartChart_B1200" xfId="1722"/>
    <cellStyle name="0_SmartChart_C1035" xfId="1723"/>
    <cellStyle name="0_SmartChart_O1200" xfId="1724"/>
    <cellStyle name="0_TWN Top 4 MB 5 NB" xfId="3961"/>
    <cellStyle name="0_TWN Top 4 MB 5 NB_Exhibit NB QoQ" xfId="3962"/>
    <cellStyle name="0_TWN Top 4 MB 5 NB_Exhibt NB MOM" xfId="3963"/>
    <cellStyle name="0_TWN Top 4 MB 5 NB_MBNB shipments_20080909" xfId="3964"/>
    <cellStyle name="0_TWN Top 4 MB 5 NB_MBNB shipments_20090309.wip" xfId="3965"/>
    <cellStyle name="0_TWN Top 4 MB 5 NB_MBNB shipments_Dec06_wip" xfId="3966"/>
    <cellStyle name="0_TWN Top 4 MB 5 NB_MBNB shipments_July07.wip" xfId="3967"/>
    <cellStyle name="0_Valuing BP " xfId="173"/>
    <cellStyle name="0_Valuing BP  2" xfId="1725"/>
    <cellStyle name="0_Valuing BP  2 2" xfId="1726"/>
    <cellStyle name="0_Valuing BP _RRST1" xfId="174"/>
    <cellStyle name="0_Valuing BP _RRST1 2" xfId="175"/>
    <cellStyle name="0_Valuing BP _RRST12" xfId="176"/>
    <cellStyle name="0_Valuing BP _RRST19" xfId="177"/>
    <cellStyle name="0_Valuing BP _RRST19 2" xfId="178"/>
    <cellStyle name="0_Valuing BP _RRST20" xfId="179"/>
    <cellStyle name="0_Valuing BP _RRST20 2" xfId="180"/>
    <cellStyle name="0_Valuing BP _RRST25" xfId="181"/>
    <cellStyle name="0_Valuing BP _RRST25 2" xfId="182"/>
    <cellStyle name="0_Valuing BP _RRST3" xfId="183"/>
    <cellStyle name="0_Valuing BP _RRST6" xfId="184"/>
    <cellStyle name="0_Valuing BP _RRST6 2" xfId="185"/>
    <cellStyle name="0_Valuing BP _RRST9" xfId="186"/>
    <cellStyle name="0_Valuing BP _RRST9 2" xfId="187"/>
    <cellStyle name="0_Vendor revenues_Copy of Model2018_AAC_(WIP) " xfId="188"/>
    <cellStyle name="0_Wireline Tel Forecast " xfId="189"/>
    <cellStyle name="0_Wireline Tel Forecast  2" xfId="1732"/>
    <cellStyle name="0_Wireline Tel Forecast  2 2" xfId="1733"/>
    <cellStyle name="0_WW NB DT PC &amp;TWN NB MB Qly" xfId="3968"/>
    <cellStyle name="0_WW NB DT PC &amp;TWN NB MB Qly_Exhibit NB QoQ" xfId="3969"/>
    <cellStyle name="0_WW NB DT PC &amp;TWN NB MB Qly_Exhibt NB MOM" xfId="3970"/>
    <cellStyle name="0_WW NB DT PC &amp;TWN NB MB Qly_MBNB shipments_20080909" xfId="3971"/>
    <cellStyle name="0_WW NB DT PC &amp;TWN NB MB Qly_MBNB shipments_20090309.wip" xfId="3972"/>
    <cellStyle name="0_WW NB DT PC &amp;TWN NB MB Qly_MBNB shipments_Dec06_wip" xfId="3973"/>
    <cellStyle name="0_WW NB DT PC &amp;TWN NB MB Qly_MBNB shipments_July07.wip" xfId="3974"/>
    <cellStyle name="0_Yardstick2012" xfId="1734"/>
    <cellStyle name="1,comma" xfId="190"/>
    <cellStyle name="1,comma 2" xfId="191"/>
    <cellStyle name="1,comma 2 2" xfId="192"/>
    <cellStyle name="1,comma 2 2 2" xfId="1738"/>
    <cellStyle name="1,comma 2 2 2 2" xfId="1739"/>
    <cellStyle name="1,comma 2 2 3" xfId="1740"/>
    <cellStyle name="1,comma 2 3" xfId="1741"/>
    <cellStyle name="1,comma 2 3 2" xfId="1742"/>
    <cellStyle name="1,comma 2 4" xfId="1743"/>
    <cellStyle name="1,comma 3" xfId="193"/>
    <cellStyle name="1,comma 3 2" xfId="194"/>
    <cellStyle name="1,comma 3 2 2" xfId="1745"/>
    <cellStyle name="1,comma 3 3" xfId="1746"/>
    <cellStyle name="1,comma 4" xfId="195"/>
    <cellStyle name="1,comma 4 2" xfId="196"/>
    <cellStyle name="1,comma 4 2 2" xfId="1961"/>
    <cellStyle name="1,comma 4 3" xfId="1962"/>
    <cellStyle name="1,comma 5" xfId="197"/>
    <cellStyle name="1,comma 5 2" xfId="198"/>
    <cellStyle name="1,comma 5 2 2" xfId="1952"/>
    <cellStyle name="1,comma 5 3" xfId="1959"/>
    <cellStyle name="1,comma 6" xfId="199"/>
    <cellStyle name="1,comma 6 2" xfId="1951"/>
    <cellStyle name="1,comma 7" xfId="1750"/>
    <cellStyle name="1,comma 7 2" xfId="1751"/>
    <cellStyle name="1,comma 8" xfId="1752"/>
    <cellStyle name="1,comma 8 2" xfId="1753"/>
    <cellStyle name="¹eºÐA²_AIAIC°AuCoE² " xfId="200"/>
    <cellStyle name="20% - Accent1" xfId="201" builtinId="30" customBuiltin="1"/>
    <cellStyle name="20% - Accent1 2" xfId="202"/>
    <cellStyle name="20% - Accent1 2 2" xfId="203"/>
    <cellStyle name="20% - Accent1 2 3" xfId="4097"/>
    <cellStyle name="20% - Accent1 3" xfId="1757"/>
    <cellStyle name="20% - Accent1 3 10" xfId="4242"/>
    <cellStyle name="20% - Accent1 3 10 2" xfId="8776"/>
    <cellStyle name="20% - Accent1 3 2" xfId="1758"/>
    <cellStyle name="20% - Accent1 3 2 2" xfId="1759"/>
    <cellStyle name="20% - Accent1 3 2 2 2" xfId="4653"/>
    <cellStyle name="20% - Accent1 3 2 2 2 2" xfId="4982"/>
    <cellStyle name="20% - Accent1 3 2 2 2 2 2" xfId="5658"/>
    <cellStyle name="20% - Accent1 3 2 2 2 2 2 2" xfId="7977"/>
    <cellStyle name="20% - Accent1 3 2 2 2 2 3" xfId="6329"/>
    <cellStyle name="20% - Accent1 3 2 2 2 2 3 2" xfId="8648"/>
    <cellStyle name="20% - Accent1 3 2 2 2 2 4" xfId="7303"/>
    <cellStyle name="20% - Accent1 3 2 2 2 3" xfId="5326"/>
    <cellStyle name="20% - Accent1 3 2 2 2 3 2" xfId="7645"/>
    <cellStyle name="20% - Accent1 3 2 2 2 4" xfId="5993"/>
    <cellStyle name="20% - Accent1 3 2 2 2 4 2" xfId="8312"/>
    <cellStyle name="20% - Accent1 3 2 2 2 5" xfId="6974"/>
    <cellStyle name="20% - Accent1 3 2 2 3" xfId="4817"/>
    <cellStyle name="20% - Accent1 3 2 2 3 2" xfId="5492"/>
    <cellStyle name="20% - Accent1 3 2 2 3 2 2" xfId="7811"/>
    <cellStyle name="20% - Accent1 3 2 2 3 3" xfId="6161"/>
    <cellStyle name="20% - Accent1 3 2 2 3 3 2" xfId="8480"/>
    <cellStyle name="20% - Accent1 3 2 2 3 4" xfId="7138"/>
    <cellStyle name="20% - Accent1 3 2 2 4" xfId="5160"/>
    <cellStyle name="20% - Accent1 3 2 2 4 2" xfId="7479"/>
    <cellStyle name="20% - Accent1 3 2 2 5" xfId="5825"/>
    <cellStyle name="20% - Accent1 3 2 2 5 2" xfId="8144"/>
    <cellStyle name="20% - Accent1 3 2 2 6" xfId="6491"/>
    <cellStyle name="20% - Accent1 3 2 3" xfId="1760"/>
    <cellStyle name="20% - Accent1 3 2 3 2" xfId="4613"/>
    <cellStyle name="20% - Accent1 3 2 3 2 2" xfId="4942"/>
    <cellStyle name="20% - Accent1 3 2 3 2 2 2" xfId="5617"/>
    <cellStyle name="20% - Accent1 3 2 3 2 2 2 2" xfId="7936"/>
    <cellStyle name="20% - Accent1 3 2 3 2 2 3" xfId="6287"/>
    <cellStyle name="20% - Accent1 3 2 3 2 2 3 2" xfId="8606"/>
    <cellStyle name="20% - Accent1 3 2 3 2 2 4" xfId="7263"/>
    <cellStyle name="20% - Accent1 3 2 3 2 3" xfId="5285"/>
    <cellStyle name="20% - Accent1 3 2 3 2 3 2" xfId="7604"/>
    <cellStyle name="20% - Accent1 3 2 3 2 4" xfId="5951"/>
    <cellStyle name="20% - Accent1 3 2 3 2 4 2" xfId="8270"/>
    <cellStyle name="20% - Accent1 3 2 3 2 5" xfId="6934"/>
    <cellStyle name="20% - Accent1 3 2 3 3" xfId="4777"/>
    <cellStyle name="20% - Accent1 3 2 3 3 2" xfId="5451"/>
    <cellStyle name="20% - Accent1 3 2 3 3 2 2" xfId="7770"/>
    <cellStyle name="20% - Accent1 3 2 3 3 3" xfId="6119"/>
    <cellStyle name="20% - Accent1 3 2 3 3 3 2" xfId="8438"/>
    <cellStyle name="20% - Accent1 3 2 3 3 4" xfId="7098"/>
    <cellStyle name="20% - Accent1 3 2 3 4" xfId="5119"/>
    <cellStyle name="20% - Accent1 3 2 3 4 2" xfId="7438"/>
    <cellStyle name="20% - Accent1 3 2 3 5" xfId="5783"/>
    <cellStyle name="20% - Accent1 3 2 3 5 2" xfId="8102"/>
    <cellStyle name="20% - Accent1 3 2 3 6" xfId="6492"/>
    <cellStyle name="20% - Accent1 3 2 4" xfId="4541"/>
    <cellStyle name="20% - Accent1 3 2 4 2" xfId="4694"/>
    <cellStyle name="20% - Accent1 3 2 4 2 2" xfId="5023"/>
    <cellStyle name="20% - Accent1 3 2 4 2 2 2" xfId="5699"/>
    <cellStyle name="20% - Accent1 3 2 4 2 2 2 2" xfId="8018"/>
    <cellStyle name="20% - Accent1 3 2 4 2 2 3" xfId="6371"/>
    <cellStyle name="20% - Accent1 3 2 4 2 2 3 2" xfId="8690"/>
    <cellStyle name="20% - Accent1 3 2 4 2 2 4" xfId="7344"/>
    <cellStyle name="20% - Accent1 3 2 4 2 3" xfId="5367"/>
    <cellStyle name="20% - Accent1 3 2 4 2 3 2" xfId="7686"/>
    <cellStyle name="20% - Accent1 3 2 4 2 4" xfId="6035"/>
    <cellStyle name="20% - Accent1 3 2 4 2 4 2" xfId="8354"/>
    <cellStyle name="20% - Accent1 3 2 4 2 5" xfId="7015"/>
    <cellStyle name="20% - Accent1 3 2 4 3" xfId="4858"/>
    <cellStyle name="20% - Accent1 3 2 4 3 2" xfId="5533"/>
    <cellStyle name="20% - Accent1 3 2 4 3 2 2" xfId="7852"/>
    <cellStyle name="20% - Accent1 3 2 4 3 3" xfId="6203"/>
    <cellStyle name="20% - Accent1 3 2 4 3 3 2" xfId="8522"/>
    <cellStyle name="20% - Accent1 3 2 4 3 4" xfId="7179"/>
    <cellStyle name="20% - Accent1 3 2 4 4" xfId="5201"/>
    <cellStyle name="20% - Accent1 3 2 4 4 2" xfId="7520"/>
    <cellStyle name="20% - Accent1 3 2 4 5" xfId="5867"/>
    <cellStyle name="20% - Accent1 3 2 4 5 2" xfId="8186"/>
    <cellStyle name="20% - Accent1 3 2 4 6" xfId="6862"/>
    <cellStyle name="20% - Accent1 3 2 5" xfId="4575"/>
    <cellStyle name="20% - Accent1 3 2 5 2" xfId="4900"/>
    <cellStyle name="20% - Accent1 3 2 5 2 2" xfId="5575"/>
    <cellStyle name="20% - Accent1 3 2 5 2 2 2" xfId="7894"/>
    <cellStyle name="20% - Accent1 3 2 5 2 3" xfId="6245"/>
    <cellStyle name="20% - Accent1 3 2 5 2 3 2" xfId="8564"/>
    <cellStyle name="20% - Accent1 3 2 5 2 4" xfId="7221"/>
    <cellStyle name="20% - Accent1 3 2 5 3" xfId="5243"/>
    <cellStyle name="20% - Accent1 3 2 5 3 2" xfId="7562"/>
    <cellStyle name="20% - Accent1 3 2 5 4" xfId="5909"/>
    <cellStyle name="20% - Accent1 3 2 5 4 2" xfId="8228"/>
    <cellStyle name="20% - Accent1 3 2 5 5" xfId="6896"/>
    <cellStyle name="20% - Accent1 3 2 6" xfId="4735"/>
    <cellStyle name="20% - Accent1 3 2 6 2" xfId="5409"/>
    <cellStyle name="20% - Accent1 3 2 6 2 2" xfId="7728"/>
    <cellStyle name="20% - Accent1 3 2 6 3" xfId="6077"/>
    <cellStyle name="20% - Accent1 3 2 6 3 2" xfId="8396"/>
    <cellStyle name="20% - Accent1 3 2 6 4" xfId="7056"/>
    <cellStyle name="20% - Accent1 3 2 7" xfId="5077"/>
    <cellStyle name="20% - Accent1 3 2 7 2" xfId="7396"/>
    <cellStyle name="20% - Accent1 3 2 8" xfId="5741"/>
    <cellStyle name="20% - Accent1 3 2 8 2" xfId="8060"/>
    <cellStyle name="20% - Accent1 3 2 9" xfId="6490"/>
    <cellStyle name="20% - Accent1 3 3" xfId="1761"/>
    <cellStyle name="20% - Accent1 3 3 2" xfId="4633"/>
    <cellStyle name="20% - Accent1 3 3 2 2" xfId="4962"/>
    <cellStyle name="20% - Accent1 3 3 2 2 2" xfId="5638"/>
    <cellStyle name="20% - Accent1 3 3 2 2 2 2" xfId="7957"/>
    <cellStyle name="20% - Accent1 3 3 2 2 3" xfId="6308"/>
    <cellStyle name="20% - Accent1 3 3 2 2 3 2" xfId="8627"/>
    <cellStyle name="20% - Accent1 3 3 2 2 4" xfId="7283"/>
    <cellStyle name="20% - Accent1 3 3 2 3" xfId="5306"/>
    <cellStyle name="20% - Accent1 3 3 2 3 2" xfId="7625"/>
    <cellStyle name="20% - Accent1 3 3 2 4" xfId="5972"/>
    <cellStyle name="20% - Accent1 3 3 2 4 2" xfId="8291"/>
    <cellStyle name="20% - Accent1 3 3 2 5" xfId="6954"/>
    <cellStyle name="20% - Accent1 3 3 3" xfId="4797"/>
    <cellStyle name="20% - Accent1 3 3 3 2" xfId="5472"/>
    <cellStyle name="20% - Accent1 3 3 3 2 2" xfId="7791"/>
    <cellStyle name="20% - Accent1 3 3 3 3" xfId="6140"/>
    <cellStyle name="20% - Accent1 3 3 3 3 2" xfId="8459"/>
    <cellStyle name="20% - Accent1 3 3 3 4" xfId="7118"/>
    <cellStyle name="20% - Accent1 3 3 4" xfId="5140"/>
    <cellStyle name="20% - Accent1 3 3 4 2" xfId="7459"/>
    <cellStyle name="20% - Accent1 3 3 5" xfId="5804"/>
    <cellStyle name="20% - Accent1 3 3 5 2" xfId="8123"/>
    <cellStyle name="20% - Accent1 3 3 6" xfId="6493"/>
    <cellStyle name="20% - Accent1 3 4" xfId="1762"/>
    <cellStyle name="20% - Accent1 3 4 2" xfId="4593"/>
    <cellStyle name="20% - Accent1 3 4 2 2" xfId="4921"/>
    <cellStyle name="20% - Accent1 3 4 2 2 2" xfId="5596"/>
    <cellStyle name="20% - Accent1 3 4 2 2 2 2" xfId="7915"/>
    <cellStyle name="20% - Accent1 3 4 2 2 3" xfId="6266"/>
    <cellStyle name="20% - Accent1 3 4 2 2 3 2" xfId="8585"/>
    <cellStyle name="20% - Accent1 3 4 2 2 4" xfId="7242"/>
    <cellStyle name="20% - Accent1 3 4 2 3" xfId="5264"/>
    <cellStyle name="20% - Accent1 3 4 2 3 2" xfId="7583"/>
    <cellStyle name="20% - Accent1 3 4 2 4" xfId="5930"/>
    <cellStyle name="20% - Accent1 3 4 2 4 2" xfId="8249"/>
    <cellStyle name="20% - Accent1 3 4 2 5" xfId="6914"/>
    <cellStyle name="20% - Accent1 3 4 3" xfId="4756"/>
    <cellStyle name="20% - Accent1 3 4 3 2" xfId="5430"/>
    <cellStyle name="20% - Accent1 3 4 3 2 2" xfId="7749"/>
    <cellStyle name="20% - Accent1 3 4 3 3" xfId="6098"/>
    <cellStyle name="20% - Accent1 3 4 3 3 2" xfId="8417"/>
    <cellStyle name="20% - Accent1 3 4 3 4" xfId="7077"/>
    <cellStyle name="20% - Accent1 3 4 4" xfId="5098"/>
    <cellStyle name="20% - Accent1 3 4 4 2" xfId="7417"/>
    <cellStyle name="20% - Accent1 3 4 5" xfId="5762"/>
    <cellStyle name="20% - Accent1 3 4 5 2" xfId="8081"/>
    <cellStyle name="20% - Accent1 3 4 6" xfId="6494"/>
    <cellStyle name="20% - Accent1 3 5" xfId="1763"/>
    <cellStyle name="20% - Accent1 3 5 2" xfId="4673"/>
    <cellStyle name="20% - Accent1 3 5 2 2" xfId="5002"/>
    <cellStyle name="20% - Accent1 3 5 2 2 2" xfId="5678"/>
    <cellStyle name="20% - Accent1 3 5 2 2 2 2" xfId="7997"/>
    <cellStyle name="20% - Accent1 3 5 2 2 3" xfId="6350"/>
    <cellStyle name="20% - Accent1 3 5 2 2 3 2" xfId="8669"/>
    <cellStyle name="20% - Accent1 3 5 2 2 4" xfId="7323"/>
    <cellStyle name="20% - Accent1 3 5 2 3" xfId="5346"/>
    <cellStyle name="20% - Accent1 3 5 2 3 2" xfId="7665"/>
    <cellStyle name="20% - Accent1 3 5 2 4" xfId="6014"/>
    <cellStyle name="20% - Accent1 3 5 2 4 2" xfId="8333"/>
    <cellStyle name="20% - Accent1 3 5 2 5" xfId="6994"/>
    <cellStyle name="20% - Accent1 3 5 3" xfId="4837"/>
    <cellStyle name="20% - Accent1 3 5 3 2" xfId="5512"/>
    <cellStyle name="20% - Accent1 3 5 3 2 2" xfId="7831"/>
    <cellStyle name="20% - Accent1 3 5 3 3" xfId="6182"/>
    <cellStyle name="20% - Accent1 3 5 3 3 2" xfId="8501"/>
    <cellStyle name="20% - Accent1 3 5 3 4" xfId="7158"/>
    <cellStyle name="20% - Accent1 3 5 4" xfId="5180"/>
    <cellStyle name="20% - Accent1 3 5 4 2" xfId="7499"/>
    <cellStyle name="20% - Accent1 3 5 5" xfId="5846"/>
    <cellStyle name="20% - Accent1 3 5 5 2" xfId="8165"/>
    <cellStyle name="20% - Accent1 3 5 6" xfId="4528"/>
    <cellStyle name="20% - Accent1 3 5 6 2" xfId="6849"/>
    <cellStyle name="20% - Accent1 3 6" xfId="4404"/>
    <cellStyle name="20% - Accent1 3 6 2" xfId="4879"/>
    <cellStyle name="20% - Accent1 3 6 2 2" xfId="5554"/>
    <cellStyle name="20% - Accent1 3 6 2 2 2" xfId="7873"/>
    <cellStyle name="20% - Accent1 3 6 2 3" xfId="6224"/>
    <cellStyle name="20% - Accent1 3 6 2 3 2" xfId="8543"/>
    <cellStyle name="20% - Accent1 3 6 2 4" xfId="7200"/>
    <cellStyle name="20% - Accent1 3 6 3" xfId="5222"/>
    <cellStyle name="20% - Accent1 3 6 3 2" xfId="7541"/>
    <cellStyle name="20% - Accent1 3 6 4" xfId="5888"/>
    <cellStyle name="20% - Accent1 3 6 4 2" xfId="8207"/>
    <cellStyle name="20% - Accent1 3 6 5" xfId="6489"/>
    <cellStyle name="20% - Accent1 3 7" xfId="4714"/>
    <cellStyle name="20% - Accent1 3 7 2" xfId="5388"/>
    <cellStyle name="20% - Accent1 3 7 2 2" xfId="7707"/>
    <cellStyle name="20% - Accent1 3 7 3" xfId="6056"/>
    <cellStyle name="20% - Accent1 3 7 3 2" xfId="8375"/>
    <cellStyle name="20% - Accent1 3 7 4" xfId="7035"/>
    <cellStyle name="20% - Accent1 3 8" xfId="5056"/>
    <cellStyle name="20% - Accent1 3 8 2" xfId="7375"/>
    <cellStyle name="20% - Accent1 3 9" xfId="5720"/>
    <cellStyle name="20% - Accent1 3 9 2" xfId="8039"/>
    <cellStyle name="20% - Accent1 4" xfId="6477"/>
    <cellStyle name="20% - Accent1 4 2" xfId="8801"/>
    <cellStyle name="20% - Accent1 5" xfId="4381"/>
    <cellStyle name="20% - Accent2" xfId="204" builtinId="34" customBuiltin="1"/>
    <cellStyle name="20% - Accent2 2" xfId="205"/>
    <cellStyle name="20% - Accent2 2 2" xfId="1766"/>
    <cellStyle name="20% - Accent2 3" xfId="1767"/>
    <cellStyle name="20% - Accent2 3 10" xfId="4243"/>
    <cellStyle name="20% - Accent2 3 10 2" xfId="8777"/>
    <cellStyle name="20% - Accent2 3 2" xfId="1768"/>
    <cellStyle name="20% - Accent2 3 2 2" xfId="1769"/>
    <cellStyle name="20% - Accent2 3 2 2 2" xfId="4654"/>
    <cellStyle name="20% - Accent2 3 2 2 2 2" xfId="4983"/>
    <cellStyle name="20% - Accent2 3 2 2 2 2 2" xfId="5659"/>
    <cellStyle name="20% - Accent2 3 2 2 2 2 2 2" xfId="7978"/>
    <cellStyle name="20% - Accent2 3 2 2 2 2 3" xfId="6330"/>
    <cellStyle name="20% - Accent2 3 2 2 2 2 3 2" xfId="8649"/>
    <cellStyle name="20% - Accent2 3 2 2 2 2 4" xfId="7304"/>
    <cellStyle name="20% - Accent2 3 2 2 2 3" xfId="5327"/>
    <cellStyle name="20% - Accent2 3 2 2 2 3 2" xfId="7646"/>
    <cellStyle name="20% - Accent2 3 2 2 2 4" xfId="5994"/>
    <cellStyle name="20% - Accent2 3 2 2 2 4 2" xfId="8313"/>
    <cellStyle name="20% - Accent2 3 2 2 2 5" xfId="6975"/>
    <cellStyle name="20% - Accent2 3 2 2 3" xfId="4818"/>
    <cellStyle name="20% - Accent2 3 2 2 3 2" xfId="5493"/>
    <cellStyle name="20% - Accent2 3 2 2 3 2 2" xfId="7812"/>
    <cellStyle name="20% - Accent2 3 2 2 3 3" xfId="6162"/>
    <cellStyle name="20% - Accent2 3 2 2 3 3 2" xfId="8481"/>
    <cellStyle name="20% - Accent2 3 2 2 3 4" xfId="7139"/>
    <cellStyle name="20% - Accent2 3 2 2 4" xfId="5161"/>
    <cellStyle name="20% - Accent2 3 2 2 4 2" xfId="7480"/>
    <cellStyle name="20% - Accent2 3 2 2 5" xfId="5826"/>
    <cellStyle name="20% - Accent2 3 2 2 5 2" xfId="8145"/>
    <cellStyle name="20% - Accent2 3 2 2 6" xfId="6497"/>
    <cellStyle name="20% - Accent2 3 2 3" xfId="1770"/>
    <cellStyle name="20% - Accent2 3 2 3 2" xfId="4614"/>
    <cellStyle name="20% - Accent2 3 2 3 2 2" xfId="4943"/>
    <cellStyle name="20% - Accent2 3 2 3 2 2 2" xfId="5618"/>
    <cellStyle name="20% - Accent2 3 2 3 2 2 2 2" xfId="7937"/>
    <cellStyle name="20% - Accent2 3 2 3 2 2 3" xfId="6288"/>
    <cellStyle name="20% - Accent2 3 2 3 2 2 3 2" xfId="8607"/>
    <cellStyle name="20% - Accent2 3 2 3 2 2 4" xfId="7264"/>
    <cellStyle name="20% - Accent2 3 2 3 2 3" xfId="5286"/>
    <cellStyle name="20% - Accent2 3 2 3 2 3 2" xfId="7605"/>
    <cellStyle name="20% - Accent2 3 2 3 2 4" xfId="5952"/>
    <cellStyle name="20% - Accent2 3 2 3 2 4 2" xfId="8271"/>
    <cellStyle name="20% - Accent2 3 2 3 2 5" xfId="6935"/>
    <cellStyle name="20% - Accent2 3 2 3 3" xfId="4778"/>
    <cellStyle name="20% - Accent2 3 2 3 3 2" xfId="5452"/>
    <cellStyle name="20% - Accent2 3 2 3 3 2 2" xfId="7771"/>
    <cellStyle name="20% - Accent2 3 2 3 3 3" xfId="6120"/>
    <cellStyle name="20% - Accent2 3 2 3 3 3 2" xfId="8439"/>
    <cellStyle name="20% - Accent2 3 2 3 3 4" xfId="7099"/>
    <cellStyle name="20% - Accent2 3 2 3 4" xfId="5120"/>
    <cellStyle name="20% - Accent2 3 2 3 4 2" xfId="7439"/>
    <cellStyle name="20% - Accent2 3 2 3 5" xfId="5784"/>
    <cellStyle name="20% - Accent2 3 2 3 5 2" xfId="8103"/>
    <cellStyle name="20% - Accent2 3 2 3 6" xfId="6498"/>
    <cellStyle name="20% - Accent2 3 2 4" xfId="4542"/>
    <cellStyle name="20% - Accent2 3 2 4 2" xfId="4695"/>
    <cellStyle name="20% - Accent2 3 2 4 2 2" xfId="5024"/>
    <cellStyle name="20% - Accent2 3 2 4 2 2 2" xfId="5700"/>
    <cellStyle name="20% - Accent2 3 2 4 2 2 2 2" xfId="8019"/>
    <cellStyle name="20% - Accent2 3 2 4 2 2 3" xfId="6372"/>
    <cellStyle name="20% - Accent2 3 2 4 2 2 3 2" xfId="8691"/>
    <cellStyle name="20% - Accent2 3 2 4 2 2 4" xfId="7345"/>
    <cellStyle name="20% - Accent2 3 2 4 2 3" xfId="5368"/>
    <cellStyle name="20% - Accent2 3 2 4 2 3 2" xfId="7687"/>
    <cellStyle name="20% - Accent2 3 2 4 2 4" xfId="6036"/>
    <cellStyle name="20% - Accent2 3 2 4 2 4 2" xfId="8355"/>
    <cellStyle name="20% - Accent2 3 2 4 2 5" xfId="7016"/>
    <cellStyle name="20% - Accent2 3 2 4 3" xfId="4859"/>
    <cellStyle name="20% - Accent2 3 2 4 3 2" xfId="5534"/>
    <cellStyle name="20% - Accent2 3 2 4 3 2 2" xfId="7853"/>
    <cellStyle name="20% - Accent2 3 2 4 3 3" xfId="6204"/>
    <cellStyle name="20% - Accent2 3 2 4 3 3 2" xfId="8523"/>
    <cellStyle name="20% - Accent2 3 2 4 3 4" xfId="7180"/>
    <cellStyle name="20% - Accent2 3 2 4 4" xfId="5202"/>
    <cellStyle name="20% - Accent2 3 2 4 4 2" xfId="7521"/>
    <cellStyle name="20% - Accent2 3 2 4 5" xfId="5868"/>
    <cellStyle name="20% - Accent2 3 2 4 5 2" xfId="8187"/>
    <cellStyle name="20% - Accent2 3 2 4 6" xfId="6863"/>
    <cellStyle name="20% - Accent2 3 2 5" xfId="4576"/>
    <cellStyle name="20% - Accent2 3 2 5 2" xfId="4901"/>
    <cellStyle name="20% - Accent2 3 2 5 2 2" xfId="5576"/>
    <cellStyle name="20% - Accent2 3 2 5 2 2 2" xfId="7895"/>
    <cellStyle name="20% - Accent2 3 2 5 2 3" xfId="6246"/>
    <cellStyle name="20% - Accent2 3 2 5 2 3 2" xfId="8565"/>
    <cellStyle name="20% - Accent2 3 2 5 2 4" xfId="7222"/>
    <cellStyle name="20% - Accent2 3 2 5 3" xfId="5244"/>
    <cellStyle name="20% - Accent2 3 2 5 3 2" xfId="7563"/>
    <cellStyle name="20% - Accent2 3 2 5 4" xfId="5910"/>
    <cellStyle name="20% - Accent2 3 2 5 4 2" xfId="8229"/>
    <cellStyle name="20% - Accent2 3 2 5 5" xfId="6897"/>
    <cellStyle name="20% - Accent2 3 2 6" xfId="4736"/>
    <cellStyle name="20% - Accent2 3 2 6 2" xfId="5410"/>
    <cellStyle name="20% - Accent2 3 2 6 2 2" xfId="7729"/>
    <cellStyle name="20% - Accent2 3 2 6 3" xfId="6078"/>
    <cellStyle name="20% - Accent2 3 2 6 3 2" xfId="8397"/>
    <cellStyle name="20% - Accent2 3 2 6 4" xfId="7057"/>
    <cellStyle name="20% - Accent2 3 2 7" xfId="5078"/>
    <cellStyle name="20% - Accent2 3 2 7 2" xfId="7397"/>
    <cellStyle name="20% - Accent2 3 2 8" xfId="5742"/>
    <cellStyle name="20% - Accent2 3 2 8 2" xfId="8061"/>
    <cellStyle name="20% - Accent2 3 2 9" xfId="6496"/>
    <cellStyle name="20% - Accent2 3 3" xfId="1771"/>
    <cellStyle name="20% - Accent2 3 3 2" xfId="4634"/>
    <cellStyle name="20% - Accent2 3 3 2 2" xfId="4963"/>
    <cellStyle name="20% - Accent2 3 3 2 2 2" xfId="5639"/>
    <cellStyle name="20% - Accent2 3 3 2 2 2 2" xfId="7958"/>
    <cellStyle name="20% - Accent2 3 3 2 2 3" xfId="6309"/>
    <cellStyle name="20% - Accent2 3 3 2 2 3 2" xfId="8628"/>
    <cellStyle name="20% - Accent2 3 3 2 2 4" xfId="7284"/>
    <cellStyle name="20% - Accent2 3 3 2 3" xfId="5307"/>
    <cellStyle name="20% - Accent2 3 3 2 3 2" xfId="7626"/>
    <cellStyle name="20% - Accent2 3 3 2 4" xfId="5973"/>
    <cellStyle name="20% - Accent2 3 3 2 4 2" xfId="8292"/>
    <cellStyle name="20% - Accent2 3 3 2 5" xfId="6955"/>
    <cellStyle name="20% - Accent2 3 3 3" xfId="4798"/>
    <cellStyle name="20% - Accent2 3 3 3 2" xfId="5473"/>
    <cellStyle name="20% - Accent2 3 3 3 2 2" xfId="7792"/>
    <cellStyle name="20% - Accent2 3 3 3 3" xfId="6141"/>
    <cellStyle name="20% - Accent2 3 3 3 3 2" xfId="8460"/>
    <cellStyle name="20% - Accent2 3 3 3 4" xfId="7119"/>
    <cellStyle name="20% - Accent2 3 3 4" xfId="5141"/>
    <cellStyle name="20% - Accent2 3 3 4 2" xfId="7460"/>
    <cellStyle name="20% - Accent2 3 3 5" xfId="5805"/>
    <cellStyle name="20% - Accent2 3 3 5 2" xfId="8124"/>
    <cellStyle name="20% - Accent2 3 3 6" xfId="6499"/>
    <cellStyle name="20% - Accent2 3 4" xfId="1772"/>
    <cellStyle name="20% - Accent2 3 4 2" xfId="4594"/>
    <cellStyle name="20% - Accent2 3 4 2 2" xfId="4922"/>
    <cellStyle name="20% - Accent2 3 4 2 2 2" xfId="5597"/>
    <cellStyle name="20% - Accent2 3 4 2 2 2 2" xfId="7916"/>
    <cellStyle name="20% - Accent2 3 4 2 2 3" xfId="6267"/>
    <cellStyle name="20% - Accent2 3 4 2 2 3 2" xfId="8586"/>
    <cellStyle name="20% - Accent2 3 4 2 2 4" xfId="7243"/>
    <cellStyle name="20% - Accent2 3 4 2 3" xfId="5265"/>
    <cellStyle name="20% - Accent2 3 4 2 3 2" xfId="7584"/>
    <cellStyle name="20% - Accent2 3 4 2 4" xfId="5931"/>
    <cellStyle name="20% - Accent2 3 4 2 4 2" xfId="8250"/>
    <cellStyle name="20% - Accent2 3 4 2 5" xfId="6915"/>
    <cellStyle name="20% - Accent2 3 4 3" xfId="4757"/>
    <cellStyle name="20% - Accent2 3 4 3 2" xfId="5431"/>
    <cellStyle name="20% - Accent2 3 4 3 2 2" xfId="7750"/>
    <cellStyle name="20% - Accent2 3 4 3 3" xfId="6099"/>
    <cellStyle name="20% - Accent2 3 4 3 3 2" xfId="8418"/>
    <cellStyle name="20% - Accent2 3 4 3 4" xfId="7078"/>
    <cellStyle name="20% - Accent2 3 4 4" xfId="5099"/>
    <cellStyle name="20% - Accent2 3 4 4 2" xfId="7418"/>
    <cellStyle name="20% - Accent2 3 4 5" xfId="5763"/>
    <cellStyle name="20% - Accent2 3 4 5 2" xfId="8082"/>
    <cellStyle name="20% - Accent2 3 4 6" xfId="6500"/>
    <cellStyle name="20% - Accent2 3 5" xfId="1773"/>
    <cellStyle name="20% - Accent2 3 5 2" xfId="4674"/>
    <cellStyle name="20% - Accent2 3 5 2 2" xfId="5003"/>
    <cellStyle name="20% - Accent2 3 5 2 2 2" xfId="5679"/>
    <cellStyle name="20% - Accent2 3 5 2 2 2 2" xfId="7998"/>
    <cellStyle name="20% - Accent2 3 5 2 2 3" xfId="6351"/>
    <cellStyle name="20% - Accent2 3 5 2 2 3 2" xfId="8670"/>
    <cellStyle name="20% - Accent2 3 5 2 2 4" xfId="7324"/>
    <cellStyle name="20% - Accent2 3 5 2 3" xfId="5347"/>
    <cellStyle name="20% - Accent2 3 5 2 3 2" xfId="7666"/>
    <cellStyle name="20% - Accent2 3 5 2 4" xfId="6015"/>
    <cellStyle name="20% - Accent2 3 5 2 4 2" xfId="8334"/>
    <cellStyle name="20% - Accent2 3 5 2 5" xfId="6995"/>
    <cellStyle name="20% - Accent2 3 5 3" xfId="4838"/>
    <cellStyle name="20% - Accent2 3 5 3 2" xfId="5513"/>
    <cellStyle name="20% - Accent2 3 5 3 2 2" xfId="7832"/>
    <cellStyle name="20% - Accent2 3 5 3 3" xfId="6183"/>
    <cellStyle name="20% - Accent2 3 5 3 3 2" xfId="8502"/>
    <cellStyle name="20% - Accent2 3 5 3 4" xfId="7159"/>
    <cellStyle name="20% - Accent2 3 5 4" xfId="5181"/>
    <cellStyle name="20% - Accent2 3 5 4 2" xfId="7500"/>
    <cellStyle name="20% - Accent2 3 5 5" xfId="5847"/>
    <cellStyle name="20% - Accent2 3 5 5 2" xfId="8166"/>
    <cellStyle name="20% - Accent2 3 5 6" xfId="4529"/>
    <cellStyle name="20% - Accent2 3 5 6 2" xfId="6850"/>
    <cellStyle name="20% - Accent2 3 6" xfId="4405"/>
    <cellStyle name="20% - Accent2 3 6 2" xfId="4880"/>
    <cellStyle name="20% - Accent2 3 6 2 2" xfId="5555"/>
    <cellStyle name="20% - Accent2 3 6 2 2 2" xfId="7874"/>
    <cellStyle name="20% - Accent2 3 6 2 3" xfId="6225"/>
    <cellStyle name="20% - Accent2 3 6 2 3 2" xfId="8544"/>
    <cellStyle name="20% - Accent2 3 6 2 4" xfId="7201"/>
    <cellStyle name="20% - Accent2 3 6 3" xfId="5223"/>
    <cellStyle name="20% - Accent2 3 6 3 2" xfId="7542"/>
    <cellStyle name="20% - Accent2 3 6 4" xfId="5889"/>
    <cellStyle name="20% - Accent2 3 6 4 2" xfId="8208"/>
    <cellStyle name="20% - Accent2 3 6 5" xfId="6495"/>
    <cellStyle name="20% - Accent2 3 7" xfId="4715"/>
    <cellStyle name="20% - Accent2 3 7 2" xfId="5389"/>
    <cellStyle name="20% - Accent2 3 7 2 2" xfId="7708"/>
    <cellStyle name="20% - Accent2 3 7 3" xfId="6057"/>
    <cellStyle name="20% - Accent2 3 7 3 2" xfId="8376"/>
    <cellStyle name="20% - Accent2 3 7 4" xfId="7036"/>
    <cellStyle name="20% - Accent2 3 8" xfId="5057"/>
    <cellStyle name="20% - Accent2 3 8 2" xfId="7376"/>
    <cellStyle name="20% - Accent2 3 9" xfId="5721"/>
    <cellStyle name="20% - Accent2 3 9 2" xfId="8040"/>
    <cellStyle name="20% - Accent2 4" xfId="6479"/>
    <cellStyle name="20% - Accent2 4 2" xfId="8803"/>
    <cellStyle name="20% - Accent2 5" xfId="4385"/>
    <cellStyle name="20% - Accent3" xfId="206" builtinId="38" customBuiltin="1"/>
    <cellStyle name="20% - Accent3 10" xfId="5058"/>
    <cellStyle name="20% - Accent3 10 2" xfId="7377"/>
    <cellStyle name="20% - Accent3 11" xfId="5722"/>
    <cellStyle name="20% - Accent3 11 2" xfId="8041"/>
    <cellStyle name="20% - Accent3 12" xfId="6481"/>
    <cellStyle name="20% - Accent3 12 2" xfId="8806"/>
    <cellStyle name="20% - Accent3 13" xfId="8778"/>
    <cellStyle name="20% - Accent3 2" xfId="207"/>
    <cellStyle name="20% - Accent3 2 2" xfId="208"/>
    <cellStyle name="20% - Accent3 2 3" xfId="4098"/>
    <cellStyle name="20% - Accent3 3" xfId="1776"/>
    <cellStyle name="20% - Accent3 3 2" xfId="1777"/>
    <cellStyle name="20% - Accent3 3 2 2" xfId="4655"/>
    <cellStyle name="20% - Accent3 3 2 2 2" xfId="4984"/>
    <cellStyle name="20% - Accent3 3 2 2 2 2" xfId="5660"/>
    <cellStyle name="20% - Accent3 3 2 2 2 2 2" xfId="7979"/>
    <cellStyle name="20% - Accent3 3 2 2 2 3" xfId="6331"/>
    <cellStyle name="20% - Accent3 3 2 2 2 3 2" xfId="8650"/>
    <cellStyle name="20% - Accent3 3 2 2 2 4" xfId="7305"/>
    <cellStyle name="20% - Accent3 3 2 2 3" xfId="5328"/>
    <cellStyle name="20% - Accent3 3 2 2 3 2" xfId="7647"/>
    <cellStyle name="20% - Accent3 3 2 2 4" xfId="5995"/>
    <cellStyle name="20% - Accent3 3 2 2 4 2" xfId="8314"/>
    <cellStyle name="20% - Accent3 3 2 2 5" xfId="6976"/>
    <cellStyle name="20% - Accent3 3 2 3" xfId="4819"/>
    <cellStyle name="20% - Accent3 3 2 3 2" xfId="5494"/>
    <cellStyle name="20% - Accent3 3 2 3 2 2" xfId="7813"/>
    <cellStyle name="20% - Accent3 3 2 3 3" xfId="6163"/>
    <cellStyle name="20% - Accent3 3 2 3 3 2" xfId="8482"/>
    <cellStyle name="20% - Accent3 3 2 3 4" xfId="7140"/>
    <cellStyle name="20% - Accent3 3 2 4" xfId="5162"/>
    <cellStyle name="20% - Accent3 3 2 4 2" xfId="7481"/>
    <cellStyle name="20% - Accent3 3 2 5" xfId="5827"/>
    <cellStyle name="20% - Accent3 3 2 5 2" xfId="8146"/>
    <cellStyle name="20% - Accent3 3 2 6" xfId="6502"/>
    <cellStyle name="20% - Accent3 3 3" xfId="1778"/>
    <cellStyle name="20% - Accent3 3 3 2" xfId="4615"/>
    <cellStyle name="20% - Accent3 3 3 2 2" xfId="4944"/>
    <cellStyle name="20% - Accent3 3 3 2 2 2" xfId="5619"/>
    <cellStyle name="20% - Accent3 3 3 2 2 2 2" xfId="7938"/>
    <cellStyle name="20% - Accent3 3 3 2 2 3" xfId="6289"/>
    <cellStyle name="20% - Accent3 3 3 2 2 3 2" xfId="8608"/>
    <cellStyle name="20% - Accent3 3 3 2 2 4" xfId="7265"/>
    <cellStyle name="20% - Accent3 3 3 2 3" xfId="5287"/>
    <cellStyle name="20% - Accent3 3 3 2 3 2" xfId="7606"/>
    <cellStyle name="20% - Accent3 3 3 2 4" xfId="5953"/>
    <cellStyle name="20% - Accent3 3 3 2 4 2" xfId="8272"/>
    <cellStyle name="20% - Accent3 3 3 2 5" xfId="6936"/>
    <cellStyle name="20% - Accent3 3 3 3" xfId="4779"/>
    <cellStyle name="20% - Accent3 3 3 3 2" xfId="5453"/>
    <cellStyle name="20% - Accent3 3 3 3 2 2" xfId="7772"/>
    <cellStyle name="20% - Accent3 3 3 3 3" xfId="6121"/>
    <cellStyle name="20% - Accent3 3 3 3 3 2" xfId="8440"/>
    <cellStyle name="20% - Accent3 3 3 3 4" xfId="7100"/>
    <cellStyle name="20% - Accent3 3 3 4" xfId="5121"/>
    <cellStyle name="20% - Accent3 3 3 4 2" xfId="7440"/>
    <cellStyle name="20% - Accent3 3 3 5" xfId="5785"/>
    <cellStyle name="20% - Accent3 3 3 5 2" xfId="8104"/>
    <cellStyle name="20% - Accent3 3 3 6" xfId="6503"/>
    <cellStyle name="20% - Accent3 3 4" xfId="1779"/>
    <cellStyle name="20% - Accent3 3 4 2" xfId="4696"/>
    <cellStyle name="20% - Accent3 3 4 2 2" xfId="5025"/>
    <cellStyle name="20% - Accent3 3 4 2 2 2" xfId="5701"/>
    <cellStyle name="20% - Accent3 3 4 2 2 2 2" xfId="8020"/>
    <cellStyle name="20% - Accent3 3 4 2 2 3" xfId="6373"/>
    <cellStyle name="20% - Accent3 3 4 2 2 3 2" xfId="8692"/>
    <cellStyle name="20% - Accent3 3 4 2 2 4" xfId="7346"/>
    <cellStyle name="20% - Accent3 3 4 2 3" xfId="5369"/>
    <cellStyle name="20% - Accent3 3 4 2 3 2" xfId="7688"/>
    <cellStyle name="20% - Accent3 3 4 2 4" xfId="6037"/>
    <cellStyle name="20% - Accent3 3 4 2 4 2" xfId="8356"/>
    <cellStyle name="20% - Accent3 3 4 2 5" xfId="7017"/>
    <cellStyle name="20% - Accent3 3 4 3" xfId="4860"/>
    <cellStyle name="20% - Accent3 3 4 3 2" xfId="5535"/>
    <cellStyle name="20% - Accent3 3 4 3 2 2" xfId="7854"/>
    <cellStyle name="20% - Accent3 3 4 3 3" xfId="6205"/>
    <cellStyle name="20% - Accent3 3 4 3 3 2" xfId="8524"/>
    <cellStyle name="20% - Accent3 3 4 3 4" xfId="7181"/>
    <cellStyle name="20% - Accent3 3 4 4" xfId="5203"/>
    <cellStyle name="20% - Accent3 3 4 4 2" xfId="7522"/>
    <cellStyle name="20% - Accent3 3 4 5" xfId="5869"/>
    <cellStyle name="20% - Accent3 3 4 5 2" xfId="8188"/>
    <cellStyle name="20% - Accent3 3 4 6" xfId="4543"/>
    <cellStyle name="20% - Accent3 3 4 6 2" xfId="6864"/>
    <cellStyle name="20% - Accent3 3 5" xfId="4406"/>
    <cellStyle name="20% - Accent3 3 5 2" xfId="4902"/>
    <cellStyle name="20% - Accent3 3 5 2 2" xfId="5577"/>
    <cellStyle name="20% - Accent3 3 5 2 2 2" xfId="7896"/>
    <cellStyle name="20% - Accent3 3 5 2 3" xfId="6247"/>
    <cellStyle name="20% - Accent3 3 5 2 3 2" xfId="8566"/>
    <cellStyle name="20% - Accent3 3 5 2 4" xfId="7223"/>
    <cellStyle name="20% - Accent3 3 5 3" xfId="5245"/>
    <cellStyle name="20% - Accent3 3 5 3 2" xfId="7564"/>
    <cellStyle name="20% - Accent3 3 5 4" xfId="5911"/>
    <cellStyle name="20% - Accent3 3 5 4 2" xfId="8230"/>
    <cellStyle name="20% - Accent3 3 5 5" xfId="6501"/>
    <cellStyle name="20% - Accent3 3 6" xfId="4737"/>
    <cellStyle name="20% - Accent3 3 6 2" xfId="5411"/>
    <cellStyle name="20% - Accent3 3 6 2 2" xfId="7730"/>
    <cellStyle name="20% - Accent3 3 6 3" xfId="6079"/>
    <cellStyle name="20% - Accent3 3 6 3 2" xfId="8398"/>
    <cellStyle name="20% - Accent3 3 6 4" xfId="7058"/>
    <cellStyle name="20% - Accent3 3 7" xfId="5079"/>
    <cellStyle name="20% - Accent3 3 7 2" xfId="7398"/>
    <cellStyle name="20% - Accent3 3 8" xfId="5743"/>
    <cellStyle name="20% - Accent3 3 8 2" xfId="8062"/>
    <cellStyle name="20% - Accent3 3 9" xfId="4244"/>
    <cellStyle name="20% - Accent3 3 9 2" xfId="8792"/>
    <cellStyle name="20% - Accent3 4" xfId="1780"/>
    <cellStyle name="20% - Accent3 4 2" xfId="4635"/>
    <cellStyle name="20% - Accent3 4 2 2" xfId="4964"/>
    <cellStyle name="20% - Accent3 4 2 2 2" xfId="5640"/>
    <cellStyle name="20% - Accent3 4 2 2 2 2" xfId="7959"/>
    <cellStyle name="20% - Accent3 4 2 2 3" xfId="6310"/>
    <cellStyle name="20% - Accent3 4 2 2 3 2" xfId="8629"/>
    <cellStyle name="20% - Accent3 4 2 2 4" xfId="7285"/>
    <cellStyle name="20% - Accent3 4 2 3" xfId="5308"/>
    <cellStyle name="20% - Accent3 4 2 3 2" xfId="7627"/>
    <cellStyle name="20% - Accent3 4 2 4" xfId="5974"/>
    <cellStyle name="20% - Accent3 4 2 4 2" xfId="8293"/>
    <cellStyle name="20% - Accent3 4 2 5" xfId="6956"/>
    <cellStyle name="20% - Accent3 4 3" xfId="4799"/>
    <cellStyle name="20% - Accent3 4 3 2" xfId="5474"/>
    <cellStyle name="20% - Accent3 4 3 2 2" xfId="7793"/>
    <cellStyle name="20% - Accent3 4 3 3" xfId="6142"/>
    <cellStyle name="20% - Accent3 4 3 3 2" xfId="8461"/>
    <cellStyle name="20% - Accent3 4 3 4" xfId="7120"/>
    <cellStyle name="20% - Accent3 4 4" xfId="5142"/>
    <cellStyle name="20% - Accent3 4 4 2" xfId="7461"/>
    <cellStyle name="20% - Accent3 4 5" xfId="5806"/>
    <cellStyle name="20% - Accent3 4 5 2" xfId="8125"/>
    <cellStyle name="20% - Accent3 4 6" xfId="6504"/>
    <cellStyle name="20% - Accent3 5" xfId="1781"/>
    <cellStyle name="20% - Accent3 5 2" xfId="4595"/>
    <cellStyle name="20% - Accent3 5 2 2" xfId="4923"/>
    <cellStyle name="20% - Accent3 5 2 2 2" xfId="5598"/>
    <cellStyle name="20% - Accent3 5 2 2 2 2" xfId="7917"/>
    <cellStyle name="20% - Accent3 5 2 2 3" xfId="6268"/>
    <cellStyle name="20% - Accent3 5 2 2 3 2" xfId="8587"/>
    <cellStyle name="20% - Accent3 5 2 2 4" xfId="7244"/>
    <cellStyle name="20% - Accent3 5 2 3" xfId="5266"/>
    <cellStyle name="20% - Accent3 5 2 3 2" xfId="7585"/>
    <cellStyle name="20% - Accent3 5 2 4" xfId="5932"/>
    <cellStyle name="20% - Accent3 5 2 4 2" xfId="8251"/>
    <cellStyle name="20% - Accent3 5 2 5" xfId="6916"/>
    <cellStyle name="20% - Accent3 5 3" xfId="4758"/>
    <cellStyle name="20% - Accent3 5 3 2" xfId="5432"/>
    <cellStyle name="20% - Accent3 5 3 2 2" xfId="7751"/>
    <cellStyle name="20% - Accent3 5 3 3" xfId="6100"/>
    <cellStyle name="20% - Accent3 5 3 3 2" xfId="8419"/>
    <cellStyle name="20% - Accent3 5 3 4" xfId="7079"/>
    <cellStyle name="20% - Accent3 5 4" xfId="5100"/>
    <cellStyle name="20% - Accent3 5 4 2" xfId="7419"/>
    <cellStyle name="20% - Accent3 5 5" xfId="5764"/>
    <cellStyle name="20% - Accent3 5 5 2" xfId="8083"/>
    <cellStyle name="20% - Accent3 5 6" xfId="6505"/>
    <cellStyle name="20% - Accent3 6" xfId="1782"/>
    <cellStyle name="20% - Accent3 6 2" xfId="4675"/>
    <cellStyle name="20% - Accent3 6 2 2" xfId="5004"/>
    <cellStyle name="20% - Accent3 6 2 2 2" xfId="5680"/>
    <cellStyle name="20% - Accent3 6 2 2 2 2" xfId="7999"/>
    <cellStyle name="20% - Accent3 6 2 2 3" xfId="6352"/>
    <cellStyle name="20% - Accent3 6 2 2 3 2" xfId="8671"/>
    <cellStyle name="20% - Accent3 6 2 2 4" xfId="7325"/>
    <cellStyle name="20% - Accent3 6 2 3" xfId="5348"/>
    <cellStyle name="20% - Accent3 6 2 3 2" xfId="7667"/>
    <cellStyle name="20% - Accent3 6 2 4" xfId="6016"/>
    <cellStyle name="20% - Accent3 6 2 4 2" xfId="8335"/>
    <cellStyle name="20% - Accent3 6 2 5" xfId="6996"/>
    <cellStyle name="20% - Accent3 6 3" xfId="4839"/>
    <cellStyle name="20% - Accent3 6 3 2" xfId="5514"/>
    <cellStyle name="20% - Accent3 6 3 2 2" xfId="7833"/>
    <cellStyle name="20% - Accent3 6 3 3" xfId="6184"/>
    <cellStyle name="20% - Accent3 6 3 3 2" xfId="8503"/>
    <cellStyle name="20% - Accent3 6 3 4" xfId="7160"/>
    <cellStyle name="20% - Accent3 6 4" xfId="5182"/>
    <cellStyle name="20% - Accent3 6 4 2" xfId="7501"/>
    <cellStyle name="20% - Accent3 6 5" xfId="5848"/>
    <cellStyle name="20% - Accent3 6 5 2" xfId="8167"/>
    <cellStyle name="20% - Accent3 6 6" xfId="6506"/>
    <cellStyle name="20% - Accent3 7" xfId="4561"/>
    <cellStyle name="20% - Accent3 7 2" xfId="4881"/>
    <cellStyle name="20% - Accent3 7 2 2" xfId="5556"/>
    <cellStyle name="20% - Accent3 7 2 2 2" xfId="7875"/>
    <cellStyle name="20% - Accent3 7 2 3" xfId="6226"/>
    <cellStyle name="20% - Accent3 7 2 3 2" xfId="8545"/>
    <cellStyle name="20% - Accent3 7 2 4" xfId="7202"/>
    <cellStyle name="20% - Accent3 7 3" xfId="5224"/>
    <cellStyle name="20% - Accent3 7 3 2" xfId="7543"/>
    <cellStyle name="20% - Accent3 7 4" xfId="5890"/>
    <cellStyle name="20% - Accent3 7 4 2" xfId="8209"/>
    <cellStyle name="20% - Accent3 7 5" xfId="6882"/>
    <cellStyle name="20% - Accent3 8" xfId="4716"/>
    <cellStyle name="20% - Accent3 8 2" xfId="5390"/>
    <cellStyle name="20% - Accent3 8 2 2" xfId="7709"/>
    <cellStyle name="20% - Accent3 8 3" xfId="6058"/>
    <cellStyle name="20% - Accent3 8 3 2" xfId="8377"/>
    <cellStyle name="20% - Accent3 8 4" xfId="7037"/>
    <cellStyle name="20% - Accent3 9" xfId="5048"/>
    <cellStyle name="20% - Accent3 9 2" xfId="7368"/>
    <cellStyle name="20% - Accent4" xfId="209" builtinId="42" customBuiltin="1"/>
    <cellStyle name="20% - Accent4 2" xfId="210"/>
    <cellStyle name="20% - Accent4 2 2" xfId="1784"/>
    <cellStyle name="20% - Accent4 3" xfId="1785"/>
    <cellStyle name="20% - Accent4 3 10" xfId="4245"/>
    <cellStyle name="20% - Accent4 3 10 2" xfId="8779"/>
    <cellStyle name="20% - Accent4 3 2" xfId="1786"/>
    <cellStyle name="20% - Accent4 3 2 2" xfId="1787"/>
    <cellStyle name="20% - Accent4 3 2 2 2" xfId="4656"/>
    <cellStyle name="20% - Accent4 3 2 2 2 2" xfId="4985"/>
    <cellStyle name="20% - Accent4 3 2 2 2 2 2" xfId="5661"/>
    <cellStyle name="20% - Accent4 3 2 2 2 2 2 2" xfId="7980"/>
    <cellStyle name="20% - Accent4 3 2 2 2 2 3" xfId="6332"/>
    <cellStyle name="20% - Accent4 3 2 2 2 2 3 2" xfId="8651"/>
    <cellStyle name="20% - Accent4 3 2 2 2 2 4" xfId="7306"/>
    <cellStyle name="20% - Accent4 3 2 2 2 3" xfId="5329"/>
    <cellStyle name="20% - Accent4 3 2 2 2 3 2" xfId="7648"/>
    <cellStyle name="20% - Accent4 3 2 2 2 4" xfId="5996"/>
    <cellStyle name="20% - Accent4 3 2 2 2 4 2" xfId="8315"/>
    <cellStyle name="20% - Accent4 3 2 2 2 5" xfId="6977"/>
    <cellStyle name="20% - Accent4 3 2 2 3" xfId="4820"/>
    <cellStyle name="20% - Accent4 3 2 2 3 2" xfId="5495"/>
    <cellStyle name="20% - Accent4 3 2 2 3 2 2" xfId="7814"/>
    <cellStyle name="20% - Accent4 3 2 2 3 3" xfId="6164"/>
    <cellStyle name="20% - Accent4 3 2 2 3 3 2" xfId="8483"/>
    <cellStyle name="20% - Accent4 3 2 2 3 4" xfId="7141"/>
    <cellStyle name="20% - Accent4 3 2 2 4" xfId="5163"/>
    <cellStyle name="20% - Accent4 3 2 2 4 2" xfId="7482"/>
    <cellStyle name="20% - Accent4 3 2 2 5" xfId="5828"/>
    <cellStyle name="20% - Accent4 3 2 2 5 2" xfId="8147"/>
    <cellStyle name="20% - Accent4 3 2 2 6" xfId="6509"/>
    <cellStyle name="20% - Accent4 3 2 3" xfId="1788"/>
    <cellStyle name="20% - Accent4 3 2 3 2" xfId="4616"/>
    <cellStyle name="20% - Accent4 3 2 3 2 2" xfId="4945"/>
    <cellStyle name="20% - Accent4 3 2 3 2 2 2" xfId="5620"/>
    <cellStyle name="20% - Accent4 3 2 3 2 2 2 2" xfId="7939"/>
    <cellStyle name="20% - Accent4 3 2 3 2 2 3" xfId="6290"/>
    <cellStyle name="20% - Accent4 3 2 3 2 2 3 2" xfId="8609"/>
    <cellStyle name="20% - Accent4 3 2 3 2 2 4" xfId="7266"/>
    <cellStyle name="20% - Accent4 3 2 3 2 3" xfId="5288"/>
    <cellStyle name="20% - Accent4 3 2 3 2 3 2" xfId="7607"/>
    <cellStyle name="20% - Accent4 3 2 3 2 4" xfId="5954"/>
    <cellStyle name="20% - Accent4 3 2 3 2 4 2" xfId="8273"/>
    <cellStyle name="20% - Accent4 3 2 3 2 5" xfId="6937"/>
    <cellStyle name="20% - Accent4 3 2 3 3" xfId="4780"/>
    <cellStyle name="20% - Accent4 3 2 3 3 2" xfId="5454"/>
    <cellStyle name="20% - Accent4 3 2 3 3 2 2" xfId="7773"/>
    <cellStyle name="20% - Accent4 3 2 3 3 3" xfId="6122"/>
    <cellStyle name="20% - Accent4 3 2 3 3 3 2" xfId="8441"/>
    <cellStyle name="20% - Accent4 3 2 3 3 4" xfId="7101"/>
    <cellStyle name="20% - Accent4 3 2 3 4" xfId="5122"/>
    <cellStyle name="20% - Accent4 3 2 3 4 2" xfId="7441"/>
    <cellStyle name="20% - Accent4 3 2 3 5" xfId="5786"/>
    <cellStyle name="20% - Accent4 3 2 3 5 2" xfId="8105"/>
    <cellStyle name="20% - Accent4 3 2 3 6" xfId="6510"/>
    <cellStyle name="20% - Accent4 3 2 4" xfId="4544"/>
    <cellStyle name="20% - Accent4 3 2 4 2" xfId="4697"/>
    <cellStyle name="20% - Accent4 3 2 4 2 2" xfId="5026"/>
    <cellStyle name="20% - Accent4 3 2 4 2 2 2" xfId="5702"/>
    <cellStyle name="20% - Accent4 3 2 4 2 2 2 2" xfId="8021"/>
    <cellStyle name="20% - Accent4 3 2 4 2 2 3" xfId="6374"/>
    <cellStyle name="20% - Accent4 3 2 4 2 2 3 2" xfId="8693"/>
    <cellStyle name="20% - Accent4 3 2 4 2 2 4" xfId="7347"/>
    <cellStyle name="20% - Accent4 3 2 4 2 3" xfId="5370"/>
    <cellStyle name="20% - Accent4 3 2 4 2 3 2" xfId="7689"/>
    <cellStyle name="20% - Accent4 3 2 4 2 4" xfId="6038"/>
    <cellStyle name="20% - Accent4 3 2 4 2 4 2" xfId="8357"/>
    <cellStyle name="20% - Accent4 3 2 4 2 5" xfId="7018"/>
    <cellStyle name="20% - Accent4 3 2 4 3" xfId="4861"/>
    <cellStyle name="20% - Accent4 3 2 4 3 2" xfId="5536"/>
    <cellStyle name="20% - Accent4 3 2 4 3 2 2" xfId="7855"/>
    <cellStyle name="20% - Accent4 3 2 4 3 3" xfId="6206"/>
    <cellStyle name="20% - Accent4 3 2 4 3 3 2" xfId="8525"/>
    <cellStyle name="20% - Accent4 3 2 4 3 4" xfId="7182"/>
    <cellStyle name="20% - Accent4 3 2 4 4" xfId="5204"/>
    <cellStyle name="20% - Accent4 3 2 4 4 2" xfId="7523"/>
    <cellStyle name="20% - Accent4 3 2 4 5" xfId="5870"/>
    <cellStyle name="20% - Accent4 3 2 4 5 2" xfId="8189"/>
    <cellStyle name="20% - Accent4 3 2 4 6" xfId="6865"/>
    <cellStyle name="20% - Accent4 3 2 5" xfId="4577"/>
    <cellStyle name="20% - Accent4 3 2 5 2" xfId="4903"/>
    <cellStyle name="20% - Accent4 3 2 5 2 2" xfId="5578"/>
    <cellStyle name="20% - Accent4 3 2 5 2 2 2" xfId="7897"/>
    <cellStyle name="20% - Accent4 3 2 5 2 3" xfId="6248"/>
    <cellStyle name="20% - Accent4 3 2 5 2 3 2" xfId="8567"/>
    <cellStyle name="20% - Accent4 3 2 5 2 4" xfId="7224"/>
    <cellStyle name="20% - Accent4 3 2 5 3" xfId="5246"/>
    <cellStyle name="20% - Accent4 3 2 5 3 2" xfId="7565"/>
    <cellStyle name="20% - Accent4 3 2 5 4" xfId="5912"/>
    <cellStyle name="20% - Accent4 3 2 5 4 2" xfId="8231"/>
    <cellStyle name="20% - Accent4 3 2 5 5" xfId="6898"/>
    <cellStyle name="20% - Accent4 3 2 6" xfId="4738"/>
    <cellStyle name="20% - Accent4 3 2 6 2" xfId="5412"/>
    <cellStyle name="20% - Accent4 3 2 6 2 2" xfId="7731"/>
    <cellStyle name="20% - Accent4 3 2 6 3" xfId="6080"/>
    <cellStyle name="20% - Accent4 3 2 6 3 2" xfId="8399"/>
    <cellStyle name="20% - Accent4 3 2 6 4" xfId="7059"/>
    <cellStyle name="20% - Accent4 3 2 7" xfId="5080"/>
    <cellStyle name="20% - Accent4 3 2 7 2" xfId="7399"/>
    <cellStyle name="20% - Accent4 3 2 8" xfId="5744"/>
    <cellStyle name="20% - Accent4 3 2 8 2" xfId="8063"/>
    <cellStyle name="20% - Accent4 3 2 9" xfId="6508"/>
    <cellStyle name="20% - Accent4 3 3" xfId="1789"/>
    <cellStyle name="20% - Accent4 3 3 2" xfId="4636"/>
    <cellStyle name="20% - Accent4 3 3 2 2" xfId="4965"/>
    <cellStyle name="20% - Accent4 3 3 2 2 2" xfId="5641"/>
    <cellStyle name="20% - Accent4 3 3 2 2 2 2" xfId="7960"/>
    <cellStyle name="20% - Accent4 3 3 2 2 3" xfId="6311"/>
    <cellStyle name="20% - Accent4 3 3 2 2 3 2" xfId="8630"/>
    <cellStyle name="20% - Accent4 3 3 2 2 4" xfId="7286"/>
    <cellStyle name="20% - Accent4 3 3 2 3" xfId="5309"/>
    <cellStyle name="20% - Accent4 3 3 2 3 2" xfId="7628"/>
    <cellStyle name="20% - Accent4 3 3 2 4" xfId="5975"/>
    <cellStyle name="20% - Accent4 3 3 2 4 2" xfId="8294"/>
    <cellStyle name="20% - Accent4 3 3 2 5" xfId="6957"/>
    <cellStyle name="20% - Accent4 3 3 3" xfId="4800"/>
    <cellStyle name="20% - Accent4 3 3 3 2" xfId="5475"/>
    <cellStyle name="20% - Accent4 3 3 3 2 2" xfId="7794"/>
    <cellStyle name="20% - Accent4 3 3 3 3" xfId="6143"/>
    <cellStyle name="20% - Accent4 3 3 3 3 2" xfId="8462"/>
    <cellStyle name="20% - Accent4 3 3 3 4" xfId="7121"/>
    <cellStyle name="20% - Accent4 3 3 4" xfId="5143"/>
    <cellStyle name="20% - Accent4 3 3 4 2" xfId="7462"/>
    <cellStyle name="20% - Accent4 3 3 5" xfId="5807"/>
    <cellStyle name="20% - Accent4 3 3 5 2" xfId="8126"/>
    <cellStyle name="20% - Accent4 3 3 6" xfId="6511"/>
    <cellStyle name="20% - Accent4 3 4" xfId="1790"/>
    <cellStyle name="20% - Accent4 3 4 2" xfId="4596"/>
    <cellStyle name="20% - Accent4 3 4 2 2" xfId="4924"/>
    <cellStyle name="20% - Accent4 3 4 2 2 2" xfId="5599"/>
    <cellStyle name="20% - Accent4 3 4 2 2 2 2" xfId="7918"/>
    <cellStyle name="20% - Accent4 3 4 2 2 3" xfId="6269"/>
    <cellStyle name="20% - Accent4 3 4 2 2 3 2" xfId="8588"/>
    <cellStyle name="20% - Accent4 3 4 2 2 4" xfId="7245"/>
    <cellStyle name="20% - Accent4 3 4 2 3" xfId="5267"/>
    <cellStyle name="20% - Accent4 3 4 2 3 2" xfId="7586"/>
    <cellStyle name="20% - Accent4 3 4 2 4" xfId="5933"/>
    <cellStyle name="20% - Accent4 3 4 2 4 2" xfId="8252"/>
    <cellStyle name="20% - Accent4 3 4 2 5" xfId="6917"/>
    <cellStyle name="20% - Accent4 3 4 3" xfId="4759"/>
    <cellStyle name="20% - Accent4 3 4 3 2" xfId="5433"/>
    <cellStyle name="20% - Accent4 3 4 3 2 2" xfId="7752"/>
    <cellStyle name="20% - Accent4 3 4 3 3" xfId="6101"/>
    <cellStyle name="20% - Accent4 3 4 3 3 2" xfId="8420"/>
    <cellStyle name="20% - Accent4 3 4 3 4" xfId="7080"/>
    <cellStyle name="20% - Accent4 3 4 4" xfId="5101"/>
    <cellStyle name="20% - Accent4 3 4 4 2" xfId="7420"/>
    <cellStyle name="20% - Accent4 3 4 5" xfId="5765"/>
    <cellStyle name="20% - Accent4 3 4 5 2" xfId="8084"/>
    <cellStyle name="20% - Accent4 3 4 6" xfId="6512"/>
    <cellStyle name="20% - Accent4 3 5" xfId="1791"/>
    <cellStyle name="20% - Accent4 3 5 2" xfId="4676"/>
    <cellStyle name="20% - Accent4 3 5 2 2" xfId="5005"/>
    <cellStyle name="20% - Accent4 3 5 2 2 2" xfId="5681"/>
    <cellStyle name="20% - Accent4 3 5 2 2 2 2" xfId="8000"/>
    <cellStyle name="20% - Accent4 3 5 2 2 3" xfId="6353"/>
    <cellStyle name="20% - Accent4 3 5 2 2 3 2" xfId="8672"/>
    <cellStyle name="20% - Accent4 3 5 2 2 4" xfId="7326"/>
    <cellStyle name="20% - Accent4 3 5 2 3" xfId="5349"/>
    <cellStyle name="20% - Accent4 3 5 2 3 2" xfId="7668"/>
    <cellStyle name="20% - Accent4 3 5 2 4" xfId="6017"/>
    <cellStyle name="20% - Accent4 3 5 2 4 2" xfId="8336"/>
    <cellStyle name="20% - Accent4 3 5 2 5" xfId="6997"/>
    <cellStyle name="20% - Accent4 3 5 3" xfId="4840"/>
    <cellStyle name="20% - Accent4 3 5 3 2" xfId="5515"/>
    <cellStyle name="20% - Accent4 3 5 3 2 2" xfId="7834"/>
    <cellStyle name="20% - Accent4 3 5 3 3" xfId="6185"/>
    <cellStyle name="20% - Accent4 3 5 3 3 2" xfId="8504"/>
    <cellStyle name="20% - Accent4 3 5 3 4" xfId="7161"/>
    <cellStyle name="20% - Accent4 3 5 4" xfId="5183"/>
    <cellStyle name="20% - Accent4 3 5 4 2" xfId="7502"/>
    <cellStyle name="20% - Accent4 3 5 5" xfId="5849"/>
    <cellStyle name="20% - Accent4 3 5 5 2" xfId="8168"/>
    <cellStyle name="20% - Accent4 3 5 6" xfId="4530"/>
    <cellStyle name="20% - Accent4 3 5 6 2" xfId="6851"/>
    <cellStyle name="20% - Accent4 3 6" xfId="4407"/>
    <cellStyle name="20% - Accent4 3 6 2" xfId="4882"/>
    <cellStyle name="20% - Accent4 3 6 2 2" xfId="5557"/>
    <cellStyle name="20% - Accent4 3 6 2 2 2" xfId="7876"/>
    <cellStyle name="20% - Accent4 3 6 2 3" xfId="6227"/>
    <cellStyle name="20% - Accent4 3 6 2 3 2" xfId="8546"/>
    <cellStyle name="20% - Accent4 3 6 2 4" xfId="7203"/>
    <cellStyle name="20% - Accent4 3 6 3" xfId="5225"/>
    <cellStyle name="20% - Accent4 3 6 3 2" xfId="7544"/>
    <cellStyle name="20% - Accent4 3 6 4" xfId="5891"/>
    <cellStyle name="20% - Accent4 3 6 4 2" xfId="8210"/>
    <cellStyle name="20% - Accent4 3 6 5" xfId="6507"/>
    <cellStyle name="20% - Accent4 3 7" xfId="4717"/>
    <cellStyle name="20% - Accent4 3 7 2" xfId="5391"/>
    <cellStyle name="20% - Accent4 3 7 2 2" xfId="7710"/>
    <cellStyle name="20% - Accent4 3 7 3" xfId="6059"/>
    <cellStyle name="20% - Accent4 3 7 3 2" xfId="8378"/>
    <cellStyle name="20% - Accent4 3 7 4" xfId="7038"/>
    <cellStyle name="20% - Accent4 3 8" xfId="5059"/>
    <cellStyle name="20% - Accent4 3 8 2" xfId="7378"/>
    <cellStyle name="20% - Accent4 3 9" xfId="5723"/>
    <cellStyle name="20% - Accent4 3 9 2" xfId="8042"/>
    <cellStyle name="20% - Accent4 4" xfId="6483"/>
    <cellStyle name="20% - Accent4 4 2" xfId="8808"/>
    <cellStyle name="20% - Accent4 5" xfId="4392"/>
    <cellStyle name="20% - Accent5" xfId="211" builtinId="46" customBuiltin="1"/>
    <cellStyle name="20% - Accent5 2" xfId="212"/>
    <cellStyle name="20% - Accent5 2 2" xfId="1794"/>
    <cellStyle name="20% - Accent5 3" xfId="1795"/>
    <cellStyle name="20% - Accent5 3 10" xfId="6513"/>
    <cellStyle name="20% - Accent5 3 2" xfId="1796"/>
    <cellStyle name="20% - Accent5 3 2 2" xfId="1797"/>
    <cellStyle name="20% - Accent5 3 2 2 2" xfId="4657"/>
    <cellStyle name="20% - Accent5 3 2 2 2 2" xfId="4986"/>
    <cellStyle name="20% - Accent5 3 2 2 2 2 2" xfId="5662"/>
    <cellStyle name="20% - Accent5 3 2 2 2 2 2 2" xfId="7981"/>
    <cellStyle name="20% - Accent5 3 2 2 2 2 3" xfId="6333"/>
    <cellStyle name="20% - Accent5 3 2 2 2 2 3 2" xfId="8652"/>
    <cellStyle name="20% - Accent5 3 2 2 2 2 4" xfId="7307"/>
    <cellStyle name="20% - Accent5 3 2 2 2 3" xfId="5330"/>
    <cellStyle name="20% - Accent5 3 2 2 2 3 2" xfId="7649"/>
    <cellStyle name="20% - Accent5 3 2 2 2 4" xfId="5997"/>
    <cellStyle name="20% - Accent5 3 2 2 2 4 2" xfId="8316"/>
    <cellStyle name="20% - Accent5 3 2 2 2 5" xfId="6978"/>
    <cellStyle name="20% - Accent5 3 2 2 3" xfId="4821"/>
    <cellStyle name="20% - Accent5 3 2 2 3 2" xfId="5496"/>
    <cellStyle name="20% - Accent5 3 2 2 3 2 2" xfId="7815"/>
    <cellStyle name="20% - Accent5 3 2 2 3 3" xfId="6165"/>
    <cellStyle name="20% - Accent5 3 2 2 3 3 2" xfId="8484"/>
    <cellStyle name="20% - Accent5 3 2 2 3 4" xfId="7142"/>
    <cellStyle name="20% - Accent5 3 2 2 4" xfId="5164"/>
    <cellStyle name="20% - Accent5 3 2 2 4 2" xfId="7483"/>
    <cellStyle name="20% - Accent5 3 2 2 5" xfId="5829"/>
    <cellStyle name="20% - Accent5 3 2 2 5 2" xfId="8148"/>
    <cellStyle name="20% - Accent5 3 2 2 6" xfId="6515"/>
    <cellStyle name="20% - Accent5 3 2 3" xfId="1798"/>
    <cellStyle name="20% - Accent5 3 2 3 2" xfId="4617"/>
    <cellStyle name="20% - Accent5 3 2 3 2 2" xfId="4946"/>
    <cellStyle name="20% - Accent5 3 2 3 2 2 2" xfId="5621"/>
    <cellStyle name="20% - Accent5 3 2 3 2 2 2 2" xfId="7940"/>
    <cellStyle name="20% - Accent5 3 2 3 2 2 3" xfId="6291"/>
    <cellStyle name="20% - Accent5 3 2 3 2 2 3 2" xfId="8610"/>
    <cellStyle name="20% - Accent5 3 2 3 2 2 4" xfId="7267"/>
    <cellStyle name="20% - Accent5 3 2 3 2 3" xfId="5289"/>
    <cellStyle name="20% - Accent5 3 2 3 2 3 2" xfId="7608"/>
    <cellStyle name="20% - Accent5 3 2 3 2 4" xfId="5955"/>
    <cellStyle name="20% - Accent5 3 2 3 2 4 2" xfId="8274"/>
    <cellStyle name="20% - Accent5 3 2 3 2 5" xfId="6938"/>
    <cellStyle name="20% - Accent5 3 2 3 3" xfId="4781"/>
    <cellStyle name="20% - Accent5 3 2 3 3 2" xfId="5455"/>
    <cellStyle name="20% - Accent5 3 2 3 3 2 2" xfId="7774"/>
    <cellStyle name="20% - Accent5 3 2 3 3 3" xfId="6123"/>
    <cellStyle name="20% - Accent5 3 2 3 3 3 2" xfId="8442"/>
    <cellStyle name="20% - Accent5 3 2 3 3 4" xfId="7102"/>
    <cellStyle name="20% - Accent5 3 2 3 4" xfId="5123"/>
    <cellStyle name="20% - Accent5 3 2 3 4 2" xfId="7442"/>
    <cellStyle name="20% - Accent5 3 2 3 5" xfId="5787"/>
    <cellStyle name="20% - Accent5 3 2 3 5 2" xfId="8106"/>
    <cellStyle name="20% - Accent5 3 2 3 6" xfId="6516"/>
    <cellStyle name="20% - Accent5 3 2 4" xfId="4545"/>
    <cellStyle name="20% - Accent5 3 2 4 2" xfId="4698"/>
    <cellStyle name="20% - Accent5 3 2 4 2 2" xfId="5027"/>
    <cellStyle name="20% - Accent5 3 2 4 2 2 2" xfId="5703"/>
    <cellStyle name="20% - Accent5 3 2 4 2 2 2 2" xfId="8022"/>
    <cellStyle name="20% - Accent5 3 2 4 2 2 3" xfId="6375"/>
    <cellStyle name="20% - Accent5 3 2 4 2 2 3 2" xfId="8694"/>
    <cellStyle name="20% - Accent5 3 2 4 2 2 4" xfId="7348"/>
    <cellStyle name="20% - Accent5 3 2 4 2 3" xfId="5371"/>
    <cellStyle name="20% - Accent5 3 2 4 2 3 2" xfId="7690"/>
    <cellStyle name="20% - Accent5 3 2 4 2 4" xfId="6039"/>
    <cellStyle name="20% - Accent5 3 2 4 2 4 2" xfId="8358"/>
    <cellStyle name="20% - Accent5 3 2 4 2 5" xfId="7019"/>
    <cellStyle name="20% - Accent5 3 2 4 3" xfId="4862"/>
    <cellStyle name="20% - Accent5 3 2 4 3 2" xfId="5537"/>
    <cellStyle name="20% - Accent5 3 2 4 3 2 2" xfId="7856"/>
    <cellStyle name="20% - Accent5 3 2 4 3 3" xfId="6207"/>
    <cellStyle name="20% - Accent5 3 2 4 3 3 2" xfId="8526"/>
    <cellStyle name="20% - Accent5 3 2 4 3 4" xfId="7183"/>
    <cellStyle name="20% - Accent5 3 2 4 4" xfId="5205"/>
    <cellStyle name="20% - Accent5 3 2 4 4 2" xfId="7524"/>
    <cellStyle name="20% - Accent5 3 2 4 5" xfId="5871"/>
    <cellStyle name="20% - Accent5 3 2 4 5 2" xfId="8190"/>
    <cellStyle name="20% - Accent5 3 2 4 6" xfId="6866"/>
    <cellStyle name="20% - Accent5 3 2 5" xfId="4578"/>
    <cellStyle name="20% - Accent5 3 2 5 2" xfId="4904"/>
    <cellStyle name="20% - Accent5 3 2 5 2 2" xfId="5579"/>
    <cellStyle name="20% - Accent5 3 2 5 2 2 2" xfId="7898"/>
    <cellStyle name="20% - Accent5 3 2 5 2 3" xfId="6249"/>
    <cellStyle name="20% - Accent5 3 2 5 2 3 2" xfId="8568"/>
    <cellStyle name="20% - Accent5 3 2 5 2 4" xfId="7225"/>
    <cellStyle name="20% - Accent5 3 2 5 3" xfId="5247"/>
    <cellStyle name="20% - Accent5 3 2 5 3 2" xfId="7566"/>
    <cellStyle name="20% - Accent5 3 2 5 4" xfId="5913"/>
    <cellStyle name="20% - Accent5 3 2 5 4 2" xfId="8232"/>
    <cellStyle name="20% - Accent5 3 2 5 5" xfId="6899"/>
    <cellStyle name="20% - Accent5 3 2 6" xfId="4739"/>
    <cellStyle name="20% - Accent5 3 2 6 2" xfId="5413"/>
    <cellStyle name="20% - Accent5 3 2 6 2 2" xfId="7732"/>
    <cellStyle name="20% - Accent5 3 2 6 3" xfId="6081"/>
    <cellStyle name="20% - Accent5 3 2 6 3 2" xfId="8400"/>
    <cellStyle name="20% - Accent5 3 2 6 4" xfId="7060"/>
    <cellStyle name="20% - Accent5 3 2 7" xfId="5081"/>
    <cellStyle name="20% - Accent5 3 2 7 2" xfId="7400"/>
    <cellStyle name="20% - Accent5 3 2 8" xfId="5745"/>
    <cellStyle name="20% - Accent5 3 2 8 2" xfId="8064"/>
    <cellStyle name="20% - Accent5 3 2 9" xfId="6514"/>
    <cellStyle name="20% - Accent5 3 3" xfId="1799"/>
    <cellStyle name="20% - Accent5 3 3 2" xfId="4637"/>
    <cellStyle name="20% - Accent5 3 3 2 2" xfId="4966"/>
    <cellStyle name="20% - Accent5 3 3 2 2 2" xfId="5642"/>
    <cellStyle name="20% - Accent5 3 3 2 2 2 2" xfId="7961"/>
    <cellStyle name="20% - Accent5 3 3 2 2 3" xfId="6312"/>
    <cellStyle name="20% - Accent5 3 3 2 2 3 2" xfId="8631"/>
    <cellStyle name="20% - Accent5 3 3 2 2 4" xfId="7287"/>
    <cellStyle name="20% - Accent5 3 3 2 3" xfId="5310"/>
    <cellStyle name="20% - Accent5 3 3 2 3 2" xfId="7629"/>
    <cellStyle name="20% - Accent5 3 3 2 4" xfId="5976"/>
    <cellStyle name="20% - Accent5 3 3 2 4 2" xfId="8295"/>
    <cellStyle name="20% - Accent5 3 3 2 5" xfId="6958"/>
    <cellStyle name="20% - Accent5 3 3 3" xfId="4801"/>
    <cellStyle name="20% - Accent5 3 3 3 2" xfId="5476"/>
    <cellStyle name="20% - Accent5 3 3 3 2 2" xfId="7795"/>
    <cellStyle name="20% - Accent5 3 3 3 3" xfId="6144"/>
    <cellStyle name="20% - Accent5 3 3 3 3 2" xfId="8463"/>
    <cellStyle name="20% - Accent5 3 3 3 4" xfId="7122"/>
    <cellStyle name="20% - Accent5 3 3 4" xfId="5144"/>
    <cellStyle name="20% - Accent5 3 3 4 2" xfId="7463"/>
    <cellStyle name="20% - Accent5 3 3 5" xfId="5808"/>
    <cellStyle name="20% - Accent5 3 3 5 2" xfId="8127"/>
    <cellStyle name="20% - Accent5 3 3 6" xfId="6517"/>
    <cellStyle name="20% - Accent5 3 4" xfId="1800"/>
    <cellStyle name="20% - Accent5 3 4 2" xfId="4597"/>
    <cellStyle name="20% - Accent5 3 4 2 2" xfId="4925"/>
    <cellStyle name="20% - Accent5 3 4 2 2 2" xfId="5600"/>
    <cellStyle name="20% - Accent5 3 4 2 2 2 2" xfId="7919"/>
    <cellStyle name="20% - Accent5 3 4 2 2 3" xfId="6270"/>
    <cellStyle name="20% - Accent5 3 4 2 2 3 2" xfId="8589"/>
    <cellStyle name="20% - Accent5 3 4 2 2 4" xfId="7246"/>
    <cellStyle name="20% - Accent5 3 4 2 3" xfId="5268"/>
    <cellStyle name="20% - Accent5 3 4 2 3 2" xfId="7587"/>
    <cellStyle name="20% - Accent5 3 4 2 4" xfId="5934"/>
    <cellStyle name="20% - Accent5 3 4 2 4 2" xfId="8253"/>
    <cellStyle name="20% - Accent5 3 4 2 5" xfId="6918"/>
    <cellStyle name="20% - Accent5 3 4 3" xfId="4760"/>
    <cellStyle name="20% - Accent5 3 4 3 2" xfId="5434"/>
    <cellStyle name="20% - Accent5 3 4 3 2 2" xfId="7753"/>
    <cellStyle name="20% - Accent5 3 4 3 3" xfId="6102"/>
    <cellStyle name="20% - Accent5 3 4 3 3 2" xfId="8421"/>
    <cellStyle name="20% - Accent5 3 4 3 4" xfId="7081"/>
    <cellStyle name="20% - Accent5 3 4 4" xfId="5102"/>
    <cellStyle name="20% - Accent5 3 4 4 2" xfId="7421"/>
    <cellStyle name="20% - Accent5 3 4 5" xfId="5766"/>
    <cellStyle name="20% - Accent5 3 4 5 2" xfId="8085"/>
    <cellStyle name="20% - Accent5 3 4 6" xfId="6518"/>
    <cellStyle name="20% - Accent5 3 5" xfId="1801"/>
    <cellStyle name="20% - Accent5 3 5 2" xfId="4677"/>
    <cellStyle name="20% - Accent5 3 5 2 2" xfId="5006"/>
    <cellStyle name="20% - Accent5 3 5 2 2 2" xfId="5682"/>
    <cellStyle name="20% - Accent5 3 5 2 2 2 2" xfId="8001"/>
    <cellStyle name="20% - Accent5 3 5 2 2 3" xfId="6354"/>
    <cellStyle name="20% - Accent5 3 5 2 2 3 2" xfId="8673"/>
    <cellStyle name="20% - Accent5 3 5 2 2 4" xfId="7327"/>
    <cellStyle name="20% - Accent5 3 5 2 3" xfId="5350"/>
    <cellStyle name="20% - Accent5 3 5 2 3 2" xfId="7669"/>
    <cellStyle name="20% - Accent5 3 5 2 4" xfId="6018"/>
    <cellStyle name="20% - Accent5 3 5 2 4 2" xfId="8337"/>
    <cellStyle name="20% - Accent5 3 5 2 5" xfId="6998"/>
    <cellStyle name="20% - Accent5 3 5 3" xfId="4841"/>
    <cellStyle name="20% - Accent5 3 5 3 2" xfId="5516"/>
    <cellStyle name="20% - Accent5 3 5 3 2 2" xfId="7835"/>
    <cellStyle name="20% - Accent5 3 5 3 3" xfId="6186"/>
    <cellStyle name="20% - Accent5 3 5 3 3 2" xfId="8505"/>
    <cellStyle name="20% - Accent5 3 5 3 4" xfId="7162"/>
    <cellStyle name="20% - Accent5 3 5 4" xfId="5184"/>
    <cellStyle name="20% - Accent5 3 5 4 2" xfId="7503"/>
    <cellStyle name="20% - Accent5 3 5 5" xfId="5850"/>
    <cellStyle name="20% - Accent5 3 5 5 2" xfId="8169"/>
    <cellStyle name="20% - Accent5 3 5 6" xfId="4531"/>
    <cellStyle name="20% - Accent5 3 5 6 2" xfId="6852"/>
    <cellStyle name="20% - Accent5 3 6" xfId="4562"/>
    <cellStyle name="20% - Accent5 3 6 2" xfId="4883"/>
    <cellStyle name="20% - Accent5 3 6 2 2" xfId="5558"/>
    <cellStyle name="20% - Accent5 3 6 2 2 2" xfId="7877"/>
    <cellStyle name="20% - Accent5 3 6 2 3" xfId="6228"/>
    <cellStyle name="20% - Accent5 3 6 2 3 2" xfId="8547"/>
    <cellStyle name="20% - Accent5 3 6 2 4" xfId="7204"/>
    <cellStyle name="20% - Accent5 3 6 3" xfId="5226"/>
    <cellStyle name="20% - Accent5 3 6 3 2" xfId="7545"/>
    <cellStyle name="20% - Accent5 3 6 4" xfId="5892"/>
    <cellStyle name="20% - Accent5 3 6 4 2" xfId="8211"/>
    <cellStyle name="20% - Accent5 3 6 5" xfId="6883"/>
    <cellStyle name="20% - Accent5 3 7" xfId="4718"/>
    <cellStyle name="20% - Accent5 3 7 2" xfId="5392"/>
    <cellStyle name="20% - Accent5 3 7 2 2" xfId="7711"/>
    <cellStyle name="20% - Accent5 3 7 3" xfId="6060"/>
    <cellStyle name="20% - Accent5 3 7 3 2" xfId="8379"/>
    <cellStyle name="20% - Accent5 3 7 4" xfId="7039"/>
    <cellStyle name="20% - Accent5 3 8" xfId="5060"/>
    <cellStyle name="20% - Accent5 3 8 2" xfId="7379"/>
    <cellStyle name="20% - Accent5 3 9" xfId="5724"/>
    <cellStyle name="20% - Accent5 3 9 2" xfId="8043"/>
    <cellStyle name="20% - Accent5 4" xfId="6485"/>
    <cellStyle name="20% - Accent5 4 2" xfId="8810"/>
    <cellStyle name="20% - Accent5 5" xfId="4396"/>
    <cellStyle name="20% - Accent6" xfId="213" builtinId="50" customBuiltin="1"/>
    <cellStyle name="20% - Accent6 10" xfId="5061"/>
    <cellStyle name="20% - Accent6 10 2" xfId="7380"/>
    <cellStyle name="20% - Accent6 11" xfId="5725"/>
    <cellStyle name="20% - Accent6 11 2" xfId="8044"/>
    <cellStyle name="20% - Accent6 12" xfId="6487"/>
    <cellStyle name="20% - Accent6 12 2" xfId="8812"/>
    <cellStyle name="20% - Accent6 13" xfId="8780"/>
    <cellStyle name="20% - Accent6 2" xfId="214"/>
    <cellStyle name="20% - Accent6 2 2" xfId="215"/>
    <cellStyle name="20% - Accent6 2 3" xfId="4099"/>
    <cellStyle name="20% - Accent6 3" xfId="1804"/>
    <cellStyle name="20% - Accent6 3 2" xfId="1805"/>
    <cellStyle name="20% - Accent6 3 2 2" xfId="4658"/>
    <cellStyle name="20% - Accent6 3 2 2 2" xfId="4987"/>
    <cellStyle name="20% - Accent6 3 2 2 2 2" xfId="5663"/>
    <cellStyle name="20% - Accent6 3 2 2 2 2 2" xfId="7982"/>
    <cellStyle name="20% - Accent6 3 2 2 2 3" xfId="6334"/>
    <cellStyle name="20% - Accent6 3 2 2 2 3 2" xfId="8653"/>
    <cellStyle name="20% - Accent6 3 2 2 2 4" xfId="7308"/>
    <cellStyle name="20% - Accent6 3 2 2 3" xfId="5331"/>
    <cellStyle name="20% - Accent6 3 2 2 3 2" xfId="7650"/>
    <cellStyle name="20% - Accent6 3 2 2 4" xfId="5998"/>
    <cellStyle name="20% - Accent6 3 2 2 4 2" xfId="8317"/>
    <cellStyle name="20% - Accent6 3 2 2 5" xfId="6979"/>
    <cellStyle name="20% - Accent6 3 2 3" xfId="4822"/>
    <cellStyle name="20% - Accent6 3 2 3 2" xfId="5497"/>
    <cellStyle name="20% - Accent6 3 2 3 2 2" xfId="7816"/>
    <cellStyle name="20% - Accent6 3 2 3 3" xfId="6166"/>
    <cellStyle name="20% - Accent6 3 2 3 3 2" xfId="8485"/>
    <cellStyle name="20% - Accent6 3 2 3 4" xfId="7143"/>
    <cellStyle name="20% - Accent6 3 2 4" xfId="5165"/>
    <cellStyle name="20% - Accent6 3 2 4 2" xfId="7484"/>
    <cellStyle name="20% - Accent6 3 2 5" xfId="5830"/>
    <cellStyle name="20% - Accent6 3 2 5 2" xfId="8149"/>
    <cellStyle name="20% - Accent6 3 2 6" xfId="6520"/>
    <cellStyle name="20% - Accent6 3 3" xfId="1806"/>
    <cellStyle name="20% - Accent6 3 3 2" xfId="4618"/>
    <cellStyle name="20% - Accent6 3 3 2 2" xfId="4947"/>
    <cellStyle name="20% - Accent6 3 3 2 2 2" xfId="5622"/>
    <cellStyle name="20% - Accent6 3 3 2 2 2 2" xfId="7941"/>
    <cellStyle name="20% - Accent6 3 3 2 2 3" xfId="6292"/>
    <cellStyle name="20% - Accent6 3 3 2 2 3 2" xfId="8611"/>
    <cellStyle name="20% - Accent6 3 3 2 2 4" xfId="7268"/>
    <cellStyle name="20% - Accent6 3 3 2 3" xfId="5290"/>
    <cellStyle name="20% - Accent6 3 3 2 3 2" xfId="7609"/>
    <cellStyle name="20% - Accent6 3 3 2 4" xfId="5956"/>
    <cellStyle name="20% - Accent6 3 3 2 4 2" xfId="8275"/>
    <cellStyle name="20% - Accent6 3 3 2 5" xfId="6939"/>
    <cellStyle name="20% - Accent6 3 3 3" xfId="4782"/>
    <cellStyle name="20% - Accent6 3 3 3 2" xfId="5456"/>
    <cellStyle name="20% - Accent6 3 3 3 2 2" xfId="7775"/>
    <cellStyle name="20% - Accent6 3 3 3 3" xfId="6124"/>
    <cellStyle name="20% - Accent6 3 3 3 3 2" xfId="8443"/>
    <cellStyle name="20% - Accent6 3 3 3 4" xfId="7103"/>
    <cellStyle name="20% - Accent6 3 3 4" xfId="5124"/>
    <cellStyle name="20% - Accent6 3 3 4 2" xfId="7443"/>
    <cellStyle name="20% - Accent6 3 3 5" xfId="5788"/>
    <cellStyle name="20% - Accent6 3 3 5 2" xfId="8107"/>
    <cellStyle name="20% - Accent6 3 3 6" xfId="6521"/>
    <cellStyle name="20% - Accent6 3 4" xfId="1807"/>
    <cellStyle name="20% - Accent6 3 4 2" xfId="4699"/>
    <cellStyle name="20% - Accent6 3 4 2 2" xfId="5028"/>
    <cellStyle name="20% - Accent6 3 4 2 2 2" xfId="5704"/>
    <cellStyle name="20% - Accent6 3 4 2 2 2 2" xfId="8023"/>
    <cellStyle name="20% - Accent6 3 4 2 2 3" xfId="6376"/>
    <cellStyle name="20% - Accent6 3 4 2 2 3 2" xfId="8695"/>
    <cellStyle name="20% - Accent6 3 4 2 2 4" xfId="7349"/>
    <cellStyle name="20% - Accent6 3 4 2 3" xfId="5372"/>
    <cellStyle name="20% - Accent6 3 4 2 3 2" xfId="7691"/>
    <cellStyle name="20% - Accent6 3 4 2 4" xfId="6040"/>
    <cellStyle name="20% - Accent6 3 4 2 4 2" xfId="8359"/>
    <cellStyle name="20% - Accent6 3 4 2 5" xfId="7020"/>
    <cellStyle name="20% - Accent6 3 4 3" xfId="4863"/>
    <cellStyle name="20% - Accent6 3 4 3 2" xfId="5538"/>
    <cellStyle name="20% - Accent6 3 4 3 2 2" xfId="7857"/>
    <cellStyle name="20% - Accent6 3 4 3 3" xfId="6208"/>
    <cellStyle name="20% - Accent6 3 4 3 3 2" xfId="8527"/>
    <cellStyle name="20% - Accent6 3 4 3 4" xfId="7184"/>
    <cellStyle name="20% - Accent6 3 4 4" xfId="5206"/>
    <cellStyle name="20% - Accent6 3 4 4 2" xfId="7525"/>
    <cellStyle name="20% - Accent6 3 4 5" xfId="5872"/>
    <cellStyle name="20% - Accent6 3 4 5 2" xfId="8191"/>
    <cellStyle name="20% - Accent6 3 4 6" xfId="4546"/>
    <cellStyle name="20% - Accent6 3 4 6 2" xfId="6867"/>
    <cellStyle name="20% - Accent6 3 5" xfId="4408"/>
    <cellStyle name="20% - Accent6 3 5 2" xfId="4905"/>
    <cellStyle name="20% - Accent6 3 5 2 2" xfId="5580"/>
    <cellStyle name="20% - Accent6 3 5 2 2 2" xfId="7899"/>
    <cellStyle name="20% - Accent6 3 5 2 3" xfId="6250"/>
    <cellStyle name="20% - Accent6 3 5 2 3 2" xfId="8569"/>
    <cellStyle name="20% - Accent6 3 5 2 4" xfId="7226"/>
    <cellStyle name="20% - Accent6 3 5 3" xfId="5248"/>
    <cellStyle name="20% - Accent6 3 5 3 2" xfId="7567"/>
    <cellStyle name="20% - Accent6 3 5 4" xfId="5914"/>
    <cellStyle name="20% - Accent6 3 5 4 2" xfId="8233"/>
    <cellStyle name="20% - Accent6 3 5 5" xfId="6519"/>
    <cellStyle name="20% - Accent6 3 6" xfId="4740"/>
    <cellStyle name="20% - Accent6 3 6 2" xfId="5414"/>
    <cellStyle name="20% - Accent6 3 6 2 2" xfId="7733"/>
    <cellStyle name="20% - Accent6 3 6 3" xfId="6082"/>
    <cellStyle name="20% - Accent6 3 6 3 2" xfId="8401"/>
    <cellStyle name="20% - Accent6 3 6 4" xfId="7061"/>
    <cellStyle name="20% - Accent6 3 7" xfId="5082"/>
    <cellStyle name="20% - Accent6 3 7 2" xfId="7401"/>
    <cellStyle name="20% - Accent6 3 8" xfId="5746"/>
    <cellStyle name="20% - Accent6 3 8 2" xfId="8065"/>
    <cellStyle name="20% - Accent6 3 9" xfId="4246"/>
    <cellStyle name="20% - Accent6 3 9 2" xfId="8793"/>
    <cellStyle name="20% - Accent6 4" xfId="1808"/>
    <cellStyle name="20% - Accent6 4 2" xfId="4638"/>
    <cellStyle name="20% - Accent6 4 2 2" xfId="4967"/>
    <cellStyle name="20% - Accent6 4 2 2 2" xfId="5643"/>
    <cellStyle name="20% - Accent6 4 2 2 2 2" xfId="7962"/>
    <cellStyle name="20% - Accent6 4 2 2 3" xfId="6313"/>
    <cellStyle name="20% - Accent6 4 2 2 3 2" xfId="8632"/>
    <cellStyle name="20% - Accent6 4 2 2 4" xfId="7288"/>
    <cellStyle name="20% - Accent6 4 2 3" xfId="5311"/>
    <cellStyle name="20% - Accent6 4 2 3 2" xfId="7630"/>
    <cellStyle name="20% - Accent6 4 2 4" xfId="5977"/>
    <cellStyle name="20% - Accent6 4 2 4 2" xfId="8296"/>
    <cellStyle name="20% - Accent6 4 2 5" xfId="6959"/>
    <cellStyle name="20% - Accent6 4 3" xfId="4802"/>
    <cellStyle name="20% - Accent6 4 3 2" xfId="5477"/>
    <cellStyle name="20% - Accent6 4 3 2 2" xfId="7796"/>
    <cellStyle name="20% - Accent6 4 3 3" xfId="6145"/>
    <cellStyle name="20% - Accent6 4 3 3 2" xfId="8464"/>
    <cellStyle name="20% - Accent6 4 3 4" xfId="7123"/>
    <cellStyle name="20% - Accent6 4 4" xfId="5145"/>
    <cellStyle name="20% - Accent6 4 4 2" xfId="7464"/>
    <cellStyle name="20% - Accent6 4 5" xfId="5809"/>
    <cellStyle name="20% - Accent6 4 5 2" xfId="8128"/>
    <cellStyle name="20% - Accent6 4 6" xfId="6522"/>
    <cellStyle name="20% - Accent6 5" xfId="1809"/>
    <cellStyle name="20% - Accent6 5 2" xfId="4598"/>
    <cellStyle name="20% - Accent6 5 2 2" xfId="4926"/>
    <cellStyle name="20% - Accent6 5 2 2 2" xfId="5601"/>
    <cellStyle name="20% - Accent6 5 2 2 2 2" xfId="7920"/>
    <cellStyle name="20% - Accent6 5 2 2 3" xfId="6271"/>
    <cellStyle name="20% - Accent6 5 2 2 3 2" xfId="8590"/>
    <cellStyle name="20% - Accent6 5 2 2 4" xfId="7247"/>
    <cellStyle name="20% - Accent6 5 2 3" xfId="5269"/>
    <cellStyle name="20% - Accent6 5 2 3 2" xfId="7588"/>
    <cellStyle name="20% - Accent6 5 2 4" xfId="5935"/>
    <cellStyle name="20% - Accent6 5 2 4 2" xfId="8254"/>
    <cellStyle name="20% - Accent6 5 2 5" xfId="6919"/>
    <cellStyle name="20% - Accent6 5 3" xfId="4761"/>
    <cellStyle name="20% - Accent6 5 3 2" xfId="5435"/>
    <cellStyle name="20% - Accent6 5 3 2 2" xfId="7754"/>
    <cellStyle name="20% - Accent6 5 3 3" xfId="6103"/>
    <cellStyle name="20% - Accent6 5 3 3 2" xfId="8422"/>
    <cellStyle name="20% - Accent6 5 3 4" xfId="7082"/>
    <cellStyle name="20% - Accent6 5 4" xfId="5103"/>
    <cellStyle name="20% - Accent6 5 4 2" xfId="7422"/>
    <cellStyle name="20% - Accent6 5 5" xfId="5767"/>
    <cellStyle name="20% - Accent6 5 5 2" xfId="8086"/>
    <cellStyle name="20% - Accent6 5 6" xfId="6523"/>
    <cellStyle name="20% - Accent6 6" xfId="1810"/>
    <cellStyle name="20% - Accent6 6 2" xfId="4678"/>
    <cellStyle name="20% - Accent6 6 2 2" xfId="5007"/>
    <cellStyle name="20% - Accent6 6 2 2 2" xfId="5683"/>
    <cellStyle name="20% - Accent6 6 2 2 2 2" xfId="8002"/>
    <cellStyle name="20% - Accent6 6 2 2 3" xfId="6355"/>
    <cellStyle name="20% - Accent6 6 2 2 3 2" xfId="8674"/>
    <cellStyle name="20% - Accent6 6 2 2 4" xfId="7328"/>
    <cellStyle name="20% - Accent6 6 2 3" xfId="5351"/>
    <cellStyle name="20% - Accent6 6 2 3 2" xfId="7670"/>
    <cellStyle name="20% - Accent6 6 2 4" xfId="6019"/>
    <cellStyle name="20% - Accent6 6 2 4 2" xfId="8338"/>
    <cellStyle name="20% - Accent6 6 2 5" xfId="6999"/>
    <cellStyle name="20% - Accent6 6 3" xfId="4842"/>
    <cellStyle name="20% - Accent6 6 3 2" xfId="5517"/>
    <cellStyle name="20% - Accent6 6 3 2 2" xfId="7836"/>
    <cellStyle name="20% - Accent6 6 3 3" xfId="6187"/>
    <cellStyle name="20% - Accent6 6 3 3 2" xfId="8506"/>
    <cellStyle name="20% - Accent6 6 3 4" xfId="7163"/>
    <cellStyle name="20% - Accent6 6 4" xfId="5185"/>
    <cellStyle name="20% - Accent6 6 4 2" xfId="7504"/>
    <cellStyle name="20% - Accent6 6 5" xfId="5851"/>
    <cellStyle name="20% - Accent6 6 5 2" xfId="8170"/>
    <cellStyle name="20% - Accent6 6 6" xfId="6524"/>
    <cellStyle name="20% - Accent6 7" xfId="4563"/>
    <cellStyle name="20% - Accent6 7 2" xfId="4884"/>
    <cellStyle name="20% - Accent6 7 2 2" xfId="5559"/>
    <cellStyle name="20% - Accent6 7 2 2 2" xfId="7878"/>
    <cellStyle name="20% - Accent6 7 2 3" xfId="6229"/>
    <cellStyle name="20% - Accent6 7 2 3 2" xfId="8548"/>
    <cellStyle name="20% - Accent6 7 2 4" xfId="7205"/>
    <cellStyle name="20% - Accent6 7 3" xfId="5227"/>
    <cellStyle name="20% - Accent6 7 3 2" xfId="7546"/>
    <cellStyle name="20% - Accent6 7 4" xfId="5893"/>
    <cellStyle name="20% - Accent6 7 4 2" xfId="8212"/>
    <cellStyle name="20% - Accent6 7 5" xfId="6884"/>
    <cellStyle name="20% - Accent6 8" xfId="4719"/>
    <cellStyle name="20% - Accent6 8 2" xfId="5393"/>
    <cellStyle name="20% - Accent6 8 2 2" xfId="7712"/>
    <cellStyle name="20% - Accent6 8 3" xfId="6061"/>
    <cellStyle name="20% - Accent6 8 3 2" xfId="8380"/>
    <cellStyle name="20% - Accent6 8 4" xfId="7040"/>
    <cellStyle name="20% - Accent6 9" xfId="5049"/>
    <cellStyle name="20% - Accent6 9 2" xfId="7369"/>
    <cellStyle name="³f¹ô [0]_2311" xfId="3975"/>
    <cellStyle name="³f¹ô_2311" xfId="3976"/>
    <cellStyle name="40% - Accent1" xfId="216" builtinId="31" customBuiltin="1"/>
    <cellStyle name="40% - Accent1 2" xfId="217"/>
    <cellStyle name="40% - Accent1 2 2" xfId="218"/>
    <cellStyle name="40% - Accent1 2 3" xfId="4100"/>
    <cellStyle name="40% - Accent1 3" xfId="1813"/>
    <cellStyle name="40% - Accent1 3 10" xfId="4247"/>
    <cellStyle name="40% - Accent1 3 10 2" xfId="8781"/>
    <cellStyle name="40% - Accent1 3 2" xfId="1814"/>
    <cellStyle name="40% - Accent1 3 2 2" xfId="1815"/>
    <cellStyle name="40% - Accent1 3 2 2 2" xfId="4659"/>
    <cellStyle name="40% - Accent1 3 2 2 2 2" xfId="4988"/>
    <cellStyle name="40% - Accent1 3 2 2 2 2 2" xfId="5664"/>
    <cellStyle name="40% - Accent1 3 2 2 2 2 2 2" xfId="7983"/>
    <cellStyle name="40% - Accent1 3 2 2 2 2 3" xfId="6335"/>
    <cellStyle name="40% - Accent1 3 2 2 2 2 3 2" xfId="8654"/>
    <cellStyle name="40% - Accent1 3 2 2 2 2 4" xfId="7309"/>
    <cellStyle name="40% - Accent1 3 2 2 2 3" xfId="5332"/>
    <cellStyle name="40% - Accent1 3 2 2 2 3 2" xfId="7651"/>
    <cellStyle name="40% - Accent1 3 2 2 2 4" xfId="5999"/>
    <cellStyle name="40% - Accent1 3 2 2 2 4 2" xfId="8318"/>
    <cellStyle name="40% - Accent1 3 2 2 2 5" xfId="6980"/>
    <cellStyle name="40% - Accent1 3 2 2 3" xfId="4823"/>
    <cellStyle name="40% - Accent1 3 2 2 3 2" xfId="5498"/>
    <cellStyle name="40% - Accent1 3 2 2 3 2 2" xfId="7817"/>
    <cellStyle name="40% - Accent1 3 2 2 3 3" xfId="6167"/>
    <cellStyle name="40% - Accent1 3 2 2 3 3 2" xfId="8486"/>
    <cellStyle name="40% - Accent1 3 2 2 3 4" xfId="7144"/>
    <cellStyle name="40% - Accent1 3 2 2 4" xfId="5166"/>
    <cellStyle name="40% - Accent1 3 2 2 4 2" xfId="7485"/>
    <cellStyle name="40% - Accent1 3 2 2 5" xfId="5831"/>
    <cellStyle name="40% - Accent1 3 2 2 5 2" xfId="8150"/>
    <cellStyle name="40% - Accent1 3 2 2 6" xfId="6527"/>
    <cellStyle name="40% - Accent1 3 2 3" xfId="1816"/>
    <cellStyle name="40% - Accent1 3 2 3 2" xfId="4619"/>
    <cellStyle name="40% - Accent1 3 2 3 2 2" xfId="4948"/>
    <cellStyle name="40% - Accent1 3 2 3 2 2 2" xfId="5623"/>
    <cellStyle name="40% - Accent1 3 2 3 2 2 2 2" xfId="7942"/>
    <cellStyle name="40% - Accent1 3 2 3 2 2 3" xfId="6293"/>
    <cellStyle name="40% - Accent1 3 2 3 2 2 3 2" xfId="8612"/>
    <cellStyle name="40% - Accent1 3 2 3 2 2 4" xfId="7269"/>
    <cellStyle name="40% - Accent1 3 2 3 2 3" xfId="5291"/>
    <cellStyle name="40% - Accent1 3 2 3 2 3 2" xfId="7610"/>
    <cellStyle name="40% - Accent1 3 2 3 2 4" xfId="5957"/>
    <cellStyle name="40% - Accent1 3 2 3 2 4 2" xfId="8276"/>
    <cellStyle name="40% - Accent1 3 2 3 2 5" xfId="6940"/>
    <cellStyle name="40% - Accent1 3 2 3 3" xfId="4783"/>
    <cellStyle name="40% - Accent1 3 2 3 3 2" xfId="5457"/>
    <cellStyle name="40% - Accent1 3 2 3 3 2 2" xfId="7776"/>
    <cellStyle name="40% - Accent1 3 2 3 3 3" xfId="6125"/>
    <cellStyle name="40% - Accent1 3 2 3 3 3 2" xfId="8444"/>
    <cellStyle name="40% - Accent1 3 2 3 3 4" xfId="7104"/>
    <cellStyle name="40% - Accent1 3 2 3 4" xfId="5125"/>
    <cellStyle name="40% - Accent1 3 2 3 4 2" xfId="7444"/>
    <cellStyle name="40% - Accent1 3 2 3 5" xfId="5789"/>
    <cellStyle name="40% - Accent1 3 2 3 5 2" xfId="8108"/>
    <cellStyle name="40% - Accent1 3 2 3 6" xfId="6528"/>
    <cellStyle name="40% - Accent1 3 2 4" xfId="4547"/>
    <cellStyle name="40% - Accent1 3 2 4 2" xfId="4700"/>
    <cellStyle name="40% - Accent1 3 2 4 2 2" xfId="5029"/>
    <cellStyle name="40% - Accent1 3 2 4 2 2 2" xfId="5705"/>
    <cellStyle name="40% - Accent1 3 2 4 2 2 2 2" xfId="8024"/>
    <cellStyle name="40% - Accent1 3 2 4 2 2 3" xfId="6377"/>
    <cellStyle name="40% - Accent1 3 2 4 2 2 3 2" xfId="8696"/>
    <cellStyle name="40% - Accent1 3 2 4 2 2 4" xfId="7350"/>
    <cellStyle name="40% - Accent1 3 2 4 2 3" xfId="5373"/>
    <cellStyle name="40% - Accent1 3 2 4 2 3 2" xfId="7692"/>
    <cellStyle name="40% - Accent1 3 2 4 2 4" xfId="6041"/>
    <cellStyle name="40% - Accent1 3 2 4 2 4 2" xfId="8360"/>
    <cellStyle name="40% - Accent1 3 2 4 2 5" xfId="7021"/>
    <cellStyle name="40% - Accent1 3 2 4 3" xfId="4864"/>
    <cellStyle name="40% - Accent1 3 2 4 3 2" xfId="5539"/>
    <cellStyle name="40% - Accent1 3 2 4 3 2 2" xfId="7858"/>
    <cellStyle name="40% - Accent1 3 2 4 3 3" xfId="6209"/>
    <cellStyle name="40% - Accent1 3 2 4 3 3 2" xfId="8528"/>
    <cellStyle name="40% - Accent1 3 2 4 3 4" xfId="7185"/>
    <cellStyle name="40% - Accent1 3 2 4 4" xfId="5207"/>
    <cellStyle name="40% - Accent1 3 2 4 4 2" xfId="7526"/>
    <cellStyle name="40% - Accent1 3 2 4 5" xfId="5873"/>
    <cellStyle name="40% - Accent1 3 2 4 5 2" xfId="8192"/>
    <cellStyle name="40% - Accent1 3 2 4 6" xfId="6868"/>
    <cellStyle name="40% - Accent1 3 2 5" xfId="4579"/>
    <cellStyle name="40% - Accent1 3 2 5 2" xfId="4906"/>
    <cellStyle name="40% - Accent1 3 2 5 2 2" xfId="5581"/>
    <cellStyle name="40% - Accent1 3 2 5 2 2 2" xfId="7900"/>
    <cellStyle name="40% - Accent1 3 2 5 2 3" xfId="6251"/>
    <cellStyle name="40% - Accent1 3 2 5 2 3 2" xfId="8570"/>
    <cellStyle name="40% - Accent1 3 2 5 2 4" xfId="7227"/>
    <cellStyle name="40% - Accent1 3 2 5 3" xfId="5249"/>
    <cellStyle name="40% - Accent1 3 2 5 3 2" xfId="7568"/>
    <cellStyle name="40% - Accent1 3 2 5 4" xfId="5915"/>
    <cellStyle name="40% - Accent1 3 2 5 4 2" xfId="8234"/>
    <cellStyle name="40% - Accent1 3 2 5 5" xfId="6900"/>
    <cellStyle name="40% - Accent1 3 2 6" xfId="4741"/>
    <cellStyle name="40% - Accent1 3 2 6 2" xfId="5415"/>
    <cellStyle name="40% - Accent1 3 2 6 2 2" xfId="7734"/>
    <cellStyle name="40% - Accent1 3 2 6 3" xfId="6083"/>
    <cellStyle name="40% - Accent1 3 2 6 3 2" xfId="8402"/>
    <cellStyle name="40% - Accent1 3 2 6 4" xfId="7062"/>
    <cellStyle name="40% - Accent1 3 2 7" xfId="5083"/>
    <cellStyle name="40% - Accent1 3 2 7 2" xfId="7402"/>
    <cellStyle name="40% - Accent1 3 2 8" xfId="5747"/>
    <cellStyle name="40% - Accent1 3 2 8 2" xfId="8066"/>
    <cellStyle name="40% - Accent1 3 2 9" xfId="6526"/>
    <cellStyle name="40% - Accent1 3 3" xfId="1817"/>
    <cellStyle name="40% - Accent1 3 3 2" xfId="4639"/>
    <cellStyle name="40% - Accent1 3 3 2 2" xfId="4968"/>
    <cellStyle name="40% - Accent1 3 3 2 2 2" xfId="5644"/>
    <cellStyle name="40% - Accent1 3 3 2 2 2 2" xfId="7963"/>
    <cellStyle name="40% - Accent1 3 3 2 2 3" xfId="6314"/>
    <cellStyle name="40% - Accent1 3 3 2 2 3 2" xfId="8633"/>
    <cellStyle name="40% - Accent1 3 3 2 2 4" xfId="7289"/>
    <cellStyle name="40% - Accent1 3 3 2 3" xfId="5312"/>
    <cellStyle name="40% - Accent1 3 3 2 3 2" xfId="7631"/>
    <cellStyle name="40% - Accent1 3 3 2 4" xfId="5978"/>
    <cellStyle name="40% - Accent1 3 3 2 4 2" xfId="8297"/>
    <cellStyle name="40% - Accent1 3 3 2 5" xfId="6960"/>
    <cellStyle name="40% - Accent1 3 3 3" xfId="4803"/>
    <cellStyle name="40% - Accent1 3 3 3 2" xfId="5478"/>
    <cellStyle name="40% - Accent1 3 3 3 2 2" xfId="7797"/>
    <cellStyle name="40% - Accent1 3 3 3 3" xfId="6146"/>
    <cellStyle name="40% - Accent1 3 3 3 3 2" xfId="8465"/>
    <cellStyle name="40% - Accent1 3 3 3 4" xfId="7124"/>
    <cellStyle name="40% - Accent1 3 3 4" xfId="5146"/>
    <cellStyle name="40% - Accent1 3 3 4 2" xfId="7465"/>
    <cellStyle name="40% - Accent1 3 3 5" xfId="5810"/>
    <cellStyle name="40% - Accent1 3 3 5 2" xfId="8129"/>
    <cellStyle name="40% - Accent1 3 3 6" xfId="6529"/>
    <cellStyle name="40% - Accent1 3 4" xfId="1818"/>
    <cellStyle name="40% - Accent1 3 4 2" xfId="4599"/>
    <cellStyle name="40% - Accent1 3 4 2 2" xfId="4927"/>
    <cellStyle name="40% - Accent1 3 4 2 2 2" xfId="5602"/>
    <cellStyle name="40% - Accent1 3 4 2 2 2 2" xfId="7921"/>
    <cellStyle name="40% - Accent1 3 4 2 2 3" xfId="6272"/>
    <cellStyle name="40% - Accent1 3 4 2 2 3 2" xfId="8591"/>
    <cellStyle name="40% - Accent1 3 4 2 2 4" xfId="7248"/>
    <cellStyle name="40% - Accent1 3 4 2 3" xfId="5270"/>
    <cellStyle name="40% - Accent1 3 4 2 3 2" xfId="7589"/>
    <cellStyle name="40% - Accent1 3 4 2 4" xfId="5936"/>
    <cellStyle name="40% - Accent1 3 4 2 4 2" xfId="8255"/>
    <cellStyle name="40% - Accent1 3 4 2 5" xfId="6920"/>
    <cellStyle name="40% - Accent1 3 4 3" xfId="4762"/>
    <cellStyle name="40% - Accent1 3 4 3 2" xfId="5436"/>
    <cellStyle name="40% - Accent1 3 4 3 2 2" xfId="7755"/>
    <cellStyle name="40% - Accent1 3 4 3 3" xfId="6104"/>
    <cellStyle name="40% - Accent1 3 4 3 3 2" xfId="8423"/>
    <cellStyle name="40% - Accent1 3 4 3 4" xfId="7083"/>
    <cellStyle name="40% - Accent1 3 4 4" xfId="5104"/>
    <cellStyle name="40% - Accent1 3 4 4 2" xfId="7423"/>
    <cellStyle name="40% - Accent1 3 4 5" xfId="5768"/>
    <cellStyle name="40% - Accent1 3 4 5 2" xfId="8087"/>
    <cellStyle name="40% - Accent1 3 4 6" xfId="6530"/>
    <cellStyle name="40% - Accent1 3 5" xfId="1819"/>
    <cellStyle name="40% - Accent1 3 5 2" xfId="4679"/>
    <cellStyle name="40% - Accent1 3 5 2 2" xfId="5008"/>
    <cellStyle name="40% - Accent1 3 5 2 2 2" xfId="5684"/>
    <cellStyle name="40% - Accent1 3 5 2 2 2 2" xfId="8003"/>
    <cellStyle name="40% - Accent1 3 5 2 2 3" xfId="6356"/>
    <cellStyle name="40% - Accent1 3 5 2 2 3 2" xfId="8675"/>
    <cellStyle name="40% - Accent1 3 5 2 2 4" xfId="7329"/>
    <cellStyle name="40% - Accent1 3 5 2 3" xfId="5352"/>
    <cellStyle name="40% - Accent1 3 5 2 3 2" xfId="7671"/>
    <cellStyle name="40% - Accent1 3 5 2 4" xfId="6020"/>
    <cellStyle name="40% - Accent1 3 5 2 4 2" xfId="8339"/>
    <cellStyle name="40% - Accent1 3 5 2 5" xfId="7000"/>
    <cellStyle name="40% - Accent1 3 5 3" xfId="4843"/>
    <cellStyle name="40% - Accent1 3 5 3 2" xfId="5518"/>
    <cellStyle name="40% - Accent1 3 5 3 2 2" xfId="7837"/>
    <cellStyle name="40% - Accent1 3 5 3 3" xfId="6188"/>
    <cellStyle name="40% - Accent1 3 5 3 3 2" xfId="8507"/>
    <cellStyle name="40% - Accent1 3 5 3 4" xfId="7164"/>
    <cellStyle name="40% - Accent1 3 5 4" xfId="5186"/>
    <cellStyle name="40% - Accent1 3 5 4 2" xfId="7505"/>
    <cellStyle name="40% - Accent1 3 5 5" xfId="5852"/>
    <cellStyle name="40% - Accent1 3 5 5 2" xfId="8171"/>
    <cellStyle name="40% - Accent1 3 5 6" xfId="4532"/>
    <cellStyle name="40% - Accent1 3 5 6 2" xfId="6853"/>
    <cellStyle name="40% - Accent1 3 6" xfId="4409"/>
    <cellStyle name="40% - Accent1 3 6 2" xfId="4885"/>
    <cellStyle name="40% - Accent1 3 6 2 2" xfId="5560"/>
    <cellStyle name="40% - Accent1 3 6 2 2 2" xfId="7879"/>
    <cellStyle name="40% - Accent1 3 6 2 3" xfId="6230"/>
    <cellStyle name="40% - Accent1 3 6 2 3 2" xfId="8549"/>
    <cellStyle name="40% - Accent1 3 6 2 4" xfId="7206"/>
    <cellStyle name="40% - Accent1 3 6 3" xfId="5228"/>
    <cellStyle name="40% - Accent1 3 6 3 2" xfId="7547"/>
    <cellStyle name="40% - Accent1 3 6 4" xfId="5894"/>
    <cellStyle name="40% - Accent1 3 6 4 2" xfId="8213"/>
    <cellStyle name="40% - Accent1 3 6 5" xfId="6525"/>
    <cellStyle name="40% - Accent1 3 7" xfId="4720"/>
    <cellStyle name="40% - Accent1 3 7 2" xfId="5394"/>
    <cellStyle name="40% - Accent1 3 7 2 2" xfId="7713"/>
    <cellStyle name="40% - Accent1 3 7 3" xfId="6062"/>
    <cellStyle name="40% - Accent1 3 7 3 2" xfId="8381"/>
    <cellStyle name="40% - Accent1 3 7 4" xfId="7041"/>
    <cellStyle name="40% - Accent1 3 8" xfId="5062"/>
    <cellStyle name="40% - Accent1 3 8 2" xfId="7381"/>
    <cellStyle name="40% - Accent1 3 9" xfId="5726"/>
    <cellStyle name="40% - Accent1 3 9 2" xfId="8045"/>
    <cellStyle name="40% - Accent1 4" xfId="6478"/>
    <cellStyle name="40% - Accent1 4 2" xfId="8802"/>
    <cellStyle name="40% - Accent1 5" xfId="4382"/>
    <cellStyle name="40% - Accent2" xfId="219" builtinId="35" customBuiltin="1"/>
    <cellStyle name="40% - Accent2 2" xfId="220"/>
    <cellStyle name="40% - Accent2 2 2" xfId="1822"/>
    <cellStyle name="40% - Accent2 3" xfId="1823"/>
    <cellStyle name="40% - Accent2 3 10" xfId="6531"/>
    <cellStyle name="40% - Accent2 3 2" xfId="1824"/>
    <cellStyle name="40% - Accent2 3 2 2" xfId="1825"/>
    <cellStyle name="40% - Accent2 3 2 2 2" xfId="4660"/>
    <cellStyle name="40% - Accent2 3 2 2 2 2" xfId="4989"/>
    <cellStyle name="40% - Accent2 3 2 2 2 2 2" xfId="5665"/>
    <cellStyle name="40% - Accent2 3 2 2 2 2 2 2" xfId="7984"/>
    <cellStyle name="40% - Accent2 3 2 2 2 2 3" xfId="6336"/>
    <cellStyle name="40% - Accent2 3 2 2 2 2 3 2" xfId="8655"/>
    <cellStyle name="40% - Accent2 3 2 2 2 2 4" xfId="7310"/>
    <cellStyle name="40% - Accent2 3 2 2 2 3" xfId="5333"/>
    <cellStyle name="40% - Accent2 3 2 2 2 3 2" xfId="7652"/>
    <cellStyle name="40% - Accent2 3 2 2 2 4" xfId="6000"/>
    <cellStyle name="40% - Accent2 3 2 2 2 4 2" xfId="8319"/>
    <cellStyle name="40% - Accent2 3 2 2 2 5" xfId="6981"/>
    <cellStyle name="40% - Accent2 3 2 2 3" xfId="4824"/>
    <cellStyle name="40% - Accent2 3 2 2 3 2" xfId="5499"/>
    <cellStyle name="40% - Accent2 3 2 2 3 2 2" xfId="7818"/>
    <cellStyle name="40% - Accent2 3 2 2 3 3" xfId="6168"/>
    <cellStyle name="40% - Accent2 3 2 2 3 3 2" xfId="8487"/>
    <cellStyle name="40% - Accent2 3 2 2 3 4" xfId="7145"/>
    <cellStyle name="40% - Accent2 3 2 2 4" xfId="5167"/>
    <cellStyle name="40% - Accent2 3 2 2 4 2" xfId="7486"/>
    <cellStyle name="40% - Accent2 3 2 2 5" xfId="5832"/>
    <cellStyle name="40% - Accent2 3 2 2 5 2" xfId="8151"/>
    <cellStyle name="40% - Accent2 3 2 2 6" xfId="6533"/>
    <cellStyle name="40% - Accent2 3 2 3" xfId="1826"/>
    <cellStyle name="40% - Accent2 3 2 3 2" xfId="4620"/>
    <cellStyle name="40% - Accent2 3 2 3 2 2" xfId="4949"/>
    <cellStyle name="40% - Accent2 3 2 3 2 2 2" xfId="5624"/>
    <cellStyle name="40% - Accent2 3 2 3 2 2 2 2" xfId="7943"/>
    <cellStyle name="40% - Accent2 3 2 3 2 2 3" xfId="6294"/>
    <cellStyle name="40% - Accent2 3 2 3 2 2 3 2" xfId="8613"/>
    <cellStyle name="40% - Accent2 3 2 3 2 2 4" xfId="7270"/>
    <cellStyle name="40% - Accent2 3 2 3 2 3" xfId="5292"/>
    <cellStyle name="40% - Accent2 3 2 3 2 3 2" xfId="7611"/>
    <cellStyle name="40% - Accent2 3 2 3 2 4" xfId="5958"/>
    <cellStyle name="40% - Accent2 3 2 3 2 4 2" xfId="8277"/>
    <cellStyle name="40% - Accent2 3 2 3 2 5" xfId="6941"/>
    <cellStyle name="40% - Accent2 3 2 3 3" xfId="4784"/>
    <cellStyle name="40% - Accent2 3 2 3 3 2" xfId="5458"/>
    <cellStyle name="40% - Accent2 3 2 3 3 2 2" xfId="7777"/>
    <cellStyle name="40% - Accent2 3 2 3 3 3" xfId="6126"/>
    <cellStyle name="40% - Accent2 3 2 3 3 3 2" xfId="8445"/>
    <cellStyle name="40% - Accent2 3 2 3 3 4" xfId="7105"/>
    <cellStyle name="40% - Accent2 3 2 3 4" xfId="5126"/>
    <cellStyle name="40% - Accent2 3 2 3 4 2" xfId="7445"/>
    <cellStyle name="40% - Accent2 3 2 3 5" xfId="5790"/>
    <cellStyle name="40% - Accent2 3 2 3 5 2" xfId="8109"/>
    <cellStyle name="40% - Accent2 3 2 3 6" xfId="6534"/>
    <cellStyle name="40% - Accent2 3 2 4" xfId="4548"/>
    <cellStyle name="40% - Accent2 3 2 4 2" xfId="4701"/>
    <cellStyle name="40% - Accent2 3 2 4 2 2" xfId="5030"/>
    <cellStyle name="40% - Accent2 3 2 4 2 2 2" xfId="5706"/>
    <cellStyle name="40% - Accent2 3 2 4 2 2 2 2" xfId="8025"/>
    <cellStyle name="40% - Accent2 3 2 4 2 2 3" xfId="6378"/>
    <cellStyle name="40% - Accent2 3 2 4 2 2 3 2" xfId="8697"/>
    <cellStyle name="40% - Accent2 3 2 4 2 2 4" xfId="7351"/>
    <cellStyle name="40% - Accent2 3 2 4 2 3" xfId="5374"/>
    <cellStyle name="40% - Accent2 3 2 4 2 3 2" xfId="7693"/>
    <cellStyle name="40% - Accent2 3 2 4 2 4" xfId="6042"/>
    <cellStyle name="40% - Accent2 3 2 4 2 4 2" xfId="8361"/>
    <cellStyle name="40% - Accent2 3 2 4 2 5" xfId="7022"/>
    <cellStyle name="40% - Accent2 3 2 4 3" xfId="4865"/>
    <cellStyle name="40% - Accent2 3 2 4 3 2" xfId="5540"/>
    <cellStyle name="40% - Accent2 3 2 4 3 2 2" xfId="7859"/>
    <cellStyle name="40% - Accent2 3 2 4 3 3" xfId="6210"/>
    <cellStyle name="40% - Accent2 3 2 4 3 3 2" xfId="8529"/>
    <cellStyle name="40% - Accent2 3 2 4 3 4" xfId="7186"/>
    <cellStyle name="40% - Accent2 3 2 4 4" xfId="5208"/>
    <cellStyle name="40% - Accent2 3 2 4 4 2" xfId="7527"/>
    <cellStyle name="40% - Accent2 3 2 4 5" xfId="5874"/>
    <cellStyle name="40% - Accent2 3 2 4 5 2" xfId="8193"/>
    <cellStyle name="40% - Accent2 3 2 4 6" xfId="6869"/>
    <cellStyle name="40% - Accent2 3 2 5" xfId="4580"/>
    <cellStyle name="40% - Accent2 3 2 5 2" xfId="4907"/>
    <cellStyle name="40% - Accent2 3 2 5 2 2" xfId="5582"/>
    <cellStyle name="40% - Accent2 3 2 5 2 2 2" xfId="7901"/>
    <cellStyle name="40% - Accent2 3 2 5 2 3" xfId="6252"/>
    <cellStyle name="40% - Accent2 3 2 5 2 3 2" xfId="8571"/>
    <cellStyle name="40% - Accent2 3 2 5 2 4" xfId="7228"/>
    <cellStyle name="40% - Accent2 3 2 5 3" xfId="5250"/>
    <cellStyle name="40% - Accent2 3 2 5 3 2" xfId="7569"/>
    <cellStyle name="40% - Accent2 3 2 5 4" xfId="5916"/>
    <cellStyle name="40% - Accent2 3 2 5 4 2" xfId="8235"/>
    <cellStyle name="40% - Accent2 3 2 5 5" xfId="6901"/>
    <cellStyle name="40% - Accent2 3 2 6" xfId="4742"/>
    <cellStyle name="40% - Accent2 3 2 6 2" xfId="5416"/>
    <cellStyle name="40% - Accent2 3 2 6 2 2" xfId="7735"/>
    <cellStyle name="40% - Accent2 3 2 6 3" xfId="6084"/>
    <cellStyle name="40% - Accent2 3 2 6 3 2" xfId="8403"/>
    <cellStyle name="40% - Accent2 3 2 6 4" xfId="7063"/>
    <cellStyle name="40% - Accent2 3 2 7" xfId="5084"/>
    <cellStyle name="40% - Accent2 3 2 7 2" xfId="7403"/>
    <cellStyle name="40% - Accent2 3 2 8" xfId="5748"/>
    <cellStyle name="40% - Accent2 3 2 8 2" xfId="8067"/>
    <cellStyle name="40% - Accent2 3 2 9" xfId="6532"/>
    <cellStyle name="40% - Accent2 3 3" xfId="1827"/>
    <cellStyle name="40% - Accent2 3 3 2" xfId="4640"/>
    <cellStyle name="40% - Accent2 3 3 2 2" xfId="4969"/>
    <cellStyle name="40% - Accent2 3 3 2 2 2" xfId="5645"/>
    <cellStyle name="40% - Accent2 3 3 2 2 2 2" xfId="7964"/>
    <cellStyle name="40% - Accent2 3 3 2 2 3" xfId="6315"/>
    <cellStyle name="40% - Accent2 3 3 2 2 3 2" xfId="8634"/>
    <cellStyle name="40% - Accent2 3 3 2 2 4" xfId="7290"/>
    <cellStyle name="40% - Accent2 3 3 2 3" xfId="5313"/>
    <cellStyle name="40% - Accent2 3 3 2 3 2" xfId="7632"/>
    <cellStyle name="40% - Accent2 3 3 2 4" xfId="5979"/>
    <cellStyle name="40% - Accent2 3 3 2 4 2" xfId="8298"/>
    <cellStyle name="40% - Accent2 3 3 2 5" xfId="6961"/>
    <cellStyle name="40% - Accent2 3 3 3" xfId="4804"/>
    <cellStyle name="40% - Accent2 3 3 3 2" xfId="5479"/>
    <cellStyle name="40% - Accent2 3 3 3 2 2" xfId="7798"/>
    <cellStyle name="40% - Accent2 3 3 3 3" xfId="6147"/>
    <cellStyle name="40% - Accent2 3 3 3 3 2" xfId="8466"/>
    <cellStyle name="40% - Accent2 3 3 3 4" xfId="7125"/>
    <cellStyle name="40% - Accent2 3 3 4" xfId="5147"/>
    <cellStyle name="40% - Accent2 3 3 4 2" xfId="7466"/>
    <cellStyle name="40% - Accent2 3 3 5" xfId="5811"/>
    <cellStyle name="40% - Accent2 3 3 5 2" xfId="8130"/>
    <cellStyle name="40% - Accent2 3 3 6" xfId="6535"/>
    <cellStyle name="40% - Accent2 3 4" xfId="1828"/>
    <cellStyle name="40% - Accent2 3 4 2" xfId="4600"/>
    <cellStyle name="40% - Accent2 3 4 2 2" xfId="4928"/>
    <cellStyle name="40% - Accent2 3 4 2 2 2" xfId="5603"/>
    <cellStyle name="40% - Accent2 3 4 2 2 2 2" xfId="7922"/>
    <cellStyle name="40% - Accent2 3 4 2 2 3" xfId="6273"/>
    <cellStyle name="40% - Accent2 3 4 2 2 3 2" xfId="8592"/>
    <cellStyle name="40% - Accent2 3 4 2 2 4" xfId="7249"/>
    <cellStyle name="40% - Accent2 3 4 2 3" xfId="5271"/>
    <cellStyle name="40% - Accent2 3 4 2 3 2" xfId="7590"/>
    <cellStyle name="40% - Accent2 3 4 2 4" xfId="5937"/>
    <cellStyle name="40% - Accent2 3 4 2 4 2" xfId="8256"/>
    <cellStyle name="40% - Accent2 3 4 2 5" xfId="6921"/>
    <cellStyle name="40% - Accent2 3 4 3" xfId="4763"/>
    <cellStyle name="40% - Accent2 3 4 3 2" xfId="5437"/>
    <cellStyle name="40% - Accent2 3 4 3 2 2" xfId="7756"/>
    <cellStyle name="40% - Accent2 3 4 3 3" xfId="6105"/>
    <cellStyle name="40% - Accent2 3 4 3 3 2" xfId="8424"/>
    <cellStyle name="40% - Accent2 3 4 3 4" xfId="7084"/>
    <cellStyle name="40% - Accent2 3 4 4" xfId="5105"/>
    <cellStyle name="40% - Accent2 3 4 4 2" xfId="7424"/>
    <cellStyle name="40% - Accent2 3 4 5" xfId="5769"/>
    <cellStyle name="40% - Accent2 3 4 5 2" xfId="8088"/>
    <cellStyle name="40% - Accent2 3 4 6" xfId="6536"/>
    <cellStyle name="40% - Accent2 3 5" xfId="1829"/>
    <cellStyle name="40% - Accent2 3 5 2" xfId="4680"/>
    <cellStyle name="40% - Accent2 3 5 2 2" xfId="5009"/>
    <cellStyle name="40% - Accent2 3 5 2 2 2" xfId="5685"/>
    <cellStyle name="40% - Accent2 3 5 2 2 2 2" xfId="8004"/>
    <cellStyle name="40% - Accent2 3 5 2 2 3" xfId="6357"/>
    <cellStyle name="40% - Accent2 3 5 2 2 3 2" xfId="8676"/>
    <cellStyle name="40% - Accent2 3 5 2 2 4" xfId="7330"/>
    <cellStyle name="40% - Accent2 3 5 2 3" xfId="5353"/>
    <cellStyle name="40% - Accent2 3 5 2 3 2" xfId="7672"/>
    <cellStyle name="40% - Accent2 3 5 2 4" xfId="6021"/>
    <cellStyle name="40% - Accent2 3 5 2 4 2" xfId="8340"/>
    <cellStyle name="40% - Accent2 3 5 2 5" xfId="7001"/>
    <cellStyle name="40% - Accent2 3 5 3" xfId="4844"/>
    <cellStyle name="40% - Accent2 3 5 3 2" xfId="5519"/>
    <cellStyle name="40% - Accent2 3 5 3 2 2" xfId="7838"/>
    <cellStyle name="40% - Accent2 3 5 3 3" xfId="6189"/>
    <cellStyle name="40% - Accent2 3 5 3 3 2" xfId="8508"/>
    <cellStyle name="40% - Accent2 3 5 3 4" xfId="7165"/>
    <cellStyle name="40% - Accent2 3 5 4" xfId="5187"/>
    <cellStyle name="40% - Accent2 3 5 4 2" xfId="7506"/>
    <cellStyle name="40% - Accent2 3 5 5" xfId="5853"/>
    <cellStyle name="40% - Accent2 3 5 5 2" xfId="8172"/>
    <cellStyle name="40% - Accent2 3 5 6" xfId="4533"/>
    <cellStyle name="40% - Accent2 3 5 6 2" xfId="6854"/>
    <cellStyle name="40% - Accent2 3 6" xfId="4564"/>
    <cellStyle name="40% - Accent2 3 6 2" xfId="4886"/>
    <cellStyle name="40% - Accent2 3 6 2 2" xfId="5561"/>
    <cellStyle name="40% - Accent2 3 6 2 2 2" xfId="7880"/>
    <cellStyle name="40% - Accent2 3 6 2 3" xfId="6231"/>
    <cellStyle name="40% - Accent2 3 6 2 3 2" xfId="8550"/>
    <cellStyle name="40% - Accent2 3 6 2 4" xfId="7207"/>
    <cellStyle name="40% - Accent2 3 6 3" xfId="5229"/>
    <cellStyle name="40% - Accent2 3 6 3 2" xfId="7548"/>
    <cellStyle name="40% - Accent2 3 6 4" xfId="5895"/>
    <cellStyle name="40% - Accent2 3 6 4 2" xfId="8214"/>
    <cellStyle name="40% - Accent2 3 6 5" xfId="6885"/>
    <cellStyle name="40% - Accent2 3 7" xfId="4721"/>
    <cellStyle name="40% - Accent2 3 7 2" xfId="5395"/>
    <cellStyle name="40% - Accent2 3 7 2 2" xfId="7714"/>
    <cellStyle name="40% - Accent2 3 7 3" xfId="6063"/>
    <cellStyle name="40% - Accent2 3 7 3 2" xfId="8382"/>
    <cellStyle name="40% - Accent2 3 7 4" xfId="7042"/>
    <cellStyle name="40% - Accent2 3 8" xfId="5063"/>
    <cellStyle name="40% - Accent2 3 8 2" xfId="7382"/>
    <cellStyle name="40% - Accent2 3 9" xfId="5727"/>
    <cellStyle name="40% - Accent2 3 9 2" xfId="8046"/>
    <cellStyle name="40% - Accent2 4" xfId="6480"/>
    <cellStyle name="40% - Accent2 4 2" xfId="8804"/>
    <cellStyle name="40% - Accent2 5" xfId="4386"/>
    <cellStyle name="40% - Accent3" xfId="221" builtinId="39" customBuiltin="1"/>
    <cellStyle name="40% - Accent3 2" xfId="222"/>
    <cellStyle name="40% - Accent3 2 2" xfId="1831"/>
    <cellStyle name="40% - Accent3 3" xfId="1832"/>
    <cellStyle name="40% - Accent3 3 10" xfId="4248"/>
    <cellStyle name="40% - Accent3 3 10 2" xfId="8782"/>
    <cellStyle name="40% - Accent3 3 2" xfId="1833"/>
    <cellStyle name="40% - Accent3 3 2 2" xfId="1834"/>
    <cellStyle name="40% - Accent3 3 2 2 2" xfId="4661"/>
    <cellStyle name="40% - Accent3 3 2 2 2 2" xfId="4990"/>
    <cellStyle name="40% - Accent3 3 2 2 2 2 2" xfId="5666"/>
    <cellStyle name="40% - Accent3 3 2 2 2 2 2 2" xfId="7985"/>
    <cellStyle name="40% - Accent3 3 2 2 2 2 3" xfId="6337"/>
    <cellStyle name="40% - Accent3 3 2 2 2 2 3 2" xfId="8656"/>
    <cellStyle name="40% - Accent3 3 2 2 2 2 4" xfId="7311"/>
    <cellStyle name="40% - Accent3 3 2 2 2 3" xfId="5334"/>
    <cellStyle name="40% - Accent3 3 2 2 2 3 2" xfId="7653"/>
    <cellStyle name="40% - Accent3 3 2 2 2 4" xfId="6001"/>
    <cellStyle name="40% - Accent3 3 2 2 2 4 2" xfId="8320"/>
    <cellStyle name="40% - Accent3 3 2 2 2 5" xfId="6982"/>
    <cellStyle name="40% - Accent3 3 2 2 3" xfId="4825"/>
    <cellStyle name="40% - Accent3 3 2 2 3 2" xfId="5500"/>
    <cellStyle name="40% - Accent3 3 2 2 3 2 2" xfId="7819"/>
    <cellStyle name="40% - Accent3 3 2 2 3 3" xfId="6169"/>
    <cellStyle name="40% - Accent3 3 2 2 3 3 2" xfId="8488"/>
    <cellStyle name="40% - Accent3 3 2 2 3 4" xfId="7146"/>
    <cellStyle name="40% - Accent3 3 2 2 4" xfId="5168"/>
    <cellStyle name="40% - Accent3 3 2 2 4 2" xfId="7487"/>
    <cellStyle name="40% - Accent3 3 2 2 5" xfId="5833"/>
    <cellStyle name="40% - Accent3 3 2 2 5 2" xfId="8152"/>
    <cellStyle name="40% - Accent3 3 2 2 6" xfId="6539"/>
    <cellStyle name="40% - Accent3 3 2 3" xfId="1835"/>
    <cellStyle name="40% - Accent3 3 2 3 2" xfId="4621"/>
    <cellStyle name="40% - Accent3 3 2 3 2 2" xfId="4950"/>
    <cellStyle name="40% - Accent3 3 2 3 2 2 2" xfId="5625"/>
    <cellStyle name="40% - Accent3 3 2 3 2 2 2 2" xfId="7944"/>
    <cellStyle name="40% - Accent3 3 2 3 2 2 3" xfId="6295"/>
    <cellStyle name="40% - Accent3 3 2 3 2 2 3 2" xfId="8614"/>
    <cellStyle name="40% - Accent3 3 2 3 2 2 4" xfId="7271"/>
    <cellStyle name="40% - Accent3 3 2 3 2 3" xfId="5293"/>
    <cellStyle name="40% - Accent3 3 2 3 2 3 2" xfId="7612"/>
    <cellStyle name="40% - Accent3 3 2 3 2 4" xfId="5959"/>
    <cellStyle name="40% - Accent3 3 2 3 2 4 2" xfId="8278"/>
    <cellStyle name="40% - Accent3 3 2 3 2 5" xfId="6942"/>
    <cellStyle name="40% - Accent3 3 2 3 3" xfId="4785"/>
    <cellStyle name="40% - Accent3 3 2 3 3 2" xfId="5459"/>
    <cellStyle name="40% - Accent3 3 2 3 3 2 2" xfId="7778"/>
    <cellStyle name="40% - Accent3 3 2 3 3 3" xfId="6127"/>
    <cellStyle name="40% - Accent3 3 2 3 3 3 2" xfId="8446"/>
    <cellStyle name="40% - Accent3 3 2 3 3 4" xfId="7106"/>
    <cellStyle name="40% - Accent3 3 2 3 4" xfId="5127"/>
    <cellStyle name="40% - Accent3 3 2 3 4 2" xfId="7446"/>
    <cellStyle name="40% - Accent3 3 2 3 5" xfId="5791"/>
    <cellStyle name="40% - Accent3 3 2 3 5 2" xfId="8110"/>
    <cellStyle name="40% - Accent3 3 2 3 6" xfId="6540"/>
    <cellStyle name="40% - Accent3 3 2 4" xfId="4549"/>
    <cellStyle name="40% - Accent3 3 2 4 2" xfId="4702"/>
    <cellStyle name="40% - Accent3 3 2 4 2 2" xfId="5031"/>
    <cellStyle name="40% - Accent3 3 2 4 2 2 2" xfId="5707"/>
    <cellStyle name="40% - Accent3 3 2 4 2 2 2 2" xfId="8026"/>
    <cellStyle name="40% - Accent3 3 2 4 2 2 3" xfId="6379"/>
    <cellStyle name="40% - Accent3 3 2 4 2 2 3 2" xfId="8698"/>
    <cellStyle name="40% - Accent3 3 2 4 2 2 4" xfId="7352"/>
    <cellStyle name="40% - Accent3 3 2 4 2 3" xfId="5375"/>
    <cellStyle name="40% - Accent3 3 2 4 2 3 2" xfId="7694"/>
    <cellStyle name="40% - Accent3 3 2 4 2 4" xfId="6043"/>
    <cellStyle name="40% - Accent3 3 2 4 2 4 2" xfId="8362"/>
    <cellStyle name="40% - Accent3 3 2 4 2 5" xfId="7023"/>
    <cellStyle name="40% - Accent3 3 2 4 3" xfId="4866"/>
    <cellStyle name="40% - Accent3 3 2 4 3 2" xfId="5541"/>
    <cellStyle name="40% - Accent3 3 2 4 3 2 2" xfId="7860"/>
    <cellStyle name="40% - Accent3 3 2 4 3 3" xfId="6211"/>
    <cellStyle name="40% - Accent3 3 2 4 3 3 2" xfId="8530"/>
    <cellStyle name="40% - Accent3 3 2 4 3 4" xfId="7187"/>
    <cellStyle name="40% - Accent3 3 2 4 4" xfId="5209"/>
    <cellStyle name="40% - Accent3 3 2 4 4 2" xfId="7528"/>
    <cellStyle name="40% - Accent3 3 2 4 5" xfId="5875"/>
    <cellStyle name="40% - Accent3 3 2 4 5 2" xfId="8194"/>
    <cellStyle name="40% - Accent3 3 2 4 6" xfId="6870"/>
    <cellStyle name="40% - Accent3 3 2 5" xfId="4581"/>
    <cellStyle name="40% - Accent3 3 2 5 2" xfId="4908"/>
    <cellStyle name="40% - Accent3 3 2 5 2 2" xfId="5583"/>
    <cellStyle name="40% - Accent3 3 2 5 2 2 2" xfId="7902"/>
    <cellStyle name="40% - Accent3 3 2 5 2 3" xfId="6253"/>
    <cellStyle name="40% - Accent3 3 2 5 2 3 2" xfId="8572"/>
    <cellStyle name="40% - Accent3 3 2 5 2 4" xfId="7229"/>
    <cellStyle name="40% - Accent3 3 2 5 3" xfId="5251"/>
    <cellStyle name="40% - Accent3 3 2 5 3 2" xfId="7570"/>
    <cellStyle name="40% - Accent3 3 2 5 4" xfId="5917"/>
    <cellStyle name="40% - Accent3 3 2 5 4 2" xfId="8236"/>
    <cellStyle name="40% - Accent3 3 2 5 5" xfId="6902"/>
    <cellStyle name="40% - Accent3 3 2 6" xfId="4743"/>
    <cellStyle name="40% - Accent3 3 2 6 2" xfId="5417"/>
    <cellStyle name="40% - Accent3 3 2 6 2 2" xfId="7736"/>
    <cellStyle name="40% - Accent3 3 2 6 3" xfId="6085"/>
    <cellStyle name="40% - Accent3 3 2 6 3 2" xfId="8404"/>
    <cellStyle name="40% - Accent3 3 2 6 4" xfId="7064"/>
    <cellStyle name="40% - Accent3 3 2 7" xfId="5085"/>
    <cellStyle name="40% - Accent3 3 2 7 2" xfId="7404"/>
    <cellStyle name="40% - Accent3 3 2 8" xfId="5749"/>
    <cellStyle name="40% - Accent3 3 2 8 2" xfId="8068"/>
    <cellStyle name="40% - Accent3 3 2 9" xfId="6538"/>
    <cellStyle name="40% - Accent3 3 3" xfId="1836"/>
    <cellStyle name="40% - Accent3 3 3 2" xfId="4641"/>
    <cellStyle name="40% - Accent3 3 3 2 2" xfId="4970"/>
    <cellStyle name="40% - Accent3 3 3 2 2 2" xfId="5646"/>
    <cellStyle name="40% - Accent3 3 3 2 2 2 2" xfId="7965"/>
    <cellStyle name="40% - Accent3 3 3 2 2 3" xfId="6316"/>
    <cellStyle name="40% - Accent3 3 3 2 2 3 2" xfId="8635"/>
    <cellStyle name="40% - Accent3 3 3 2 2 4" xfId="7291"/>
    <cellStyle name="40% - Accent3 3 3 2 3" xfId="5314"/>
    <cellStyle name="40% - Accent3 3 3 2 3 2" xfId="7633"/>
    <cellStyle name="40% - Accent3 3 3 2 4" xfId="5980"/>
    <cellStyle name="40% - Accent3 3 3 2 4 2" xfId="8299"/>
    <cellStyle name="40% - Accent3 3 3 2 5" xfId="6962"/>
    <cellStyle name="40% - Accent3 3 3 3" xfId="4805"/>
    <cellStyle name="40% - Accent3 3 3 3 2" xfId="5480"/>
    <cellStyle name="40% - Accent3 3 3 3 2 2" xfId="7799"/>
    <cellStyle name="40% - Accent3 3 3 3 3" xfId="6148"/>
    <cellStyle name="40% - Accent3 3 3 3 3 2" xfId="8467"/>
    <cellStyle name="40% - Accent3 3 3 3 4" xfId="7126"/>
    <cellStyle name="40% - Accent3 3 3 4" xfId="5148"/>
    <cellStyle name="40% - Accent3 3 3 4 2" xfId="7467"/>
    <cellStyle name="40% - Accent3 3 3 5" xfId="5812"/>
    <cellStyle name="40% - Accent3 3 3 5 2" xfId="8131"/>
    <cellStyle name="40% - Accent3 3 3 6" xfId="6541"/>
    <cellStyle name="40% - Accent3 3 4" xfId="1837"/>
    <cellStyle name="40% - Accent3 3 4 2" xfId="4601"/>
    <cellStyle name="40% - Accent3 3 4 2 2" xfId="4929"/>
    <cellStyle name="40% - Accent3 3 4 2 2 2" xfId="5604"/>
    <cellStyle name="40% - Accent3 3 4 2 2 2 2" xfId="7923"/>
    <cellStyle name="40% - Accent3 3 4 2 2 3" xfId="6274"/>
    <cellStyle name="40% - Accent3 3 4 2 2 3 2" xfId="8593"/>
    <cellStyle name="40% - Accent3 3 4 2 2 4" xfId="7250"/>
    <cellStyle name="40% - Accent3 3 4 2 3" xfId="5272"/>
    <cellStyle name="40% - Accent3 3 4 2 3 2" xfId="7591"/>
    <cellStyle name="40% - Accent3 3 4 2 4" xfId="5938"/>
    <cellStyle name="40% - Accent3 3 4 2 4 2" xfId="8257"/>
    <cellStyle name="40% - Accent3 3 4 2 5" xfId="6922"/>
    <cellStyle name="40% - Accent3 3 4 3" xfId="4764"/>
    <cellStyle name="40% - Accent3 3 4 3 2" xfId="5438"/>
    <cellStyle name="40% - Accent3 3 4 3 2 2" xfId="7757"/>
    <cellStyle name="40% - Accent3 3 4 3 3" xfId="6106"/>
    <cellStyle name="40% - Accent3 3 4 3 3 2" xfId="8425"/>
    <cellStyle name="40% - Accent3 3 4 3 4" xfId="7085"/>
    <cellStyle name="40% - Accent3 3 4 4" xfId="5106"/>
    <cellStyle name="40% - Accent3 3 4 4 2" xfId="7425"/>
    <cellStyle name="40% - Accent3 3 4 5" xfId="5770"/>
    <cellStyle name="40% - Accent3 3 4 5 2" xfId="8089"/>
    <cellStyle name="40% - Accent3 3 4 6" xfId="6542"/>
    <cellStyle name="40% - Accent3 3 5" xfId="1838"/>
    <cellStyle name="40% - Accent3 3 5 2" xfId="4681"/>
    <cellStyle name="40% - Accent3 3 5 2 2" xfId="5010"/>
    <cellStyle name="40% - Accent3 3 5 2 2 2" xfId="5686"/>
    <cellStyle name="40% - Accent3 3 5 2 2 2 2" xfId="8005"/>
    <cellStyle name="40% - Accent3 3 5 2 2 3" xfId="6358"/>
    <cellStyle name="40% - Accent3 3 5 2 2 3 2" xfId="8677"/>
    <cellStyle name="40% - Accent3 3 5 2 2 4" xfId="7331"/>
    <cellStyle name="40% - Accent3 3 5 2 3" xfId="5354"/>
    <cellStyle name="40% - Accent3 3 5 2 3 2" xfId="7673"/>
    <cellStyle name="40% - Accent3 3 5 2 4" xfId="6022"/>
    <cellStyle name="40% - Accent3 3 5 2 4 2" xfId="8341"/>
    <cellStyle name="40% - Accent3 3 5 2 5" xfId="7002"/>
    <cellStyle name="40% - Accent3 3 5 3" xfId="4845"/>
    <cellStyle name="40% - Accent3 3 5 3 2" xfId="5520"/>
    <cellStyle name="40% - Accent3 3 5 3 2 2" xfId="7839"/>
    <cellStyle name="40% - Accent3 3 5 3 3" xfId="6190"/>
    <cellStyle name="40% - Accent3 3 5 3 3 2" xfId="8509"/>
    <cellStyle name="40% - Accent3 3 5 3 4" xfId="7166"/>
    <cellStyle name="40% - Accent3 3 5 4" xfId="5188"/>
    <cellStyle name="40% - Accent3 3 5 4 2" xfId="7507"/>
    <cellStyle name="40% - Accent3 3 5 5" xfId="5854"/>
    <cellStyle name="40% - Accent3 3 5 5 2" xfId="8173"/>
    <cellStyle name="40% - Accent3 3 5 6" xfId="4534"/>
    <cellStyle name="40% - Accent3 3 5 6 2" xfId="6855"/>
    <cellStyle name="40% - Accent3 3 6" xfId="4410"/>
    <cellStyle name="40% - Accent3 3 6 2" xfId="4887"/>
    <cellStyle name="40% - Accent3 3 6 2 2" xfId="5562"/>
    <cellStyle name="40% - Accent3 3 6 2 2 2" xfId="7881"/>
    <cellStyle name="40% - Accent3 3 6 2 3" xfId="6232"/>
    <cellStyle name="40% - Accent3 3 6 2 3 2" xfId="8551"/>
    <cellStyle name="40% - Accent3 3 6 2 4" xfId="7208"/>
    <cellStyle name="40% - Accent3 3 6 3" xfId="5230"/>
    <cellStyle name="40% - Accent3 3 6 3 2" xfId="7549"/>
    <cellStyle name="40% - Accent3 3 6 4" xfId="5896"/>
    <cellStyle name="40% - Accent3 3 6 4 2" xfId="8215"/>
    <cellStyle name="40% - Accent3 3 6 5" xfId="6537"/>
    <cellStyle name="40% - Accent3 3 7" xfId="4722"/>
    <cellStyle name="40% - Accent3 3 7 2" xfId="5396"/>
    <cellStyle name="40% - Accent3 3 7 2 2" xfId="7715"/>
    <cellStyle name="40% - Accent3 3 7 3" xfId="6064"/>
    <cellStyle name="40% - Accent3 3 7 3 2" xfId="8383"/>
    <cellStyle name="40% - Accent3 3 7 4" xfId="7043"/>
    <cellStyle name="40% - Accent3 3 8" xfId="5064"/>
    <cellStyle name="40% - Accent3 3 8 2" xfId="7383"/>
    <cellStyle name="40% - Accent3 3 9" xfId="5728"/>
    <cellStyle name="40% - Accent3 3 9 2" xfId="8047"/>
    <cellStyle name="40% - Accent3 4" xfId="6482"/>
    <cellStyle name="40% - Accent3 4 2" xfId="8807"/>
    <cellStyle name="40% - Accent3 5" xfId="4389"/>
    <cellStyle name="40% - Accent4" xfId="223" builtinId="43" customBuiltin="1"/>
    <cellStyle name="40% - Accent4 2" xfId="224"/>
    <cellStyle name="40% - Accent4 2 2" xfId="225"/>
    <cellStyle name="40% - Accent4 2 3" xfId="4101"/>
    <cellStyle name="40% - Accent4 3" xfId="1842"/>
    <cellStyle name="40% - Accent4 3 10" xfId="4249"/>
    <cellStyle name="40% - Accent4 3 10 2" xfId="8783"/>
    <cellStyle name="40% - Accent4 3 2" xfId="1843"/>
    <cellStyle name="40% - Accent4 3 2 2" xfId="1844"/>
    <cellStyle name="40% - Accent4 3 2 2 2" xfId="4662"/>
    <cellStyle name="40% - Accent4 3 2 2 2 2" xfId="4991"/>
    <cellStyle name="40% - Accent4 3 2 2 2 2 2" xfId="5667"/>
    <cellStyle name="40% - Accent4 3 2 2 2 2 2 2" xfId="7986"/>
    <cellStyle name="40% - Accent4 3 2 2 2 2 3" xfId="6338"/>
    <cellStyle name="40% - Accent4 3 2 2 2 2 3 2" xfId="8657"/>
    <cellStyle name="40% - Accent4 3 2 2 2 2 4" xfId="7312"/>
    <cellStyle name="40% - Accent4 3 2 2 2 3" xfId="5335"/>
    <cellStyle name="40% - Accent4 3 2 2 2 3 2" xfId="7654"/>
    <cellStyle name="40% - Accent4 3 2 2 2 4" xfId="6002"/>
    <cellStyle name="40% - Accent4 3 2 2 2 4 2" xfId="8321"/>
    <cellStyle name="40% - Accent4 3 2 2 2 5" xfId="6983"/>
    <cellStyle name="40% - Accent4 3 2 2 3" xfId="4826"/>
    <cellStyle name="40% - Accent4 3 2 2 3 2" xfId="5501"/>
    <cellStyle name="40% - Accent4 3 2 2 3 2 2" xfId="7820"/>
    <cellStyle name="40% - Accent4 3 2 2 3 3" xfId="6170"/>
    <cellStyle name="40% - Accent4 3 2 2 3 3 2" xfId="8489"/>
    <cellStyle name="40% - Accent4 3 2 2 3 4" xfId="7147"/>
    <cellStyle name="40% - Accent4 3 2 2 4" xfId="5169"/>
    <cellStyle name="40% - Accent4 3 2 2 4 2" xfId="7488"/>
    <cellStyle name="40% - Accent4 3 2 2 5" xfId="5834"/>
    <cellStyle name="40% - Accent4 3 2 2 5 2" xfId="8153"/>
    <cellStyle name="40% - Accent4 3 2 2 6" xfId="6545"/>
    <cellStyle name="40% - Accent4 3 2 3" xfId="1845"/>
    <cellStyle name="40% - Accent4 3 2 3 2" xfId="4622"/>
    <cellStyle name="40% - Accent4 3 2 3 2 2" xfId="4951"/>
    <cellStyle name="40% - Accent4 3 2 3 2 2 2" xfId="5626"/>
    <cellStyle name="40% - Accent4 3 2 3 2 2 2 2" xfId="7945"/>
    <cellStyle name="40% - Accent4 3 2 3 2 2 3" xfId="6296"/>
    <cellStyle name="40% - Accent4 3 2 3 2 2 3 2" xfId="8615"/>
    <cellStyle name="40% - Accent4 3 2 3 2 2 4" xfId="7272"/>
    <cellStyle name="40% - Accent4 3 2 3 2 3" xfId="5294"/>
    <cellStyle name="40% - Accent4 3 2 3 2 3 2" xfId="7613"/>
    <cellStyle name="40% - Accent4 3 2 3 2 4" xfId="5960"/>
    <cellStyle name="40% - Accent4 3 2 3 2 4 2" xfId="8279"/>
    <cellStyle name="40% - Accent4 3 2 3 2 5" xfId="6943"/>
    <cellStyle name="40% - Accent4 3 2 3 3" xfId="4786"/>
    <cellStyle name="40% - Accent4 3 2 3 3 2" xfId="5460"/>
    <cellStyle name="40% - Accent4 3 2 3 3 2 2" xfId="7779"/>
    <cellStyle name="40% - Accent4 3 2 3 3 3" xfId="6128"/>
    <cellStyle name="40% - Accent4 3 2 3 3 3 2" xfId="8447"/>
    <cellStyle name="40% - Accent4 3 2 3 3 4" xfId="7107"/>
    <cellStyle name="40% - Accent4 3 2 3 4" xfId="5128"/>
    <cellStyle name="40% - Accent4 3 2 3 4 2" xfId="7447"/>
    <cellStyle name="40% - Accent4 3 2 3 5" xfId="5792"/>
    <cellStyle name="40% - Accent4 3 2 3 5 2" xfId="8111"/>
    <cellStyle name="40% - Accent4 3 2 3 6" xfId="6546"/>
    <cellStyle name="40% - Accent4 3 2 4" xfId="4550"/>
    <cellStyle name="40% - Accent4 3 2 4 2" xfId="4703"/>
    <cellStyle name="40% - Accent4 3 2 4 2 2" xfId="5032"/>
    <cellStyle name="40% - Accent4 3 2 4 2 2 2" xfId="5708"/>
    <cellStyle name="40% - Accent4 3 2 4 2 2 2 2" xfId="8027"/>
    <cellStyle name="40% - Accent4 3 2 4 2 2 3" xfId="6380"/>
    <cellStyle name="40% - Accent4 3 2 4 2 2 3 2" xfId="8699"/>
    <cellStyle name="40% - Accent4 3 2 4 2 2 4" xfId="7353"/>
    <cellStyle name="40% - Accent4 3 2 4 2 3" xfId="5376"/>
    <cellStyle name="40% - Accent4 3 2 4 2 3 2" xfId="7695"/>
    <cellStyle name="40% - Accent4 3 2 4 2 4" xfId="6044"/>
    <cellStyle name="40% - Accent4 3 2 4 2 4 2" xfId="8363"/>
    <cellStyle name="40% - Accent4 3 2 4 2 5" xfId="7024"/>
    <cellStyle name="40% - Accent4 3 2 4 3" xfId="4867"/>
    <cellStyle name="40% - Accent4 3 2 4 3 2" xfId="5542"/>
    <cellStyle name="40% - Accent4 3 2 4 3 2 2" xfId="7861"/>
    <cellStyle name="40% - Accent4 3 2 4 3 3" xfId="6212"/>
    <cellStyle name="40% - Accent4 3 2 4 3 3 2" xfId="8531"/>
    <cellStyle name="40% - Accent4 3 2 4 3 4" xfId="7188"/>
    <cellStyle name="40% - Accent4 3 2 4 4" xfId="5210"/>
    <cellStyle name="40% - Accent4 3 2 4 4 2" xfId="7529"/>
    <cellStyle name="40% - Accent4 3 2 4 5" xfId="5876"/>
    <cellStyle name="40% - Accent4 3 2 4 5 2" xfId="8195"/>
    <cellStyle name="40% - Accent4 3 2 4 6" xfId="6871"/>
    <cellStyle name="40% - Accent4 3 2 5" xfId="4582"/>
    <cellStyle name="40% - Accent4 3 2 5 2" xfId="4909"/>
    <cellStyle name="40% - Accent4 3 2 5 2 2" xfId="5584"/>
    <cellStyle name="40% - Accent4 3 2 5 2 2 2" xfId="7903"/>
    <cellStyle name="40% - Accent4 3 2 5 2 3" xfId="6254"/>
    <cellStyle name="40% - Accent4 3 2 5 2 3 2" xfId="8573"/>
    <cellStyle name="40% - Accent4 3 2 5 2 4" xfId="7230"/>
    <cellStyle name="40% - Accent4 3 2 5 3" xfId="5252"/>
    <cellStyle name="40% - Accent4 3 2 5 3 2" xfId="7571"/>
    <cellStyle name="40% - Accent4 3 2 5 4" xfId="5918"/>
    <cellStyle name="40% - Accent4 3 2 5 4 2" xfId="8237"/>
    <cellStyle name="40% - Accent4 3 2 5 5" xfId="6903"/>
    <cellStyle name="40% - Accent4 3 2 6" xfId="4744"/>
    <cellStyle name="40% - Accent4 3 2 6 2" xfId="5418"/>
    <cellStyle name="40% - Accent4 3 2 6 2 2" xfId="7737"/>
    <cellStyle name="40% - Accent4 3 2 6 3" xfId="6086"/>
    <cellStyle name="40% - Accent4 3 2 6 3 2" xfId="8405"/>
    <cellStyle name="40% - Accent4 3 2 6 4" xfId="7065"/>
    <cellStyle name="40% - Accent4 3 2 7" xfId="5086"/>
    <cellStyle name="40% - Accent4 3 2 7 2" xfId="7405"/>
    <cellStyle name="40% - Accent4 3 2 8" xfId="5750"/>
    <cellStyle name="40% - Accent4 3 2 8 2" xfId="8069"/>
    <cellStyle name="40% - Accent4 3 2 9" xfId="6544"/>
    <cellStyle name="40% - Accent4 3 3" xfId="1846"/>
    <cellStyle name="40% - Accent4 3 3 2" xfId="4642"/>
    <cellStyle name="40% - Accent4 3 3 2 2" xfId="4971"/>
    <cellStyle name="40% - Accent4 3 3 2 2 2" xfId="5647"/>
    <cellStyle name="40% - Accent4 3 3 2 2 2 2" xfId="7966"/>
    <cellStyle name="40% - Accent4 3 3 2 2 3" xfId="6317"/>
    <cellStyle name="40% - Accent4 3 3 2 2 3 2" xfId="8636"/>
    <cellStyle name="40% - Accent4 3 3 2 2 4" xfId="7292"/>
    <cellStyle name="40% - Accent4 3 3 2 3" xfId="5315"/>
    <cellStyle name="40% - Accent4 3 3 2 3 2" xfId="7634"/>
    <cellStyle name="40% - Accent4 3 3 2 4" xfId="5981"/>
    <cellStyle name="40% - Accent4 3 3 2 4 2" xfId="8300"/>
    <cellStyle name="40% - Accent4 3 3 2 5" xfId="6963"/>
    <cellStyle name="40% - Accent4 3 3 3" xfId="4806"/>
    <cellStyle name="40% - Accent4 3 3 3 2" xfId="5481"/>
    <cellStyle name="40% - Accent4 3 3 3 2 2" xfId="7800"/>
    <cellStyle name="40% - Accent4 3 3 3 3" xfId="6149"/>
    <cellStyle name="40% - Accent4 3 3 3 3 2" xfId="8468"/>
    <cellStyle name="40% - Accent4 3 3 3 4" xfId="7127"/>
    <cellStyle name="40% - Accent4 3 3 4" xfId="5149"/>
    <cellStyle name="40% - Accent4 3 3 4 2" xfId="7468"/>
    <cellStyle name="40% - Accent4 3 3 5" xfId="5813"/>
    <cellStyle name="40% - Accent4 3 3 5 2" xfId="8132"/>
    <cellStyle name="40% - Accent4 3 3 6" xfId="6547"/>
    <cellStyle name="40% - Accent4 3 4" xfId="1847"/>
    <cellStyle name="40% - Accent4 3 4 2" xfId="4602"/>
    <cellStyle name="40% - Accent4 3 4 2 2" xfId="4930"/>
    <cellStyle name="40% - Accent4 3 4 2 2 2" xfId="5605"/>
    <cellStyle name="40% - Accent4 3 4 2 2 2 2" xfId="7924"/>
    <cellStyle name="40% - Accent4 3 4 2 2 3" xfId="6275"/>
    <cellStyle name="40% - Accent4 3 4 2 2 3 2" xfId="8594"/>
    <cellStyle name="40% - Accent4 3 4 2 2 4" xfId="7251"/>
    <cellStyle name="40% - Accent4 3 4 2 3" xfId="5273"/>
    <cellStyle name="40% - Accent4 3 4 2 3 2" xfId="7592"/>
    <cellStyle name="40% - Accent4 3 4 2 4" xfId="5939"/>
    <cellStyle name="40% - Accent4 3 4 2 4 2" xfId="8258"/>
    <cellStyle name="40% - Accent4 3 4 2 5" xfId="6923"/>
    <cellStyle name="40% - Accent4 3 4 3" xfId="4765"/>
    <cellStyle name="40% - Accent4 3 4 3 2" xfId="5439"/>
    <cellStyle name="40% - Accent4 3 4 3 2 2" xfId="7758"/>
    <cellStyle name="40% - Accent4 3 4 3 3" xfId="6107"/>
    <cellStyle name="40% - Accent4 3 4 3 3 2" xfId="8426"/>
    <cellStyle name="40% - Accent4 3 4 3 4" xfId="7086"/>
    <cellStyle name="40% - Accent4 3 4 4" xfId="5107"/>
    <cellStyle name="40% - Accent4 3 4 4 2" xfId="7426"/>
    <cellStyle name="40% - Accent4 3 4 5" xfId="5771"/>
    <cellStyle name="40% - Accent4 3 4 5 2" xfId="8090"/>
    <cellStyle name="40% - Accent4 3 4 6" xfId="6548"/>
    <cellStyle name="40% - Accent4 3 5" xfId="1848"/>
    <cellStyle name="40% - Accent4 3 5 2" xfId="4682"/>
    <cellStyle name="40% - Accent4 3 5 2 2" xfId="5011"/>
    <cellStyle name="40% - Accent4 3 5 2 2 2" xfId="5687"/>
    <cellStyle name="40% - Accent4 3 5 2 2 2 2" xfId="8006"/>
    <cellStyle name="40% - Accent4 3 5 2 2 3" xfId="6359"/>
    <cellStyle name="40% - Accent4 3 5 2 2 3 2" xfId="8678"/>
    <cellStyle name="40% - Accent4 3 5 2 2 4" xfId="7332"/>
    <cellStyle name="40% - Accent4 3 5 2 3" xfId="5355"/>
    <cellStyle name="40% - Accent4 3 5 2 3 2" xfId="7674"/>
    <cellStyle name="40% - Accent4 3 5 2 4" xfId="6023"/>
    <cellStyle name="40% - Accent4 3 5 2 4 2" xfId="8342"/>
    <cellStyle name="40% - Accent4 3 5 2 5" xfId="7003"/>
    <cellStyle name="40% - Accent4 3 5 3" xfId="4846"/>
    <cellStyle name="40% - Accent4 3 5 3 2" xfId="5521"/>
    <cellStyle name="40% - Accent4 3 5 3 2 2" xfId="7840"/>
    <cellStyle name="40% - Accent4 3 5 3 3" xfId="6191"/>
    <cellStyle name="40% - Accent4 3 5 3 3 2" xfId="8510"/>
    <cellStyle name="40% - Accent4 3 5 3 4" xfId="7167"/>
    <cellStyle name="40% - Accent4 3 5 4" xfId="5189"/>
    <cellStyle name="40% - Accent4 3 5 4 2" xfId="7508"/>
    <cellStyle name="40% - Accent4 3 5 5" xfId="5855"/>
    <cellStyle name="40% - Accent4 3 5 5 2" xfId="8174"/>
    <cellStyle name="40% - Accent4 3 5 6" xfId="4535"/>
    <cellStyle name="40% - Accent4 3 5 6 2" xfId="6856"/>
    <cellStyle name="40% - Accent4 3 6" xfId="4411"/>
    <cellStyle name="40% - Accent4 3 6 2" xfId="4888"/>
    <cellStyle name="40% - Accent4 3 6 2 2" xfId="5563"/>
    <cellStyle name="40% - Accent4 3 6 2 2 2" xfId="7882"/>
    <cellStyle name="40% - Accent4 3 6 2 3" xfId="6233"/>
    <cellStyle name="40% - Accent4 3 6 2 3 2" xfId="8552"/>
    <cellStyle name="40% - Accent4 3 6 2 4" xfId="7209"/>
    <cellStyle name="40% - Accent4 3 6 3" xfId="5231"/>
    <cellStyle name="40% - Accent4 3 6 3 2" xfId="7550"/>
    <cellStyle name="40% - Accent4 3 6 4" xfId="5897"/>
    <cellStyle name="40% - Accent4 3 6 4 2" xfId="8216"/>
    <cellStyle name="40% - Accent4 3 6 5" xfId="6543"/>
    <cellStyle name="40% - Accent4 3 7" xfId="4723"/>
    <cellStyle name="40% - Accent4 3 7 2" xfId="5397"/>
    <cellStyle name="40% - Accent4 3 7 2 2" xfId="7716"/>
    <cellStyle name="40% - Accent4 3 7 3" xfId="6065"/>
    <cellStyle name="40% - Accent4 3 7 3 2" xfId="8384"/>
    <cellStyle name="40% - Accent4 3 7 4" xfId="7044"/>
    <cellStyle name="40% - Accent4 3 8" xfId="5065"/>
    <cellStyle name="40% - Accent4 3 8 2" xfId="7384"/>
    <cellStyle name="40% - Accent4 3 9" xfId="5729"/>
    <cellStyle name="40% - Accent4 3 9 2" xfId="8048"/>
    <cellStyle name="40% - Accent4 4" xfId="6484"/>
    <cellStyle name="40% - Accent4 4 2" xfId="8809"/>
    <cellStyle name="40% - Accent4 5" xfId="4393"/>
    <cellStyle name="40% - Accent5" xfId="226" builtinId="47" customBuiltin="1"/>
    <cellStyle name="40% - Accent5 2" xfId="227"/>
    <cellStyle name="40% - Accent5 2 2" xfId="228"/>
    <cellStyle name="40% - Accent5 2 3" xfId="4102"/>
    <cellStyle name="40% - Accent5 3" xfId="1851"/>
    <cellStyle name="40% - Accent5 3 10" xfId="6549"/>
    <cellStyle name="40% - Accent5 3 2" xfId="1852"/>
    <cellStyle name="40% - Accent5 3 2 2" xfId="1853"/>
    <cellStyle name="40% - Accent5 3 2 2 2" xfId="4663"/>
    <cellStyle name="40% - Accent5 3 2 2 2 2" xfId="4992"/>
    <cellStyle name="40% - Accent5 3 2 2 2 2 2" xfId="5668"/>
    <cellStyle name="40% - Accent5 3 2 2 2 2 2 2" xfId="7987"/>
    <cellStyle name="40% - Accent5 3 2 2 2 2 3" xfId="6339"/>
    <cellStyle name="40% - Accent5 3 2 2 2 2 3 2" xfId="8658"/>
    <cellStyle name="40% - Accent5 3 2 2 2 2 4" xfId="7313"/>
    <cellStyle name="40% - Accent5 3 2 2 2 3" xfId="5336"/>
    <cellStyle name="40% - Accent5 3 2 2 2 3 2" xfId="7655"/>
    <cellStyle name="40% - Accent5 3 2 2 2 4" xfId="6003"/>
    <cellStyle name="40% - Accent5 3 2 2 2 4 2" xfId="8322"/>
    <cellStyle name="40% - Accent5 3 2 2 2 5" xfId="6984"/>
    <cellStyle name="40% - Accent5 3 2 2 3" xfId="4827"/>
    <cellStyle name="40% - Accent5 3 2 2 3 2" xfId="5502"/>
    <cellStyle name="40% - Accent5 3 2 2 3 2 2" xfId="7821"/>
    <cellStyle name="40% - Accent5 3 2 2 3 3" xfId="6171"/>
    <cellStyle name="40% - Accent5 3 2 2 3 3 2" xfId="8490"/>
    <cellStyle name="40% - Accent5 3 2 2 3 4" xfId="7148"/>
    <cellStyle name="40% - Accent5 3 2 2 4" xfId="5170"/>
    <cellStyle name="40% - Accent5 3 2 2 4 2" xfId="7489"/>
    <cellStyle name="40% - Accent5 3 2 2 5" xfId="5835"/>
    <cellStyle name="40% - Accent5 3 2 2 5 2" xfId="8154"/>
    <cellStyle name="40% - Accent5 3 2 2 6" xfId="6551"/>
    <cellStyle name="40% - Accent5 3 2 3" xfId="1854"/>
    <cellStyle name="40% - Accent5 3 2 3 2" xfId="4623"/>
    <cellStyle name="40% - Accent5 3 2 3 2 2" xfId="4952"/>
    <cellStyle name="40% - Accent5 3 2 3 2 2 2" xfId="5627"/>
    <cellStyle name="40% - Accent5 3 2 3 2 2 2 2" xfId="7946"/>
    <cellStyle name="40% - Accent5 3 2 3 2 2 3" xfId="6297"/>
    <cellStyle name="40% - Accent5 3 2 3 2 2 3 2" xfId="8616"/>
    <cellStyle name="40% - Accent5 3 2 3 2 2 4" xfId="7273"/>
    <cellStyle name="40% - Accent5 3 2 3 2 3" xfId="5295"/>
    <cellStyle name="40% - Accent5 3 2 3 2 3 2" xfId="7614"/>
    <cellStyle name="40% - Accent5 3 2 3 2 4" xfId="5961"/>
    <cellStyle name="40% - Accent5 3 2 3 2 4 2" xfId="8280"/>
    <cellStyle name="40% - Accent5 3 2 3 2 5" xfId="6944"/>
    <cellStyle name="40% - Accent5 3 2 3 3" xfId="4787"/>
    <cellStyle name="40% - Accent5 3 2 3 3 2" xfId="5461"/>
    <cellStyle name="40% - Accent5 3 2 3 3 2 2" xfId="7780"/>
    <cellStyle name="40% - Accent5 3 2 3 3 3" xfId="6129"/>
    <cellStyle name="40% - Accent5 3 2 3 3 3 2" xfId="8448"/>
    <cellStyle name="40% - Accent5 3 2 3 3 4" xfId="7108"/>
    <cellStyle name="40% - Accent5 3 2 3 4" xfId="5129"/>
    <cellStyle name="40% - Accent5 3 2 3 4 2" xfId="7448"/>
    <cellStyle name="40% - Accent5 3 2 3 5" xfId="5793"/>
    <cellStyle name="40% - Accent5 3 2 3 5 2" xfId="8112"/>
    <cellStyle name="40% - Accent5 3 2 3 6" xfId="6552"/>
    <cellStyle name="40% - Accent5 3 2 4" xfId="4551"/>
    <cellStyle name="40% - Accent5 3 2 4 2" xfId="4704"/>
    <cellStyle name="40% - Accent5 3 2 4 2 2" xfId="5033"/>
    <cellStyle name="40% - Accent5 3 2 4 2 2 2" xfId="5709"/>
    <cellStyle name="40% - Accent5 3 2 4 2 2 2 2" xfId="8028"/>
    <cellStyle name="40% - Accent5 3 2 4 2 2 3" xfId="6381"/>
    <cellStyle name="40% - Accent5 3 2 4 2 2 3 2" xfId="8700"/>
    <cellStyle name="40% - Accent5 3 2 4 2 2 4" xfId="7354"/>
    <cellStyle name="40% - Accent5 3 2 4 2 3" xfId="5377"/>
    <cellStyle name="40% - Accent5 3 2 4 2 3 2" xfId="7696"/>
    <cellStyle name="40% - Accent5 3 2 4 2 4" xfId="6045"/>
    <cellStyle name="40% - Accent5 3 2 4 2 4 2" xfId="8364"/>
    <cellStyle name="40% - Accent5 3 2 4 2 5" xfId="7025"/>
    <cellStyle name="40% - Accent5 3 2 4 3" xfId="4868"/>
    <cellStyle name="40% - Accent5 3 2 4 3 2" xfId="5543"/>
    <cellStyle name="40% - Accent5 3 2 4 3 2 2" xfId="7862"/>
    <cellStyle name="40% - Accent5 3 2 4 3 3" xfId="6213"/>
    <cellStyle name="40% - Accent5 3 2 4 3 3 2" xfId="8532"/>
    <cellStyle name="40% - Accent5 3 2 4 3 4" xfId="7189"/>
    <cellStyle name="40% - Accent5 3 2 4 4" xfId="5211"/>
    <cellStyle name="40% - Accent5 3 2 4 4 2" xfId="7530"/>
    <cellStyle name="40% - Accent5 3 2 4 5" xfId="5877"/>
    <cellStyle name="40% - Accent5 3 2 4 5 2" xfId="8196"/>
    <cellStyle name="40% - Accent5 3 2 4 6" xfId="6872"/>
    <cellStyle name="40% - Accent5 3 2 5" xfId="4583"/>
    <cellStyle name="40% - Accent5 3 2 5 2" xfId="4910"/>
    <cellStyle name="40% - Accent5 3 2 5 2 2" xfId="5585"/>
    <cellStyle name="40% - Accent5 3 2 5 2 2 2" xfId="7904"/>
    <cellStyle name="40% - Accent5 3 2 5 2 3" xfId="6255"/>
    <cellStyle name="40% - Accent5 3 2 5 2 3 2" xfId="8574"/>
    <cellStyle name="40% - Accent5 3 2 5 2 4" xfId="7231"/>
    <cellStyle name="40% - Accent5 3 2 5 3" xfId="5253"/>
    <cellStyle name="40% - Accent5 3 2 5 3 2" xfId="7572"/>
    <cellStyle name="40% - Accent5 3 2 5 4" xfId="5919"/>
    <cellStyle name="40% - Accent5 3 2 5 4 2" xfId="8238"/>
    <cellStyle name="40% - Accent5 3 2 5 5" xfId="6904"/>
    <cellStyle name="40% - Accent5 3 2 6" xfId="4745"/>
    <cellStyle name="40% - Accent5 3 2 6 2" xfId="5419"/>
    <cellStyle name="40% - Accent5 3 2 6 2 2" xfId="7738"/>
    <cellStyle name="40% - Accent5 3 2 6 3" xfId="6087"/>
    <cellStyle name="40% - Accent5 3 2 6 3 2" xfId="8406"/>
    <cellStyle name="40% - Accent5 3 2 6 4" xfId="7066"/>
    <cellStyle name="40% - Accent5 3 2 7" xfId="5087"/>
    <cellStyle name="40% - Accent5 3 2 7 2" xfId="7406"/>
    <cellStyle name="40% - Accent5 3 2 8" xfId="5751"/>
    <cellStyle name="40% - Accent5 3 2 8 2" xfId="8070"/>
    <cellStyle name="40% - Accent5 3 2 9" xfId="6550"/>
    <cellStyle name="40% - Accent5 3 3" xfId="1855"/>
    <cellStyle name="40% - Accent5 3 3 2" xfId="4643"/>
    <cellStyle name="40% - Accent5 3 3 2 2" xfId="4972"/>
    <cellStyle name="40% - Accent5 3 3 2 2 2" xfId="5648"/>
    <cellStyle name="40% - Accent5 3 3 2 2 2 2" xfId="7967"/>
    <cellStyle name="40% - Accent5 3 3 2 2 3" xfId="6318"/>
    <cellStyle name="40% - Accent5 3 3 2 2 3 2" xfId="8637"/>
    <cellStyle name="40% - Accent5 3 3 2 2 4" xfId="7293"/>
    <cellStyle name="40% - Accent5 3 3 2 3" xfId="5316"/>
    <cellStyle name="40% - Accent5 3 3 2 3 2" xfId="7635"/>
    <cellStyle name="40% - Accent5 3 3 2 4" xfId="5982"/>
    <cellStyle name="40% - Accent5 3 3 2 4 2" xfId="8301"/>
    <cellStyle name="40% - Accent5 3 3 2 5" xfId="6964"/>
    <cellStyle name="40% - Accent5 3 3 3" xfId="4807"/>
    <cellStyle name="40% - Accent5 3 3 3 2" xfId="5482"/>
    <cellStyle name="40% - Accent5 3 3 3 2 2" xfId="7801"/>
    <cellStyle name="40% - Accent5 3 3 3 3" xfId="6150"/>
    <cellStyle name="40% - Accent5 3 3 3 3 2" xfId="8469"/>
    <cellStyle name="40% - Accent5 3 3 3 4" xfId="7128"/>
    <cellStyle name="40% - Accent5 3 3 4" xfId="5150"/>
    <cellStyle name="40% - Accent5 3 3 4 2" xfId="7469"/>
    <cellStyle name="40% - Accent5 3 3 5" xfId="5814"/>
    <cellStyle name="40% - Accent5 3 3 5 2" xfId="8133"/>
    <cellStyle name="40% - Accent5 3 3 6" xfId="6553"/>
    <cellStyle name="40% - Accent5 3 4" xfId="1856"/>
    <cellStyle name="40% - Accent5 3 4 2" xfId="4603"/>
    <cellStyle name="40% - Accent5 3 4 2 2" xfId="4931"/>
    <cellStyle name="40% - Accent5 3 4 2 2 2" xfId="5606"/>
    <cellStyle name="40% - Accent5 3 4 2 2 2 2" xfId="7925"/>
    <cellStyle name="40% - Accent5 3 4 2 2 3" xfId="6276"/>
    <cellStyle name="40% - Accent5 3 4 2 2 3 2" xfId="8595"/>
    <cellStyle name="40% - Accent5 3 4 2 2 4" xfId="7252"/>
    <cellStyle name="40% - Accent5 3 4 2 3" xfId="5274"/>
    <cellStyle name="40% - Accent5 3 4 2 3 2" xfId="7593"/>
    <cellStyle name="40% - Accent5 3 4 2 4" xfId="5940"/>
    <cellStyle name="40% - Accent5 3 4 2 4 2" xfId="8259"/>
    <cellStyle name="40% - Accent5 3 4 2 5" xfId="6924"/>
    <cellStyle name="40% - Accent5 3 4 3" xfId="4766"/>
    <cellStyle name="40% - Accent5 3 4 3 2" xfId="5440"/>
    <cellStyle name="40% - Accent5 3 4 3 2 2" xfId="7759"/>
    <cellStyle name="40% - Accent5 3 4 3 3" xfId="6108"/>
    <cellStyle name="40% - Accent5 3 4 3 3 2" xfId="8427"/>
    <cellStyle name="40% - Accent5 3 4 3 4" xfId="7087"/>
    <cellStyle name="40% - Accent5 3 4 4" xfId="5108"/>
    <cellStyle name="40% - Accent5 3 4 4 2" xfId="7427"/>
    <cellStyle name="40% - Accent5 3 4 5" xfId="5772"/>
    <cellStyle name="40% - Accent5 3 4 5 2" xfId="8091"/>
    <cellStyle name="40% - Accent5 3 4 6" xfId="6554"/>
    <cellStyle name="40% - Accent5 3 5" xfId="1857"/>
    <cellStyle name="40% - Accent5 3 5 2" xfId="4683"/>
    <cellStyle name="40% - Accent5 3 5 2 2" xfId="5012"/>
    <cellStyle name="40% - Accent5 3 5 2 2 2" xfId="5688"/>
    <cellStyle name="40% - Accent5 3 5 2 2 2 2" xfId="8007"/>
    <cellStyle name="40% - Accent5 3 5 2 2 3" xfId="6360"/>
    <cellStyle name="40% - Accent5 3 5 2 2 3 2" xfId="8679"/>
    <cellStyle name="40% - Accent5 3 5 2 2 4" xfId="7333"/>
    <cellStyle name="40% - Accent5 3 5 2 3" xfId="5356"/>
    <cellStyle name="40% - Accent5 3 5 2 3 2" xfId="7675"/>
    <cellStyle name="40% - Accent5 3 5 2 4" xfId="6024"/>
    <cellStyle name="40% - Accent5 3 5 2 4 2" xfId="8343"/>
    <cellStyle name="40% - Accent5 3 5 2 5" xfId="7004"/>
    <cellStyle name="40% - Accent5 3 5 3" xfId="4847"/>
    <cellStyle name="40% - Accent5 3 5 3 2" xfId="5522"/>
    <cellStyle name="40% - Accent5 3 5 3 2 2" xfId="7841"/>
    <cellStyle name="40% - Accent5 3 5 3 3" xfId="6192"/>
    <cellStyle name="40% - Accent5 3 5 3 3 2" xfId="8511"/>
    <cellStyle name="40% - Accent5 3 5 3 4" xfId="7168"/>
    <cellStyle name="40% - Accent5 3 5 4" xfId="5190"/>
    <cellStyle name="40% - Accent5 3 5 4 2" xfId="7509"/>
    <cellStyle name="40% - Accent5 3 5 5" xfId="5856"/>
    <cellStyle name="40% - Accent5 3 5 5 2" xfId="8175"/>
    <cellStyle name="40% - Accent5 3 5 6" xfId="4536"/>
    <cellStyle name="40% - Accent5 3 5 6 2" xfId="6857"/>
    <cellStyle name="40% - Accent5 3 6" xfId="4565"/>
    <cellStyle name="40% - Accent5 3 6 2" xfId="4889"/>
    <cellStyle name="40% - Accent5 3 6 2 2" xfId="5564"/>
    <cellStyle name="40% - Accent5 3 6 2 2 2" xfId="7883"/>
    <cellStyle name="40% - Accent5 3 6 2 3" xfId="6234"/>
    <cellStyle name="40% - Accent5 3 6 2 3 2" xfId="8553"/>
    <cellStyle name="40% - Accent5 3 6 2 4" xfId="7210"/>
    <cellStyle name="40% - Accent5 3 6 3" xfId="5232"/>
    <cellStyle name="40% - Accent5 3 6 3 2" xfId="7551"/>
    <cellStyle name="40% - Accent5 3 6 4" xfId="5898"/>
    <cellStyle name="40% - Accent5 3 6 4 2" xfId="8217"/>
    <cellStyle name="40% - Accent5 3 6 5" xfId="6886"/>
    <cellStyle name="40% - Accent5 3 7" xfId="4724"/>
    <cellStyle name="40% - Accent5 3 7 2" xfId="5398"/>
    <cellStyle name="40% - Accent5 3 7 2 2" xfId="7717"/>
    <cellStyle name="40% - Accent5 3 7 3" xfId="6066"/>
    <cellStyle name="40% - Accent5 3 7 3 2" xfId="8385"/>
    <cellStyle name="40% - Accent5 3 7 4" xfId="7045"/>
    <cellStyle name="40% - Accent5 3 8" xfId="5066"/>
    <cellStyle name="40% - Accent5 3 8 2" xfId="7385"/>
    <cellStyle name="40% - Accent5 3 9" xfId="5730"/>
    <cellStyle name="40% - Accent5 3 9 2" xfId="8049"/>
    <cellStyle name="40% - Accent5 4" xfId="6486"/>
    <cellStyle name="40% - Accent5 4 2" xfId="8811"/>
    <cellStyle name="40% - Accent5 5" xfId="4397"/>
    <cellStyle name="40% - Accent6" xfId="229" builtinId="51" customBuiltin="1"/>
    <cellStyle name="40% - Accent6 2" xfId="230"/>
    <cellStyle name="40% - Accent6 2 2" xfId="231"/>
    <cellStyle name="40% - Accent6 2 3" xfId="4103"/>
    <cellStyle name="40% - Accent6 3" xfId="1859"/>
    <cellStyle name="40% - Accent6 3 10" xfId="4250"/>
    <cellStyle name="40% - Accent6 3 10 2" xfId="8784"/>
    <cellStyle name="40% - Accent6 3 2" xfId="1860"/>
    <cellStyle name="40% - Accent6 3 2 2" xfId="1861"/>
    <cellStyle name="40% - Accent6 3 2 2 2" xfId="4664"/>
    <cellStyle name="40% - Accent6 3 2 2 2 2" xfId="4993"/>
    <cellStyle name="40% - Accent6 3 2 2 2 2 2" xfId="5669"/>
    <cellStyle name="40% - Accent6 3 2 2 2 2 2 2" xfId="7988"/>
    <cellStyle name="40% - Accent6 3 2 2 2 2 3" xfId="6340"/>
    <cellStyle name="40% - Accent6 3 2 2 2 2 3 2" xfId="8659"/>
    <cellStyle name="40% - Accent6 3 2 2 2 2 4" xfId="7314"/>
    <cellStyle name="40% - Accent6 3 2 2 2 3" xfId="5337"/>
    <cellStyle name="40% - Accent6 3 2 2 2 3 2" xfId="7656"/>
    <cellStyle name="40% - Accent6 3 2 2 2 4" xfId="6004"/>
    <cellStyle name="40% - Accent6 3 2 2 2 4 2" xfId="8323"/>
    <cellStyle name="40% - Accent6 3 2 2 2 5" xfId="6985"/>
    <cellStyle name="40% - Accent6 3 2 2 3" xfId="4828"/>
    <cellStyle name="40% - Accent6 3 2 2 3 2" xfId="5503"/>
    <cellStyle name="40% - Accent6 3 2 2 3 2 2" xfId="7822"/>
    <cellStyle name="40% - Accent6 3 2 2 3 3" xfId="6172"/>
    <cellStyle name="40% - Accent6 3 2 2 3 3 2" xfId="8491"/>
    <cellStyle name="40% - Accent6 3 2 2 3 4" xfId="7149"/>
    <cellStyle name="40% - Accent6 3 2 2 4" xfId="5171"/>
    <cellStyle name="40% - Accent6 3 2 2 4 2" xfId="7490"/>
    <cellStyle name="40% - Accent6 3 2 2 5" xfId="5836"/>
    <cellStyle name="40% - Accent6 3 2 2 5 2" xfId="8155"/>
    <cellStyle name="40% - Accent6 3 2 2 6" xfId="6557"/>
    <cellStyle name="40% - Accent6 3 2 3" xfId="1862"/>
    <cellStyle name="40% - Accent6 3 2 3 2" xfId="4624"/>
    <cellStyle name="40% - Accent6 3 2 3 2 2" xfId="4953"/>
    <cellStyle name="40% - Accent6 3 2 3 2 2 2" xfId="5628"/>
    <cellStyle name="40% - Accent6 3 2 3 2 2 2 2" xfId="7947"/>
    <cellStyle name="40% - Accent6 3 2 3 2 2 3" xfId="6298"/>
    <cellStyle name="40% - Accent6 3 2 3 2 2 3 2" xfId="8617"/>
    <cellStyle name="40% - Accent6 3 2 3 2 2 4" xfId="7274"/>
    <cellStyle name="40% - Accent6 3 2 3 2 3" xfId="5296"/>
    <cellStyle name="40% - Accent6 3 2 3 2 3 2" xfId="7615"/>
    <cellStyle name="40% - Accent6 3 2 3 2 4" xfId="5962"/>
    <cellStyle name="40% - Accent6 3 2 3 2 4 2" xfId="8281"/>
    <cellStyle name="40% - Accent6 3 2 3 2 5" xfId="6945"/>
    <cellStyle name="40% - Accent6 3 2 3 3" xfId="4788"/>
    <cellStyle name="40% - Accent6 3 2 3 3 2" xfId="5462"/>
    <cellStyle name="40% - Accent6 3 2 3 3 2 2" xfId="7781"/>
    <cellStyle name="40% - Accent6 3 2 3 3 3" xfId="6130"/>
    <cellStyle name="40% - Accent6 3 2 3 3 3 2" xfId="8449"/>
    <cellStyle name="40% - Accent6 3 2 3 3 4" xfId="7109"/>
    <cellStyle name="40% - Accent6 3 2 3 4" xfId="5130"/>
    <cellStyle name="40% - Accent6 3 2 3 4 2" xfId="7449"/>
    <cellStyle name="40% - Accent6 3 2 3 5" xfId="5794"/>
    <cellStyle name="40% - Accent6 3 2 3 5 2" xfId="8113"/>
    <cellStyle name="40% - Accent6 3 2 3 6" xfId="6558"/>
    <cellStyle name="40% - Accent6 3 2 4" xfId="4552"/>
    <cellStyle name="40% - Accent6 3 2 4 2" xfId="4705"/>
    <cellStyle name="40% - Accent6 3 2 4 2 2" xfId="5034"/>
    <cellStyle name="40% - Accent6 3 2 4 2 2 2" xfId="5710"/>
    <cellStyle name="40% - Accent6 3 2 4 2 2 2 2" xfId="8029"/>
    <cellStyle name="40% - Accent6 3 2 4 2 2 3" xfId="6382"/>
    <cellStyle name="40% - Accent6 3 2 4 2 2 3 2" xfId="8701"/>
    <cellStyle name="40% - Accent6 3 2 4 2 2 4" xfId="7355"/>
    <cellStyle name="40% - Accent6 3 2 4 2 3" xfId="5378"/>
    <cellStyle name="40% - Accent6 3 2 4 2 3 2" xfId="7697"/>
    <cellStyle name="40% - Accent6 3 2 4 2 4" xfId="6046"/>
    <cellStyle name="40% - Accent6 3 2 4 2 4 2" xfId="8365"/>
    <cellStyle name="40% - Accent6 3 2 4 2 5" xfId="7026"/>
    <cellStyle name="40% - Accent6 3 2 4 3" xfId="4869"/>
    <cellStyle name="40% - Accent6 3 2 4 3 2" xfId="5544"/>
    <cellStyle name="40% - Accent6 3 2 4 3 2 2" xfId="7863"/>
    <cellStyle name="40% - Accent6 3 2 4 3 3" xfId="6214"/>
    <cellStyle name="40% - Accent6 3 2 4 3 3 2" xfId="8533"/>
    <cellStyle name="40% - Accent6 3 2 4 3 4" xfId="7190"/>
    <cellStyle name="40% - Accent6 3 2 4 4" xfId="5212"/>
    <cellStyle name="40% - Accent6 3 2 4 4 2" xfId="7531"/>
    <cellStyle name="40% - Accent6 3 2 4 5" xfId="5878"/>
    <cellStyle name="40% - Accent6 3 2 4 5 2" xfId="8197"/>
    <cellStyle name="40% - Accent6 3 2 4 6" xfId="6873"/>
    <cellStyle name="40% - Accent6 3 2 5" xfId="4584"/>
    <cellStyle name="40% - Accent6 3 2 5 2" xfId="4911"/>
    <cellStyle name="40% - Accent6 3 2 5 2 2" xfId="5586"/>
    <cellStyle name="40% - Accent6 3 2 5 2 2 2" xfId="7905"/>
    <cellStyle name="40% - Accent6 3 2 5 2 3" xfId="6256"/>
    <cellStyle name="40% - Accent6 3 2 5 2 3 2" xfId="8575"/>
    <cellStyle name="40% - Accent6 3 2 5 2 4" xfId="7232"/>
    <cellStyle name="40% - Accent6 3 2 5 3" xfId="5254"/>
    <cellStyle name="40% - Accent6 3 2 5 3 2" xfId="7573"/>
    <cellStyle name="40% - Accent6 3 2 5 4" xfId="5920"/>
    <cellStyle name="40% - Accent6 3 2 5 4 2" xfId="8239"/>
    <cellStyle name="40% - Accent6 3 2 5 5" xfId="6905"/>
    <cellStyle name="40% - Accent6 3 2 6" xfId="4746"/>
    <cellStyle name="40% - Accent6 3 2 6 2" xfId="5420"/>
    <cellStyle name="40% - Accent6 3 2 6 2 2" xfId="7739"/>
    <cellStyle name="40% - Accent6 3 2 6 3" xfId="6088"/>
    <cellStyle name="40% - Accent6 3 2 6 3 2" xfId="8407"/>
    <cellStyle name="40% - Accent6 3 2 6 4" xfId="7067"/>
    <cellStyle name="40% - Accent6 3 2 7" xfId="5088"/>
    <cellStyle name="40% - Accent6 3 2 7 2" xfId="7407"/>
    <cellStyle name="40% - Accent6 3 2 8" xfId="5752"/>
    <cellStyle name="40% - Accent6 3 2 8 2" xfId="8071"/>
    <cellStyle name="40% - Accent6 3 2 9" xfId="6556"/>
    <cellStyle name="40% - Accent6 3 3" xfId="1863"/>
    <cellStyle name="40% - Accent6 3 3 2" xfId="4644"/>
    <cellStyle name="40% - Accent6 3 3 2 2" xfId="4973"/>
    <cellStyle name="40% - Accent6 3 3 2 2 2" xfId="5649"/>
    <cellStyle name="40% - Accent6 3 3 2 2 2 2" xfId="7968"/>
    <cellStyle name="40% - Accent6 3 3 2 2 3" xfId="6319"/>
    <cellStyle name="40% - Accent6 3 3 2 2 3 2" xfId="8638"/>
    <cellStyle name="40% - Accent6 3 3 2 2 4" xfId="7294"/>
    <cellStyle name="40% - Accent6 3 3 2 3" xfId="5317"/>
    <cellStyle name="40% - Accent6 3 3 2 3 2" xfId="7636"/>
    <cellStyle name="40% - Accent6 3 3 2 4" xfId="5983"/>
    <cellStyle name="40% - Accent6 3 3 2 4 2" xfId="8302"/>
    <cellStyle name="40% - Accent6 3 3 2 5" xfId="6965"/>
    <cellStyle name="40% - Accent6 3 3 3" xfId="4808"/>
    <cellStyle name="40% - Accent6 3 3 3 2" xfId="5483"/>
    <cellStyle name="40% - Accent6 3 3 3 2 2" xfId="7802"/>
    <cellStyle name="40% - Accent6 3 3 3 3" xfId="6151"/>
    <cellStyle name="40% - Accent6 3 3 3 3 2" xfId="8470"/>
    <cellStyle name="40% - Accent6 3 3 3 4" xfId="7129"/>
    <cellStyle name="40% - Accent6 3 3 4" xfId="5151"/>
    <cellStyle name="40% - Accent6 3 3 4 2" xfId="7470"/>
    <cellStyle name="40% - Accent6 3 3 5" xfId="5815"/>
    <cellStyle name="40% - Accent6 3 3 5 2" xfId="8134"/>
    <cellStyle name="40% - Accent6 3 3 6" xfId="6559"/>
    <cellStyle name="40% - Accent6 3 4" xfId="1864"/>
    <cellStyle name="40% - Accent6 3 4 2" xfId="4604"/>
    <cellStyle name="40% - Accent6 3 4 2 2" xfId="4932"/>
    <cellStyle name="40% - Accent6 3 4 2 2 2" xfId="5607"/>
    <cellStyle name="40% - Accent6 3 4 2 2 2 2" xfId="7926"/>
    <cellStyle name="40% - Accent6 3 4 2 2 3" xfId="6277"/>
    <cellStyle name="40% - Accent6 3 4 2 2 3 2" xfId="8596"/>
    <cellStyle name="40% - Accent6 3 4 2 2 4" xfId="7253"/>
    <cellStyle name="40% - Accent6 3 4 2 3" xfId="5275"/>
    <cellStyle name="40% - Accent6 3 4 2 3 2" xfId="7594"/>
    <cellStyle name="40% - Accent6 3 4 2 4" xfId="5941"/>
    <cellStyle name="40% - Accent6 3 4 2 4 2" xfId="8260"/>
    <cellStyle name="40% - Accent6 3 4 2 5" xfId="6925"/>
    <cellStyle name="40% - Accent6 3 4 3" xfId="4767"/>
    <cellStyle name="40% - Accent6 3 4 3 2" xfId="5441"/>
    <cellStyle name="40% - Accent6 3 4 3 2 2" xfId="7760"/>
    <cellStyle name="40% - Accent6 3 4 3 3" xfId="6109"/>
    <cellStyle name="40% - Accent6 3 4 3 3 2" xfId="8428"/>
    <cellStyle name="40% - Accent6 3 4 3 4" xfId="7088"/>
    <cellStyle name="40% - Accent6 3 4 4" xfId="5109"/>
    <cellStyle name="40% - Accent6 3 4 4 2" xfId="7428"/>
    <cellStyle name="40% - Accent6 3 4 5" xfId="5773"/>
    <cellStyle name="40% - Accent6 3 4 5 2" xfId="8092"/>
    <cellStyle name="40% - Accent6 3 4 6" xfId="6560"/>
    <cellStyle name="40% - Accent6 3 5" xfId="1865"/>
    <cellStyle name="40% - Accent6 3 5 2" xfId="4684"/>
    <cellStyle name="40% - Accent6 3 5 2 2" xfId="5013"/>
    <cellStyle name="40% - Accent6 3 5 2 2 2" xfId="5689"/>
    <cellStyle name="40% - Accent6 3 5 2 2 2 2" xfId="8008"/>
    <cellStyle name="40% - Accent6 3 5 2 2 3" xfId="6361"/>
    <cellStyle name="40% - Accent6 3 5 2 2 3 2" xfId="8680"/>
    <cellStyle name="40% - Accent6 3 5 2 2 4" xfId="7334"/>
    <cellStyle name="40% - Accent6 3 5 2 3" xfId="5357"/>
    <cellStyle name="40% - Accent6 3 5 2 3 2" xfId="7676"/>
    <cellStyle name="40% - Accent6 3 5 2 4" xfId="6025"/>
    <cellStyle name="40% - Accent6 3 5 2 4 2" xfId="8344"/>
    <cellStyle name="40% - Accent6 3 5 2 5" xfId="7005"/>
    <cellStyle name="40% - Accent6 3 5 3" xfId="4848"/>
    <cellStyle name="40% - Accent6 3 5 3 2" xfId="5523"/>
    <cellStyle name="40% - Accent6 3 5 3 2 2" xfId="7842"/>
    <cellStyle name="40% - Accent6 3 5 3 3" xfId="6193"/>
    <cellStyle name="40% - Accent6 3 5 3 3 2" xfId="8512"/>
    <cellStyle name="40% - Accent6 3 5 3 4" xfId="7169"/>
    <cellStyle name="40% - Accent6 3 5 4" xfId="5191"/>
    <cellStyle name="40% - Accent6 3 5 4 2" xfId="7510"/>
    <cellStyle name="40% - Accent6 3 5 5" xfId="5857"/>
    <cellStyle name="40% - Accent6 3 5 5 2" xfId="8176"/>
    <cellStyle name="40% - Accent6 3 5 6" xfId="4537"/>
    <cellStyle name="40% - Accent6 3 5 6 2" xfId="6858"/>
    <cellStyle name="40% - Accent6 3 6" xfId="4412"/>
    <cellStyle name="40% - Accent6 3 6 2" xfId="4890"/>
    <cellStyle name="40% - Accent6 3 6 2 2" xfId="5565"/>
    <cellStyle name="40% - Accent6 3 6 2 2 2" xfId="7884"/>
    <cellStyle name="40% - Accent6 3 6 2 3" xfId="6235"/>
    <cellStyle name="40% - Accent6 3 6 2 3 2" xfId="8554"/>
    <cellStyle name="40% - Accent6 3 6 2 4" xfId="7211"/>
    <cellStyle name="40% - Accent6 3 6 3" xfId="5233"/>
    <cellStyle name="40% - Accent6 3 6 3 2" xfId="7552"/>
    <cellStyle name="40% - Accent6 3 6 4" xfId="5899"/>
    <cellStyle name="40% - Accent6 3 6 4 2" xfId="8218"/>
    <cellStyle name="40% - Accent6 3 6 5" xfId="6555"/>
    <cellStyle name="40% - Accent6 3 7" xfId="4725"/>
    <cellStyle name="40% - Accent6 3 7 2" xfId="5399"/>
    <cellStyle name="40% - Accent6 3 7 2 2" xfId="7718"/>
    <cellStyle name="40% - Accent6 3 7 3" xfId="6067"/>
    <cellStyle name="40% - Accent6 3 7 3 2" xfId="8386"/>
    <cellStyle name="40% - Accent6 3 7 4" xfId="7046"/>
    <cellStyle name="40% - Accent6 3 8" xfId="5067"/>
    <cellStyle name="40% - Accent6 3 8 2" xfId="7386"/>
    <cellStyle name="40% - Accent6 3 9" xfId="5731"/>
    <cellStyle name="40% - Accent6 3 9 2" xfId="8050"/>
    <cellStyle name="40% - Accent6 4" xfId="6488"/>
    <cellStyle name="40% - Accent6 4 2" xfId="8813"/>
    <cellStyle name="40% - Accent6 5" xfId="4399"/>
    <cellStyle name="60% - Accent1" xfId="232" builtinId="32" customBuiltin="1"/>
    <cellStyle name="60% - Accent1 2" xfId="233"/>
    <cellStyle name="60% - Accent1 2 2" xfId="234"/>
    <cellStyle name="60% - Accent1 2 3" xfId="4104"/>
    <cellStyle name="60% - Accent1 3" xfId="1866"/>
    <cellStyle name="60% - Accent1 3 2" xfId="1867"/>
    <cellStyle name="60% - Accent1 3 3" xfId="4413"/>
    <cellStyle name="60% - Accent1 3 4" xfId="4251"/>
    <cellStyle name="60% - Accent1 4" xfId="4383"/>
    <cellStyle name="60% - Accent2" xfId="235" builtinId="36" customBuiltin="1"/>
    <cellStyle name="60% - Accent2 2" xfId="236"/>
    <cellStyle name="60% - Accent2 2 2" xfId="237"/>
    <cellStyle name="60% - Accent2 2 3" xfId="4105"/>
    <cellStyle name="60% - Accent2 3" xfId="1868"/>
    <cellStyle name="60% - Accent2 3 2" xfId="1869"/>
    <cellStyle name="60% - Accent2 4" xfId="4387"/>
    <cellStyle name="60% - Accent3" xfId="238" builtinId="40" customBuiltin="1"/>
    <cellStyle name="60% - Accent3 2" xfId="239"/>
    <cellStyle name="60% - Accent3 2 2" xfId="240"/>
    <cellStyle name="60% - Accent3 2 3" xfId="4106"/>
    <cellStyle name="60% - Accent3 3" xfId="1871"/>
    <cellStyle name="60% - Accent3 3 2" xfId="1872"/>
    <cellStyle name="60% - Accent3 3 3" xfId="4414"/>
    <cellStyle name="60% - Accent3 3 4" xfId="4252"/>
    <cellStyle name="60% - Accent3 4" xfId="4390"/>
    <cellStyle name="60% - Accent4" xfId="241" builtinId="44" customBuiltin="1"/>
    <cellStyle name="60% - Accent4 2" xfId="242"/>
    <cellStyle name="60% - Accent4 2 2" xfId="243"/>
    <cellStyle name="60% - Accent4 2 3" xfId="4107"/>
    <cellStyle name="60% - Accent4 3" xfId="1874"/>
    <cellStyle name="60% - Accent4 3 2" xfId="1875"/>
    <cellStyle name="60% - Accent4 3 3" xfId="4415"/>
    <cellStyle name="60% - Accent4 3 4" xfId="4253"/>
    <cellStyle name="60% - Accent4 4" xfId="4394"/>
    <cellStyle name="60% - Accent5" xfId="244" builtinId="48" customBuiltin="1"/>
    <cellStyle name="60% - Accent5 2" xfId="245"/>
    <cellStyle name="60% - Accent5 2 2" xfId="246"/>
    <cellStyle name="60% - Accent5 2 3" xfId="4108"/>
    <cellStyle name="60% - Accent5 3" xfId="1878"/>
    <cellStyle name="60% - Accent5 3 2" xfId="1879"/>
    <cellStyle name="60% - Accent5 4" xfId="4398"/>
    <cellStyle name="60% - Accent6" xfId="247" builtinId="52" customBuiltin="1"/>
    <cellStyle name="60% - Accent6 2" xfId="248"/>
    <cellStyle name="60% - Accent6 2 2" xfId="249"/>
    <cellStyle name="60% - Accent6 2 3" xfId="4109"/>
    <cellStyle name="60% - Accent6 3" xfId="1880"/>
    <cellStyle name="60% - Accent6 3 2" xfId="1881"/>
    <cellStyle name="60% - Accent6 3 3" xfId="4416"/>
    <cellStyle name="60% - Accent6 3 4" xfId="4254"/>
    <cellStyle name="60% - Accent6 4" xfId="4400"/>
    <cellStyle name="752131" xfId="250"/>
    <cellStyle name="752131 2" xfId="1882"/>
    <cellStyle name="A¨­￠￢￠O [0]_¨oCAuCoEⓒ÷ " xfId="251"/>
    <cellStyle name="A¨­￠￢￠O_¨oCAuCoEⓒ÷ " xfId="252"/>
    <cellStyle name="Accent1" xfId="253" builtinId="29" customBuiltin="1"/>
    <cellStyle name="Accent1 2" xfId="254"/>
    <cellStyle name="Accent1 2 2" xfId="255"/>
    <cellStyle name="Accent1 2 3" xfId="4110"/>
    <cellStyle name="Accent1 3" xfId="1885"/>
    <cellStyle name="Accent1 3 2" xfId="1886"/>
    <cellStyle name="Accent1 3 3" xfId="4417"/>
    <cellStyle name="Accent1 3 4" xfId="4255"/>
    <cellStyle name="Accent1 4" xfId="4380"/>
    <cellStyle name="Accent2" xfId="256" builtinId="33" customBuiltin="1"/>
    <cellStyle name="Accent2 2" xfId="257"/>
    <cellStyle name="Accent2 2 2" xfId="258"/>
    <cellStyle name="Accent2 2 3" xfId="4111"/>
    <cellStyle name="Accent2 3" xfId="1890"/>
    <cellStyle name="Accent2 3 2" xfId="1891"/>
    <cellStyle name="Accent2 3 3" xfId="4418"/>
    <cellStyle name="Accent2 3 4" xfId="4256"/>
    <cellStyle name="Accent2 4" xfId="4384"/>
    <cellStyle name="Accent3" xfId="259" builtinId="37" customBuiltin="1"/>
    <cellStyle name="Accent3 2" xfId="260"/>
    <cellStyle name="Accent3 2 2" xfId="261"/>
    <cellStyle name="Accent3 2 3" xfId="4112"/>
    <cellStyle name="Accent3 3" xfId="1895"/>
    <cellStyle name="Accent3 3 2" xfId="1896"/>
    <cellStyle name="Accent3 3 3" xfId="4419"/>
    <cellStyle name="Accent3 3 4" xfId="4257"/>
    <cellStyle name="Accent3 4" xfId="4388"/>
    <cellStyle name="Accent4" xfId="262" builtinId="41" customBuiltin="1"/>
    <cellStyle name="Accent4 2" xfId="263"/>
    <cellStyle name="Accent4 3" xfId="1899"/>
    <cellStyle name="Accent4 3 2" xfId="1900"/>
    <cellStyle name="Accent4 3 3" xfId="4420"/>
    <cellStyle name="Accent4 3 4" xfId="4258"/>
    <cellStyle name="Accent4 4" xfId="4391"/>
    <cellStyle name="Accent5" xfId="264" builtinId="45" customBuiltin="1"/>
    <cellStyle name="Accent5 2" xfId="265"/>
    <cellStyle name="Accent5 3" xfId="1903"/>
    <cellStyle name="Accent5 3 2" xfId="1904"/>
    <cellStyle name="Accent5 4" xfId="4395"/>
    <cellStyle name="Accent6" xfId="266" builtinId="49" customBuiltin="1"/>
    <cellStyle name="Accent6 2" xfId="267"/>
    <cellStyle name="Accent6 2 2" xfId="268"/>
    <cellStyle name="Accent6 2 3" xfId="4113"/>
    <cellStyle name="Accent6 3" xfId="1908"/>
    <cellStyle name="Accent6 3 2" xfId="1909"/>
    <cellStyle name="Accent6 3 3" xfId="4421"/>
    <cellStyle name="Accent6 3 4" xfId="4259"/>
    <cellStyle name="Acctg" xfId="269"/>
    <cellStyle name="ActgNumber" xfId="1911"/>
    <cellStyle name="ActgNumber 2" xfId="1912"/>
    <cellStyle name="AeE­ [0]_¼oAa½CAu " xfId="270"/>
    <cellStyle name="ÅëÈ­ [0]_cover " xfId="271"/>
    <cellStyle name="AeE­ [0]_INQUIRY ¿μ¾÷AßAø " xfId="272"/>
    <cellStyle name="AeE­_¼oAa½CAu " xfId="273"/>
    <cellStyle name="ÅëÈ­_cover " xfId="274"/>
    <cellStyle name="AeE­_INQUIRY ¿μ¾÷AßAø " xfId="275"/>
    <cellStyle name="AeE¡ⓒ [0]_¨oCAuCoEⓒ÷ " xfId="276"/>
    <cellStyle name="AeE¡ⓒ_¨oCAuCoEⓒ÷ " xfId="277"/>
    <cellStyle name="AFE" xfId="1913"/>
    <cellStyle name="ales" xfId="278"/>
    <cellStyle name="Analyst Name" xfId="3977"/>
    <cellStyle name="AÞ¸¶ [0]_¼oAa½CAu " xfId="279"/>
    <cellStyle name="ÄÞ¸¶ [0]_cover " xfId="280"/>
    <cellStyle name="AÞ¸¶ [0]_INQUIRY ¿μ¾÷AßAø " xfId="281"/>
    <cellStyle name="AÞ¸¶_¼oAa½CAu " xfId="282"/>
    <cellStyle name="ÄÞ¸¶_cover " xfId="283"/>
    <cellStyle name="AÞ¸¶_INQUIRY ¿μ¾÷AßAø " xfId="284"/>
    <cellStyle name="AttributeFloatStyle" xfId="4260"/>
    <cellStyle name="Availability" xfId="3978"/>
    <cellStyle name="_x0001_b" xfId="1914"/>
    <cellStyle name="Background" xfId="3979"/>
    <cellStyle name="Bad" xfId="285" builtinId="27" customBuiltin="1"/>
    <cellStyle name="Bad 2" xfId="286"/>
    <cellStyle name="Bad 2 2" xfId="287"/>
    <cellStyle name="Bad 2 3" xfId="4114"/>
    <cellStyle name="Bad 3" xfId="1915"/>
    <cellStyle name="Bad 3 2" xfId="1916"/>
    <cellStyle name="Bad 3 3" xfId="1917"/>
    <cellStyle name="Bad 4" xfId="4373"/>
    <cellStyle name="Balance Sheet" xfId="1918"/>
    <cellStyle name="BalanceSheet" xfId="1919"/>
    <cellStyle name="Band 2" xfId="288"/>
    <cellStyle name="Band 2 2" xfId="1921"/>
    <cellStyle name="Band 2 3" xfId="3798"/>
    <cellStyle name="big-font" xfId="1922"/>
    <cellStyle name="Blue" xfId="289"/>
    <cellStyle name="Blue 2" xfId="1924"/>
    <cellStyle name="BLuedashZero" xfId="3980"/>
    <cellStyle name="Body" xfId="1925"/>
    <cellStyle name="Bold/Border" xfId="290"/>
    <cellStyle name="Border, Bottom" xfId="1927"/>
    <cellStyle name="Border, Left" xfId="1928"/>
    <cellStyle name="Border, Left 2" xfId="1929"/>
    <cellStyle name="Border, Left 3" xfId="4158"/>
    <cellStyle name="Border, Right" xfId="1930"/>
    <cellStyle name="Border, Top" xfId="1931"/>
    <cellStyle name="bottom-title" xfId="1932"/>
    <cellStyle name="Bullet" xfId="291"/>
    <cellStyle name="Bullet 2" xfId="1934"/>
    <cellStyle name="C?AØ_laroux_1ON" xfId="3981"/>
    <cellStyle name="c_HardInc" xfId="1935"/>
    <cellStyle name="c_HardInc " xfId="292"/>
    <cellStyle name="c_HardInc  2" xfId="1937"/>
    <cellStyle name="c_HardInc  2 2" xfId="1938"/>
    <cellStyle name="c_HardInc _Catalog" xfId="1939"/>
    <cellStyle name="c_HardInc _JapaneseCatalog" xfId="1940"/>
    <cellStyle name="c_HardInc _RRST1" xfId="293"/>
    <cellStyle name="c_HardInc _RRST1 2" xfId="294"/>
    <cellStyle name="c_HardInc _RRST12" xfId="295"/>
    <cellStyle name="c_HardInc _RRST19" xfId="296"/>
    <cellStyle name="c_HardInc _RRST19 2" xfId="297"/>
    <cellStyle name="c_HardInc _RRST20" xfId="298"/>
    <cellStyle name="c_HardInc _RRST20 2" xfId="299"/>
    <cellStyle name="c_HardInc _RRST25" xfId="300"/>
    <cellStyle name="c_HardInc _RRST25 2" xfId="301"/>
    <cellStyle name="c_HardInc _RRST3" xfId="302"/>
    <cellStyle name="c_HardInc _RRST6" xfId="303"/>
    <cellStyle name="c_HardInc _RRST6 2" xfId="304"/>
    <cellStyle name="c_HardInc _RRST9" xfId="305"/>
    <cellStyle name="c_HardInc _RRST9 2" xfId="306"/>
    <cellStyle name="C¡IA¨ª_¡ic¨u¡A¨￢I¨￢¡Æ AN¡Æe " xfId="307"/>
    <cellStyle name="C￥AØ_  FAB AIA¤  " xfId="308"/>
    <cellStyle name="Ç¥ÁØ_»ç¾÷ºÎº° ÃÑ°è " xfId="309"/>
    <cellStyle name="C￥AØ_≫c¾÷ºIº° AN°e " xfId="310"/>
    <cellStyle name="Ç¥ÁØ_0N-HANDLING " xfId="311"/>
    <cellStyle name="C￥AØ_¼±AoAc°i_1_³≫ºI°eE¹´e AßA¤A÷AI " xfId="312"/>
    <cellStyle name="Ç¥ÁØ_5-1±¤°í " xfId="313"/>
    <cellStyle name="C￥AØ_5-1±¤°i _6RCB1 " xfId="314"/>
    <cellStyle name="Ç¥ÁØ_Áý°èÇ¥(2¿ù) " xfId="315"/>
    <cellStyle name="C￥AØ_CoAo¹yAI °A¾×¿ⓒ½A " xfId="316"/>
    <cellStyle name="Ç¥ÁØ_cover " xfId="317"/>
    <cellStyle name="C05_Style E Text" xfId="318"/>
    <cellStyle name="Calc Currency (0)" xfId="1944"/>
    <cellStyle name="Calculation" xfId="319" builtinId="22" customBuiltin="1"/>
    <cellStyle name="Calculation 2" xfId="320"/>
    <cellStyle name="Calculation 2 2" xfId="321"/>
    <cellStyle name="Calculation 2 3" xfId="4115"/>
    <cellStyle name="Calculation 3" xfId="1945"/>
    <cellStyle name="Calculation 3 2" xfId="1946"/>
    <cellStyle name="Calculation 3 3" xfId="4422"/>
    <cellStyle name="Calculation 3 4" xfId="4261"/>
    <cellStyle name="Calculation 4" xfId="4377"/>
    <cellStyle name="CashFlow" xfId="1947"/>
    <cellStyle name="Cents" xfId="322"/>
    <cellStyle name="Cents 2" xfId="1948"/>
    <cellStyle name="Cents 3" xfId="3982"/>
    <cellStyle name="Change" xfId="1949"/>
    <cellStyle name="Changeable" xfId="323"/>
    <cellStyle name="ChartingText" xfId="1950"/>
    <cellStyle name="Check Cell" xfId="324" builtinId="23" customBuiltin="1"/>
    <cellStyle name="Check Cell 2" xfId="325"/>
    <cellStyle name="Check Cell 3" xfId="1953"/>
    <cellStyle name="Check Cell 3 2" xfId="1954"/>
    <cellStyle name="CHPAboveAverage" xfId="1955"/>
    <cellStyle name="CHPBelowAverage" xfId="1956"/>
    <cellStyle name="CHPBottom" xfId="1957"/>
    <cellStyle name="CHPTop" xfId="1958"/>
    <cellStyle name="Colhead_left" xfId="326"/>
    <cellStyle name="ColHeading" xfId="3983"/>
    <cellStyle name="ColumnHeaderNormal" xfId="1960"/>
    <cellStyle name="ColumnHeadings" xfId="327"/>
    <cellStyle name="ColumnHeadings2" xfId="328"/>
    <cellStyle name="Comma" xfId="329" builtinId="3"/>
    <cellStyle name="Comma  - Style1" xfId="330"/>
    <cellStyle name="Comma  - Style1 2" xfId="3984"/>
    <cellStyle name="Comma  - Style2" xfId="331"/>
    <cellStyle name="Comma  - Style2 2" xfId="1964"/>
    <cellStyle name="Comma  - Style2 3" xfId="3985"/>
    <cellStyle name="Comma  - Style3" xfId="332"/>
    <cellStyle name="Comma  - Style3 2" xfId="1965"/>
    <cellStyle name="Comma  - Style3 3" xfId="3986"/>
    <cellStyle name="Comma  - Style4" xfId="333"/>
    <cellStyle name="Comma  - Style4 2" xfId="1966"/>
    <cellStyle name="Comma  - Style4 3" xfId="3987"/>
    <cellStyle name="Comma  - Style5" xfId="334"/>
    <cellStyle name="Comma  - Style5 2" xfId="1968"/>
    <cellStyle name="Comma  - Style5 3" xfId="3988"/>
    <cellStyle name="Comma  - Style6" xfId="335"/>
    <cellStyle name="Comma  - Style6 2" xfId="1970"/>
    <cellStyle name="Comma  - Style6 3" xfId="3989"/>
    <cellStyle name="Comma  - Style7" xfId="336"/>
    <cellStyle name="Comma  - Style7 2" xfId="1972"/>
    <cellStyle name="Comma  - Style7 3" xfId="3990"/>
    <cellStyle name="Comma  - Style8" xfId="337"/>
    <cellStyle name="Comma  - Style8 2" xfId="1974"/>
    <cellStyle name="Comma  - Style8 3" xfId="3991"/>
    <cellStyle name="Comma (1)" xfId="1975"/>
    <cellStyle name="Comma [0] 2" xfId="338"/>
    <cellStyle name="Comma [0] 3" xfId="4262"/>
    <cellStyle name="Comma [1]" xfId="1976"/>
    <cellStyle name="Comma [2]" xfId="1977"/>
    <cellStyle name="Comma 10" xfId="339"/>
    <cellStyle name="Comma 10 2" xfId="340"/>
    <cellStyle name="Comma 10 2 2" xfId="341"/>
    <cellStyle name="Comma 10 2 2 2" xfId="1979"/>
    <cellStyle name="Comma 10 2 3" xfId="342"/>
    <cellStyle name="Comma 10 2 3 2" xfId="1980"/>
    <cellStyle name="Comma 10 3" xfId="343"/>
    <cellStyle name="Comma 10 3 2" xfId="1981"/>
    <cellStyle name="Comma 10 3 2 2" xfId="1982"/>
    <cellStyle name="Comma 10 3 3" xfId="1983"/>
    <cellStyle name="Comma 10 4" xfId="344"/>
    <cellStyle name="Comma 10 4 2" xfId="1985"/>
    <cellStyle name="Comma 10 4 3" xfId="1986"/>
    <cellStyle name="Comma 10 5" xfId="1987"/>
    <cellStyle name="Comma 10 5 2" xfId="1988"/>
    <cellStyle name="Comma 10 5 3" xfId="1989"/>
    <cellStyle name="Comma 10 5 4" xfId="1990"/>
    <cellStyle name="Comma 10 5 5" xfId="4116"/>
    <cellStyle name="Comma 10 5 5 2" xfId="6838"/>
    <cellStyle name="Comma 100" xfId="1991"/>
    <cellStyle name="Comma 101" xfId="1992"/>
    <cellStyle name="Comma 102" xfId="1993"/>
    <cellStyle name="Comma 103" xfId="1994"/>
    <cellStyle name="Comma 104" xfId="1995"/>
    <cellStyle name="Comma 105" xfId="1996"/>
    <cellStyle name="Comma 106" xfId="1997"/>
    <cellStyle name="Comma 107" xfId="1998"/>
    <cellStyle name="Comma 108" xfId="1999"/>
    <cellStyle name="Comma 109" xfId="2000"/>
    <cellStyle name="Comma 11" xfId="345"/>
    <cellStyle name="Comma 11 2" xfId="346"/>
    <cellStyle name="Comma 11 2 2" xfId="2003"/>
    <cellStyle name="Comma 11 2 2 2" xfId="2004"/>
    <cellStyle name="Comma 11 2 3" xfId="2005"/>
    <cellStyle name="Comma 11 3" xfId="347"/>
    <cellStyle name="Comma 11 3 2" xfId="2007"/>
    <cellStyle name="Comma 11 3 2 2" xfId="2008"/>
    <cellStyle name="Comma 11 3 3" xfId="2009"/>
    <cellStyle name="Comma 11 4" xfId="2010"/>
    <cellStyle name="Comma 11 4 2" xfId="2011"/>
    <cellStyle name="Comma 11 5" xfId="2012"/>
    <cellStyle name="Comma 110" xfId="2013"/>
    <cellStyle name="Comma 111" xfId="2014"/>
    <cellStyle name="Comma 112" xfId="2015"/>
    <cellStyle name="Comma 113" xfId="2016"/>
    <cellStyle name="Comma 114" xfId="2017"/>
    <cellStyle name="Comma 115" xfId="2018"/>
    <cellStyle name="Comma 116" xfId="2019"/>
    <cellStyle name="Comma 117" xfId="2020"/>
    <cellStyle name="Comma 118" xfId="2021"/>
    <cellStyle name="Comma 119" xfId="2022"/>
    <cellStyle name="Comma 12" xfId="348"/>
    <cellStyle name="Comma 12 2" xfId="349"/>
    <cellStyle name="Comma 12 2 2" xfId="2025"/>
    <cellStyle name="Comma 12 3" xfId="350"/>
    <cellStyle name="Comma 120" xfId="2026"/>
    <cellStyle name="Comma 121" xfId="2027"/>
    <cellStyle name="Comma 122" xfId="2028"/>
    <cellStyle name="Comma 123" xfId="3787"/>
    <cellStyle name="Comma 124" xfId="4167"/>
    <cellStyle name="Comma 125" xfId="1963"/>
    <cellStyle name="Comma 126" xfId="3449"/>
    <cellStyle name="Comma 127" xfId="4306"/>
    <cellStyle name="Comma 13" xfId="351"/>
    <cellStyle name="Comma 13 2" xfId="352"/>
    <cellStyle name="Comma 13 2 2" xfId="2029"/>
    <cellStyle name="Comma 13 3" xfId="353"/>
    <cellStyle name="Comma 14" xfId="354"/>
    <cellStyle name="Comma 14 2" xfId="355"/>
    <cellStyle name="Comma 14 2 2" xfId="2031"/>
    <cellStyle name="Comma 14 3" xfId="356"/>
    <cellStyle name="Comma 15" xfId="357"/>
    <cellStyle name="Comma 15 2" xfId="358"/>
    <cellStyle name="Comma 15 2 2" xfId="2032"/>
    <cellStyle name="Comma 15 3" xfId="359"/>
    <cellStyle name="Comma 16" xfId="360"/>
    <cellStyle name="Comma 16 2" xfId="361"/>
    <cellStyle name="Comma 16 2 2" xfId="2036"/>
    <cellStyle name="Comma 16 3" xfId="362"/>
    <cellStyle name="Comma 17" xfId="363"/>
    <cellStyle name="Comma 17 2" xfId="364"/>
    <cellStyle name="Comma 17 2 2" xfId="365"/>
    <cellStyle name="Comma 17 2 2 2" xfId="2041"/>
    <cellStyle name="Comma 17 2 3" xfId="2042"/>
    <cellStyle name="Comma 17 3" xfId="366"/>
    <cellStyle name="Comma 17 3 2" xfId="2044"/>
    <cellStyle name="Comma 17 4" xfId="367"/>
    <cellStyle name="Comma 18" xfId="368"/>
    <cellStyle name="Comma 18 2" xfId="369"/>
    <cellStyle name="Comma 18 2 2" xfId="370"/>
    <cellStyle name="Comma 18 2 2 2" xfId="2046"/>
    <cellStyle name="Comma 18 2 3" xfId="2047"/>
    <cellStyle name="Comma 18 3" xfId="371"/>
    <cellStyle name="Comma 18 3 2" xfId="2048"/>
    <cellStyle name="Comma 18 4" xfId="372"/>
    <cellStyle name="Comma 19" xfId="373"/>
    <cellStyle name="Comma 19 2" xfId="374"/>
    <cellStyle name="Comma 19 2 2" xfId="375"/>
    <cellStyle name="Comma 19 2 2 2" xfId="2049"/>
    <cellStyle name="Comma 19 2 3" xfId="2050"/>
    <cellStyle name="Comma 19 3" xfId="376"/>
    <cellStyle name="Comma 19 3 2" xfId="2051"/>
    <cellStyle name="Comma 19 4" xfId="2052"/>
    <cellStyle name="Comma 19 4 2" xfId="2053"/>
    <cellStyle name="Comma 19 4 2 2" xfId="2054"/>
    <cellStyle name="Comma 19 4 2 2 2" xfId="2055"/>
    <cellStyle name="Comma 19 4 2 2 3" xfId="2056"/>
    <cellStyle name="Comma 19 4 2 3" xfId="2057"/>
    <cellStyle name="Comma 19 4 2 4" xfId="2058"/>
    <cellStyle name="Comma 19 4 3" xfId="2059"/>
    <cellStyle name="Comma 19 4 3 2" xfId="2060"/>
    <cellStyle name="Comma 19 4 3 3" xfId="2061"/>
    <cellStyle name="Comma 19 4 4" xfId="2062"/>
    <cellStyle name="Comma 19 4 5" xfId="2063"/>
    <cellStyle name="Comma 19 4 6" xfId="2064"/>
    <cellStyle name="Comma 19 5" xfId="2065"/>
    <cellStyle name="Comma 19 5 2" xfId="2066"/>
    <cellStyle name="Comma 19 5 2 2" xfId="2067"/>
    <cellStyle name="Comma 19 5 2 3" xfId="2068"/>
    <cellStyle name="Comma 19 5 3" xfId="2069"/>
    <cellStyle name="Comma 19 5 4" xfId="2070"/>
    <cellStyle name="Comma 19 6" xfId="2071"/>
    <cellStyle name="Comma 19 6 2" xfId="2072"/>
    <cellStyle name="Comma 19 6 3" xfId="2073"/>
    <cellStyle name="Comma 19 7" xfId="2074"/>
    <cellStyle name="Comma 19 7 2" xfId="2075"/>
    <cellStyle name="Comma 2" xfId="377"/>
    <cellStyle name="Comma 2 2" xfId="378"/>
    <cellStyle name="Comma 2 2 2" xfId="379"/>
    <cellStyle name="Comma 2 2 3" xfId="2079"/>
    <cellStyle name="Comma 2 2 3 2" xfId="4117"/>
    <cellStyle name="Comma 2 2 4" xfId="3790"/>
    <cellStyle name="Comma 2 2 4 2" xfId="6818"/>
    <cellStyle name="Comma 2 3" xfId="380"/>
    <cellStyle name="Comma 2 3 2" xfId="2081"/>
    <cellStyle name="Comma 2 3 2 2" xfId="2082"/>
    <cellStyle name="Comma 2 3 3" xfId="2083"/>
    <cellStyle name="Comma 2 3 4" xfId="4075"/>
    <cellStyle name="Comma 2 3 4 2" xfId="6828"/>
    <cellStyle name="Comma 2 4" xfId="2084"/>
    <cellStyle name="Comma 2 4 2" xfId="2085"/>
    <cellStyle name="Comma 2_Exhibits" xfId="381"/>
    <cellStyle name="Comma 20" xfId="382"/>
    <cellStyle name="Comma 20 2" xfId="383"/>
    <cellStyle name="Comma 20 2 2" xfId="384"/>
    <cellStyle name="Comma 20 2 2 2" xfId="1941"/>
    <cellStyle name="Comma 20 2 3" xfId="1942"/>
    <cellStyle name="Comma 20 3" xfId="385"/>
    <cellStyle name="Comma 20 3 2" xfId="1936"/>
    <cellStyle name="Comma 20 4" xfId="1943"/>
    <cellStyle name="Comma 21" xfId="386"/>
    <cellStyle name="Comma 21 2" xfId="387"/>
    <cellStyle name="Comma 21 2 2" xfId="388"/>
    <cellStyle name="Comma 21 2 2 2" xfId="1923"/>
    <cellStyle name="Comma 21 2 3" xfId="1926"/>
    <cellStyle name="Comma 21 3" xfId="389"/>
    <cellStyle name="Comma 21 3 2" xfId="1920"/>
    <cellStyle name="Comma 21 4" xfId="1933"/>
    <cellStyle name="Comma 22" xfId="390"/>
    <cellStyle name="Comma 22 2" xfId="391"/>
    <cellStyle name="Comma 22 2 2" xfId="2092"/>
    <cellStyle name="Comma 22 3" xfId="2093"/>
    <cellStyle name="Comma 23" xfId="392"/>
    <cellStyle name="Comma 23 2" xfId="393"/>
    <cellStyle name="Comma 23 2 2" xfId="2094"/>
    <cellStyle name="Comma 23 3" xfId="2095"/>
    <cellStyle name="Comma 24" xfId="394"/>
    <cellStyle name="Comma 24 2" xfId="395"/>
    <cellStyle name="Comma 24 2 2" xfId="2097"/>
    <cellStyle name="Comma 24 3" xfId="2098"/>
    <cellStyle name="Comma 24 4" xfId="4073"/>
    <cellStyle name="Comma 25" xfId="396"/>
    <cellStyle name="Comma 25 2" xfId="397"/>
    <cellStyle name="Comma 25 2 2" xfId="2100"/>
    <cellStyle name="Comma 25 3" xfId="2101"/>
    <cellStyle name="Comma 25 4" xfId="4081"/>
    <cellStyle name="Comma 26" xfId="398"/>
    <cellStyle name="Comma 26 2" xfId="399"/>
    <cellStyle name="Comma 26 2 2" xfId="2104"/>
    <cellStyle name="Comma 26 3" xfId="2105"/>
    <cellStyle name="Comma 26 4" xfId="4072"/>
    <cellStyle name="Comma 27" xfId="400"/>
    <cellStyle name="Comma 27 2" xfId="401"/>
    <cellStyle name="Comma 27 2 2" xfId="2108"/>
    <cellStyle name="Comma 27 3" xfId="2109"/>
    <cellStyle name="Comma 27 4" xfId="4082"/>
    <cellStyle name="Comma 27 4 2" xfId="6832"/>
    <cellStyle name="Comma 28" xfId="402"/>
    <cellStyle name="Comma 28 2" xfId="403"/>
    <cellStyle name="Comma 28 2 2" xfId="2110"/>
    <cellStyle name="Comma 28 3" xfId="2111"/>
    <cellStyle name="Comma 28 4" xfId="4079"/>
    <cellStyle name="Comma 28 4 2" xfId="6830"/>
    <cellStyle name="Comma 29" xfId="404"/>
    <cellStyle name="Comma 29 2" xfId="405"/>
    <cellStyle name="Comma 29 2 2" xfId="2112"/>
    <cellStyle name="Comma 29 3" xfId="2113"/>
    <cellStyle name="Comma 29 4" xfId="4077"/>
    <cellStyle name="Comma 29 4 2" xfId="6829"/>
    <cellStyle name="Comma 3" xfId="406"/>
    <cellStyle name="Comma 3 2" xfId="407"/>
    <cellStyle name="Comma 3 2 2" xfId="408"/>
    <cellStyle name="Comma 3 2 2 2" xfId="409"/>
    <cellStyle name="Comma 3 2 3" xfId="410"/>
    <cellStyle name="Comma 3 2 4" xfId="2119"/>
    <cellStyle name="Comma 3 2 4 2" xfId="4118"/>
    <cellStyle name="Comma 3 3" xfId="411"/>
    <cellStyle name="Comma 3 3 2" xfId="412"/>
    <cellStyle name="Comma 3 4" xfId="413"/>
    <cellStyle name="Comma 3 4 2" xfId="2123"/>
    <cellStyle name="Comma 3 4 3" xfId="2124"/>
    <cellStyle name="Comma 3 5" xfId="2125"/>
    <cellStyle name="Comma 3 5 2" xfId="2126"/>
    <cellStyle name="Comma 3 5 3" xfId="2127"/>
    <cellStyle name="Comma 3 6" xfId="3791"/>
    <cellStyle name="Comma 3 6 2" xfId="5054"/>
    <cellStyle name="Comma 3 6 2 2" xfId="7374"/>
    <cellStyle name="Comma 3 7" xfId="8766"/>
    <cellStyle name="Comma 3 7 2" xfId="8821"/>
    <cellStyle name="Comma 30" xfId="414"/>
    <cellStyle name="Comma 30 2" xfId="415"/>
    <cellStyle name="Comma 30 2 2" xfId="1907"/>
    <cellStyle name="Comma 30 3" xfId="1910"/>
    <cellStyle name="Comma 31" xfId="416"/>
    <cellStyle name="Comma 31 2" xfId="417"/>
    <cellStyle name="Comma 31 2 2" xfId="1905"/>
    <cellStyle name="Comma 31 3" xfId="1906"/>
    <cellStyle name="Comma 32" xfId="418"/>
    <cellStyle name="Comma 32 2" xfId="419"/>
    <cellStyle name="Comma 32 2 2" xfId="1901"/>
    <cellStyle name="Comma 32 3" xfId="1902"/>
    <cellStyle name="Comma 33" xfId="420"/>
    <cellStyle name="Comma 33 2" xfId="421"/>
    <cellStyle name="Comma 33 2 2" xfId="1897"/>
    <cellStyle name="Comma 33 3" xfId="1898"/>
    <cellStyle name="Comma 34" xfId="422"/>
    <cellStyle name="Comma 34 2" xfId="423"/>
    <cellStyle name="Comma 34 2 2" xfId="1893"/>
    <cellStyle name="Comma 34 3" xfId="1894"/>
    <cellStyle name="Comma 35" xfId="424"/>
    <cellStyle name="Comma 35 2" xfId="425"/>
    <cellStyle name="Comma 35 2 2" xfId="1889"/>
    <cellStyle name="Comma 35 3" xfId="1892"/>
    <cellStyle name="Comma 36" xfId="426"/>
    <cellStyle name="Comma 36 2" xfId="427"/>
    <cellStyle name="Comma 36 2 2" xfId="1887"/>
    <cellStyle name="Comma 36 3" xfId="1888"/>
    <cellStyle name="Comma 37" xfId="428"/>
    <cellStyle name="Comma 37 2" xfId="429"/>
    <cellStyle name="Comma 37 2 2" xfId="1883"/>
    <cellStyle name="Comma 37 3" xfId="1884"/>
    <cellStyle name="Comma 38" xfId="430"/>
    <cellStyle name="Comma 38 2" xfId="431"/>
    <cellStyle name="Comma 38 2 2" xfId="2135"/>
    <cellStyle name="Comma 38 3" xfId="2136"/>
    <cellStyle name="Comma 39" xfId="432"/>
    <cellStyle name="Comma 39 2" xfId="433"/>
    <cellStyle name="Comma 39 2 2" xfId="2137"/>
    <cellStyle name="Comma 39 3" xfId="2138"/>
    <cellStyle name="Comma 4" xfId="434"/>
    <cellStyle name="Comma 4 2" xfId="435"/>
    <cellStyle name="Comma 4 2 2" xfId="436"/>
    <cellStyle name="Comma 4 2 2 2" xfId="2139"/>
    <cellStyle name="Comma 4 2 3" xfId="2140"/>
    <cellStyle name="Comma 4 2 4" xfId="2141"/>
    <cellStyle name="Comma 4 3" xfId="437"/>
    <cellStyle name="Comma 4 3 2" xfId="2142"/>
    <cellStyle name="Comma 4 4" xfId="2143"/>
    <cellStyle name="Comma 4 4 2" xfId="2144"/>
    <cellStyle name="Comma 4 5" xfId="3792"/>
    <cellStyle name="Comma 40" xfId="438"/>
    <cellStyle name="Comma 40 2" xfId="439"/>
    <cellStyle name="Comma 40 2 2" xfId="2145"/>
    <cellStyle name="Comma 40 3" xfId="2146"/>
    <cellStyle name="Comma 41" xfId="440"/>
    <cellStyle name="Comma 41 2" xfId="441"/>
    <cellStyle name="Comma 41 2 2" xfId="1876"/>
    <cellStyle name="Comma 41 3" xfId="1877"/>
    <cellStyle name="Comma 42" xfId="442"/>
    <cellStyle name="Comma 42 2" xfId="443"/>
    <cellStyle name="Comma 42 2 2" xfId="1873"/>
    <cellStyle name="Comma 42 3" xfId="2147"/>
    <cellStyle name="Comma 42 4" xfId="2148"/>
    <cellStyle name="Comma 42 4 2" xfId="2149"/>
    <cellStyle name="Comma 42 4 3" xfId="2150"/>
    <cellStyle name="Comma 42 5" xfId="2151"/>
    <cellStyle name="Comma 42 6" xfId="2152"/>
    <cellStyle name="Comma 42 7" xfId="2153"/>
    <cellStyle name="Comma 43" xfId="444"/>
    <cellStyle name="Comma 43 2" xfId="445"/>
    <cellStyle name="Comma 43 2 2" xfId="1870"/>
    <cellStyle name="Comma 43 3" xfId="2154"/>
    <cellStyle name="Comma 43 4" xfId="2155"/>
    <cellStyle name="Comma 43 4 2" xfId="2156"/>
    <cellStyle name="Comma 43 4 3" xfId="2157"/>
    <cellStyle name="Comma 43 5" xfId="2158"/>
    <cellStyle name="Comma 43 6" xfId="2159"/>
    <cellStyle name="Comma 43 7" xfId="2160"/>
    <cellStyle name="Comma 44" xfId="446"/>
    <cellStyle name="Comma 44 2" xfId="2161"/>
    <cellStyle name="Comma 45" xfId="447"/>
    <cellStyle name="Comma 45 2" xfId="2162"/>
    <cellStyle name="Comma 46" xfId="448"/>
    <cellStyle name="Comma 46 2" xfId="2163"/>
    <cellStyle name="Comma 47" xfId="449"/>
    <cellStyle name="Comma 47 2" xfId="2164"/>
    <cellStyle name="Comma 48" xfId="450"/>
    <cellStyle name="Comma 48 2" xfId="2165"/>
    <cellStyle name="Comma 49" xfId="451"/>
    <cellStyle name="Comma 49 2" xfId="2166"/>
    <cellStyle name="Comma 5" xfId="452"/>
    <cellStyle name="Comma 5 2" xfId="453"/>
    <cellStyle name="Comma 5 2 2" xfId="454"/>
    <cellStyle name="Comma 5 2 2 2" xfId="2167"/>
    <cellStyle name="Comma 5 2 3" xfId="2168"/>
    <cellStyle name="Comma 5 3" xfId="455"/>
    <cellStyle name="Comma 5 3 2" xfId="2169"/>
    <cellStyle name="Comma 5 4" xfId="2170"/>
    <cellStyle name="Comma 5 4 2" xfId="2171"/>
    <cellStyle name="Comma 50" xfId="456"/>
    <cellStyle name="Comma 50 2" xfId="2172"/>
    <cellStyle name="Comma 51" xfId="457"/>
    <cellStyle name="Comma 51 2" xfId="2173"/>
    <cellStyle name="Comma 52" xfId="458"/>
    <cellStyle name="Comma 52 2" xfId="459"/>
    <cellStyle name="Comma 52 2 2" xfId="3364"/>
    <cellStyle name="Comma 52 2 2 2" xfId="1849"/>
    <cellStyle name="Comma 52 2 3" xfId="1850"/>
    <cellStyle name="Comma 52 3" xfId="460"/>
    <cellStyle name="Comma 52 3 2" xfId="461"/>
    <cellStyle name="Comma 52 4" xfId="1858"/>
    <cellStyle name="Comma 53" xfId="462"/>
    <cellStyle name="Comma 53 2" xfId="463"/>
    <cellStyle name="Comma 53 2 2" xfId="3360"/>
    <cellStyle name="Comma 53 2 2 2" xfId="1839"/>
    <cellStyle name="Comma 53 2 3" xfId="1840"/>
    <cellStyle name="Comma 53 3" xfId="464"/>
    <cellStyle name="Comma 53 3 2" xfId="465"/>
    <cellStyle name="Comma 53 4" xfId="1841"/>
    <cellStyle name="Comma 54" xfId="466"/>
    <cellStyle name="Comma 54 2" xfId="467"/>
    <cellStyle name="Comma 54 2 2" xfId="3337"/>
    <cellStyle name="Comma 54 2 2 2" xfId="1820"/>
    <cellStyle name="Comma 54 2 3" xfId="1821"/>
    <cellStyle name="Comma 54 3" xfId="468"/>
    <cellStyle name="Comma 54 3 2" xfId="469"/>
    <cellStyle name="Comma 54 4" xfId="1830"/>
    <cellStyle name="Comma 55" xfId="470"/>
    <cellStyle name="Comma 55 2" xfId="471"/>
    <cellStyle name="Comma 55 2 2" xfId="3333"/>
    <cellStyle name="Comma 55 2 2 2" xfId="1803"/>
    <cellStyle name="Comma 55 2 3" xfId="1811"/>
    <cellStyle name="Comma 55 3" xfId="472"/>
    <cellStyle name="Comma 55 3 2" xfId="473"/>
    <cellStyle name="Comma 55 4" xfId="1812"/>
    <cellStyle name="Comma 56" xfId="474"/>
    <cellStyle name="Comma 56 2" xfId="475"/>
    <cellStyle name="Comma 56 2 2" xfId="3327"/>
    <cellStyle name="Comma 56 2 2 2" xfId="1792"/>
    <cellStyle name="Comma 56 2 3" xfId="1793"/>
    <cellStyle name="Comma 56 3" xfId="476"/>
    <cellStyle name="Comma 56 3 2" xfId="477"/>
    <cellStyle name="Comma 56 4" xfId="1802"/>
    <cellStyle name="Comma 57" xfId="478"/>
    <cellStyle name="Comma 57 2" xfId="479"/>
    <cellStyle name="Comma 57 2 2" xfId="3318"/>
    <cellStyle name="Comma 57 2 2 2" xfId="1774"/>
    <cellStyle name="Comma 57 2 3" xfId="1775"/>
    <cellStyle name="Comma 57 3" xfId="480"/>
    <cellStyle name="Comma 57 3 2" xfId="481"/>
    <cellStyle name="Comma 57 4" xfId="1783"/>
    <cellStyle name="Comma 58" xfId="482"/>
    <cellStyle name="Comma 58 2" xfId="483"/>
    <cellStyle name="Comma 58 2 2" xfId="3311"/>
    <cellStyle name="Comma 58 2 2 2" xfId="1756"/>
    <cellStyle name="Comma 58 2 3" xfId="1764"/>
    <cellStyle name="Comma 58 3" xfId="484"/>
    <cellStyle name="Comma 58 3 2" xfId="485"/>
    <cellStyle name="Comma 58 4" xfId="1765"/>
    <cellStyle name="Comma 59" xfId="486"/>
    <cellStyle name="Comma 59 2" xfId="487"/>
    <cellStyle name="Comma 59 2 2" xfId="1754"/>
    <cellStyle name="Comma 59 3" xfId="1755"/>
    <cellStyle name="Comma 6" xfId="488"/>
    <cellStyle name="Comma 6 2" xfId="489"/>
    <cellStyle name="Comma 6 2 2" xfId="490"/>
    <cellStyle name="Comma 6 2 2 2" xfId="2175"/>
    <cellStyle name="Comma 6 2 3" xfId="2176"/>
    <cellStyle name="Comma 6 3" xfId="491"/>
    <cellStyle name="Comma 6 3 2" xfId="2177"/>
    <cellStyle name="Comma 6 4" xfId="2178"/>
    <cellStyle name="Comma 6 4 2" xfId="2179"/>
    <cellStyle name="Comma 6 4 3" xfId="2180"/>
    <cellStyle name="Comma 6 5" xfId="2181"/>
    <cellStyle name="Comma 60" xfId="492"/>
    <cellStyle name="Comma 60 2" xfId="2182"/>
    <cellStyle name="Comma 60 2 2" xfId="1748"/>
    <cellStyle name="Comma 60 3" xfId="1749"/>
    <cellStyle name="Comma 61" xfId="493"/>
    <cellStyle name="Comma 61 2" xfId="494"/>
    <cellStyle name="Comma 61 2 2" xfId="2183"/>
    <cellStyle name="Comma 61 3" xfId="2184"/>
    <cellStyle name="Comma 61 3 2" xfId="4424"/>
    <cellStyle name="Comma 61 3 3" xfId="1747"/>
    <cellStyle name="Comma 62" xfId="495"/>
    <cellStyle name="Comma 62 2" xfId="496"/>
    <cellStyle name="Comma 62 2 2" xfId="1737"/>
    <cellStyle name="Comma 62 3" xfId="1744"/>
    <cellStyle name="Comma 63" xfId="497"/>
    <cellStyle name="Comma 63 2" xfId="498"/>
    <cellStyle name="Comma 63 2 2" xfId="1735"/>
    <cellStyle name="Comma 63 3" xfId="1736"/>
    <cellStyle name="Comma 64" xfId="499"/>
    <cellStyle name="Comma 64 2" xfId="500"/>
    <cellStyle name="Comma 65" xfId="501"/>
    <cellStyle name="Comma 65 2" xfId="502"/>
    <cellStyle name="Comma 65 2 2" xfId="2185"/>
    <cellStyle name="Comma 65 2 3" xfId="2186"/>
    <cellStyle name="Comma 65 2 4" xfId="2187"/>
    <cellStyle name="Comma 65 3" xfId="2188"/>
    <cellStyle name="Comma 65 4" xfId="2189"/>
    <cellStyle name="Comma 65 5" xfId="2190"/>
    <cellStyle name="Comma 66" xfId="503"/>
    <cellStyle name="Comma 66 2" xfId="504"/>
    <cellStyle name="Comma 66 3" xfId="2191"/>
    <cellStyle name="Comma 67" xfId="505"/>
    <cellStyle name="Comma 67 2" xfId="506"/>
    <cellStyle name="Comma 67 2 2" xfId="2192"/>
    <cellStyle name="Comma 67 3" xfId="2193"/>
    <cellStyle name="Comma 68" xfId="507"/>
    <cellStyle name="Comma 68 2" xfId="508"/>
    <cellStyle name="Comma 68 2 2" xfId="2194"/>
    <cellStyle name="Comma 68 3" xfId="2195"/>
    <cellStyle name="Comma 69" xfId="509"/>
    <cellStyle name="Comma 69 2" xfId="510"/>
    <cellStyle name="Comma 7" xfId="511"/>
    <cellStyle name="Comma 7 2" xfId="512"/>
    <cellStyle name="Comma 7 2 2" xfId="2196"/>
    <cellStyle name="Comma 7 3" xfId="2197"/>
    <cellStyle name="Comma 7 3 2" xfId="2198"/>
    <cellStyle name="Comma 7 3 3" xfId="4425"/>
    <cellStyle name="Comma 70" xfId="513"/>
    <cellStyle name="Comma 70 2" xfId="514"/>
    <cellStyle name="Comma 71" xfId="515"/>
    <cellStyle name="Comma 71 2" xfId="516"/>
    <cellStyle name="Comma 71 2 2" xfId="2199"/>
    <cellStyle name="Comma 71 2 3" xfId="2200"/>
    <cellStyle name="Comma 71 3" xfId="2201"/>
    <cellStyle name="Comma 72" xfId="517"/>
    <cellStyle name="Comma 72 2" xfId="518"/>
    <cellStyle name="Comma 72 2 2" xfId="2202"/>
    <cellStyle name="Comma 72 2 3" xfId="2203"/>
    <cellStyle name="Comma 72 3" xfId="2204"/>
    <cellStyle name="Comma 73" xfId="519"/>
    <cellStyle name="Comma 73 2" xfId="2205"/>
    <cellStyle name="Comma 73 2 2" xfId="2206"/>
    <cellStyle name="Comma 73 2 3" xfId="2207"/>
    <cellStyle name="Comma 73 3" xfId="2208"/>
    <cellStyle name="Comma 74" xfId="520"/>
    <cellStyle name="Comma 74 2" xfId="2209"/>
    <cellStyle name="Comma 74 2 2" xfId="2210"/>
    <cellStyle name="Comma 74 2 3" xfId="2211"/>
    <cellStyle name="Comma 74 3" xfId="2212"/>
    <cellStyle name="Comma 75" xfId="521"/>
    <cellStyle name="Comma 75 2" xfId="522"/>
    <cellStyle name="Comma 75 2 2" xfId="2213"/>
    <cellStyle name="Comma 75 2 3" xfId="2214"/>
    <cellStyle name="Comma 75 2 4" xfId="2215"/>
    <cellStyle name="Comma 75 3" xfId="2216"/>
    <cellStyle name="Comma 75 4" xfId="2217"/>
    <cellStyle name="Comma 76" xfId="523"/>
    <cellStyle name="Comma 76 2" xfId="524"/>
    <cellStyle name="Comma 76 2 2" xfId="2218"/>
    <cellStyle name="Comma 76 2 3" xfId="2219"/>
    <cellStyle name="Comma 76 2 4" xfId="2220"/>
    <cellStyle name="Comma 76 3" xfId="2221"/>
    <cellStyle name="Comma 76 4" xfId="2222"/>
    <cellStyle name="Comma 77" xfId="525"/>
    <cellStyle name="Comma 77 2" xfId="526"/>
    <cellStyle name="Comma 77 2 2" xfId="2223"/>
    <cellStyle name="Comma 77 2 3" xfId="2224"/>
    <cellStyle name="Comma 77 3" xfId="2225"/>
    <cellStyle name="Comma 78" xfId="527"/>
    <cellStyle name="Comma 78 2" xfId="528"/>
    <cellStyle name="Comma 78 2 2" xfId="2226"/>
    <cellStyle name="Comma 78 2 3" xfId="2227"/>
    <cellStyle name="Comma 78 3" xfId="2228"/>
    <cellStyle name="Comma 79" xfId="529"/>
    <cellStyle name="Comma 79 2" xfId="2230"/>
    <cellStyle name="Comma 79 2 2" xfId="2231"/>
    <cellStyle name="Comma 79 2 3" xfId="2232"/>
    <cellStyle name="Comma 79 3" xfId="2233"/>
    <cellStyle name="Comma 79 4" xfId="2229"/>
    <cellStyle name="Comma 8" xfId="530"/>
    <cellStyle name="Comma 8 2" xfId="531"/>
    <cellStyle name="Comma 8 2 2" xfId="2234"/>
    <cellStyle name="Comma 8 3" xfId="2235"/>
    <cellStyle name="Comma 8 3 2" xfId="2236"/>
    <cellStyle name="Comma 8 3 3" xfId="2237"/>
    <cellStyle name="Comma 8 3 4" xfId="4120"/>
    <cellStyle name="Comma 8 3 4 2" xfId="6839"/>
    <cellStyle name="Comma 8 4" xfId="2238"/>
    <cellStyle name="Comma 8 4 2" xfId="4119"/>
    <cellStyle name="Comma 80" xfId="532"/>
    <cellStyle name="Comma 80 2" xfId="2240"/>
    <cellStyle name="Comma 80 2 2" xfId="2241"/>
    <cellStyle name="Comma 80 2 3" xfId="2242"/>
    <cellStyle name="Comma 80 3" xfId="2243"/>
    <cellStyle name="Comma 80 4" xfId="2244"/>
    <cellStyle name="Comma 80 5" xfId="2239"/>
    <cellStyle name="Comma 81" xfId="533"/>
    <cellStyle name="Comma 81 2" xfId="2246"/>
    <cellStyle name="Comma 81 2 2" xfId="2247"/>
    <cellStyle name="Comma 81 2 3" xfId="2248"/>
    <cellStyle name="Comma 81 3" xfId="2249"/>
    <cellStyle name="Comma 81 4" xfId="2250"/>
    <cellStyle name="Comma 81 5" xfId="2245"/>
    <cellStyle name="Comma 82" xfId="534"/>
    <cellStyle name="Comma 82 2" xfId="2252"/>
    <cellStyle name="Comma 82 3" xfId="2253"/>
    <cellStyle name="Comma 82 4" xfId="2254"/>
    <cellStyle name="Comma 82 5" xfId="2251"/>
    <cellStyle name="Comma 83" xfId="2255"/>
    <cellStyle name="Comma 83 2" xfId="2256"/>
    <cellStyle name="Comma 83 3" xfId="2257"/>
    <cellStyle name="Comma 83 4" xfId="2258"/>
    <cellStyle name="Comma 84" xfId="2259"/>
    <cellStyle name="Comma 84 2" xfId="2260"/>
    <cellStyle name="Comma 84 3" xfId="2261"/>
    <cellStyle name="Comma 85" xfId="2262"/>
    <cellStyle name="Comma 85 2" xfId="2263"/>
    <cellStyle name="Comma 85 3" xfId="2264"/>
    <cellStyle name="Comma 86" xfId="2265"/>
    <cellStyle name="Comma 86 2" xfId="2266"/>
    <cellStyle name="Comma 86 3" xfId="2267"/>
    <cellStyle name="Comma 87" xfId="2268"/>
    <cellStyle name="Comma 87 2" xfId="2269"/>
    <cellStyle name="Comma 87 3" xfId="2270"/>
    <cellStyle name="Comma 88" xfId="2271"/>
    <cellStyle name="Comma 88 2" xfId="2272"/>
    <cellStyle name="Comma 88 3" xfId="2273"/>
    <cellStyle name="Comma 89" xfId="2274"/>
    <cellStyle name="Comma 89 2" xfId="2275"/>
    <cellStyle name="Comma 89 3" xfId="2276"/>
    <cellStyle name="Comma 9" xfId="535"/>
    <cellStyle name="Comma 9 2" xfId="536"/>
    <cellStyle name="Comma 9 2 2" xfId="537"/>
    <cellStyle name="Comma 9 2 2 2" xfId="2277"/>
    <cellStyle name="Comma 9 2 3" xfId="2278"/>
    <cellStyle name="Comma 9 2 3 2" xfId="2279"/>
    <cellStyle name="Comma 9 3" xfId="538"/>
    <cellStyle name="Comma 9 3 2" xfId="2280"/>
    <cellStyle name="Comma 9 3 2 2" xfId="2281"/>
    <cellStyle name="Comma 9 3 3" xfId="2282"/>
    <cellStyle name="Comma 9 4" xfId="539"/>
    <cellStyle name="Comma 9 4 2" xfId="2283"/>
    <cellStyle name="Comma 9 4 2 2" xfId="2284"/>
    <cellStyle name="Comma 9 4 3" xfId="2285"/>
    <cellStyle name="Comma 9 5" xfId="2286"/>
    <cellStyle name="Comma 9 5 2" xfId="2287"/>
    <cellStyle name="Comma 9 5 3" xfId="2288"/>
    <cellStyle name="Comma 9 5 4" xfId="4121"/>
    <cellStyle name="Comma 9 5 4 2" xfId="6840"/>
    <cellStyle name="Comma 90" xfId="2289"/>
    <cellStyle name="Comma 90 2" xfId="2290"/>
    <cellStyle name="Comma 90 3" xfId="2291"/>
    <cellStyle name="Comma 91" xfId="2292"/>
    <cellStyle name="Comma 91 2" xfId="2293"/>
    <cellStyle name="Comma 91 3" xfId="2294"/>
    <cellStyle name="Comma 92" xfId="2295"/>
    <cellStyle name="Comma 92 2" xfId="2296"/>
    <cellStyle name="Comma 92 3" xfId="2297"/>
    <cellStyle name="Comma 93" xfId="2298"/>
    <cellStyle name="Comma 93 2" xfId="5051"/>
    <cellStyle name="Comma 93 2 2" xfId="7371"/>
    <cellStyle name="Comma 94" xfId="2299"/>
    <cellStyle name="Comma 94 2" xfId="8815"/>
    <cellStyle name="Comma 94 3" xfId="8758"/>
    <cellStyle name="Comma 95" xfId="2300"/>
    <cellStyle name="Comma 95 2" xfId="8822"/>
    <cellStyle name="Comma 95 3" xfId="8767"/>
    <cellStyle name="Comma 96" xfId="2301"/>
    <cellStyle name="Comma 96 2" xfId="8817"/>
    <cellStyle name="Comma 96 3" xfId="8761"/>
    <cellStyle name="Comma 97" xfId="2302"/>
    <cellStyle name="Comma 97 2" xfId="8826"/>
    <cellStyle name="Comma 97 3" xfId="8773"/>
    <cellStyle name="Comma 98" xfId="2303"/>
    <cellStyle name="Comma 98 2" xfId="8797"/>
    <cellStyle name="Comma 98 3" xfId="8752"/>
    <cellStyle name="Comma 99" xfId="2304"/>
    <cellStyle name="Comma 99 2" xfId="8798"/>
    <cellStyle name="Comma 99 3" xfId="8753"/>
    <cellStyle name="Comma0" xfId="3992"/>
    <cellStyle name="CommaU [0]" xfId="2305"/>
    <cellStyle name="CommaU [1]" xfId="2306"/>
    <cellStyle name="CommaU [2]" xfId="2307"/>
    <cellStyle name="Comment" xfId="540"/>
    <cellStyle name="Comment 2" xfId="3993"/>
    <cellStyle name="Company" xfId="3994"/>
    <cellStyle name="CompanyName" xfId="541"/>
    <cellStyle name="CompanyName 2" xfId="2308"/>
    <cellStyle name="Copied" xfId="2309"/>
    <cellStyle name="CurRatio" xfId="3995"/>
    <cellStyle name="Curren - Style7" xfId="3996"/>
    <cellStyle name="Curren - Style8" xfId="3997"/>
    <cellStyle name="Currency" xfId="542" builtinId="4"/>
    <cellStyle name="Currency (1)" xfId="2310"/>
    <cellStyle name="Currency [1]" xfId="2311"/>
    <cellStyle name="Currency [2]" xfId="2312"/>
    <cellStyle name="Currency 10" xfId="543"/>
    <cellStyle name="Currency 10 2" xfId="544"/>
    <cellStyle name="Currency 10 2 2" xfId="1730"/>
    <cellStyle name="Currency 10 3" xfId="1731"/>
    <cellStyle name="Currency 11" xfId="545"/>
    <cellStyle name="Currency 11 2" xfId="546"/>
    <cellStyle name="Currency 11 2 2" xfId="3233"/>
    <cellStyle name="Currency 11 2 2 2" xfId="1727"/>
    <cellStyle name="Currency 11 2 3" xfId="1728"/>
    <cellStyle name="Currency 11 3" xfId="547"/>
    <cellStyle name="Currency 11 3 2" xfId="548"/>
    <cellStyle name="Currency 11 4" xfId="1729"/>
    <cellStyle name="Currency 12" xfId="549"/>
    <cellStyle name="Currency 12 2" xfId="550"/>
    <cellStyle name="Currency 12 2 2" xfId="1713"/>
    <cellStyle name="Currency 12 3" xfId="2313"/>
    <cellStyle name="Currency 13" xfId="551"/>
    <cellStyle name="Currency 13 2" xfId="552"/>
    <cellStyle name="Currency 13 3" xfId="2315"/>
    <cellStyle name="Currency 14" xfId="553"/>
    <cellStyle name="Currency 14 2" xfId="554"/>
    <cellStyle name="Currency 15" xfId="555"/>
    <cellStyle name="Currency 15 2" xfId="556"/>
    <cellStyle name="Currency 16" xfId="557"/>
    <cellStyle name="Currency 16 2" xfId="2317"/>
    <cellStyle name="Currency 16 3" xfId="2316"/>
    <cellStyle name="Currency 17" xfId="2318"/>
    <cellStyle name="Currency 17 2" xfId="2319"/>
    <cellStyle name="Currency 18" xfId="2320"/>
    <cellStyle name="Currency 19" xfId="2321"/>
    <cellStyle name="Currency 2" xfId="558"/>
    <cellStyle name="Currency 2 2" xfId="559"/>
    <cellStyle name="Currency 2 2 2" xfId="560"/>
    <cellStyle name="Currency 2 2 2 2" xfId="2322"/>
    <cellStyle name="Currency 2 2 3" xfId="2323"/>
    <cellStyle name="Currency 2 2 4" xfId="3998"/>
    <cellStyle name="Currency 2 3" xfId="561"/>
    <cellStyle name="Currency 2 3 2" xfId="2324"/>
    <cellStyle name="Currency 2 4" xfId="2325"/>
    <cellStyle name="Currency 20" xfId="2326"/>
    <cellStyle name="Currency 21" xfId="2327"/>
    <cellStyle name="Currency 22" xfId="2328"/>
    <cellStyle name="Currency 23" xfId="2329"/>
    <cellStyle name="Currency 24" xfId="2330"/>
    <cellStyle name="Currency 25" xfId="2331"/>
    <cellStyle name="Currency 26" xfId="2332"/>
    <cellStyle name="Currency 27" xfId="2333"/>
    <cellStyle name="Currency 28" xfId="2334"/>
    <cellStyle name="Currency 29" xfId="2335"/>
    <cellStyle name="Currency 3" xfId="562"/>
    <cellStyle name="Currency 3 2" xfId="563"/>
    <cellStyle name="Currency 3 2 2" xfId="564"/>
    <cellStyle name="Currency 3 2 2 2" xfId="565"/>
    <cellStyle name="Currency 3 2 3" xfId="566"/>
    <cellStyle name="Currency 3 3" xfId="567"/>
    <cellStyle name="Currency 3 3 2" xfId="568"/>
    <cellStyle name="Currency 3 4" xfId="569"/>
    <cellStyle name="Currency 3 5" xfId="2336"/>
    <cellStyle name="Currency 30" xfId="2337"/>
    <cellStyle name="Currency 31" xfId="2338"/>
    <cellStyle name="Currency 32" xfId="2339"/>
    <cellStyle name="Currency 33" xfId="2340"/>
    <cellStyle name="Currency 34" xfId="2341"/>
    <cellStyle name="Currency 35" xfId="2342"/>
    <cellStyle name="Currency 36" xfId="2343"/>
    <cellStyle name="Currency 37" xfId="2344"/>
    <cellStyle name="Currency 38" xfId="2345"/>
    <cellStyle name="Currency 39" xfId="2346"/>
    <cellStyle name="Currency 4" xfId="570"/>
    <cellStyle name="Currency 4 2" xfId="571"/>
    <cellStyle name="Currency 4 2 2" xfId="572"/>
    <cellStyle name="Currency 4 2 2 2" xfId="2348"/>
    <cellStyle name="Currency 4 2 3" xfId="2349"/>
    <cellStyle name="Currency 4 3" xfId="573"/>
    <cellStyle name="Currency 4 3 2" xfId="2350"/>
    <cellStyle name="Currency 4 3 2 2" xfId="2351"/>
    <cellStyle name="Currency 4 3 3" xfId="2352"/>
    <cellStyle name="Currency 4 4" xfId="2353"/>
    <cellStyle name="Currency 4 4 2" xfId="2354"/>
    <cellStyle name="Currency 4 4 3" xfId="2355"/>
    <cellStyle name="Currency 4 5" xfId="2356"/>
    <cellStyle name="Currency 4 5 2" xfId="2357"/>
    <cellStyle name="Currency 4 6" xfId="2358"/>
    <cellStyle name="Currency 40" xfId="2359"/>
    <cellStyle name="Currency 41" xfId="2360"/>
    <cellStyle name="Currency 42" xfId="2361"/>
    <cellStyle name="Currency 43" xfId="2362"/>
    <cellStyle name="Currency 44" xfId="2363"/>
    <cellStyle name="Currency 45" xfId="2364"/>
    <cellStyle name="Currency 46" xfId="3788"/>
    <cellStyle name="Currency 47" xfId="4166"/>
    <cellStyle name="Currency 48" xfId="3236"/>
    <cellStyle name="Currency 49" xfId="2314"/>
    <cellStyle name="Currency 5" xfId="574"/>
    <cellStyle name="Currency 5 2" xfId="575"/>
    <cellStyle name="Currency 5 2 2" xfId="576"/>
    <cellStyle name="Currency 5 2 2 2" xfId="2365"/>
    <cellStyle name="Currency 5 2 3" xfId="2366"/>
    <cellStyle name="Currency 5 3" xfId="577"/>
    <cellStyle name="Currency 5 3 2" xfId="2368"/>
    <cellStyle name="Currency 5 4" xfId="578"/>
    <cellStyle name="Currency 5 4 2" xfId="2369"/>
    <cellStyle name="Currency 6" xfId="579"/>
    <cellStyle name="Currency 6 2" xfId="580"/>
    <cellStyle name="Currency 6 2 2" xfId="2370"/>
    <cellStyle name="Currency 6 3" xfId="2371"/>
    <cellStyle name="Currency 7" xfId="581"/>
    <cellStyle name="Currency 7 2" xfId="582"/>
    <cellStyle name="Currency 7 2 2" xfId="583"/>
    <cellStyle name="Currency 7 2 2 2" xfId="1710"/>
    <cellStyle name="Currency 7 2 3" xfId="1711"/>
    <cellStyle name="Currency 7 3" xfId="584"/>
    <cellStyle name="Currency 7 3 2" xfId="2372"/>
    <cellStyle name="Currency 7 4" xfId="2373"/>
    <cellStyle name="Currency 8" xfId="585"/>
    <cellStyle name="Currency 8 2" xfId="586"/>
    <cellStyle name="Currency 8 2 2" xfId="587"/>
    <cellStyle name="Currency 8 3" xfId="588"/>
    <cellStyle name="Currency 8 3 2" xfId="1701"/>
    <cellStyle name="Currency 8 4" xfId="589"/>
    <cellStyle name="Currency 9" xfId="590"/>
    <cellStyle name="Currency 9 2" xfId="591"/>
    <cellStyle name="Currency 9 2 2" xfId="1697"/>
    <cellStyle name="Currency 9 3" xfId="592"/>
    <cellStyle name="Currency(1)" xfId="2375"/>
    <cellStyle name="Currency(1) 2" xfId="3999"/>
    <cellStyle name="Currency0" xfId="4000"/>
    <cellStyle name="CUS.Work.Area" xfId="4001"/>
    <cellStyle name="C㯵rrency_㳔PC Data" xfId="4002"/>
    <cellStyle name="d_yield_AA - BenefitsBonus " xfId="2376"/>
    <cellStyle name="d_yield_AA - BenefitsBonus  2" xfId="4074"/>
    <cellStyle name="Dash" xfId="593"/>
    <cellStyle name="Dash 2" xfId="2378"/>
    <cellStyle name="Data_0dp" xfId="4003"/>
    <cellStyle name="DataEntry" xfId="4004"/>
    <cellStyle name="DataEntry%" xfId="4005"/>
    <cellStyle name="DataEntry_Model2401" xfId="4006"/>
    <cellStyle name="DataPercentStyle" xfId="4263"/>
    <cellStyle name="DataStyle" xfId="4264"/>
    <cellStyle name="DataStyleForecast" xfId="4265"/>
    <cellStyle name="Date" xfId="594"/>
    <cellStyle name="Date m-yy" xfId="595"/>
    <cellStyle name="Date m-yy 2" xfId="2379"/>
    <cellStyle name="Date2" xfId="596"/>
    <cellStyle name="Dates" xfId="2380"/>
    <cellStyle name="DateYear" xfId="2381"/>
    <cellStyle name="Decimal" xfId="597"/>
    <cellStyle name="decimal 1" xfId="598"/>
    <cellStyle name="Decimal 2" xfId="4007"/>
    <cellStyle name="Decimal_ConsensusPanel_v20080325 (2)" xfId="2383"/>
    <cellStyle name="Derive" xfId="4008"/>
    <cellStyle name="Detail ligne" xfId="4266"/>
    <cellStyle name="Dezimal_ACEA" xfId="4267"/>
    <cellStyle name="Dollar" xfId="599"/>
    <cellStyle name="Dollar 2" xfId="2384"/>
    <cellStyle name="Dollars" xfId="600"/>
    <cellStyle name="Dollars 2" xfId="2385"/>
    <cellStyle name="DollarWhole" xfId="2386"/>
    <cellStyle name="Entered" xfId="2387"/>
    <cellStyle name="Euro" xfId="2388"/>
    <cellStyle name="Explanatory Text" xfId="601" builtinId="53" customBuiltin="1"/>
    <cellStyle name="Explanatory Text 2" xfId="602"/>
    <cellStyle name="Explanatory Text 3" xfId="2389"/>
    <cellStyle name="Explanatory Text 3 2" xfId="2390"/>
    <cellStyle name="f‰H_x0010_‹Ëf‰h,ÿt$_x0018_è¸Wÿÿé&gt;Ëÿÿ÷Ç_x0001_" xfId="2391"/>
    <cellStyle name="Fail" xfId="603"/>
    <cellStyle name="Fail 2" xfId="2392"/>
    <cellStyle name="Fail 2 2" xfId="2393"/>
    <cellStyle name="Fail 2 3" xfId="2394"/>
    <cellStyle name="FieldName" xfId="604"/>
    <cellStyle name="FiscalPeriod" xfId="605"/>
    <cellStyle name="FiscalPeriod 2" xfId="2395"/>
    <cellStyle name="FiscalPeriod 2 2" xfId="2396"/>
    <cellStyle name="FiscalPeriod 2 3" xfId="2397"/>
    <cellStyle name="Fixed" xfId="606"/>
    <cellStyle name="Fixed (1)" xfId="4009"/>
    <cellStyle name="Fixed [2]" xfId="4010"/>
    <cellStyle name="Fixed 2" xfId="2398"/>
    <cellStyle name="Fixed 3" xfId="4011"/>
    <cellStyle name="Fixed_1" xfId="4012"/>
    <cellStyle name="FooterStyle" xfId="4268"/>
    <cellStyle name="Footnote" xfId="607"/>
    <cellStyle name="g_rate_AA - BenefitsBonus " xfId="2399"/>
    <cellStyle name="g_rate_AA - BenefitsBonus  2" xfId="4076"/>
    <cellStyle name="G02 Table Text" xfId="608"/>
    <cellStyle name="G02 Table Text 2" xfId="2400"/>
    <cellStyle name="G04_Main head" xfId="609"/>
    <cellStyle name="G05 Tab Head Bold" xfId="610"/>
    <cellStyle name="G05 Tab Head Bold 2" xfId="611"/>
    <cellStyle name="G05 Tab Head Bold 2 2" xfId="612"/>
    <cellStyle name="G05 Tab Head Bold 2 2 2" xfId="2401"/>
    <cellStyle name="G05 Tab Head Bold 2 2 2 2" xfId="2402"/>
    <cellStyle name="G05 Tab Head Bold 2 2 3" xfId="2403"/>
    <cellStyle name="G05 Tab Head Bold 2 3" xfId="2404"/>
    <cellStyle name="G05 Tab Head Bold 2 3 2" xfId="2405"/>
    <cellStyle name="G05 Tab Head Bold 2 4" xfId="2406"/>
    <cellStyle name="G05 Tab Head Bold 3" xfId="613"/>
    <cellStyle name="G05 Tab Head Bold 3 2" xfId="614"/>
    <cellStyle name="G05 Tab Head Bold 3 2 2" xfId="2407"/>
    <cellStyle name="G05 Tab Head Bold 3 3" xfId="2408"/>
    <cellStyle name="G05 Tab Head Bold 4" xfId="615"/>
    <cellStyle name="G05 Tab Head Bold 4 2" xfId="616"/>
    <cellStyle name="G05 Tab Head Bold 4 2 2" xfId="1689"/>
    <cellStyle name="G05 Tab Head Bold 4 3" xfId="1692"/>
    <cellStyle name="G05 Tab Head Bold 5" xfId="617"/>
    <cellStyle name="G05 Tab Head Bold 5 2" xfId="618"/>
    <cellStyle name="G05 Tab Head Bold 5 2 2" xfId="1681"/>
    <cellStyle name="G05 Tab Head Bold 5 3" xfId="1688"/>
    <cellStyle name="G05 Tab Head Bold 6" xfId="619"/>
    <cellStyle name="G05 Tab Head Bold 6 2" xfId="1680"/>
    <cellStyle name="G05 Tab Head Bold 7" xfId="2409"/>
    <cellStyle name="G05 Tab Head Bold 7 2" xfId="2410"/>
    <cellStyle name="G05 Tab Head Bold 8" xfId="2411"/>
    <cellStyle name="G05 Tab Head Bold 8 2" xfId="2412"/>
    <cellStyle name="G05 Tab Head Light" xfId="620"/>
    <cellStyle name="G05 Tab Head Light 2" xfId="621"/>
    <cellStyle name="G05 Tab Head Light 2 2" xfId="622"/>
    <cellStyle name="G05 Tab Head Light 2 2 2" xfId="2413"/>
    <cellStyle name="G05 Tab Head Light 2 2 2 2" xfId="2414"/>
    <cellStyle name="G05 Tab Head Light 2 2 3" xfId="2415"/>
    <cellStyle name="G05 Tab Head Light 2 3" xfId="2416"/>
    <cellStyle name="G05 Tab Head Light 2 3 2" xfId="2417"/>
    <cellStyle name="G05 Tab Head Light 2 4" xfId="2418"/>
    <cellStyle name="G05 Tab Head Light 3" xfId="623"/>
    <cellStyle name="G05 Tab Head Light 3 2" xfId="624"/>
    <cellStyle name="G05 Tab Head Light 3 2 2" xfId="2419"/>
    <cellStyle name="G05 Tab Head Light 3 3" xfId="2420"/>
    <cellStyle name="G05 Tab Head Light 4" xfId="625"/>
    <cellStyle name="G05 Tab Head Light 4 2" xfId="626"/>
    <cellStyle name="G05 Tab Head Light 4 2 2" xfId="1673"/>
    <cellStyle name="G05 Tab Head Light 4 3" xfId="1674"/>
    <cellStyle name="G05 Tab Head Light 5" xfId="627"/>
    <cellStyle name="G05 Tab Head Light 5 2" xfId="628"/>
    <cellStyle name="G05 Tab Head Light 5 2 2" xfId="1671"/>
    <cellStyle name="G05 Tab Head Light 5 3" xfId="1672"/>
    <cellStyle name="G05 Tab Head Light 6" xfId="629"/>
    <cellStyle name="G05 Tab Head Light 6 2" xfId="1670"/>
    <cellStyle name="G05 Tab Head Light 7" xfId="2421"/>
    <cellStyle name="G05 Tab Head Light 7 2" xfId="2422"/>
    <cellStyle name="G05 Tab Head Light 8" xfId="2423"/>
    <cellStyle name="G05 Tab Head Light 8 2" xfId="2424"/>
    <cellStyle name="Good" xfId="630" builtinId="26" customBuiltin="1"/>
    <cellStyle name="Good 2" xfId="631"/>
    <cellStyle name="Good 2 2" xfId="632"/>
    <cellStyle name="Good 2 3" xfId="4123"/>
    <cellStyle name="Good 3" xfId="2425"/>
    <cellStyle name="Good 3 2" xfId="2426"/>
    <cellStyle name="Good 3 3" xfId="2427"/>
    <cellStyle name="Good 4" xfId="4372"/>
    <cellStyle name="Green" xfId="633"/>
    <cellStyle name="Green 2" xfId="634"/>
    <cellStyle name="Green 2 2" xfId="635"/>
    <cellStyle name="Green 2 2 2" xfId="2429"/>
    <cellStyle name="Green 2 3" xfId="2428"/>
    <cellStyle name="Green 3" xfId="2430"/>
    <cellStyle name="Green 3 2" xfId="2431"/>
    <cellStyle name="Green 3 3" xfId="4078"/>
    <cellStyle name="Green 4" xfId="2432"/>
    <cellStyle name="Green 4 2" xfId="2433"/>
    <cellStyle name="Green 4 2 2" xfId="2434"/>
    <cellStyle name="Green 4 2 3" xfId="2435"/>
    <cellStyle name="Green 4 3" xfId="2436"/>
    <cellStyle name="Grey" xfId="636"/>
    <cellStyle name="Grey 2" xfId="637"/>
    <cellStyle name="Grey 3" xfId="2437"/>
    <cellStyle name="Growth%" xfId="2438"/>
    <cellStyle name="GrowthRate" xfId="2439"/>
    <cellStyle name="hard no" xfId="638"/>
    <cellStyle name="hard no 2" xfId="639"/>
    <cellStyle name="hard no 2 2" xfId="2440"/>
    <cellStyle name="hard no 3" xfId="2441"/>
    <cellStyle name="hardno" xfId="640"/>
    <cellStyle name="HEADER" xfId="2442"/>
    <cellStyle name="Header1" xfId="641"/>
    <cellStyle name="Header1 2" xfId="2443"/>
    <cellStyle name="Header2" xfId="642"/>
    <cellStyle name="Header2 2" xfId="2444"/>
    <cellStyle name="HeaderStyle" xfId="4269"/>
    <cellStyle name="Heading 1" xfId="643" builtinId="16" customBuiltin="1"/>
    <cellStyle name="Heading 1 2" xfId="644"/>
    <cellStyle name="Heading 1 2 2" xfId="645"/>
    <cellStyle name="Heading 1 2 3" xfId="4124"/>
    <cellStyle name="Heading 1 3" xfId="2445"/>
    <cellStyle name="Heading 1 3 2" xfId="2446"/>
    <cellStyle name="Heading 1 3 3" xfId="2447"/>
    <cellStyle name="Heading 1 3 4" xfId="4426"/>
    <cellStyle name="Heading 1 3 5" xfId="4270"/>
    <cellStyle name="Heading 1 4" xfId="4368"/>
    <cellStyle name="Heading 2" xfId="646" builtinId="17" customBuiltin="1"/>
    <cellStyle name="Heading 2 2" xfId="647"/>
    <cellStyle name="Heading 2 2 2" xfId="648"/>
    <cellStyle name="Heading 2 2 3" xfId="4125"/>
    <cellStyle name="Heading 2 3" xfId="2448"/>
    <cellStyle name="Heading 2 3 2" xfId="2449"/>
    <cellStyle name="Heading 2 3 3" xfId="2450"/>
    <cellStyle name="Heading 2 3 4" xfId="4427"/>
    <cellStyle name="Heading 2 3 5" xfId="4271"/>
    <cellStyle name="Heading 2 4" xfId="4369"/>
    <cellStyle name="Heading 3" xfId="649" builtinId="18" customBuiltin="1"/>
    <cellStyle name="Heading 3 2" xfId="650"/>
    <cellStyle name="Heading 3 2 2" xfId="651"/>
    <cellStyle name="Heading 3 2 3" xfId="4126"/>
    <cellStyle name="Heading 3 3" xfId="2451"/>
    <cellStyle name="Heading 3 3 2" xfId="2452"/>
    <cellStyle name="Heading 3 3 3" xfId="2453"/>
    <cellStyle name="Heading 3 3 4" xfId="4428"/>
    <cellStyle name="Heading 3 3 5" xfId="4272"/>
    <cellStyle name="Heading 3 4" xfId="4370"/>
    <cellStyle name="Heading 4" xfId="652" builtinId="19" customBuiltin="1"/>
    <cellStyle name="Heading 4 2" xfId="653"/>
    <cellStyle name="Heading 4 3" xfId="2454"/>
    <cellStyle name="Heading 4 3 2" xfId="2455"/>
    <cellStyle name="Heading 4 3 3" xfId="2456"/>
    <cellStyle name="Heading 4 3 4" xfId="4429"/>
    <cellStyle name="Heading 4 3 5" xfId="4273"/>
    <cellStyle name="Heading 4 4" xfId="4371"/>
    <cellStyle name="Heading1" xfId="2457"/>
    <cellStyle name="Heading2" xfId="2458"/>
    <cellStyle name="Hidden" xfId="654"/>
    <cellStyle name="Hidden 2" xfId="2459"/>
    <cellStyle name="Hidden 2 2" xfId="2460"/>
    <cellStyle name="Hidden 2 3" xfId="2461"/>
    <cellStyle name="HIGHLIGHT" xfId="2462"/>
    <cellStyle name="Hyperlink 2" xfId="655"/>
    <cellStyle name="Hyperlink 2 2" xfId="2463"/>
    <cellStyle name="Hyperlink 2 2 2" xfId="2464"/>
    <cellStyle name="Hyperlink 2 2 3" xfId="2465"/>
    <cellStyle name="Hyperlink 2 2 4" xfId="2466"/>
    <cellStyle name="Hyperlink 2 2 5" xfId="4430"/>
    <cellStyle name="Hyperlink 2 2 6" xfId="4274"/>
    <cellStyle name="Hyperlink 2 3" xfId="2467"/>
    <cellStyle name="Hyperlink 2 3 2" xfId="2468"/>
    <cellStyle name="Hyperlink 2 3 3" xfId="4127"/>
    <cellStyle name="Hyperlink 2 3 4" xfId="4431"/>
    <cellStyle name="Hyperlink 3" xfId="2469"/>
    <cellStyle name="Hyperlink 3 2" xfId="2470"/>
    <cellStyle name="Hyperlink 3 3" xfId="2471"/>
    <cellStyle name="Hyperlink 3 4" xfId="2472"/>
    <cellStyle name="Hyperlink 4" xfId="656"/>
    <cellStyle name="Hyperlink 4 2" xfId="657"/>
    <cellStyle name="Hyperlink 4 2 2" xfId="658"/>
    <cellStyle name="Hyperlink 4 2 3" xfId="2473"/>
    <cellStyle name="Hyperlink 4 3" xfId="2474"/>
    <cellStyle name="Hyperlink 4 3 2" xfId="2475"/>
    <cellStyle name="Hyperlink 4 3 3" xfId="2476"/>
    <cellStyle name="Hyperlink 4 3 4" xfId="4128"/>
    <cellStyle name="Hyperlink 5" xfId="2477"/>
    <cellStyle name="Income Statement" xfId="2478"/>
    <cellStyle name="IncomeStatement" xfId="2479"/>
    <cellStyle name="Info_Main" xfId="4013"/>
    <cellStyle name="Input" xfId="659" builtinId="20" customBuiltin="1"/>
    <cellStyle name="Input [yellow]" xfId="660"/>
    <cellStyle name="Input [yellow] 2" xfId="661"/>
    <cellStyle name="Input [yellow] 3" xfId="2480"/>
    <cellStyle name="Input 10" xfId="662"/>
    <cellStyle name="Input 11" xfId="663"/>
    <cellStyle name="Input 12" xfId="664"/>
    <cellStyle name="Input 13" xfId="2481"/>
    <cellStyle name="Input 13 2" xfId="4275"/>
    <cellStyle name="Input 14" xfId="2482"/>
    <cellStyle name="Input 14 2" xfId="4433"/>
    <cellStyle name="Input 14 3" xfId="4276"/>
    <cellStyle name="Input 15" xfId="2483"/>
    <cellStyle name="Input 15 2" xfId="4434"/>
    <cellStyle name="Input 15 3" xfId="4277"/>
    <cellStyle name="Input 16" xfId="2484"/>
    <cellStyle name="Input 16 2" xfId="4435"/>
    <cellStyle name="Input 16 3" xfId="4278"/>
    <cellStyle name="Input 17" xfId="2485"/>
    <cellStyle name="Input 17 2" xfId="4436"/>
    <cellStyle name="Input 17 3" xfId="4279"/>
    <cellStyle name="Input 18" xfId="2486"/>
    <cellStyle name="Input 18 2" xfId="4437"/>
    <cellStyle name="Input 18 3" xfId="4280"/>
    <cellStyle name="Input 19" xfId="2487"/>
    <cellStyle name="Input 2" xfId="665"/>
    <cellStyle name="Input 20" xfId="2488"/>
    <cellStyle name="Input 21" xfId="2489"/>
    <cellStyle name="Input 22" xfId="2490"/>
    <cellStyle name="Input 23" xfId="2491"/>
    <cellStyle name="Input 23 2" xfId="2492"/>
    <cellStyle name="Input 23 3" xfId="4438"/>
    <cellStyle name="Input 24" xfId="2493"/>
    <cellStyle name="Input 24 2" xfId="2494"/>
    <cellStyle name="Input 24 3" xfId="4439"/>
    <cellStyle name="Input 25" xfId="2495"/>
    <cellStyle name="Input 26" xfId="2496"/>
    <cellStyle name="Input 27" xfId="2497"/>
    <cellStyle name="Input 28" xfId="2498"/>
    <cellStyle name="Input 29" xfId="2499"/>
    <cellStyle name="Input 3" xfId="666"/>
    <cellStyle name="Input 30" xfId="2500"/>
    <cellStyle name="Input 31" xfId="2501"/>
    <cellStyle name="Input 32" xfId="2502"/>
    <cellStyle name="Input 33" xfId="2503"/>
    <cellStyle name="Input 34" xfId="2504"/>
    <cellStyle name="Input 35" xfId="2505"/>
    <cellStyle name="Input 36" xfId="2506"/>
    <cellStyle name="Input 37" xfId="2507"/>
    <cellStyle name="Input 38" xfId="2508"/>
    <cellStyle name="Input 39" xfId="2509"/>
    <cellStyle name="Input 4" xfId="667"/>
    <cellStyle name="Input 40" xfId="2510"/>
    <cellStyle name="Input 41" xfId="2511"/>
    <cellStyle name="Input 42" xfId="2512"/>
    <cellStyle name="Input 43" xfId="2513"/>
    <cellStyle name="Input 44" xfId="2514"/>
    <cellStyle name="Input 45" xfId="2515"/>
    <cellStyle name="Input 46" xfId="2516"/>
    <cellStyle name="Input 47" xfId="2517"/>
    <cellStyle name="Input 48" xfId="2518"/>
    <cellStyle name="Input 49" xfId="2519"/>
    <cellStyle name="Input 5" xfId="668"/>
    <cellStyle name="Input 50" xfId="2520"/>
    <cellStyle name="Input 51" xfId="2521"/>
    <cellStyle name="Input 52" xfId="2522"/>
    <cellStyle name="Input 53" xfId="2523"/>
    <cellStyle name="Input 54" xfId="2524"/>
    <cellStyle name="Input 55" xfId="2525"/>
    <cellStyle name="Input 56" xfId="2526"/>
    <cellStyle name="Input 57" xfId="2527"/>
    <cellStyle name="Input 58" xfId="2528"/>
    <cellStyle name="Input 59" xfId="2529"/>
    <cellStyle name="Input 6" xfId="669"/>
    <cellStyle name="Input 60" xfId="2530"/>
    <cellStyle name="Input 61" xfId="2531"/>
    <cellStyle name="Input 62" xfId="2532"/>
    <cellStyle name="Input 63" xfId="2533"/>
    <cellStyle name="Input 64" xfId="2534"/>
    <cellStyle name="Input 65" xfId="4432"/>
    <cellStyle name="Input 66" xfId="4483"/>
    <cellStyle name="Input 67" xfId="4375"/>
    <cellStyle name="Input 68" xfId="4423"/>
    <cellStyle name="Input 7" xfId="670"/>
    <cellStyle name="Input 8" xfId="671"/>
    <cellStyle name="Input 9" xfId="672"/>
    <cellStyle name="Input Titles" xfId="4014"/>
    <cellStyle name="Input%" xfId="4015"/>
    <cellStyle name="InputBlueFont" xfId="673"/>
    <cellStyle name="InputDate" xfId="4016"/>
    <cellStyle name="InputDecimal" xfId="4017"/>
    <cellStyle name="InputDescriptions" xfId="4018"/>
    <cellStyle name="InputHeading1" xfId="4019"/>
    <cellStyle name="InputValue" xfId="4020"/>
    <cellStyle name="Integer" xfId="674"/>
    <cellStyle name="Integer 2" xfId="2535"/>
    <cellStyle name="Invisible" xfId="2536"/>
    <cellStyle name="Italic" xfId="2537"/>
    <cellStyle name="Item" xfId="4021"/>
    <cellStyle name="ItemTypeClass" xfId="4022"/>
    <cellStyle name="KP_Normal" xfId="675"/>
    <cellStyle name="KPMG Heading 1" xfId="2538"/>
    <cellStyle name="KPMG Heading 2" xfId="2539"/>
    <cellStyle name="KPMG Heading 3" xfId="2540"/>
    <cellStyle name="KPMG Heading 4" xfId="2541"/>
    <cellStyle name="KPMG Normal" xfId="2542"/>
    <cellStyle name="KPMG Normal Text" xfId="2543"/>
    <cellStyle name="l]_x000d__x000a_Path=M:\RIOCEN01_x000d__x000a_Name=Carlos Emilio Brousse_x000d__x000a_DDEApps=nsf,nsg,nsh,ntf,ns2,ors,org_x000d__x000a_SmartIcons=Todos_x000d__x000a_" xfId="2544"/>
    <cellStyle name="Ligne détail" xfId="4281"/>
    <cellStyle name="Linked Cell" xfId="676" builtinId="24" customBuiltin="1"/>
    <cellStyle name="Linked Cell 2" xfId="677"/>
    <cellStyle name="Linked Cell 2 2" xfId="678"/>
    <cellStyle name="Linked Cell 2 3" xfId="4129"/>
    <cellStyle name="Linked Cell 3" xfId="2545"/>
    <cellStyle name="Linked Cell 3 2" xfId="2546"/>
    <cellStyle name="Linked Cell 3 3" xfId="2547"/>
    <cellStyle name="Linked Cell 4" xfId="4378"/>
    <cellStyle name="m_AA - BenefitsBonus " xfId="2548"/>
    <cellStyle name="Margins" xfId="2549"/>
    <cellStyle name="MetricLabel" xfId="679"/>
    <cellStyle name="MetricLabel 2" xfId="2550"/>
    <cellStyle name="MetricLabel 2 2" xfId="2551"/>
    <cellStyle name="MetricLabel 2 3" xfId="2552"/>
    <cellStyle name="MetricLabelBlue" xfId="680"/>
    <cellStyle name="MetricLabelBlue 2" xfId="2553"/>
    <cellStyle name="MetricLabelBlue 2 2" xfId="2554"/>
    <cellStyle name="MetricLabelBlue 2 3" xfId="2555"/>
    <cellStyle name="MetricValue" xfId="681"/>
    <cellStyle name="MetricValue 2" xfId="2556"/>
    <cellStyle name="MetricValue 2 2" xfId="2557"/>
    <cellStyle name="MetricValue 2 3" xfId="2558"/>
    <cellStyle name="MEV2" xfId="4282"/>
    <cellStyle name="middle" xfId="2559"/>
    <cellStyle name="middle-title" xfId="2560"/>
    <cellStyle name="mm/dd/yy" xfId="2561"/>
    <cellStyle name="MonthYears" xfId="682"/>
    <cellStyle name="MonthYears 2" xfId="683"/>
    <cellStyle name="MonthYears 3" xfId="2562"/>
    <cellStyle name="Multiple" xfId="2563"/>
    <cellStyle name="Multiple 2" xfId="4023"/>
    <cellStyle name="MW" xfId="2564"/>
    <cellStyle name="Neutral" xfId="684" builtinId="28" customBuiltin="1"/>
    <cellStyle name="Neutral 2" xfId="685"/>
    <cellStyle name="Neutral 2 2" xfId="686"/>
    <cellStyle name="Neutral 2 3" xfId="4130"/>
    <cellStyle name="Neutral 3" xfId="2565"/>
    <cellStyle name="Neutral 3 2" xfId="2566"/>
    <cellStyle name="Neutral 4" xfId="4374"/>
    <cellStyle name="NewColumnHeaderNormal" xfId="2567"/>
    <cellStyle name="NewSectionHeaderNormal" xfId="2568"/>
    <cellStyle name="NewTitleNormal" xfId="2569"/>
    <cellStyle name="No Commas" xfId="2570"/>
    <cellStyle name="no dec" xfId="687"/>
    <cellStyle name="Normal" xfId="0" builtinId="0" customBuiltin="1"/>
    <cellStyle name="Normal - Style1" xfId="688"/>
    <cellStyle name="Normal - Style1 2" xfId="2571"/>
    <cellStyle name="Normal - Style1 3" xfId="4024"/>
    <cellStyle name="Normal 1" xfId="2572"/>
    <cellStyle name="Normal 1 2" xfId="2573"/>
    <cellStyle name="Normal 10" xfId="689"/>
    <cellStyle name="Normal 10 2" xfId="690"/>
    <cellStyle name="Normal 10 2 10" xfId="5732"/>
    <cellStyle name="Normal 10 2 10 2" xfId="8051"/>
    <cellStyle name="Normal 10 2 11" xfId="8785"/>
    <cellStyle name="Normal 10 2 2" xfId="2574"/>
    <cellStyle name="Normal 10 2 2 2" xfId="2575"/>
    <cellStyle name="Normal 10 2 2 3" xfId="2576"/>
    <cellStyle name="Normal 10 2 2 4" xfId="4132"/>
    <cellStyle name="Normal 10 2 2 4 2" xfId="6841"/>
    <cellStyle name="Normal 10 2 2 5" xfId="4440"/>
    <cellStyle name="Normal 10 2 2 5 2" xfId="6561"/>
    <cellStyle name="Normal 10 2 3" xfId="2577"/>
    <cellStyle name="Normal 10 2 3 2" xfId="2578"/>
    <cellStyle name="Normal 10 2 3 2 2" xfId="2579"/>
    <cellStyle name="Normal 10 2 3 2 2 2" xfId="2580"/>
    <cellStyle name="Normal 10 2 3 2 2 2 2" xfId="2581"/>
    <cellStyle name="Normal 10 2 3 2 2 2 2 2" xfId="6566"/>
    <cellStyle name="Normal 10 2 3 2 2 2 3" xfId="6341"/>
    <cellStyle name="Normal 10 2 3 2 2 2 3 2" xfId="8660"/>
    <cellStyle name="Normal 10 2 3 2 2 2 4" xfId="6565"/>
    <cellStyle name="Normal 10 2 3 2 2 3" xfId="2582"/>
    <cellStyle name="Normal 10 2 3 2 2 3 2" xfId="6567"/>
    <cellStyle name="Normal 10 2 3 2 2 4" xfId="6005"/>
    <cellStyle name="Normal 10 2 3 2 2 4 2" xfId="8324"/>
    <cellStyle name="Normal 10 2 3 2 2 5" xfId="6564"/>
    <cellStyle name="Normal 10 2 3 2 3" xfId="2583"/>
    <cellStyle name="Normal 10 2 3 2 3 2" xfId="2584"/>
    <cellStyle name="Normal 10 2 3 2 3 2 2" xfId="6569"/>
    <cellStyle name="Normal 10 2 3 2 3 3" xfId="6173"/>
    <cellStyle name="Normal 10 2 3 2 3 3 2" xfId="8492"/>
    <cellStyle name="Normal 10 2 3 2 3 4" xfId="6568"/>
    <cellStyle name="Normal 10 2 3 2 4" xfId="2585"/>
    <cellStyle name="Normal 10 2 3 2 4 2" xfId="6570"/>
    <cellStyle name="Normal 10 2 3 2 5" xfId="5837"/>
    <cellStyle name="Normal 10 2 3 2 5 2" xfId="8156"/>
    <cellStyle name="Normal 10 2 3 2 6" xfId="6563"/>
    <cellStyle name="Normal 10 2 3 3" xfId="2586"/>
    <cellStyle name="Normal 10 2 3 3 2" xfId="2587"/>
    <cellStyle name="Normal 10 2 3 3 2 2" xfId="2588"/>
    <cellStyle name="Normal 10 2 3 3 2 2 2" xfId="5629"/>
    <cellStyle name="Normal 10 2 3 3 2 2 2 2" xfId="7948"/>
    <cellStyle name="Normal 10 2 3 3 2 2 3" xfId="6299"/>
    <cellStyle name="Normal 10 2 3 3 2 2 3 2" xfId="8618"/>
    <cellStyle name="Normal 10 2 3 3 2 2 4" xfId="6573"/>
    <cellStyle name="Normal 10 2 3 3 2 3" xfId="5297"/>
    <cellStyle name="Normal 10 2 3 3 2 3 2" xfId="7616"/>
    <cellStyle name="Normal 10 2 3 3 2 4" xfId="5963"/>
    <cellStyle name="Normal 10 2 3 3 2 4 2" xfId="8282"/>
    <cellStyle name="Normal 10 2 3 3 2 5" xfId="6572"/>
    <cellStyle name="Normal 10 2 3 3 3" xfId="2589"/>
    <cellStyle name="Normal 10 2 3 3 3 2" xfId="5463"/>
    <cellStyle name="Normal 10 2 3 3 3 2 2" xfId="7782"/>
    <cellStyle name="Normal 10 2 3 3 3 3" xfId="6131"/>
    <cellStyle name="Normal 10 2 3 3 3 3 2" xfId="8450"/>
    <cellStyle name="Normal 10 2 3 3 3 4" xfId="6574"/>
    <cellStyle name="Normal 10 2 3 3 4" xfId="5131"/>
    <cellStyle name="Normal 10 2 3 3 4 2" xfId="7450"/>
    <cellStyle name="Normal 10 2 3 3 5" xfId="5795"/>
    <cellStyle name="Normal 10 2 3 3 5 2" xfId="8114"/>
    <cellStyle name="Normal 10 2 3 3 6" xfId="6571"/>
    <cellStyle name="Normal 10 2 3 4" xfId="2590"/>
    <cellStyle name="Normal 10 2 3 4 2" xfId="2591"/>
    <cellStyle name="Normal 10 2 3 4 2 2" xfId="5035"/>
    <cellStyle name="Normal 10 2 3 4 2 2 2" xfId="5711"/>
    <cellStyle name="Normal 10 2 3 4 2 2 2 2" xfId="8030"/>
    <cellStyle name="Normal 10 2 3 4 2 2 3" xfId="6383"/>
    <cellStyle name="Normal 10 2 3 4 2 2 3 2" xfId="8702"/>
    <cellStyle name="Normal 10 2 3 4 2 2 4" xfId="7356"/>
    <cellStyle name="Normal 10 2 3 4 2 3" xfId="5379"/>
    <cellStyle name="Normal 10 2 3 4 2 3 2" xfId="7698"/>
    <cellStyle name="Normal 10 2 3 4 2 4" xfId="6047"/>
    <cellStyle name="Normal 10 2 3 4 2 4 2" xfId="8366"/>
    <cellStyle name="Normal 10 2 3 4 2 5" xfId="6576"/>
    <cellStyle name="Normal 10 2 3 4 3" xfId="4870"/>
    <cellStyle name="Normal 10 2 3 4 3 2" xfId="5545"/>
    <cellStyle name="Normal 10 2 3 4 3 2 2" xfId="7864"/>
    <cellStyle name="Normal 10 2 3 4 3 3" xfId="6215"/>
    <cellStyle name="Normal 10 2 3 4 3 3 2" xfId="8534"/>
    <cellStyle name="Normal 10 2 3 4 3 4" xfId="7191"/>
    <cellStyle name="Normal 10 2 3 4 4" xfId="5213"/>
    <cellStyle name="Normal 10 2 3 4 4 2" xfId="7532"/>
    <cellStyle name="Normal 10 2 3 4 5" xfId="5879"/>
    <cellStyle name="Normal 10 2 3 4 5 2" xfId="8198"/>
    <cellStyle name="Normal 10 2 3 4 6" xfId="6575"/>
    <cellStyle name="Normal 10 2 3 5" xfId="2592"/>
    <cellStyle name="Normal 10 2 3 5 2" xfId="4912"/>
    <cellStyle name="Normal 10 2 3 5 2 2" xfId="5587"/>
    <cellStyle name="Normal 10 2 3 5 2 2 2" xfId="7906"/>
    <cellStyle name="Normal 10 2 3 5 2 3" xfId="6257"/>
    <cellStyle name="Normal 10 2 3 5 2 3 2" xfId="8576"/>
    <cellStyle name="Normal 10 2 3 5 2 4" xfId="7233"/>
    <cellStyle name="Normal 10 2 3 5 3" xfId="5255"/>
    <cellStyle name="Normal 10 2 3 5 3 2" xfId="7574"/>
    <cellStyle name="Normal 10 2 3 5 4" xfId="5921"/>
    <cellStyle name="Normal 10 2 3 5 4 2" xfId="8240"/>
    <cellStyle name="Normal 10 2 3 5 5" xfId="6577"/>
    <cellStyle name="Normal 10 2 3 6" xfId="4131"/>
    <cellStyle name="Normal 10 2 3 6 2" xfId="5421"/>
    <cellStyle name="Normal 10 2 3 6 2 2" xfId="7740"/>
    <cellStyle name="Normal 10 2 3 6 3" xfId="6089"/>
    <cellStyle name="Normal 10 2 3 6 3 2" xfId="8408"/>
    <cellStyle name="Normal 10 2 3 6 4" xfId="4747"/>
    <cellStyle name="Normal 10 2 3 6 4 2" xfId="7068"/>
    <cellStyle name="Normal 10 2 3 7" xfId="5089"/>
    <cellStyle name="Normal 10 2 3 7 2" xfId="7408"/>
    <cellStyle name="Normal 10 2 3 8" xfId="5753"/>
    <cellStyle name="Normal 10 2 3 8 2" xfId="8072"/>
    <cellStyle name="Normal 10 2 3 9" xfId="6562"/>
    <cellStyle name="Normal 10 2 4" xfId="2593"/>
    <cellStyle name="Normal 10 2 4 2" xfId="2594"/>
    <cellStyle name="Normal 10 2 4 2 2" xfId="2595"/>
    <cellStyle name="Normal 10 2 4 2 2 2" xfId="2596"/>
    <cellStyle name="Normal 10 2 4 2 2 2 2" xfId="6581"/>
    <cellStyle name="Normal 10 2 4 2 2 3" xfId="6320"/>
    <cellStyle name="Normal 10 2 4 2 2 3 2" xfId="8639"/>
    <cellStyle name="Normal 10 2 4 2 2 4" xfId="6580"/>
    <cellStyle name="Normal 10 2 4 2 3" xfId="2597"/>
    <cellStyle name="Normal 10 2 4 2 3 2" xfId="6582"/>
    <cellStyle name="Normal 10 2 4 2 4" xfId="5984"/>
    <cellStyle name="Normal 10 2 4 2 4 2" xfId="8303"/>
    <cellStyle name="Normal 10 2 4 2 5" xfId="6579"/>
    <cellStyle name="Normal 10 2 4 3" xfId="2598"/>
    <cellStyle name="Normal 10 2 4 3 2" xfId="2599"/>
    <cellStyle name="Normal 10 2 4 3 2 2" xfId="6584"/>
    <cellStyle name="Normal 10 2 4 3 3" xfId="6152"/>
    <cellStyle name="Normal 10 2 4 3 3 2" xfId="8471"/>
    <cellStyle name="Normal 10 2 4 3 4" xfId="6583"/>
    <cellStyle name="Normal 10 2 4 4" xfId="2600"/>
    <cellStyle name="Normal 10 2 4 4 2" xfId="6585"/>
    <cellStyle name="Normal 10 2 4 5" xfId="5816"/>
    <cellStyle name="Normal 10 2 4 5 2" xfId="8135"/>
    <cellStyle name="Normal 10 2 4 6" xfId="6578"/>
    <cellStyle name="Normal 10 2 5" xfId="2601"/>
    <cellStyle name="Normal 10 2 5 2" xfId="2602"/>
    <cellStyle name="Normal 10 2 5 2 2" xfId="4933"/>
    <cellStyle name="Normal 10 2 5 2 2 2" xfId="5608"/>
    <cellStyle name="Normal 10 2 5 2 2 2 2" xfId="7927"/>
    <cellStyle name="Normal 10 2 5 2 2 3" xfId="6278"/>
    <cellStyle name="Normal 10 2 5 2 2 3 2" xfId="8597"/>
    <cellStyle name="Normal 10 2 5 2 2 4" xfId="7254"/>
    <cellStyle name="Normal 10 2 5 2 3" xfId="5276"/>
    <cellStyle name="Normal 10 2 5 2 3 2" xfId="7595"/>
    <cellStyle name="Normal 10 2 5 2 4" xfId="5942"/>
    <cellStyle name="Normal 10 2 5 2 4 2" xfId="8261"/>
    <cellStyle name="Normal 10 2 5 2 5" xfId="6587"/>
    <cellStyle name="Normal 10 2 5 3" xfId="4768"/>
    <cellStyle name="Normal 10 2 5 3 2" xfId="5442"/>
    <cellStyle name="Normal 10 2 5 3 2 2" xfId="7761"/>
    <cellStyle name="Normal 10 2 5 3 3" xfId="6110"/>
    <cellStyle name="Normal 10 2 5 3 3 2" xfId="8429"/>
    <cellStyle name="Normal 10 2 5 3 4" xfId="7089"/>
    <cellStyle name="Normal 10 2 5 4" xfId="5110"/>
    <cellStyle name="Normal 10 2 5 4 2" xfId="7429"/>
    <cellStyle name="Normal 10 2 5 5" xfId="5774"/>
    <cellStyle name="Normal 10 2 5 5 2" xfId="8093"/>
    <cellStyle name="Normal 10 2 5 6" xfId="6586"/>
    <cellStyle name="Normal 10 2 6" xfId="4085"/>
    <cellStyle name="Normal 10 2 6 2" xfId="4685"/>
    <cellStyle name="Normal 10 2 6 2 2" xfId="5014"/>
    <cellStyle name="Normal 10 2 6 2 2 2" xfId="5690"/>
    <cellStyle name="Normal 10 2 6 2 2 2 2" xfId="8009"/>
    <cellStyle name="Normal 10 2 6 2 2 3" xfId="6362"/>
    <cellStyle name="Normal 10 2 6 2 2 3 2" xfId="8681"/>
    <cellStyle name="Normal 10 2 6 2 2 4" xfId="7335"/>
    <cellStyle name="Normal 10 2 6 2 3" xfId="5358"/>
    <cellStyle name="Normal 10 2 6 2 3 2" xfId="7677"/>
    <cellStyle name="Normal 10 2 6 2 4" xfId="6026"/>
    <cellStyle name="Normal 10 2 6 2 4 2" xfId="8345"/>
    <cellStyle name="Normal 10 2 6 2 5" xfId="7006"/>
    <cellStyle name="Normal 10 2 6 3" xfId="4849"/>
    <cellStyle name="Normal 10 2 6 3 2" xfId="5524"/>
    <cellStyle name="Normal 10 2 6 3 2 2" xfId="7843"/>
    <cellStyle name="Normal 10 2 6 3 3" xfId="6194"/>
    <cellStyle name="Normal 10 2 6 3 3 2" xfId="8513"/>
    <cellStyle name="Normal 10 2 6 3 4" xfId="7170"/>
    <cellStyle name="Normal 10 2 6 4" xfId="5192"/>
    <cellStyle name="Normal 10 2 6 4 2" xfId="7511"/>
    <cellStyle name="Normal 10 2 6 5" xfId="5858"/>
    <cellStyle name="Normal 10 2 6 5 2" xfId="8177"/>
    <cellStyle name="Normal 10 2 6 6" xfId="4538"/>
    <cellStyle name="Normal 10 2 6 6 2" xfId="6859"/>
    <cellStyle name="Normal 10 2 7" xfId="4566"/>
    <cellStyle name="Normal 10 2 7 2" xfId="4891"/>
    <cellStyle name="Normal 10 2 7 2 2" xfId="5566"/>
    <cellStyle name="Normal 10 2 7 2 2 2" xfId="7885"/>
    <cellStyle name="Normal 10 2 7 2 3" xfId="6236"/>
    <cellStyle name="Normal 10 2 7 2 3 2" xfId="8555"/>
    <cellStyle name="Normal 10 2 7 2 4" xfId="7212"/>
    <cellStyle name="Normal 10 2 7 3" xfId="5234"/>
    <cellStyle name="Normal 10 2 7 3 2" xfId="7553"/>
    <cellStyle name="Normal 10 2 7 4" xfId="5900"/>
    <cellStyle name="Normal 10 2 7 4 2" xfId="8219"/>
    <cellStyle name="Normal 10 2 7 5" xfId="6887"/>
    <cellStyle name="Normal 10 2 8" xfId="4726"/>
    <cellStyle name="Normal 10 2 8 2" xfId="5400"/>
    <cellStyle name="Normal 10 2 8 2 2" xfId="7719"/>
    <cellStyle name="Normal 10 2 8 3" xfId="6068"/>
    <cellStyle name="Normal 10 2 8 3 2" xfId="8387"/>
    <cellStyle name="Normal 10 2 8 4" xfId="7047"/>
    <cellStyle name="Normal 10 2 9" xfId="5068"/>
    <cellStyle name="Normal 10 2 9 2" xfId="7387"/>
    <cellStyle name="Normal 10 3" xfId="691"/>
    <cellStyle name="Normal 10 3 2" xfId="2603"/>
    <cellStyle name="Normal 10 3 2 2" xfId="2604"/>
    <cellStyle name="Normal 10 3 2 2 2" xfId="2605"/>
    <cellStyle name="Normal 10 3 2 2 2 2" xfId="6590"/>
    <cellStyle name="Normal 10 3 2 2 3" xfId="4443"/>
    <cellStyle name="Normal 10 3 2 2 3 2" xfId="6589"/>
    <cellStyle name="Normal 10 3 2 2 4" xfId="6425"/>
    <cellStyle name="Normal 10 3 2 2 4 2" xfId="8736"/>
    <cellStyle name="Normal 10 3 2 2 5" xfId="6464"/>
    <cellStyle name="Normal 10 3 2 3" xfId="2606"/>
    <cellStyle name="Normal 10 3 2 3 2" xfId="6591"/>
    <cellStyle name="Normal 10 3 2 4" xfId="2607"/>
    <cellStyle name="Normal 10 3 2 4 2" xfId="6592"/>
    <cellStyle name="Normal 10 3 2 5" xfId="4442"/>
    <cellStyle name="Normal 10 3 2 6" xfId="6404"/>
    <cellStyle name="Normal 10 3 2 6 2" xfId="8717"/>
    <cellStyle name="Normal 10 3 2 7" xfId="6445"/>
    <cellStyle name="Normal 10 3 3" xfId="2608"/>
    <cellStyle name="Normal 10 3 3 2" xfId="2609"/>
    <cellStyle name="Normal 10 3 3 2 2" xfId="4445"/>
    <cellStyle name="Normal 10 3 3 2 2 2" xfId="6594"/>
    <cellStyle name="Normal 10 3 3 2 3" xfId="6429"/>
    <cellStyle name="Normal 10 3 3 2 3 2" xfId="8740"/>
    <cellStyle name="Normal 10 3 3 2 4" xfId="6468"/>
    <cellStyle name="Normal 10 3 3 3" xfId="4444"/>
    <cellStyle name="Normal 10 3 3 3 2" xfId="6593"/>
    <cellStyle name="Normal 10 3 3 4" xfId="6410"/>
    <cellStyle name="Normal 10 3 3 4 2" xfId="8721"/>
    <cellStyle name="Normal 10 3 3 5" xfId="6449"/>
    <cellStyle name="Normal 10 3 4" xfId="2610"/>
    <cellStyle name="Normal 10 3 4 2" xfId="4361"/>
    <cellStyle name="Normal 10 3 4 2 2" xfId="6433"/>
    <cellStyle name="Normal 10 3 4 2 2 2" xfId="8744"/>
    <cellStyle name="Normal 10 3 4 2 3" xfId="6472"/>
    <cellStyle name="Normal 10 3 4 3" xfId="4446"/>
    <cellStyle name="Normal 10 3 4 3 2" xfId="6595"/>
    <cellStyle name="Normal 10 3 4 4" xfId="6414"/>
    <cellStyle name="Normal 10 3 4 4 2" xfId="8725"/>
    <cellStyle name="Normal 10 3 4 5" xfId="6453"/>
    <cellStyle name="Normal 10 3 5" xfId="4133"/>
    <cellStyle name="Normal 10 3 5 2" xfId="4363"/>
    <cellStyle name="Normal 10 3 5 2 2" xfId="6435"/>
    <cellStyle name="Normal 10 3 5 2 2 2" xfId="8746"/>
    <cellStyle name="Normal 10 3 5 2 3" xfId="6474"/>
    <cellStyle name="Normal 10 3 5 3" xfId="4524"/>
    <cellStyle name="Normal 10 3 5 3 2" xfId="6842"/>
    <cellStyle name="Normal 10 3 5 4" xfId="6416"/>
    <cellStyle name="Normal 10 3 5 4 2" xfId="8727"/>
    <cellStyle name="Normal 10 3 5 5" xfId="6455"/>
    <cellStyle name="Normal 10 3 6" xfId="4353"/>
    <cellStyle name="Normal 10 3 6 2" xfId="6421"/>
    <cellStyle name="Normal 10 3 6 2 2" xfId="8732"/>
    <cellStyle name="Normal 10 3 6 3" xfId="6460"/>
    <cellStyle name="Normal 10 3 7" xfId="4441"/>
    <cellStyle name="Normal 10 3 7 2" xfId="6588"/>
    <cellStyle name="Normal 10 3 8" xfId="6399"/>
    <cellStyle name="Normal 10 3 8 2" xfId="8713"/>
    <cellStyle name="Normal 10 3 9" xfId="6441"/>
    <cellStyle name="Normal 10 4" xfId="692"/>
    <cellStyle name="Normal 10 4 2" xfId="2611"/>
    <cellStyle name="Normal 10 4 2 2" xfId="4447"/>
    <cellStyle name="Normal 10 4 2 3" xfId="4283"/>
    <cellStyle name="Normal 10 4 2 4" xfId="8795"/>
    <cellStyle name="Normal 10 4 3" xfId="4343"/>
    <cellStyle name="Normal 10 4 3 2" xfId="4360"/>
    <cellStyle name="Normal 10 4 3 2 2" xfId="6431"/>
    <cellStyle name="Normal 10 4 3 2 2 2" xfId="8742"/>
    <cellStyle name="Normal 10 4 3 2 3" xfId="6470"/>
    <cellStyle name="Normal 10 4 3 3" xfId="6412"/>
    <cellStyle name="Normal 10 4 3 3 2" xfId="8723"/>
    <cellStyle name="Normal 10 4 3 4" xfId="6451"/>
    <cellStyle name="Normal 10 4 4" xfId="4355"/>
    <cellStyle name="Normal 10 4 4 2" xfId="6423"/>
    <cellStyle name="Normal 10 4 4 2 2" xfId="8734"/>
    <cellStyle name="Normal 10 4 4 3" xfId="6462"/>
    <cellStyle name="Normal 10 4 5" xfId="5052"/>
    <cellStyle name="Normal 10 4 5 2" xfId="7372"/>
    <cellStyle name="Normal 10 4 6" xfId="6402"/>
    <cellStyle name="Normal 10 4 6 2" xfId="8715"/>
    <cellStyle name="Normal 10 4 7" xfId="6443"/>
    <cellStyle name="Normal 10 4 8" xfId="4234"/>
    <cellStyle name="Normal 10 5" xfId="2612"/>
    <cellStyle name="Normal 10 5 2" xfId="2613"/>
    <cellStyle name="Normal 10 5 2 2" xfId="4449"/>
    <cellStyle name="Normal 10 5 2 3" xfId="6427"/>
    <cellStyle name="Normal 10 5 2 3 2" xfId="8738"/>
    <cellStyle name="Normal 10 5 2 4" xfId="6466"/>
    <cellStyle name="Normal 10 5 2 5" xfId="4358"/>
    <cellStyle name="Normal 10 5 3" xfId="4448"/>
    <cellStyle name="Normal 10 5 4" xfId="6408"/>
    <cellStyle name="Normal 10 5 4 2" xfId="8719"/>
    <cellStyle name="Normal 10 5 5" xfId="6447"/>
    <cellStyle name="Normal 10 5 6" xfId="4342"/>
    <cellStyle name="Normal 10 6" xfId="4350"/>
    <cellStyle name="Normal 10 6 2" xfId="6419"/>
    <cellStyle name="Normal 10 6 2 2" xfId="8730"/>
    <cellStyle name="Normal 10 6 3" xfId="6458"/>
    <cellStyle name="Normal 10 7" xfId="6397"/>
    <cellStyle name="Normal 10 7 2" xfId="8711"/>
    <cellStyle name="Normal 10 8" xfId="6439"/>
    <cellStyle name="Normal 10_Exhibits" xfId="693"/>
    <cellStyle name="Normal 100" xfId="2614"/>
    <cellStyle name="Normal 100 2" xfId="2615"/>
    <cellStyle name="Normal 100 2 2" xfId="8818"/>
    <cellStyle name="Normal 100 3" xfId="8762"/>
    <cellStyle name="Normal 101" xfId="2616"/>
    <cellStyle name="Normal 101 2" xfId="2617"/>
    <cellStyle name="Normal 101 2 2" xfId="8805"/>
    <cellStyle name="Normal 101 3" xfId="8756"/>
    <cellStyle name="Normal 102" xfId="2618"/>
    <cellStyle name="Normal 102 2" xfId="2619"/>
    <cellStyle name="Normal 102 2 2" xfId="8824"/>
    <cellStyle name="Normal 102 3" xfId="8770"/>
    <cellStyle name="Normal 103" xfId="2620"/>
    <cellStyle name="Normal 103 2" xfId="2621"/>
    <cellStyle name="Normal 103 2 2" xfId="8827"/>
    <cellStyle name="Normal 103 3" xfId="8774"/>
    <cellStyle name="Normal 104" xfId="2622"/>
    <cellStyle name="Normal 104 2" xfId="2623"/>
    <cellStyle name="Normal 104 2 2" xfId="8828"/>
    <cellStyle name="Normal 104 3" xfId="8775"/>
    <cellStyle name="Normal 105" xfId="2624"/>
    <cellStyle name="Normal 105 2" xfId="2625"/>
    <cellStyle name="Normal 106" xfId="2626"/>
    <cellStyle name="Normal 106 2" xfId="2627"/>
    <cellStyle name="Normal 107" xfId="2628"/>
    <cellStyle name="Normal 107 2" xfId="2629"/>
    <cellStyle name="Normal 108" xfId="2630"/>
    <cellStyle name="Normal 108 2" xfId="4450"/>
    <cellStyle name="Normal 108 3" xfId="4332"/>
    <cellStyle name="Normal 109" xfId="2631"/>
    <cellStyle name="Normal 109 2" xfId="4451"/>
    <cellStyle name="Normal 109 3" xfId="4333"/>
    <cellStyle name="Normal 11" xfId="694"/>
    <cellStyle name="Normal 11 10" xfId="6440"/>
    <cellStyle name="Normal 11 2" xfId="695"/>
    <cellStyle name="Normal 11 2 2" xfId="2632"/>
    <cellStyle name="Normal 11 3" xfId="696"/>
    <cellStyle name="Normal 11 3 2" xfId="2633"/>
    <cellStyle name="Normal 11 3 2 2" xfId="4356"/>
    <cellStyle name="Normal 11 3 2 2 2" xfId="6426"/>
    <cellStyle name="Normal 11 3 2 2 2 2" xfId="8737"/>
    <cellStyle name="Normal 11 3 2 2 3" xfId="6465"/>
    <cellStyle name="Normal 11 3 2 3" xfId="4453"/>
    <cellStyle name="Normal 11 3 2 4" xfId="6405"/>
    <cellStyle name="Normal 11 3 2 4 2" xfId="8718"/>
    <cellStyle name="Normal 11 3 2 5" xfId="6446"/>
    <cellStyle name="Normal 11 3 2 6" xfId="4284"/>
    <cellStyle name="Normal 11 3 3" xfId="4135"/>
    <cellStyle name="Normal 11 3 3 2" xfId="4359"/>
    <cellStyle name="Normal 11 3 3 2 2" xfId="6430"/>
    <cellStyle name="Normal 11 3 3 2 2 2" xfId="8741"/>
    <cellStyle name="Normal 11 3 3 2 3" xfId="6469"/>
    <cellStyle name="Normal 11 3 3 3" xfId="4525"/>
    <cellStyle name="Normal 11 3 3 3 2" xfId="6843"/>
    <cellStyle name="Normal 11 3 3 4" xfId="6411"/>
    <cellStyle name="Normal 11 3 3 4 2" xfId="8722"/>
    <cellStyle name="Normal 11 3 3 5" xfId="6450"/>
    <cellStyle name="Normal 11 3 4" xfId="4345"/>
    <cellStyle name="Normal 11 3 4 2" xfId="4362"/>
    <cellStyle name="Normal 11 3 4 2 2" xfId="6434"/>
    <cellStyle name="Normal 11 3 4 2 2 2" xfId="8745"/>
    <cellStyle name="Normal 11 3 4 2 3" xfId="6473"/>
    <cellStyle name="Normal 11 3 4 3" xfId="6415"/>
    <cellStyle name="Normal 11 3 4 3 2" xfId="8726"/>
    <cellStyle name="Normal 11 3 4 4" xfId="6454"/>
    <cellStyle name="Normal 11 3 5" xfId="4349"/>
    <cellStyle name="Normal 11 3 5 2" xfId="4364"/>
    <cellStyle name="Normal 11 3 5 2 2" xfId="6436"/>
    <cellStyle name="Normal 11 3 5 2 2 2" xfId="8747"/>
    <cellStyle name="Normal 11 3 5 2 3" xfId="6475"/>
    <cellStyle name="Normal 11 3 5 3" xfId="6417"/>
    <cellStyle name="Normal 11 3 5 3 2" xfId="8728"/>
    <cellStyle name="Normal 11 3 5 4" xfId="6456"/>
    <cellStyle name="Normal 11 3 6" xfId="4354"/>
    <cellStyle name="Normal 11 3 6 2" xfId="6422"/>
    <cellStyle name="Normal 11 3 6 2 2" xfId="8733"/>
    <cellStyle name="Normal 11 3 6 3" xfId="6461"/>
    <cellStyle name="Normal 11 3 7" xfId="4452"/>
    <cellStyle name="Normal 11 3 7 2" xfId="6596"/>
    <cellStyle name="Normal 11 3 8" xfId="6400"/>
    <cellStyle name="Normal 11 3 8 2" xfId="8714"/>
    <cellStyle name="Normal 11 3 9" xfId="6442"/>
    <cellStyle name="Normal 11 4" xfId="697"/>
    <cellStyle name="Normal 11 4 2" xfId="698"/>
    <cellStyle name="Normal 11 4 2 2" xfId="2634"/>
    <cellStyle name="Normal 11 4 2 2 2" xfId="2635"/>
    <cellStyle name="Normal 11 4 2 2 2 2" xfId="2636"/>
    <cellStyle name="Normal 11 4 2 2 2 2 2" xfId="6599"/>
    <cellStyle name="Normal 11 4 2 2 2 3" xfId="6598"/>
    <cellStyle name="Normal 11 4 2 2 3" xfId="2637"/>
    <cellStyle name="Normal 11 4 2 2 3 2" xfId="6600"/>
    <cellStyle name="Normal 11 4 2 2 4" xfId="6597"/>
    <cellStyle name="Normal 11 4 2 3" xfId="2638"/>
    <cellStyle name="Normal 11 4 2 3 2" xfId="2639"/>
    <cellStyle name="Normal 11 4 2 3 2 2" xfId="6602"/>
    <cellStyle name="Normal 11 4 2 3 3" xfId="6601"/>
    <cellStyle name="Normal 11 4 2 4" xfId="2640"/>
    <cellStyle name="Normal 11 4 2 4 2" xfId="6603"/>
    <cellStyle name="Normal 11 4 2 5" xfId="2641"/>
    <cellStyle name="Normal 11 4 2 5 2" xfId="6604"/>
    <cellStyle name="Normal 11 4 3" xfId="2642"/>
    <cellStyle name="Normal 11 4 3 2" xfId="2643"/>
    <cellStyle name="Normal 11 4 3 2 2" xfId="2644"/>
    <cellStyle name="Normal 11 4 3 2 2 2" xfId="6607"/>
    <cellStyle name="Normal 11 4 3 2 3" xfId="4455"/>
    <cellStyle name="Normal 11 4 3 2 3 2" xfId="6606"/>
    <cellStyle name="Normal 11 4 3 2 4" xfId="6432"/>
    <cellStyle name="Normal 11 4 3 2 4 2" xfId="8743"/>
    <cellStyle name="Normal 11 4 3 2 5" xfId="6471"/>
    <cellStyle name="Normal 11 4 3 3" xfId="2645"/>
    <cellStyle name="Normal 11 4 3 3 2" xfId="6608"/>
    <cellStyle name="Normal 11 4 3 4" xfId="4454"/>
    <cellStyle name="Normal 11 4 3 4 2" xfId="6605"/>
    <cellStyle name="Normal 11 4 3 5" xfId="6413"/>
    <cellStyle name="Normal 11 4 3 5 2" xfId="8724"/>
    <cellStyle name="Normal 11 4 3 6" xfId="6452"/>
    <cellStyle name="Normal 11 4 4" xfId="2646"/>
    <cellStyle name="Normal 11 4 4 2" xfId="2647"/>
    <cellStyle name="Normal 11 4 4 2 2" xfId="6610"/>
    <cellStyle name="Normal 11 4 4 3" xfId="4456"/>
    <cellStyle name="Normal 11 4 4 3 2" xfId="6609"/>
    <cellStyle name="Normal 11 4 4 4" xfId="6424"/>
    <cellStyle name="Normal 11 4 4 4 2" xfId="8735"/>
    <cellStyle name="Normal 11 4 4 5" xfId="6463"/>
    <cellStyle name="Normal 11 4 5" xfId="2648"/>
    <cellStyle name="Normal 11 4 5 2" xfId="6611"/>
    <cellStyle name="Normal 11 4 6" xfId="2649"/>
    <cellStyle name="Normal 11 4 6 2" xfId="6612"/>
    <cellStyle name="Normal 11 4 7" xfId="6403"/>
    <cellStyle name="Normal 11 4 7 2" xfId="8716"/>
    <cellStyle name="Normal 11 4 8" xfId="6444"/>
    <cellStyle name="Normal 11 5" xfId="2650"/>
    <cellStyle name="Normal 11 5 2" xfId="2651"/>
    <cellStyle name="Normal 11 5 2 2" xfId="2652"/>
    <cellStyle name="Normal 11 5 2 2 2" xfId="2653"/>
    <cellStyle name="Normal 11 5 2 2 2 2" xfId="6615"/>
    <cellStyle name="Normal 11 5 2 2 3" xfId="6614"/>
    <cellStyle name="Normal 11 5 2 3" xfId="2654"/>
    <cellStyle name="Normal 11 5 2 3 2" xfId="6616"/>
    <cellStyle name="Normal 11 5 2 4" xfId="4458"/>
    <cellStyle name="Normal 11 5 2 4 2" xfId="6613"/>
    <cellStyle name="Normal 11 5 2 5" xfId="6428"/>
    <cellStyle name="Normal 11 5 2 5 2" xfId="8739"/>
    <cellStyle name="Normal 11 5 2 6" xfId="6467"/>
    <cellStyle name="Normal 11 5 3" xfId="2655"/>
    <cellStyle name="Normal 11 5 3 2" xfId="2656"/>
    <cellStyle name="Normal 11 5 3 2 2" xfId="6618"/>
    <cellStyle name="Normal 11 5 3 3" xfId="6617"/>
    <cellStyle name="Normal 11 5 4" xfId="2657"/>
    <cellStyle name="Normal 11 5 4 2" xfId="6619"/>
    <cellStyle name="Normal 11 5 5" xfId="2658"/>
    <cellStyle name="Normal 11 5 5 2" xfId="6620"/>
    <cellStyle name="Normal 11 5 6" xfId="4134"/>
    <cellStyle name="Normal 11 5 7" xfId="4457"/>
    <cellStyle name="Normal 11 5 8" xfId="6409"/>
    <cellStyle name="Normal 11 5 8 2" xfId="8720"/>
    <cellStyle name="Normal 11 5 9" xfId="6448"/>
    <cellStyle name="Normal 11 6" xfId="2659"/>
    <cellStyle name="Normal 11 6 2" xfId="2660"/>
    <cellStyle name="Normal 11 6 2 2" xfId="2661"/>
    <cellStyle name="Normal 11 6 2 2 2" xfId="2662"/>
    <cellStyle name="Normal 11 6 2 2 2 2" xfId="6624"/>
    <cellStyle name="Normal 11 6 2 2 3" xfId="6623"/>
    <cellStyle name="Normal 11 6 2 3" xfId="2663"/>
    <cellStyle name="Normal 11 6 2 3 2" xfId="6625"/>
    <cellStyle name="Normal 11 6 2 4" xfId="4460"/>
    <cellStyle name="Normal 11 6 2 4 2" xfId="6622"/>
    <cellStyle name="Normal 11 6 2 5" xfId="6437"/>
    <cellStyle name="Normal 11 6 2 5 2" xfId="8748"/>
    <cellStyle name="Normal 11 6 2 6" xfId="6476"/>
    <cellStyle name="Normal 11 6 3" xfId="2664"/>
    <cellStyle name="Normal 11 6 3 2" xfId="2665"/>
    <cellStyle name="Normal 11 6 3 2 2" xfId="6627"/>
    <cellStyle name="Normal 11 6 3 3" xfId="6626"/>
    <cellStyle name="Normal 11 6 4" xfId="2666"/>
    <cellStyle name="Normal 11 6 4 2" xfId="6628"/>
    <cellStyle name="Normal 11 6 5" xfId="4459"/>
    <cellStyle name="Normal 11 6 5 2" xfId="6621"/>
    <cellStyle name="Normal 11 6 6" xfId="6418"/>
    <cellStyle name="Normal 11 6 6 2" xfId="8729"/>
    <cellStyle name="Normal 11 6 7" xfId="6457"/>
    <cellStyle name="Normal 11 7" xfId="2667"/>
    <cellStyle name="Normal 11 7 2" xfId="2668"/>
    <cellStyle name="Normal 11 7 3" xfId="2669"/>
    <cellStyle name="Normal 11 7 3 2" xfId="6630"/>
    <cellStyle name="Normal 11 7 4" xfId="4461"/>
    <cellStyle name="Normal 11 7 4 2" xfId="6629"/>
    <cellStyle name="Normal 11 7 5" xfId="6420"/>
    <cellStyle name="Normal 11 7 5 2" xfId="8731"/>
    <cellStyle name="Normal 11 7 6" xfId="6459"/>
    <cellStyle name="Normal 11 8" xfId="2670"/>
    <cellStyle name="Normal 11 9" xfId="6398"/>
    <cellStyle name="Normal 11 9 2" xfId="8712"/>
    <cellStyle name="Normal 110" xfId="2671"/>
    <cellStyle name="Normal 110 2" xfId="4462"/>
    <cellStyle name="Normal 110 3" xfId="4334"/>
    <cellStyle name="Normal 111" xfId="2672"/>
    <cellStyle name="Normal 111 2" xfId="4463"/>
    <cellStyle name="Normal 111 3" xfId="4335"/>
    <cellStyle name="Normal 112" xfId="2673"/>
    <cellStyle name="Normal 112 2" xfId="4464"/>
    <cellStyle name="Normal 112 3" xfId="4336"/>
    <cellStyle name="Normal 113" xfId="2674"/>
    <cellStyle name="Normal 113 2" xfId="4465"/>
    <cellStyle name="Normal 113 3" xfId="4337"/>
    <cellStyle name="Normal 114" xfId="2675"/>
    <cellStyle name="Normal 114 2" xfId="4466"/>
    <cellStyle name="Normal 114 3" xfId="4338"/>
    <cellStyle name="Normal 115" xfId="2676"/>
    <cellStyle name="Normal 115 2" xfId="4467"/>
    <cellStyle name="Normal 115 3" xfId="4339"/>
    <cellStyle name="Normal 116" xfId="2677"/>
    <cellStyle name="Normal 116 2" xfId="4468"/>
    <cellStyle name="Normal 116 3" xfId="4340"/>
    <cellStyle name="Normal 117" xfId="2678"/>
    <cellStyle name="Normal 117 2" xfId="4469"/>
    <cellStyle name="Normal 117 3" xfId="4341"/>
    <cellStyle name="Normal 118" xfId="2679"/>
    <cellStyle name="Normal 118 2" xfId="4470"/>
    <cellStyle name="Normal 118 3" xfId="4344"/>
    <cellStyle name="Normal 119" xfId="2680"/>
    <cellStyle name="Normal 119 2" xfId="4471"/>
    <cellStyle name="Normal 119 3" xfId="4346"/>
    <cellStyle name="Normal 12" xfId="699"/>
    <cellStyle name="Normal 12 2" xfId="700"/>
    <cellStyle name="Normal 12 2 2" xfId="701"/>
    <cellStyle name="Normal 12 2 2 2" xfId="2681"/>
    <cellStyle name="Normal 12 2 2 3" xfId="1659"/>
    <cellStyle name="Normal 12 2 3" xfId="2682"/>
    <cellStyle name="Normal 12 3" xfId="702"/>
    <cellStyle name="Normal 12 3 2" xfId="2683"/>
    <cellStyle name="Normal 12 3 3" xfId="2684"/>
    <cellStyle name="Normal 12 4" xfId="703"/>
    <cellStyle name="Normal 12 4 2" xfId="2685"/>
    <cellStyle name="Normal 12 5" xfId="2686"/>
    <cellStyle name="Normal 12 5 2" xfId="2687"/>
    <cellStyle name="Normal 12 5 3" xfId="4137"/>
    <cellStyle name="Normal 12 5 3 2" xfId="6844"/>
    <cellStyle name="Normal 12 5 4" xfId="4472"/>
    <cellStyle name="Normal 12 5 4 2" xfId="6631"/>
    <cellStyle name="Normal 12 6" xfId="2688"/>
    <cellStyle name="Normal 12 6 2" xfId="4136"/>
    <cellStyle name="Normal 120" xfId="2689"/>
    <cellStyle name="Normal 120 2" xfId="4473"/>
    <cellStyle name="Normal 120 3" xfId="4347"/>
    <cellStyle name="Normal 121" xfId="2690"/>
    <cellStyle name="Normal 121 2" xfId="4474"/>
    <cellStyle name="Normal 121 3" xfId="4348"/>
    <cellStyle name="Normal 122" xfId="2691"/>
    <cellStyle name="Normal 123" xfId="2692"/>
    <cellStyle name="Normal 124" xfId="2693"/>
    <cellStyle name="Normal 125" xfId="2694"/>
    <cellStyle name="Normal 126" xfId="2695"/>
    <cellStyle name="Normal 127" xfId="2696"/>
    <cellStyle name="Normal 128" xfId="2697"/>
    <cellStyle name="Normal 129" xfId="2698"/>
    <cellStyle name="Normal 129 2" xfId="2699"/>
    <cellStyle name="Normal 129 2 2" xfId="2700"/>
    <cellStyle name="Normal 129 2 2 2" xfId="2701"/>
    <cellStyle name="Normal 129 2 2 2 2" xfId="6635"/>
    <cellStyle name="Normal 129 2 2 3" xfId="6634"/>
    <cellStyle name="Normal 129 2 3" xfId="2702"/>
    <cellStyle name="Normal 129 2 3 2" xfId="6636"/>
    <cellStyle name="Normal 129 2 4" xfId="6633"/>
    <cellStyle name="Normal 129 3" xfId="2703"/>
    <cellStyle name="Normal 129 3 2" xfId="2704"/>
    <cellStyle name="Normal 129 3 2 2" xfId="6638"/>
    <cellStyle name="Normal 129 3 3" xfId="6637"/>
    <cellStyle name="Normal 129 4" xfId="2705"/>
    <cellStyle name="Normal 129 4 2" xfId="6639"/>
    <cellStyle name="Normal 129 5" xfId="4475"/>
    <cellStyle name="Normal 129 5 2" xfId="6632"/>
    <cellStyle name="Normal 129 6" xfId="4351"/>
    <cellStyle name="Normal 13" xfId="704"/>
    <cellStyle name="Normal 13 2" xfId="705"/>
    <cellStyle name="Normal 13 2 2" xfId="2706"/>
    <cellStyle name="Normal 13 2 2 2" xfId="2707"/>
    <cellStyle name="Normal 13 2 3" xfId="2708"/>
    <cellStyle name="Normal 13 2 3 2" xfId="2709"/>
    <cellStyle name="Normal 13 2 4" xfId="2710"/>
    <cellStyle name="Normal 13 3" xfId="706"/>
    <cellStyle name="Normal 13 3 2" xfId="2711"/>
    <cellStyle name="Normal 13 3 3" xfId="2712"/>
    <cellStyle name="Normal 13 4" xfId="2713"/>
    <cellStyle name="Normal 13 4 2" xfId="2714"/>
    <cellStyle name="Normal 13 4 3" xfId="2715"/>
    <cellStyle name="Normal 13 4 4" xfId="4139"/>
    <cellStyle name="Normal 13 4 4 2" xfId="6845"/>
    <cellStyle name="Normal 13 4 5" xfId="6640"/>
    <cellStyle name="Normal 13 5" xfId="2716"/>
    <cellStyle name="Normal 13 5 2" xfId="4138"/>
    <cellStyle name="Normal 130" xfId="2717"/>
    <cellStyle name="Normal 130 2" xfId="2718"/>
    <cellStyle name="Normal 130 2 2" xfId="2719"/>
    <cellStyle name="Normal 130 2 2 2" xfId="2720"/>
    <cellStyle name="Normal 130 2 2 2 2" xfId="6644"/>
    <cellStyle name="Normal 130 2 2 3" xfId="6643"/>
    <cellStyle name="Normal 130 2 3" xfId="2721"/>
    <cellStyle name="Normal 130 2 3 2" xfId="6645"/>
    <cellStyle name="Normal 130 2 4" xfId="6642"/>
    <cellStyle name="Normal 130 3" xfId="2722"/>
    <cellStyle name="Normal 130 3 2" xfId="2723"/>
    <cellStyle name="Normal 130 3 2 2" xfId="6647"/>
    <cellStyle name="Normal 130 3 3" xfId="6646"/>
    <cellStyle name="Normal 130 4" xfId="2724"/>
    <cellStyle name="Normal 130 4 2" xfId="6648"/>
    <cellStyle name="Normal 130 5" xfId="4476"/>
    <cellStyle name="Normal 130 5 2" xfId="6641"/>
    <cellStyle name="Normal 130 6" xfId="4352"/>
    <cellStyle name="Normal 131" xfId="2725"/>
    <cellStyle name="Normal 132" xfId="2726"/>
    <cellStyle name="Normal 132 2" xfId="4477"/>
    <cellStyle name="Normal 132 3" xfId="4365"/>
    <cellStyle name="Normal 133" xfId="2727"/>
    <cellStyle name="Normal 133 2" xfId="2728"/>
    <cellStyle name="Normal 133 2 2" xfId="2729"/>
    <cellStyle name="Normal 133 2 2 2" xfId="2730"/>
    <cellStyle name="Normal 133 2 2 2 2" xfId="6652"/>
    <cellStyle name="Normal 133 2 2 3" xfId="6651"/>
    <cellStyle name="Normal 133 2 3" xfId="2731"/>
    <cellStyle name="Normal 133 2 3 2" xfId="6653"/>
    <cellStyle name="Normal 133 2 4" xfId="6650"/>
    <cellStyle name="Normal 133 3" xfId="2732"/>
    <cellStyle name="Normal 133 3 2" xfId="2733"/>
    <cellStyle name="Normal 133 3 2 2" xfId="6655"/>
    <cellStyle name="Normal 133 3 3" xfId="6654"/>
    <cellStyle name="Normal 133 4" xfId="2734"/>
    <cellStyle name="Normal 133 4 2" xfId="6656"/>
    <cellStyle name="Normal 133 5" xfId="4478"/>
    <cellStyle name="Normal 133 5 2" xfId="6649"/>
    <cellStyle name="Normal 133 6" xfId="4357"/>
    <cellStyle name="Normal 134" xfId="2735"/>
    <cellStyle name="Normal 135" xfId="2736"/>
    <cellStyle name="Normal 136" xfId="2737"/>
    <cellStyle name="Normal 137" xfId="2738"/>
    <cellStyle name="Normal 138" xfId="2739"/>
    <cellStyle name="Normal 138 2" xfId="4479"/>
    <cellStyle name="Normal 138 3" xfId="4366"/>
    <cellStyle name="Normal 139" xfId="2740"/>
    <cellStyle name="Normal 14" xfId="707"/>
    <cellStyle name="Normal 14 2" xfId="708"/>
    <cellStyle name="Normal 14 2 2" xfId="2741"/>
    <cellStyle name="Normal 14 3" xfId="709"/>
    <cellStyle name="Normal 14 3 2" xfId="2742"/>
    <cellStyle name="Normal 14 4" xfId="710"/>
    <cellStyle name="Normal 14 4 2" xfId="2743"/>
    <cellStyle name="Normal 140" xfId="2744"/>
    <cellStyle name="Normal 141" xfId="2745"/>
    <cellStyle name="Normal 142" xfId="2746"/>
    <cellStyle name="Normal 142 2" xfId="2747"/>
    <cellStyle name="Normal 142 3" xfId="2748"/>
    <cellStyle name="Normal 142 3 2" xfId="6658"/>
    <cellStyle name="Normal 142 4" xfId="6657"/>
    <cellStyle name="Normal 143" xfId="2749"/>
    <cellStyle name="Normal 144" xfId="2750"/>
    <cellStyle name="Normal 145" xfId="2751"/>
    <cellStyle name="Normal 146" xfId="2752"/>
    <cellStyle name="Normal 147" xfId="2753"/>
    <cellStyle name="Normal 148" xfId="2754"/>
    <cellStyle name="Normal 149" xfId="2755"/>
    <cellStyle name="Normal 15" xfId="711"/>
    <cellStyle name="Normal 15 2" xfId="712"/>
    <cellStyle name="Normal 15 2 2" xfId="2756"/>
    <cellStyle name="Normal 15 3" xfId="2757"/>
    <cellStyle name="Normal 15 3 2" xfId="2758"/>
    <cellStyle name="Normal 15 4" xfId="2759"/>
    <cellStyle name="Normal 150" xfId="2760"/>
    <cellStyle name="Normal 151" xfId="2761"/>
    <cellStyle name="Normal 152" xfId="2762"/>
    <cellStyle name="Normal 153" xfId="2763"/>
    <cellStyle name="Normal 154" xfId="2764"/>
    <cellStyle name="Normal 155" xfId="2765"/>
    <cellStyle name="Normal 156" xfId="2766"/>
    <cellStyle name="Normal 157" xfId="2767"/>
    <cellStyle name="Normal 158" xfId="2768"/>
    <cellStyle name="Normal 159" xfId="2769"/>
    <cellStyle name="Normal 16" xfId="713"/>
    <cellStyle name="Normal 16 2" xfId="714"/>
    <cellStyle name="Normal 16 2 2" xfId="715"/>
    <cellStyle name="Normal 16 2 2 2" xfId="716"/>
    <cellStyle name="Normal 16 2 2 3" xfId="4480"/>
    <cellStyle name="Normal 16 2 3" xfId="2770"/>
    <cellStyle name="Normal 16 2 3 2" xfId="4481"/>
    <cellStyle name="Normal 16 2 3 3" xfId="4286"/>
    <cellStyle name="Normal 16 2 4" xfId="2771"/>
    <cellStyle name="Normal 16 3" xfId="717"/>
    <cellStyle name="Normal 16 4" xfId="718"/>
    <cellStyle name="Normal 16 5" xfId="4140"/>
    <cellStyle name="Normal 16 5 2" xfId="4526"/>
    <cellStyle name="Normal 16 5 3" xfId="4285"/>
    <cellStyle name="Normal 160" xfId="2772"/>
    <cellStyle name="Normal 161" xfId="2773"/>
    <cellStyle name="Normal 162" xfId="2774"/>
    <cellStyle name="Normal 163" xfId="2775"/>
    <cellStyle name="Normal 164" xfId="2776"/>
    <cellStyle name="Normal 165" xfId="2777"/>
    <cellStyle name="Normal 166" xfId="2778"/>
    <cellStyle name="Normal 167" xfId="2779"/>
    <cellStyle name="Normal 168" xfId="2780"/>
    <cellStyle name="Normal 169" xfId="2781"/>
    <cellStyle name="Normal 17" xfId="719"/>
    <cellStyle name="Normal 17 2" xfId="720"/>
    <cellStyle name="Normal 17 2 2" xfId="2782"/>
    <cellStyle name="Normal 17 3" xfId="721"/>
    <cellStyle name="Normal 17 3 2" xfId="2783"/>
    <cellStyle name="Normal 17 4" xfId="4287"/>
    <cellStyle name="Normal 170" xfId="2784"/>
    <cellStyle name="Normal 171" xfId="2785"/>
    <cellStyle name="Normal 172" xfId="2786"/>
    <cellStyle name="Normal 173" xfId="2787"/>
    <cellStyle name="Normal 174" xfId="2788"/>
    <cellStyle name="Normal 175" xfId="2789"/>
    <cellStyle name="Normal 176" xfId="2790"/>
    <cellStyle name="Normal 177" xfId="3786"/>
    <cellStyle name="Normal 178" xfId="3799"/>
    <cellStyle name="Normal 179" xfId="4169"/>
    <cellStyle name="Normal 18" xfId="722"/>
    <cellStyle name="Normal 18 2" xfId="723"/>
    <cellStyle name="Normal 18 2 2" xfId="2791"/>
    <cellStyle name="Normal 18 3" xfId="2792"/>
    <cellStyle name="Normal 180" xfId="1303"/>
    <cellStyle name="Normal 180 2" xfId="4527"/>
    <cellStyle name="Normal 181" xfId="4401"/>
    <cellStyle name="Normal 182" xfId="4521"/>
    <cellStyle name="Normal 183" xfId="4523"/>
    <cellStyle name="Normal 184" xfId="6392"/>
    <cellStyle name="Normal 185" xfId="6407"/>
    <cellStyle name="Normal 186" xfId="6393"/>
    <cellStyle name="Normal 187" xfId="6401"/>
    <cellStyle name="Normal 188" xfId="6396"/>
    <cellStyle name="Normal 189" xfId="6406"/>
    <cellStyle name="Normal 19" xfId="724"/>
    <cellStyle name="Normal 19 2" xfId="725"/>
    <cellStyle name="Normal 19 2 2" xfId="2794"/>
    <cellStyle name="Normal 19 2 3" xfId="2795"/>
    <cellStyle name="Normal 19 3" xfId="2796"/>
    <cellStyle name="Normal 19 4" xfId="2797"/>
    <cellStyle name="Normal 190" xfId="6395"/>
    <cellStyle name="Normal 191" xfId="6394"/>
    <cellStyle name="Normal 192" xfId="6438"/>
    <cellStyle name="Normal 193" xfId="8749"/>
    <cellStyle name="Normal 194" xfId="3784"/>
    <cellStyle name="Normal 195" xfId="4522"/>
    <cellStyle name="Normal 196" xfId="8830"/>
    <cellStyle name="Normal 2" xfId="726"/>
    <cellStyle name="Normal 2 2" xfId="727"/>
    <cellStyle name="Normal 2 2 2" xfId="728"/>
    <cellStyle name="Normal 2 2 2 2" xfId="2798"/>
    <cellStyle name="Normal 2 2 3" xfId="2799"/>
    <cellStyle name="Normal 2 2 3 2" xfId="2800"/>
    <cellStyle name="Normal 2 2 3 3" xfId="2801"/>
    <cellStyle name="Normal 2 2 4" xfId="2802"/>
    <cellStyle name="Normal 2 2 4 2" xfId="2803"/>
    <cellStyle name="Normal 2 2 4 2 2" xfId="6659"/>
    <cellStyle name="Normal 2 2 4 3" xfId="2804"/>
    <cellStyle name="Normal 2 2 4 3 2" xfId="6660"/>
    <cellStyle name="Normal 2 2 5" xfId="4026"/>
    <cellStyle name="Normal 2 2_Pivot Table Tips" xfId="2805"/>
    <cellStyle name="Normal 2 3" xfId="729"/>
    <cellStyle name="Normal 2 3 2" xfId="2806"/>
    <cellStyle name="Normal 2 3 2 2" xfId="2807"/>
    <cellStyle name="Normal 2 3 2 3" xfId="2808"/>
    <cellStyle name="Normal 2 3 2 4" xfId="4482"/>
    <cellStyle name="Normal 2 3 3" xfId="2809"/>
    <cellStyle name="Normal 2 3 3 2" xfId="2810"/>
    <cellStyle name="Normal 2 3 3 3" xfId="4141"/>
    <cellStyle name="Normal 2 3 4" xfId="2811"/>
    <cellStyle name="Normal 2 3 4 2" xfId="2812"/>
    <cellStyle name="Normal 2 3 5" xfId="2813"/>
    <cellStyle name="Normal 2 4" xfId="730"/>
    <cellStyle name="Normal 2 4 2" xfId="2814"/>
    <cellStyle name="Normal 2 4 2 2" xfId="2815"/>
    <cellStyle name="Normal 2 4 2 3" xfId="2816"/>
    <cellStyle name="Normal 2 4 3" xfId="2817"/>
    <cellStyle name="Normal 2 4 3 2" xfId="2818"/>
    <cellStyle name="Normal 2 4 4" xfId="2819"/>
    <cellStyle name="Normal 2 4 5" xfId="2820"/>
    <cellStyle name="Normal 2 4 6" xfId="4025"/>
    <cellStyle name="Normal 2 5" xfId="731"/>
    <cellStyle name="Normal 2 5 2" xfId="2821"/>
    <cellStyle name="Normal 2 5 3" xfId="2822"/>
    <cellStyle name="Normal 2 6" xfId="732"/>
    <cellStyle name="Normal 2 6 2" xfId="2823"/>
    <cellStyle name="Normal 2 6 2 2" xfId="2824"/>
    <cellStyle name="Normal 2 6 3" xfId="2825"/>
    <cellStyle name="Normal 2 6 3 2" xfId="2826"/>
    <cellStyle name="Normal 2 6 4" xfId="2827"/>
    <cellStyle name="Normal 2 7" xfId="2828"/>
    <cellStyle name="Normal 2 7 2" xfId="2829"/>
    <cellStyle name="Normal 2 7 2 2" xfId="2830"/>
    <cellStyle name="Normal 2 7 2 2 2" xfId="2831"/>
    <cellStyle name="Normal 2 7 2 2 2 2" xfId="6663"/>
    <cellStyle name="Normal 2 7 2 2 3" xfId="6662"/>
    <cellStyle name="Normal 2 7 2 3" xfId="2832"/>
    <cellStyle name="Normal 2 7 2 3 2" xfId="6664"/>
    <cellStyle name="Normal 2 7 2 4" xfId="6661"/>
    <cellStyle name="Normal 2 7 3" xfId="2833"/>
    <cellStyle name="Normal 2 7 3 2" xfId="2834"/>
    <cellStyle name="Normal 2 7 3 2 2" xfId="6666"/>
    <cellStyle name="Normal 2 7 3 3" xfId="6665"/>
    <cellStyle name="Normal 2 7 4" xfId="2835"/>
    <cellStyle name="Normal 2 7 5" xfId="2836"/>
    <cellStyle name="Normal 2 7 5 2" xfId="6667"/>
    <cellStyle name="Normal 2 7 6" xfId="2837"/>
    <cellStyle name="Normal 2 7 6 2" xfId="6668"/>
    <cellStyle name="Normal 2 8" xfId="2838"/>
    <cellStyle name="Normal 2 9" xfId="2839"/>
    <cellStyle name="Normal 2_Exhibits" xfId="733"/>
    <cellStyle name="Normal 20" xfId="734"/>
    <cellStyle name="Normal 20 2" xfId="735"/>
    <cellStyle name="Normal 20 2 2" xfId="736"/>
    <cellStyle name="Normal 20 3" xfId="737"/>
    <cellStyle name="Normal 20 3 2" xfId="2840"/>
    <cellStyle name="Normal 20 3 3" xfId="2841"/>
    <cellStyle name="Normal 20 4" xfId="2842"/>
    <cellStyle name="Normal 20 4 2" xfId="2843"/>
    <cellStyle name="Normal 21" xfId="738"/>
    <cellStyle name="Normal 21 2" xfId="739"/>
    <cellStyle name="Normal 21 2 2" xfId="2844"/>
    <cellStyle name="Normal 21 3" xfId="2845"/>
    <cellStyle name="Normal 21 4" xfId="2846"/>
    <cellStyle name="Normal 22" xfId="740"/>
    <cellStyle name="Normal 22 2" xfId="741"/>
    <cellStyle name="Normal 22 2 2" xfId="2847"/>
    <cellStyle name="Normal 22 2 2 2" xfId="2848"/>
    <cellStyle name="Normal 22 2 3" xfId="2849"/>
    <cellStyle name="Normal 22 3" xfId="742"/>
    <cellStyle name="Normal 23" xfId="743"/>
    <cellStyle name="Normal 23 2" xfId="744"/>
    <cellStyle name="Normal 24" xfId="745"/>
    <cellStyle name="Normal 24 2" xfId="746"/>
    <cellStyle name="Normal 25" xfId="747"/>
    <cellStyle name="Normal 25 2" xfId="748"/>
    <cellStyle name="Normal 25 2 2" xfId="1610"/>
    <cellStyle name="Normal 25 2 3" xfId="4288"/>
    <cellStyle name="Normal 25 2 4" xfId="2915"/>
    <cellStyle name="Normal 25 3" xfId="749"/>
    <cellStyle name="Normal 25 3 2" xfId="4289"/>
    <cellStyle name="Normal 25 3 3" xfId="1611"/>
    <cellStyle name="Normal 26" xfId="750"/>
    <cellStyle name="Normal 26 2" xfId="751"/>
    <cellStyle name="Normal 27" xfId="752"/>
    <cellStyle name="Normal 27 2" xfId="2850"/>
    <cellStyle name="Normal 27 2 2" xfId="2851"/>
    <cellStyle name="Normal 27 2 3" xfId="4484"/>
    <cellStyle name="Normal 27 2 3 2" xfId="6669"/>
    <cellStyle name="Normal 27 3" xfId="3804"/>
    <cellStyle name="Normal 27 3 2" xfId="6825"/>
    <cellStyle name="Normal 28" xfId="753"/>
    <cellStyle name="Normal 28 2" xfId="2852"/>
    <cellStyle name="Normal 28 2 2" xfId="2853"/>
    <cellStyle name="Normal 28 2 3" xfId="4485"/>
    <cellStyle name="Normal 28 2 3 2" xfId="6670"/>
    <cellStyle name="Normal 28 3" xfId="3803"/>
    <cellStyle name="Normal 28 3 2" xfId="6824"/>
    <cellStyle name="Normal 29" xfId="754"/>
    <cellStyle name="Normal 29 2" xfId="2854"/>
    <cellStyle name="Normal 3" xfId="755"/>
    <cellStyle name="Normal 3 2" xfId="756"/>
    <cellStyle name="Normal 3 2 2" xfId="757"/>
    <cellStyle name="Normal 3 2 2 2" xfId="758"/>
    <cellStyle name="Normal 3 2 2 2 2" xfId="2855"/>
    <cellStyle name="Normal 3 2 2 3" xfId="2856"/>
    <cellStyle name="Normal 3 2 2 3 2" xfId="2857"/>
    <cellStyle name="Normal 3 2 2 4" xfId="2858"/>
    <cellStyle name="Normal 3 2 3" xfId="759"/>
    <cellStyle name="Normal 3 2 3 2" xfId="760"/>
    <cellStyle name="Normal 3 2 3 2 2" xfId="2859"/>
    <cellStyle name="Normal 3 2 4" xfId="2860"/>
    <cellStyle name="Normal 3 2 4 2" xfId="2861"/>
    <cellStyle name="Normal 3 2 5" xfId="2862"/>
    <cellStyle name="Normal 3 2 5 2" xfId="2863"/>
    <cellStyle name="Normal 3 2 5 2 2" xfId="2864"/>
    <cellStyle name="Normal 3 2 5 2 2 2" xfId="2865"/>
    <cellStyle name="Normal 3 2 5 2 2 2 2" xfId="2866"/>
    <cellStyle name="Normal 3 2 5 2 2 2 2 2" xfId="6675"/>
    <cellStyle name="Normal 3 2 5 2 2 2 3" xfId="6674"/>
    <cellStyle name="Normal 3 2 5 2 2 3" xfId="2867"/>
    <cellStyle name="Normal 3 2 5 2 2 3 2" xfId="6676"/>
    <cellStyle name="Normal 3 2 5 2 2 4" xfId="6673"/>
    <cellStyle name="Normal 3 2 5 2 3" xfId="2868"/>
    <cellStyle name="Normal 3 2 5 2 3 2" xfId="2869"/>
    <cellStyle name="Normal 3 2 5 2 3 2 2" xfId="6678"/>
    <cellStyle name="Normal 3 2 5 2 3 3" xfId="6677"/>
    <cellStyle name="Normal 3 2 5 2 4" xfId="2870"/>
    <cellStyle name="Normal 3 2 5 2 4 2" xfId="6679"/>
    <cellStyle name="Normal 3 2 5 2 5" xfId="6672"/>
    <cellStyle name="Normal 3 2 5 3" xfId="2871"/>
    <cellStyle name="Normal 3 2 5 3 2" xfId="2872"/>
    <cellStyle name="Normal 3 2 5 3 2 2" xfId="2873"/>
    <cellStyle name="Normal 3 2 5 3 2 2 2" xfId="6682"/>
    <cellStyle name="Normal 3 2 5 3 2 3" xfId="6681"/>
    <cellStyle name="Normal 3 2 5 3 3" xfId="2874"/>
    <cellStyle name="Normal 3 2 5 3 3 2" xfId="6683"/>
    <cellStyle name="Normal 3 2 5 3 4" xfId="6680"/>
    <cellStyle name="Normal 3 2 5 4" xfId="2875"/>
    <cellStyle name="Normal 3 2 5 4 2" xfId="2876"/>
    <cellStyle name="Normal 3 2 5 4 2 2" xfId="6685"/>
    <cellStyle name="Normal 3 2 5 4 3" xfId="6684"/>
    <cellStyle name="Normal 3 2 5 5" xfId="2877"/>
    <cellStyle name="Normal 3 2 5 5 2" xfId="6686"/>
    <cellStyle name="Normal 3 2 5 6" xfId="6671"/>
    <cellStyle name="Normal 3 2 6" xfId="2878"/>
    <cellStyle name="Normal 3 2 6 2" xfId="2879"/>
    <cellStyle name="Normal 3 2 6 2 2" xfId="2880"/>
    <cellStyle name="Normal 3 2 6 2 2 2" xfId="2881"/>
    <cellStyle name="Normal 3 2 6 2 2 2 2" xfId="6690"/>
    <cellStyle name="Normal 3 2 6 2 2 3" xfId="6689"/>
    <cellStyle name="Normal 3 2 6 2 3" xfId="2882"/>
    <cellStyle name="Normal 3 2 6 2 3 2" xfId="6691"/>
    <cellStyle name="Normal 3 2 6 2 4" xfId="6688"/>
    <cellStyle name="Normal 3 2 6 3" xfId="2883"/>
    <cellStyle name="Normal 3 2 6 3 2" xfId="2884"/>
    <cellStyle name="Normal 3 2 6 3 2 2" xfId="6693"/>
    <cellStyle name="Normal 3 2 6 3 3" xfId="6692"/>
    <cellStyle name="Normal 3 2 6 4" xfId="2885"/>
    <cellStyle name="Normal 3 2 6 4 2" xfId="6694"/>
    <cellStyle name="Normal 3 2 6 5" xfId="6687"/>
    <cellStyle name="Normal 3 2 7" xfId="2886"/>
    <cellStyle name="Normal 3 2 7 2" xfId="2887"/>
    <cellStyle name="Normal 3 2 7 3" xfId="2888"/>
    <cellStyle name="Normal 3 2 7 3 2" xfId="6696"/>
    <cellStyle name="Normal 3 2 7 4" xfId="6695"/>
    <cellStyle name="Normal 3 2 8" xfId="2889"/>
    <cellStyle name="Normal 3 3" xfId="761"/>
    <cellStyle name="Normal 3 3 2" xfId="762"/>
    <cellStyle name="Normal 3 3 2 2" xfId="2890"/>
    <cellStyle name="Normal 3 3 3" xfId="763"/>
    <cellStyle name="Normal 3 3 4" xfId="764"/>
    <cellStyle name="Normal 3 4" xfId="765"/>
    <cellStyle name="Normal 3 4 2" xfId="2891"/>
    <cellStyle name="Normal 3 4 2 2" xfId="2892"/>
    <cellStyle name="Normal 3 5" xfId="2893"/>
    <cellStyle name="Normal 3 5 10" xfId="6697"/>
    <cellStyle name="Normal 3 5 2" xfId="2894"/>
    <cellStyle name="Normal 3 5 2 2" xfId="2895"/>
    <cellStyle name="Normal 3 5 2 2 2" xfId="4665"/>
    <cellStyle name="Normal 3 5 2 2 2 2" xfId="4994"/>
    <cellStyle name="Normal 3 5 2 2 2 2 2" xfId="5670"/>
    <cellStyle name="Normal 3 5 2 2 2 2 2 2" xfId="7989"/>
    <cellStyle name="Normal 3 5 2 2 2 2 3" xfId="6342"/>
    <cellStyle name="Normal 3 5 2 2 2 2 3 2" xfId="8661"/>
    <cellStyle name="Normal 3 5 2 2 2 2 4" xfId="7315"/>
    <cellStyle name="Normal 3 5 2 2 2 3" xfId="5338"/>
    <cellStyle name="Normal 3 5 2 2 2 3 2" xfId="7657"/>
    <cellStyle name="Normal 3 5 2 2 2 4" xfId="6006"/>
    <cellStyle name="Normal 3 5 2 2 2 4 2" xfId="8325"/>
    <cellStyle name="Normal 3 5 2 2 2 5" xfId="6986"/>
    <cellStyle name="Normal 3 5 2 2 3" xfId="4829"/>
    <cellStyle name="Normal 3 5 2 2 3 2" xfId="5504"/>
    <cellStyle name="Normal 3 5 2 2 3 2 2" xfId="7823"/>
    <cellStyle name="Normal 3 5 2 2 3 3" xfId="6174"/>
    <cellStyle name="Normal 3 5 2 2 3 3 2" xfId="8493"/>
    <cellStyle name="Normal 3 5 2 2 3 4" xfId="7150"/>
    <cellStyle name="Normal 3 5 2 2 4" xfId="5172"/>
    <cellStyle name="Normal 3 5 2 2 4 2" xfId="7491"/>
    <cellStyle name="Normal 3 5 2 2 5" xfId="5838"/>
    <cellStyle name="Normal 3 5 2 2 5 2" xfId="8157"/>
    <cellStyle name="Normal 3 5 2 2 6" xfId="6699"/>
    <cellStyle name="Normal 3 5 2 3" xfId="2896"/>
    <cellStyle name="Normal 3 5 2 3 2" xfId="4625"/>
    <cellStyle name="Normal 3 5 2 3 2 2" xfId="4954"/>
    <cellStyle name="Normal 3 5 2 3 2 2 2" xfId="5630"/>
    <cellStyle name="Normal 3 5 2 3 2 2 2 2" xfId="7949"/>
    <cellStyle name="Normal 3 5 2 3 2 2 3" xfId="6300"/>
    <cellStyle name="Normal 3 5 2 3 2 2 3 2" xfId="8619"/>
    <cellStyle name="Normal 3 5 2 3 2 2 4" xfId="7275"/>
    <cellStyle name="Normal 3 5 2 3 2 3" xfId="5298"/>
    <cellStyle name="Normal 3 5 2 3 2 3 2" xfId="7617"/>
    <cellStyle name="Normal 3 5 2 3 2 4" xfId="5964"/>
    <cellStyle name="Normal 3 5 2 3 2 4 2" xfId="8283"/>
    <cellStyle name="Normal 3 5 2 3 2 5" xfId="6946"/>
    <cellStyle name="Normal 3 5 2 3 3" xfId="4789"/>
    <cellStyle name="Normal 3 5 2 3 3 2" xfId="5464"/>
    <cellStyle name="Normal 3 5 2 3 3 2 2" xfId="7783"/>
    <cellStyle name="Normal 3 5 2 3 3 3" xfId="6132"/>
    <cellStyle name="Normal 3 5 2 3 3 3 2" xfId="8451"/>
    <cellStyle name="Normal 3 5 2 3 3 4" xfId="7110"/>
    <cellStyle name="Normal 3 5 2 3 4" xfId="5132"/>
    <cellStyle name="Normal 3 5 2 3 4 2" xfId="7451"/>
    <cellStyle name="Normal 3 5 2 3 5" xfId="5796"/>
    <cellStyle name="Normal 3 5 2 3 5 2" xfId="8115"/>
    <cellStyle name="Normal 3 5 2 3 6" xfId="6700"/>
    <cellStyle name="Normal 3 5 2 4" xfId="4553"/>
    <cellStyle name="Normal 3 5 2 4 2" xfId="4706"/>
    <cellStyle name="Normal 3 5 2 4 2 2" xfId="5036"/>
    <cellStyle name="Normal 3 5 2 4 2 2 2" xfId="5712"/>
    <cellStyle name="Normal 3 5 2 4 2 2 2 2" xfId="8031"/>
    <cellStyle name="Normal 3 5 2 4 2 2 3" xfId="6384"/>
    <cellStyle name="Normal 3 5 2 4 2 2 3 2" xfId="8703"/>
    <cellStyle name="Normal 3 5 2 4 2 2 4" xfId="7357"/>
    <cellStyle name="Normal 3 5 2 4 2 3" xfId="5380"/>
    <cellStyle name="Normal 3 5 2 4 2 3 2" xfId="7699"/>
    <cellStyle name="Normal 3 5 2 4 2 4" xfId="6048"/>
    <cellStyle name="Normal 3 5 2 4 2 4 2" xfId="8367"/>
    <cellStyle name="Normal 3 5 2 4 2 5" xfId="7027"/>
    <cellStyle name="Normal 3 5 2 4 3" xfId="4871"/>
    <cellStyle name="Normal 3 5 2 4 3 2" xfId="5546"/>
    <cellStyle name="Normal 3 5 2 4 3 2 2" xfId="7865"/>
    <cellStyle name="Normal 3 5 2 4 3 3" xfId="6216"/>
    <cellStyle name="Normal 3 5 2 4 3 3 2" xfId="8535"/>
    <cellStyle name="Normal 3 5 2 4 3 4" xfId="7192"/>
    <cellStyle name="Normal 3 5 2 4 4" xfId="5214"/>
    <cellStyle name="Normal 3 5 2 4 4 2" xfId="7533"/>
    <cellStyle name="Normal 3 5 2 4 5" xfId="5880"/>
    <cellStyle name="Normal 3 5 2 4 5 2" xfId="8199"/>
    <cellStyle name="Normal 3 5 2 4 6" xfId="6874"/>
    <cellStyle name="Normal 3 5 2 5" xfId="4585"/>
    <cellStyle name="Normal 3 5 2 5 2" xfId="4913"/>
    <cellStyle name="Normal 3 5 2 5 2 2" xfId="5588"/>
    <cellStyle name="Normal 3 5 2 5 2 2 2" xfId="7907"/>
    <cellStyle name="Normal 3 5 2 5 2 3" xfId="6258"/>
    <cellStyle name="Normal 3 5 2 5 2 3 2" xfId="8577"/>
    <cellStyle name="Normal 3 5 2 5 2 4" xfId="7234"/>
    <cellStyle name="Normal 3 5 2 5 3" xfId="5256"/>
    <cellStyle name="Normal 3 5 2 5 3 2" xfId="7575"/>
    <cellStyle name="Normal 3 5 2 5 4" xfId="5922"/>
    <cellStyle name="Normal 3 5 2 5 4 2" xfId="8241"/>
    <cellStyle name="Normal 3 5 2 5 5" xfId="6906"/>
    <cellStyle name="Normal 3 5 2 6" xfId="4748"/>
    <cellStyle name="Normal 3 5 2 6 2" xfId="5422"/>
    <cellStyle name="Normal 3 5 2 6 2 2" xfId="7741"/>
    <cellStyle name="Normal 3 5 2 6 3" xfId="6090"/>
    <cellStyle name="Normal 3 5 2 6 3 2" xfId="8409"/>
    <cellStyle name="Normal 3 5 2 6 4" xfId="7069"/>
    <cellStyle name="Normal 3 5 2 7" xfId="5090"/>
    <cellStyle name="Normal 3 5 2 7 2" xfId="7409"/>
    <cellStyle name="Normal 3 5 2 8" xfId="5754"/>
    <cellStyle name="Normal 3 5 2 8 2" xfId="8073"/>
    <cellStyle name="Normal 3 5 2 9" xfId="6698"/>
    <cellStyle name="Normal 3 5 3" xfId="2897"/>
    <cellStyle name="Normal 3 5 3 2" xfId="4645"/>
    <cellStyle name="Normal 3 5 3 2 2" xfId="4974"/>
    <cellStyle name="Normal 3 5 3 2 2 2" xfId="5650"/>
    <cellStyle name="Normal 3 5 3 2 2 2 2" xfId="7969"/>
    <cellStyle name="Normal 3 5 3 2 2 3" xfId="6321"/>
    <cellStyle name="Normal 3 5 3 2 2 3 2" xfId="8640"/>
    <cellStyle name="Normal 3 5 3 2 2 4" xfId="7295"/>
    <cellStyle name="Normal 3 5 3 2 3" xfId="5318"/>
    <cellStyle name="Normal 3 5 3 2 3 2" xfId="7637"/>
    <cellStyle name="Normal 3 5 3 2 4" xfId="5985"/>
    <cellStyle name="Normal 3 5 3 2 4 2" xfId="8304"/>
    <cellStyle name="Normal 3 5 3 2 5" xfId="6966"/>
    <cellStyle name="Normal 3 5 3 3" xfId="4809"/>
    <cellStyle name="Normal 3 5 3 3 2" xfId="5484"/>
    <cellStyle name="Normal 3 5 3 3 2 2" xfId="7803"/>
    <cellStyle name="Normal 3 5 3 3 3" xfId="6153"/>
    <cellStyle name="Normal 3 5 3 3 3 2" xfId="8472"/>
    <cellStyle name="Normal 3 5 3 3 4" xfId="7130"/>
    <cellStyle name="Normal 3 5 3 4" xfId="5152"/>
    <cellStyle name="Normal 3 5 3 4 2" xfId="7471"/>
    <cellStyle name="Normal 3 5 3 5" xfId="5817"/>
    <cellStyle name="Normal 3 5 3 5 2" xfId="8136"/>
    <cellStyle name="Normal 3 5 3 6" xfId="6701"/>
    <cellStyle name="Normal 3 5 4" xfId="2898"/>
    <cellStyle name="Normal 3 5 4 2" xfId="4605"/>
    <cellStyle name="Normal 3 5 4 2 2" xfId="4934"/>
    <cellStyle name="Normal 3 5 4 2 2 2" xfId="5609"/>
    <cellStyle name="Normal 3 5 4 2 2 2 2" xfId="7928"/>
    <cellStyle name="Normal 3 5 4 2 2 3" xfId="6279"/>
    <cellStyle name="Normal 3 5 4 2 2 3 2" xfId="8598"/>
    <cellStyle name="Normal 3 5 4 2 2 4" xfId="7255"/>
    <cellStyle name="Normal 3 5 4 2 3" xfId="5277"/>
    <cellStyle name="Normal 3 5 4 2 3 2" xfId="7596"/>
    <cellStyle name="Normal 3 5 4 2 4" xfId="5943"/>
    <cellStyle name="Normal 3 5 4 2 4 2" xfId="8262"/>
    <cellStyle name="Normal 3 5 4 2 5" xfId="6926"/>
    <cellStyle name="Normal 3 5 4 3" xfId="4769"/>
    <cellStyle name="Normal 3 5 4 3 2" xfId="5443"/>
    <cellStyle name="Normal 3 5 4 3 2 2" xfId="7762"/>
    <cellStyle name="Normal 3 5 4 3 3" xfId="6111"/>
    <cellStyle name="Normal 3 5 4 3 3 2" xfId="8430"/>
    <cellStyle name="Normal 3 5 4 3 4" xfId="7090"/>
    <cellStyle name="Normal 3 5 4 4" xfId="5111"/>
    <cellStyle name="Normal 3 5 4 4 2" xfId="7430"/>
    <cellStyle name="Normal 3 5 4 5" xfId="5775"/>
    <cellStyle name="Normal 3 5 4 5 2" xfId="8094"/>
    <cellStyle name="Normal 3 5 4 6" xfId="6702"/>
    <cellStyle name="Normal 3 5 5" xfId="4027"/>
    <cellStyle name="Normal 3 5 5 2" xfId="4686"/>
    <cellStyle name="Normal 3 5 5 2 2" xfId="5015"/>
    <cellStyle name="Normal 3 5 5 2 2 2" xfId="5691"/>
    <cellStyle name="Normal 3 5 5 2 2 2 2" xfId="8010"/>
    <cellStyle name="Normal 3 5 5 2 2 3" xfId="6363"/>
    <cellStyle name="Normal 3 5 5 2 2 3 2" xfId="8682"/>
    <cellStyle name="Normal 3 5 5 2 2 4" xfId="7336"/>
    <cellStyle name="Normal 3 5 5 2 3" xfId="5359"/>
    <cellStyle name="Normal 3 5 5 2 3 2" xfId="7678"/>
    <cellStyle name="Normal 3 5 5 2 4" xfId="6027"/>
    <cellStyle name="Normal 3 5 5 2 4 2" xfId="8346"/>
    <cellStyle name="Normal 3 5 5 2 5" xfId="7007"/>
    <cellStyle name="Normal 3 5 5 3" xfId="4850"/>
    <cellStyle name="Normal 3 5 5 3 2" xfId="5525"/>
    <cellStyle name="Normal 3 5 5 3 2 2" xfId="7844"/>
    <cellStyle name="Normal 3 5 5 3 3" xfId="6195"/>
    <cellStyle name="Normal 3 5 5 3 3 2" xfId="8514"/>
    <cellStyle name="Normal 3 5 5 3 4" xfId="7171"/>
    <cellStyle name="Normal 3 5 5 4" xfId="5193"/>
    <cellStyle name="Normal 3 5 5 4 2" xfId="7512"/>
    <cellStyle name="Normal 3 5 5 5" xfId="5859"/>
    <cellStyle name="Normal 3 5 5 5 2" xfId="8178"/>
    <cellStyle name="Normal 3 5 5 6" xfId="4539"/>
    <cellStyle name="Normal 3 5 5 6 2" xfId="6860"/>
    <cellStyle name="Normal 3 5 6" xfId="4567"/>
    <cellStyle name="Normal 3 5 6 2" xfId="4892"/>
    <cellStyle name="Normal 3 5 6 2 2" xfId="5567"/>
    <cellStyle name="Normal 3 5 6 2 2 2" xfId="7886"/>
    <cellStyle name="Normal 3 5 6 2 3" xfId="6237"/>
    <cellStyle name="Normal 3 5 6 2 3 2" xfId="8556"/>
    <cellStyle name="Normal 3 5 6 2 4" xfId="7213"/>
    <cellStyle name="Normal 3 5 6 3" xfId="5235"/>
    <cellStyle name="Normal 3 5 6 3 2" xfId="7554"/>
    <cellStyle name="Normal 3 5 6 4" xfId="5901"/>
    <cellStyle name="Normal 3 5 6 4 2" xfId="8220"/>
    <cellStyle name="Normal 3 5 6 5" xfId="6888"/>
    <cellStyle name="Normal 3 5 7" xfId="4727"/>
    <cellStyle name="Normal 3 5 7 2" xfId="5401"/>
    <cellStyle name="Normal 3 5 7 2 2" xfId="7720"/>
    <cellStyle name="Normal 3 5 7 3" xfId="6069"/>
    <cellStyle name="Normal 3 5 7 3 2" xfId="8388"/>
    <cellStyle name="Normal 3 5 7 4" xfId="7048"/>
    <cellStyle name="Normal 3 5 8" xfId="5069"/>
    <cellStyle name="Normal 3 5 8 2" xfId="7388"/>
    <cellStyle name="Normal 3 5 9" xfId="5733"/>
    <cellStyle name="Normal 3 5 9 2" xfId="8052"/>
    <cellStyle name="Normal 3 6" xfId="2899"/>
    <cellStyle name="Normal 3 7" xfId="5044"/>
    <cellStyle name="Normal 3 7 2" xfId="7365"/>
    <cellStyle name="Normal 3 8" xfId="8763"/>
    <cellStyle name="Normal 3 8 2" xfId="8819"/>
    <cellStyle name="Normal 30" xfId="766"/>
    <cellStyle name="Normal 30 2" xfId="2900"/>
    <cellStyle name="Normal 30 3" xfId="3805"/>
    <cellStyle name="Normal 31" xfId="767"/>
    <cellStyle name="Normal 31 2" xfId="2901"/>
    <cellStyle name="Normal 31 3" xfId="4070"/>
    <cellStyle name="Normal 32" xfId="768"/>
    <cellStyle name="Normal 32 2" xfId="2902"/>
    <cellStyle name="Normal 32 3" xfId="4092"/>
    <cellStyle name="Normal 33" xfId="769"/>
    <cellStyle name="Normal 33 2" xfId="2903"/>
    <cellStyle name="Normal 33 3" xfId="4093"/>
    <cellStyle name="Normal 34" xfId="770"/>
    <cellStyle name="Normal 34 2" xfId="2904"/>
    <cellStyle name="Normal 34 2 2" xfId="2905"/>
    <cellStyle name="Normal 34 2 3" xfId="4142"/>
    <cellStyle name="Normal 34 2 4" xfId="4486"/>
    <cellStyle name="Normal 34 3" xfId="2906"/>
    <cellStyle name="Normal 34 4" xfId="4084"/>
    <cellStyle name="Normal 34 4 2" xfId="6834"/>
    <cellStyle name="Normal 35" xfId="771"/>
    <cellStyle name="Normal 35 2" xfId="2907"/>
    <cellStyle name="Normal 35 2 2" xfId="2908"/>
    <cellStyle name="Normal 35 2 3" xfId="4143"/>
    <cellStyle name="Normal 35 2 4" xfId="4487"/>
    <cellStyle name="Normal 35 3" xfId="2909"/>
    <cellStyle name="Normal 35 4" xfId="4083"/>
    <cellStyle name="Normal 35 4 2" xfId="6833"/>
    <cellStyle name="Normal 36" xfId="772"/>
    <cellStyle name="Normal 36 2" xfId="773"/>
    <cellStyle name="Normal 36 2 2" xfId="2910"/>
    <cellStyle name="Normal 36 2 2 2" xfId="4488"/>
    <cellStyle name="Normal 36 2 2 3" xfId="4290"/>
    <cellStyle name="Normal 36 2 3" xfId="2911"/>
    <cellStyle name="Normal 36 3" xfId="2912"/>
    <cellStyle name="Normal 36 3 2" xfId="2913"/>
    <cellStyle name="Normal 36 3 3" xfId="4144"/>
    <cellStyle name="Normal 36 4" xfId="2914"/>
    <cellStyle name="Normal 36 5" xfId="4080"/>
    <cellStyle name="Normal 36 5 2" xfId="6831"/>
    <cellStyle name="Normal 37" xfId="774"/>
    <cellStyle name="Normal 37 2" xfId="775"/>
    <cellStyle name="Normal 37 2 2" xfId="776"/>
    <cellStyle name="Normal 37 2 3" xfId="2916"/>
    <cellStyle name="Normal 37 3" xfId="1595"/>
    <cellStyle name="Normal 37 4" xfId="4291"/>
    <cellStyle name="Normal 38" xfId="777"/>
    <cellStyle name="Normal 38 2" xfId="2917"/>
    <cellStyle name="Normal 38 2 2" xfId="2918"/>
    <cellStyle name="Normal 39" xfId="778"/>
    <cellStyle name="Normal 39 2" xfId="2919"/>
    <cellStyle name="Normal 39 2 2" xfId="2920"/>
    <cellStyle name="Normal 39 2 3" xfId="4489"/>
    <cellStyle name="Normal 39 3" xfId="2921"/>
    <cellStyle name="Normal 4" xfId="779"/>
    <cellStyle name="Normal 4 10" xfId="2922"/>
    <cellStyle name="Normal 4 10 2" xfId="2923"/>
    <cellStyle name="Normal 4 10 2 2" xfId="6704"/>
    <cellStyle name="Normal 4 10 3" xfId="6703"/>
    <cellStyle name="Normal 4 2" xfId="780"/>
    <cellStyle name="Normal 4 2 2" xfId="2924"/>
    <cellStyle name="Normal 4 2 2 2" xfId="2925"/>
    <cellStyle name="Normal 4 2 2 3" xfId="4490"/>
    <cellStyle name="Normal 4 2 2 3 2" xfId="6705"/>
    <cellStyle name="Normal 4 2 3" xfId="2926"/>
    <cellStyle name="Normal 4 2 4" xfId="3793"/>
    <cellStyle name="Normal 4 2 4 2" xfId="6819"/>
    <cellStyle name="Normal 4 3" xfId="781"/>
    <cellStyle name="Normal 4 3 2" xfId="782"/>
    <cellStyle name="Normal 4 3 2 2" xfId="2927"/>
    <cellStyle name="Normal 4 3 3" xfId="4145"/>
    <cellStyle name="Normal 4 3 4" xfId="4028"/>
    <cellStyle name="Normal 4 3 4 2" xfId="6826"/>
    <cellStyle name="Normal 4 4" xfId="783"/>
    <cellStyle name="Normal 4 4 2" xfId="2928"/>
    <cellStyle name="Normal 4 4 2 2" xfId="4146"/>
    <cellStyle name="Normal 4 4 3" xfId="2929"/>
    <cellStyle name="Normal 4 4 4" xfId="4086"/>
    <cellStyle name="Normal 4 4 4 2" xfId="6835"/>
    <cellStyle name="Normal 4 5" xfId="2930"/>
    <cellStyle name="Normal 4 5 10" xfId="6706"/>
    <cellStyle name="Normal 4 5 2" xfId="2931"/>
    <cellStyle name="Normal 4 5 2 2" xfId="2932"/>
    <cellStyle name="Normal 4 5 2 2 2" xfId="4666"/>
    <cellStyle name="Normal 4 5 2 2 2 2" xfId="4995"/>
    <cellStyle name="Normal 4 5 2 2 2 2 2" xfId="5671"/>
    <cellStyle name="Normal 4 5 2 2 2 2 2 2" xfId="7990"/>
    <cellStyle name="Normal 4 5 2 2 2 2 3" xfId="6343"/>
    <cellStyle name="Normal 4 5 2 2 2 2 3 2" xfId="8662"/>
    <cellStyle name="Normal 4 5 2 2 2 2 4" xfId="7316"/>
    <cellStyle name="Normal 4 5 2 2 2 3" xfId="5339"/>
    <cellStyle name="Normal 4 5 2 2 2 3 2" xfId="7658"/>
    <cellStyle name="Normal 4 5 2 2 2 4" xfId="6007"/>
    <cellStyle name="Normal 4 5 2 2 2 4 2" xfId="8326"/>
    <cellStyle name="Normal 4 5 2 2 2 5" xfId="6987"/>
    <cellStyle name="Normal 4 5 2 2 3" xfId="4830"/>
    <cellStyle name="Normal 4 5 2 2 3 2" xfId="5505"/>
    <cellStyle name="Normal 4 5 2 2 3 2 2" xfId="7824"/>
    <cellStyle name="Normal 4 5 2 2 3 3" xfId="6175"/>
    <cellStyle name="Normal 4 5 2 2 3 3 2" xfId="8494"/>
    <cellStyle name="Normal 4 5 2 2 3 4" xfId="7151"/>
    <cellStyle name="Normal 4 5 2 2 4" xfId="5173"/>
    <cellStyle name="Normal 4 5 2 2 4 2" xfId="7492"/>
    <cellStyle name="Normal 4 5 2 2 5" xfId="5839"/>
    <cellStyle name="Normal 4 5 2 2 5 2" xfId="8158"/>
    <cellStyle name="Normal 4 5 2 2 6" xfId="6708"/>
    <cellStyle name="Normal 4 5 2 3" xfId="2933"/>
    <cellStyle name="Normal 4 5 2 3 2" xfId="4626"/>
    <cellStyle name="Normal 4 5 2 3 2 2" xfId="4955"/>
    <cellStyle name="Normal 4 5 2 3 2 2 2" xfId="5631"/>
    <cellStyle name="Normal 4 5 2 3 2 2 2 2" xfId="7950"/>
    <cellStyle name="Normal 4 5 2 3 2 2 3" xfId="6301"/>
    <cellStyle name="Normal 4 5 2 3 2 2 3 2" xfId="8620"/>
    <cellStyle name="Normal 4 5 2 3 2 2 4" xfId="7276"/>
    <cellStyle name="Normal 4 5 2 3 2 3" xfId="5299"/>
    <cellStyle name="Normal 4 5 2 3 2 3 2" xfId="7618"/>
    <cellStyle name="Normal 4 5 2 3 2 4" xfId="5965"/>
    <cellStyle name="Normal 4 5 2 3 2 4 2" xfId="8284"/>
    <cellStyle name="Normal 4 5 2 3 2 5" xfId="6947"/>
    <cellStyle name="Normal 4 5 2 3 3" xfId="4790"/>
    <cellStyle name="Normal 4 5 2 3 3 2" xfId="5465"/>
    <cellStyle name="Normal 4 5 2 3 3 2 2" xfId="7784"/>
    <cellStyle name="Normal 4 5 2 3 3 3" xfId="6133"/>
    <cellStyle name="Normal 4 5 2 3 3 3 2" xfId="8452"/>
    <cellStyle name="Normal 4 5 2 3 3 4" xfId="7111"/>
    <cellStyle name="Normal 4 5 2 3 4" xfId="5133"/>
    <cellStyle name="Normal 4 5 2 3 4 2" xfId="7452"/>
    <cellStyle name="Normal 4 5 2 3 5" xfId="5797"/>
    <cellStyle name="Normal 4 5 2 3 5 2" xfId="8116"/>
    <cellStyle name="Normal 4 5 2 3 6" xfId="6709"/>
    <cellStyle name="Normal 4 5 2 4" xfId="4554"/>
    <cellStyle name="Normal 4 5 2 4 2" xfId="4707"/>
    <cellStyle name="Normal 4 5 2 4 2 2" xfId="5037"/>
    <cellStyle name="Normal 4 5 2 4 2 2 2" xfId="5713"/>
    <cellStyle name="Normal 4 5 2 4 2 2 2 2" xfId="8032"/>
    <cellStyle name="Normal 4 5 2 4 2 2 3" xfId="6385"/>
    <cellStyle name="Normal 4 5 2 4 2 2 3 2" xfId="8704"/>
    <cellStyle name="Normal 4 5 2 4 2 2 4" xfId="7358"/>
    <cellStyle name="Normal 4 5 2 4 2 3" xfId="5381"/>
    <cellStyle name="Normal 4 5 2 4 2 3 2" xfId="7700"/>
    <cellStyle name="Normal 4 5 2 4 2 4" xfId="6049"/>
    <cellStyle name="Normal 4 5 2 4 2 4 2" xfId="8368"/>
    <cellStyle name="Normal 4 5 2 4 2 5" xfId="7028"/>
    <cellStyle name="Normal 4 5 2 4 3" xfId="4872"/>
    <cellStyle name="Normal 4 5 2 4 3 2" xfId="5547"/>
    <cellStyle name="Normal 4 5 2 4 3 2 2" xfId="7866"/>
    <cellStyle name="Normal 4 5 2 4 3 3" xfId="6217"/>
    <cellStyle name="Normal 4 5 2 4 3 3 2" xfId="8536"/>
    <cellStyle name="Normal 4 5 2 4 3 4" xfId="7193"/>
    <cellStyle name="Normal 4 5 2 4 4" xfId="5215"/>
    <cellStyle name="Normal 4 5 2 4 4 2" xfId="7534"/>
    <cellStyle name="Normal 4 5 2 4 5" xfId="5881"/>
    <cellStyle name="Normal 4 5 2 4 5 2" xfId="8200"/>
    <cellStyle name="Normal 4 5 2 4 6" xfId="6875"/>
    <cellStyle name="Normal 4 5 2 5" xfId="4586"/>
    <cellStyle name="Normal 4 5 2 5 2" xfId="4914"/>
    <cellStyle name="Normal 4 5 2 5 2 2" xfId="5589"/>
    <cellStyle name="Normal 4 5 2 5 2 2 2" xfId="7908"/>
    <cellStyle name="Normal 4 5 2 5 2 3" xfId="6259"/>
    <cellStyle name="Normal 4 5 2 5 2 3 2" xfId="8578"/>
    <cellStyle name="Normal 4 5 2 5 2 4" xfId="7235"/>
    <cellStyle name="Normal 4 5 2 5 3" xfId="5257"/>
    <cellStyle name="Normal 4 5 2 5 3 2" xfId="7576"/>
    <cellStyle name="Normal 4 5 2 5 4" xfId="5923"/>
    <cellStyle name="Normal 4 5 2 5 4 2" xfId="8242"/>
    <cellStyle name="Normal 4 5 2 5 5" xfId="6907"/>
    <cellStyle name="Normal 4 5 2 6" xfId="4749"/>
    <cellStyle name="Normal 4 5 2 6 2" xfId="5423"/>
    <cellStyle name="Normal 4 5 2 6 2 2" xfId="7742"/>
    <cellStyle name="Normal 4 5 2 6 3" xfId="6091"/>
    <cellStyle name="Normal 4 5 2 6 3 2" xfId="8410"/>
    <cellStyle name="Normal 4 5 2 6 4" xfId="7070"/>
    <cellStyle name="Normal 4 5 2 7" xfId="5091"/>
    <cellStyle name="Normal 4 5 2 7 2" xfId="7410"/>
    <cellStyle name="Normal 4 5 2 8" xfId="5755"/>
    <cellStyle name="Normal 4 5 2 8 2" xfId="8074"/>
    <cellStyle name="Normal 4 5 2 9" xfId="6707"/>
    <cellStyle name="Normal 4 5 3" xfId="2934"/>
    <cellStyle name="Normal 4 5 3 2" xfId="4646"/>
    <cellStyle name="Normal 4 5 3 2 2" xfId="4975"/>
    <cellStyle name="Normal 4 5 3 2 2 2" xfId="5651"/>
    <cellStyle name="Normal 4 5 3 2 2 2 2" xfId="7970"/>
    <cellStyle name="Normal 4 5 3 2 2 3" xfId="6322"/>
    <cellStyle name="Normal 4 5 3 2 2 3 2" xfId="8641"/>
    <cellStyle name="Normal 4 5 3 2 2 4" xfId="7296"/>
    <cellStyle name="Normal 4 5 3 2 3" xfId="5319"/>
    <cellStyle name="Normal 4 5 3 2 3 2" xfId="7638"/>
    <cellStyle name="Normal 4 5 3 2 4" xfId="5986"/>
    <cellStyle name="Normal 4 5 3 2 4 2" xfId="8305"/>
    <cellStyle name="Normal 4 5 3 2 5" xfId="6967"/>
    <cellStyle name="Normal 4 5 3 3" xfId="4810"/>
    <cellStyle name="Normal 4 5 3 3 2" xfId="5485"/>
    <cellStyle name="Normal 4 5 3 3 2 2" xfId="7804"/>
    <cellStyle name="Normal 4 5 3 3 3" xfId="6154"/>
    <cellStyle name="Normal 4 5 3 3 3 2" xfId="8473"/>
    <cellStyle name="Normal 4 5 3 3 4" xfId="7131"/>
    <cellStyle name="Normal 4 5 3 4" xfId="5153"/>
    <cellStyle name="Normal 4 5 3 4 2" xfId="7472"/>
    <cellStyle name="Normal 4 5 3 5" xfId="5818"/>
    <cellStyle name="Normal 4 5 3 5 2" xfId="8137"/>
    <cellStyle name="Normal 4 5 3 6" xfId="6710"/>
    <cellStyle name="Normal 4 5 4" xfId="2935"/>
    <cellStyle name="Normal 4 5 4 2" xfId="4606"/>
    <cellStyle name="Normal 4 5 4 2 2" xfId="4935"/>
    <cellStyle name="Normal 4 5 4 2 2 2" xfId="5610"/>
    <cellStyle name="Normal 4 5 4 2 2 2 2" xfId="7929"/>
    <cellStyle name="Normal 4 5 4 2 2 3" xfId="6280"/>
    <cellStyle name="Normal 4 5 4 2 2 3 2" xfId="8599"/>
    <cellStyle name="Normal 4 5 4 2 2 4" xfId="7256"/>
    <cellStyle name="Normal 4 5 4 2 3" xfId="5278"/>
    <cellStyle name="Normal 4 5 4 2 3 2" xfId="7597"/>
    <cellStyle name="Normal 4 5 4 2 4" xfId="5944"/>
    <cellStyle name="Normal 4 5 4 2 4 2" xfId="8263"/>
    <cellStyle name="Normal 4 5 4 2 5" xfId="6927"/>
    <cellStyle name="Normal 4 5 4 3" xfId="4770"/>
    <cellStyle name="Normal 4 5 4 3 2" xfId="5444"/>
    <cellStyle name="Normal 4 5 4 3 2 2" xfId="7763"/>
    <cellStyle name="Normal 4 5 4 3 3" xfId="6112"/>
    <cellStyle name="Normal 4 5 4 3 3 2" xfId="8431"/>
    <cellStyle name="Normal 4 5 4 3 4" xfId="7091"/>
    <cellStyle name="Normal 4 5 4 4" xfId="5112"/>
    <cellStyle name="Normal 4 5 4 4 2" xfId="7431"/>
    <cellStyle name="Normal 4 5 4 5" xfId="5776"/>
    <cellStyle name="Normal 4 5 4 5 2" xfId="8095"/>
    <cellStyle name="Normal 4 5 4 6" xfId="6711"/>
    <cellStyle name="Normal 4 5 5" xfId="2936"/>
    <cellStyle name="Normal 4 5 5 2" xfId="4687"/>
    <cellStyle name="Normal 4 5 5 2 2" xfId="5016"/>
    <cellStyle name="Normal 4 5 5 2 2 2" xfId="5692"/>
    <cellStyle name="Normal 4 5 5 2 2 2 2" xfId="8011"/>
    <cellStyle name="Normal 4 5 5 2 2 3" xfId="6364"/>
    <cellStyle name="Normal 4 5 5 2 2 3 2" xfId="8683"/>
    <cellStyle name="Normal 4 5 5 2 2 4" xfId="7337"/>
    <cellStyle name="Normal 4 5 5 2 3" xfId="5360"/>
    <cellStyle name="Normal 4 5 5 2 3 2" xfId="7679"/>
    <cellStyle name="Normal 4 5 5 2 4" xfId="6028"/>
    <cellStyle name="Normal 4 5 5 2 4 2" xfId="8347"/>
    <cellStyle name="Normal 4 5 5 2 5" xfId="7008"/>
    <cellStyle name="Normal 4 5 5 3" xfId="4851"/>
    <cellStyle name="Normal 4 5 5 3 2" xfId="5526"/>
    <cellStyle name="Normal 4 5 5 3 2 2" xfId="7845"/>
    <cellStyle name="Normal 4 5 5 3 3" xfId="6196"/>
    <cellStyle name="Normal 4 5 5 3 3 2" xfId="8515"/>
    <cellStyle name="Normal 4 5 5 3 4" xfId="7172"/>
    <cellStyle name="Normal 4 5 5 4" xfId="5194"/>
    <cellStyle name="Normal 4 5 5 4 2" xfId="7513"/>
    <cellStyle name="Normal 4 5 5 5" xfId="5860"/>
    <cellStyle name="Normal 4 5 5 5 2" xfId="8179"/>
    <cellStyle name="Normal 4 5 5 6" xfId="4540"/>
    <cellStyle name="Normal 4 5 5 6 2" xfId="6861"/>
    <cellStyle name="Normal 4 5 6" xfId="4568"/>
    <cellStyle name="Normal 4 5 6 2" xfId="4893"/>
    <cellStyle name="Normal 4 5 6 2 2" xfId="5568"/>
    <cellStyle name="Normal 4 5 6 2 2 2" xfId="7887"/>
    <cellStyle name="Normal 4 5 6 2 3" xfId="6238"/>
    <cellStyle name="Normal 4 5 6 2 3 2" xfId="8557"/>
    <cellStyle name="Normal 4 5 6 2 4" xfId="7214"/>
    <cellStyle name="Normal 4 5 6 3" xfId="5236"/>
    <cellStyle name="Normal 4 5 6 3 2" xfId="7555"/>
    <cellStyle name="Normal 4 5 6 4" xfId="5902"/>
    <cellStyle name="Normal 4 5 6 4 2" xfId="8221"/>
    <cellStyle name="Normal 4 5 6 5" xfId="6889"/>
    <cellStyle name="Normal 4 5 7" xfId="4728"/>
    <cellStyle name="Normal 4 5 7 2" xfId="5402"/>
    <cellStyle name="Normal 4 5 7 2 2" xfId="7721"/>
    <cellStyle name="Normal 4 5 7 3" xfId="6070"/>
    <cellStyle name="Normal 4 5 7 3 2" xfId="8389"/>
    <cellStyle name="Normal 4 5 7 4" xfId="7049"/>
    <cellStyle name="Normal 4 5 8" xfId="5070"/>
    <cellStyle name="Normal 4 5 8 2" xfId="7389"/>
    <cellStyle name="Normal 4 5 9" xfId="5734"/>
    <cellStyle name="Normal 4 5 9 2" xfId="8053"/>
    <cellStyle name="Normal 4 6" xfId="2937"/>
    <cellStyle name="Normal 4 6 2" xfId="2938"/>
    <cellStyle name="Normal 4 6 2 2" xfId="2939"/>
    <cellStyle name="Normal 4 6 2 2 2" xfId="2940"/>
    <cellStyle name="Normal 4 6 2 2 2 2" xfId="2941"/>
    <cellStyle name="Normal 4 6 2 2 2 2 2" xfId="6715"/>
    <cellStyle name="Normal 4 6 2 2 2 3" xfId="6714"/>
    <cellStyle name="Normal 4 6 2 2 3" xfId="2942"/>
    <cellStyle name="Normal 4 6 2 2 3 2" xfId="6716"/>
    <cellStyle name="Normal 4 6 2 2 4" xfId="6713"/>
    <cellStyle name="Normal 4 6 2 3" xfId="2943"/>
    <cellStyle name="Normal 4 6 2 3 2" xfId="2944"/>
    <cellStyle name="Normal 4 6 2 3 2 2" xfId="6718"/>
    <cellStyle name="Normal 4 6 2 3 3" xfId="6717"/>
    <cellStyle name="Normal 4 6 2 4" xfId="2945"/>
    <cellStyle name="Normal 4 6 2 4 2" xfId="6719"/>
    <cellStyle name="Normal 4 6 2 5" xfId="6712"/>
    <cellStyle name="Normal 4 6 3" xfId="2946"/>
    <cellStyle name="Normal 4 6 3 2" xfId="2947"/>
    <cellStyle name="Normal 4 6 3 2 2" xfId="2948"/>
    <cellStyle name="Normal 4 6 3 2 2 2" xfId="6722"/>
    <cellStyle name="Normal 4 6 3 2 3" xfId="6721"/>
    <cellStyle name="Normal 4 6 3 3" xfId="2949"/>
    <cellStyle name="Normal 4 6 3 3 2" xfId="6723"/>
    <cellStyle name="Normal 4 6 3 4" xfId="6720"/>
    <cellStyle name="Normal 4 6 4" xfId="2950"/>
    <cellStyle name="Normal 4 6 4 2" xfId="2951"/>
    <cellStyle name="Normal 4 6 4 2 2" xfId="6725"/>
    <cellStyle name="Normal 4 6 4 3" xfId="6724"/>
    <cellStyle name="Normal 4 6 5" xfId="2952"/>
    <cellStyle name="Normal 4 6 5 2" xfId="6726"/>
    <cellStyle name="Normal 4 6 6" xfId="2953"/>
    <cellStyle name="Normal 4 6 6 2" xfId="6727"/>
    <cellStyle name="Normal 4 7" xfId="2954"/>
    <cellStyle name="Normal 4 7 2" xfId="5053"/>
    <cellStyle name="Normal 4 7 2 2" xfId="7373"/>
    <cellStyle name="Normal 4 8" xfId="2955"/>
    <cellStyle name="Normal 4 8 2" xfId="2956"/>
    <cellStyle name="Normal 4 8 2 2" xfId="2957"/>
    <cellStyle name="Normal 4 8 2 2 2" xfId="2958"/>
    <cellStyle name="Normal 4 8 2 2 2 2" xfId="6731"/>
    <cellStyle name="Normal 4 8 2 2 3" xfId="6730"/>
    <cellStyle name="Normal 4 8 2 3" xfId="2959"/>
    <cellStyle name="Normal 4 8 2 3 2" xfId="6732"/>
    <cellStyle name="Normal 4 8 2 4" xfId="6729"/>
    <cellStyle name="Normal 4 8 3" xfId="2960"/>
    <cellStyle name="Normal 4 8 3 2" xfId="2961"/>
    <cellStyle name="Normal 4 8 3 2 2" xfId="6734"/>
    <cellStyle name="Normal 4 8 3 3" xfId="6733"/>
    <cellStyle name="Normal 4 8 4" xfId="2962"/>
    <cellStyle name="Normal 4 8 4 2" xfId="6735"/>
    <cellStyle name="Normal 4 8 5" xfId="6728"/>
    <cellStyle name="Normal 4 9" xfId="2963"/>
    <cellStyle name="Normal 4 9 2" xfId="2964"/>
    <cellStyle name="Normal 4 9 2 2" xfId="6737"/>
    <cellStyle name="Normal 4 9 3" xfId="6736"/>
    <cellStyle name="Normal 40" xfId="784"/>
    <cellStyle name="Normal 40 2" xfId="2965"/>
    <cellStyle name="Normal 40 2 2" xfId="2966"/>
    <cellStyle name="Normal 40 2 3" xfId="4491"/>
    <cellStyle name="Normal 40 3" xfId="2967"/>
    <cellStyle name="Normal 41" xfId="785"/>
    <cellStyle name="Normal 41 2" xfId="2968"/>
    <cellStyle name="Normal 42" xfId="786"/>
    <cellStyle name="Normal 42 2" xfId="2969"/>
    <cellStyle name="Normal 43" xfId="787"/>
    <cellStyle name="Normal 43 2" xfId="2970"/>
    <cellStyle name="Normal 44" xfId="788"/>
    <cellStyle name="Normal 44 2" xfId="2971"/>
    <cellStyle name="Normal 45" xfId="789"/>
    <cellStyle name="Normal 45 2" xfId="2972"/>
    <cellStyle name="Normal 45 3" xfId="2973"/>
    <cellStyle name="Normal 46" xfId="790"/>
    <cellStyle name="Normal 46 2" xfId="2974"/>
    <cellStyle name="Normal 46 2 2" xfId="2975"/>
    <cellStyle name="Normal 46 3" xfId="2976"/>
    <cellStyle name="Normal 46 4" xfId="2977"/>
    <cellStyle name="Normal 47" xfId="791"/>
    <cellStyle name="Normal 47 2" xfId="2978"/>
    <cellStyle name="Normal 47 2 2" xfId="2979"/>
    <cellStyle name="Normal 47 3" xfId="2980"/>
    <cellStyle name="Normal 47 4" xfId="2981"/>
    <cellStyle name="Normal 48" xfId="792"/>
    <cellStyle name="Normal 48 2" xfId="2982"/>
    <cellStyle name="Normal 48 2 2" xfId="2983"/>
    <cellStyle name="Normal 48 3" xfId="2984"/>
    <cellStyle name="Normal 48 4" xfId="2985"/>
    <cellStyle name="Normal 49" xfId="793"/>
    <cellStyle name="Normal 49 2" xfId="2986"/>
    <cellStyle name="Normal 49 2 2" xfId="2987"/>
    <cellStyle name="Normal 49 3" xfId="2988"/>
    <cellStyle name="Normal 49 4" xfId="2989"/>
    <cellStyle name="Normal 5" xfId="794"/>
    <cellStyle name="Normal 5 2" xfId="795"/>
    <cellStyle name="Normal 5 2 2" xfId="2990"/>
    <cellStyle name="Normal 5 2 2 2" xfId="2991"/>
    <cellStyle name="Normal 5 2 2 3" xfId="4492"/>
    <cellStyle name="Normal 5 2 3" xfId="2992"/>
    <cellStyle name="Normal 5 2 4" xfId="2993"/>
    <cellStyle name="Normal 5 2 5" xfId="2994"/>
    <cellStyle name="Normal 5 2 5 2" xfId="2995"/>
    <cellStyle name="Normal 5 2 5 2 2" xfId="6739"/>
    <cellStyle name="Normal 5 2 5 3" xfId="6738"/>
    <cellStyle name="Normal 5 3" xfId="796"/>
    <cellStyle name="Normal 5 3 2" xfId="2996"/>
    <cellStyle name="Normal 5 3 2 2" xfId="2997"/>
    <cellStyle name="Normal 5 3 2 3" xfId="4493"/>
    <cellStyle name="Normal 5 3 3" xfId="2998"/>
    <cellStyle name="Normal 5 3 4" xfId="4029"/>
    <cellStyle name="Normal 5 3 4 2" xfId="6827"/>
    <cellStyle name="Normal 5 4" xfId="797"/>
    <cellStyle name="Normal 5 4 2" xfId="2999"/>
    <cellStyle name="Normal 5 4 3" xfId="3000"/>
    <cellStyle name="Normal 5 5" xfId="3001"/>
    <cellStyle name="Normal 5 5 10" xfId="8786"/>
    <cellStyle name="Normal 5 5 2" xfId="3002"/>
    <cellStyle name="Normal 5 5 2 2" xfId="3003"/>
    <cellStyle name="Normal 5 5 2 2 2" xfId="4667"/>
    <cellStyle name="Normal 5 5 2 2 2 2" xfId="4996"/>
    <cellStyle name="Normal 5 5 2 2 2 2 2" xfId="5672"/>
    <cellStyle name="Normal 5 5 2 2 2 2 2 2" xfId="7991"/>
    <cellStyle name="Normal 5 5 2 2 2 2 3" xfId="6344"/>
    <cellStyle name="Normal 5 5 2 2 2 2 3 2" xfId="8663"/>
    <cellStyle name="Normal 5 5 2 2 2 2 4" xfId="7317"/>
    <cellStyle name="Normal 5 5 2 2 2 3" xfId="5340"/>
    <cellStyle name="Normal 5 5 2 2 2 3 2" xfId="7659"/>
    <cellStyle name="Normal 5 5 2 2 2 4" xfId="6008"/>
    <cellStyle name="Normal 5 5 2 2 2 4 2" xfId="8327"/>
    <cellStyle name="Normal 5 5 2 2 2 5" xfId="6988"/>
    <cellStyle name="Normal 5 5 2 2 3" xfId="4831"/>
    <cellStyle name="Normal 5 5 2 2 3 2" xfId="5506"/>
    <cellStyle name="Normal 5 5 2 2 3 2 2" xfId="7825"/>
    <cellStyle name="Normal 5 5 2 2 3 3" xfId="6176"/>
    <cellStyle name="Normal 5 5 2 2 3 3 2" xfId="8495"/>
    <cellStyle name="Normal 5 5 2 2 3 4" xfId="7152"/>
    <cellStyle name="Normal 5 5 2 2 4" xfId="5174"/>
    <cellStyle name="Normal 5 5 2 2 4 2" xfId="7493"/>
    <cellStyle name="Normal 5 5 2 2 5" xfId="5840"/>
    <cellStyle name="Normal 5 5 2 2 5 2" xfId="8159"/>
    <cellStyle name="Normal 5 5 2 2 6" xfId="6741"/>
    <cellStyle name="Normal 5 5 2 3" xfId="3004"/>
    <cellStyle name="Normal 5 5 2 3 2" xfId="4627"/>
    <cellStyle name="Normal 5 5 2 3 2 2" xfId="4956"/>
    <cellStyle name="Normal 5 5 2 3 2 2 2" xfId="5632"/>
    <cellStyle name="Normal 5 5 2 3 2 2 2 2" xfId="7951"/>
    <cellStyle name="Normal 5 5 2 3 2 2 3" xfId="6302"/>
    <cellStyle name="Normal 5 5 2 3 2 2 3 2" xfId="8621"/>
    <cellStyle name="Normal 5 5 2 3 2 2 4" xfId="7277"/>
    <cellStyle name="Normal 5 5 2 3 2 3" xfId="5300"/>
    <cellStyle name="Normal 5 5 2 3 2 3 2" xfId="7619"/>
    <cellStyle name="Normal 5 5 2 3 2 4" xfId="5966"/>
    <cellStyle name="Normal 5 5 2 3 2 4 2" xfId="8285"/>
    <cellStyle name="Normal 5 5 2 3 2 5" xfId="6948"/>
    <cellStyle name="Normal 5 5 2 3 3" xfId="4791"/>
    <cellStyle name="Normal 5 5 2 3 3 2" xfId="5466"/>
    <cellStyle name="Normal 5 5 2 3 3 2 2" xfId="7785"/>
    <cellStyle name="Normal 5 5 2 3 3 3" xfId="6134"/>
    <cellStyle name="Normal 5 5 2 3 3 3 2" xfId="8453"/>
    <cellStyle name="Normal 5 5 2 3 3 4" xfId="7112"/>
    <cellStyle name="Normal 5 5 2 3 4" xfId="5134"/>
    <cellStyle name="Normal 5 5 2 3 4 2" xfId="7453"/>
    <cellStyle name="Normal 5 5 2 3 5" xfId="5798"/>
    <cellStyle name="Normal 5 5 2 3 5 2" xfId="8117"/>
    <cellStyle name="Normal 5 5 2 3 6" xfId="6742"/>
    <cellStyle name="Normal 5 5 2 4" xfId="4555"/>
    <cellStyle name="Normal 5 5 2 4 2" xfId="4708"/>
    <cellStyle name="Normal 5 5 2 4 2 2" xfId="5038"/>
    <cellStyle name="Normal 5 5 2 4 2 2 2" xfId="5714"/>
    <cellStyle name="Normal 5 5 2 4 2 2 2 2" xfId="8033"/>
    <cellStyle name="Normal 5 5 2 4 2 2 3" xfId="6386"/>
    <cellStyle name="Normal 5 5 2 4 2 2 3 2" xfId="8705"/>
    <cellStyle name="Normal 5 5 2 4 2 2 4" xfId="7359"/>
    <cellStyle name="Normal 5 5 2 4 2 3" xfId="5382"/>
    <cellStyle name="Normal 5 5 2 4 2 3 2" xfId="7701"/>
    <cellStyle name="Normal 5 5 2 4 2 4" xfId="6050"/>
    <cellStyle name="Normal 5 5 2 4 2 4 2" xfId="8369"/>
    <cellStyle name="Normal 5 5 2 4 2 5" xfId="7029"/>
    <cellStyle name="Normal 5 5 2 4 3" xfId="4873"/>
    <cellStyle name="Normal 5 5 2 4 3 2" xfId="5548"/>
    <cellStyle name="Normal 5 5 2 4 3 2 2" xfId="7867"/>
    <cellStyle name="Normal 5 5 2 4 3 3" xfId="6218"/>
    <cellStyle name="Normal 5 5 2 4 3 3 2" xfId="8537"/>
    <cellStyle name="Normal 5 5 2 4 3 4" xfId="7194"/>
    <cellStyle name="Normal 5 5 2 4 4" xfId="5216"/>
    <cellStyle name="Normal 5 5 2 4 4 2" xfId="7535"/>
    <cellStyle name="Normal 5 5 2 4 5" xfId="5882"/>
    <cellStyle name="Normal 5 5 2 4 5 2" xfId="8201"/>
    <cellStyle name="Normal 5 5 2 4 6" xfId="6876"/>
    <cellStyle name="Normal 5 5 2 5" xfId="4587"/>
    <cellStyle name="Normal 5 5 2 5 2" xfId="4915"/>
    <cellStyle name="Normal 5 5 2 5 2 2" xfId="5590"/>
    <cellStyle name="Normal 5 5 2 5 2 2 2" xfId="7909"/>
    <cellStyle name="Normal 5 5 2 5 2 3" xfId="6260"/>
    <cellStyle name="Normal 5 5 2 5 2 3 2" xfId="8579"/>
    <cellStyle name="Normal 5 5 2 5 2 4" xfId="7236"/>
    <cellStyle name="Normal 5 5 2 5 3" xfId="5258"/>
    <cellStyle name="Normal 5 5 2 5 3 2" xfId="7577"/>
    <cellStyle name="Normal 5 5 2 5 4" xfId="5924"/>
    <cellStyle name="Normal 5 5 2 5 4 2" xfId="8243"/>
    <cellStyle name="Normal 5 5 2 5 5" xfId="6908"/>
    <cellStyle name="Normal 5 5 2 6" xfId="4750"/>
    <cellStyle name="Normal 5 5 2 6 2" xfId="5424"/>
    <cellStyle name="Normal 5 5 2 6 2 2" xfId="7743"/>
    <cellStyle name="Normal 5 5 2 6 3" xfId="6092"/>
    <cellStyle name="Normal 5 5 2 6 3 2" xfId="8411"/>
    <cellStyle name="Normal 5 5 2 6 4" xfId="7071"/>
    <cellStyle name="Normal 5 5 2 7" xfId="5092"/>
    <cellStyle name="Normal 5 5 2 7 2" xfId="7411"/>
    <cellStyle name="Normal 5 5 2 8" xfId="5756"/>
    <cellStyle name="Normal 5 5 2 8 2" xfId="8075"/>
    <cellStyle name="Normal 5 5 2 9" xfId="6740"/>
    <cellStyle name="Normal 5 5 3" xfId="3005"/>
    <cellStyle name="Normal 5 5 3 2" xfId="4647"/>
    <cellStyle name="Normal 5 5 3 2 2" xfId="4976"/>
    <cellStyle name="Normal 5 5 3 2 2 2" xfId="5652"/>
    <cellStyle name="Normal 5 5 3 2 2 2 2" xfId="7971"/>
    <cellStyle name="Normal 5 5 3 2 2 3" xfId="6323"/>
    <cellStyle name="Normal 5 5 3 2 2 3 2" xfId="8642"/>
    <cellStyle name="Normal 5 5 3 2 2 4" xfId="7297"/>
    <cellStyle name="Normal 5 5 3 2 3" xfId="5320"/>
    <cellStyle name="Normal 5 5 3 2 3 2" xfId="7639"/>
    <cellStyle name="Normal 5 5 3 2 4" xfId="5987"/>
    <cellStyle name="Normal 5 5 3 2 4 2" xfId="8306"/>
    <cellStyle name="Normal 5 5 3 2 5" xfId="6968"/>
    <cellStyle name="Normal 5 5 3 3" xfId="4811"/>
    <cellStyle name="Normal 5 5 3 3 2" xfId="5486"/>
    <cellStyle name="Normal 5 5 3 3 2 2" xfId="7805"/>
    <cellStyle name="Normal 5 5 3 3 3" xfId="6155"/>
    <cellStyle name="Normal 5 5 3 3 3 2" xfId="8474"/>
    <cellStyle name="Normal 5 5 3 3 4" xfId="7132"/>
    <cellStyle name="Normal 5 5 3 4" xfId="5154"/>
    <cellStyle name="Normal 5 5 3 4 2" xfId="7473"/>
    <cellStyle name="Normal 5 5 3 5" xfId="5819"/>
    <cellStyle name="Normal 5 5 3 5 2" xfId="8138"/>
    <cellStyle name="Normal 5 5 3 6" xfId="6743"/>
    <cellStyle name="Normal 5 5 4" xfId="3006"/>
    <cellStyle name="Normal 5 5 4 2" xfId="4607"/>
    <cellStyle name="Normal 5 5 4 2 2" xfId="4936"/>
    <cellStyle name="Normal 5 5 4 2 2 2" xfId="5611"/>
    <cellStyle name="Normal 5 5 4 2 2 2 2" xfId="7930"/>
    <cellStyle name="Normal 5 5 4 2 2 3" xfId="6281"/>
    <cellStyle name="Normal 5 5 4 2 2 3 2" xfId="8600"/>
    <cellStyle name="Normal 5 5 4 2 2 4" xfId="7257"/>
    <cellStyle name="Normal 5 5 4 2 3" xfId="5279"/>
    <cellStyle name="Normal 5 5 4 2 3 2" xfId="7598"/>
    <cellStyle name="Normal 5 5 4 2 4" xfId="5945"/>
    <cellStyle name="Normal 5 5 4 2 4 2" xfId="8264"/>
    <cellStyle name="Normal 5 5 4 2 5" xfId="6928"/>
    <cellStyle name="Normal 5 5 4 3" xfId="4771"/>
    <cellStyle name="Normal 5 5 4 3 2" xfId="5445"/>
    <cellStyle name="Normal 5 5 4 3 2 2" xfId="7764"/>
    <cellStyle name="Normal 5 5 4 3 3" xfId="6113"/>
    <cellStyle name="Normal 5 5 4 3 3 2" xfId="8432"/>
    <cellStyle name="Normal 5 5 4 3 4" xfId="7092"/>
    <cellStyle name="Normal 5 5 4 4" xfId="5113"/>
    <cellStyle name="Normal 5 5 4 4 2" xfId="7432"/>
    <cellStyle name="Normal 5 5 4 5" xfId="5777"/>
    <cellStyle name="Normal 5 5 4 5 2" xfId="8096"/>
    <cellStyle name="Normal 5 5 4 6" xfId="6744"/>
    <cellStyle name="Normal 5 5 5" xfId="3007"/>
    <cellStyle name="Normal 5 5 5 2" xfId="4688"/>
    <cellStyle name="Normal 5 5 5 2 2" xfId="5017"/>
    <cellStyle name="Normal 5 5 5 2 2 2" xfId="5693"/>
    <cellStyle name="Normal 5 5 5 2 2 2 2" xfId="8012"/>
    <cellStyle name="Normal 5 5 5 2 2 3" xfId="6365"/>
    <cellStyle name="Normal 5 5 5 2 2 3 2" xfId="8684"/>
    <cellStyle name="Normal 5 5 5 2 2 4" xfId="7338"/>
    <cellStyle name="Normal 5 5 5 2 3" xfId="5361"/>
    <cellStyle name="Normal 5 5 5 2 3 2" xfId="7680"/>
    <cellStyle name="Normal 5 5 5 2 4" xfId="6029"/>
    <cellStyle name="Normal 5 5 5 2 4 2" xfId="8348"/>
    <cellStyle name="Normal 5 5 5 2 5" xfId="7009"/>
    <cellStyle name="Normal 5 5 5 3" xfId="4852"/>
    <cellStyle name="Normal 5 5 5 3 2" xfId="5527"/>
    <cellStyle name="Normal 5 5 5 3 2 2" xfId="7846"/>
    <cellStyle name="Normal 5 5 5 3 3" xfId="6197"/>
    <cellStyle name="Normal 5 5 5 3 3 2" xfId="8516"/>
    <cellStyle name="Normal 5 5 5 3 4" xfId="7173"/>
    <cellStyle name="Normal 5 5 5 4" xfId="5195"/>
    <cellStyle name="Normal 5 5 5 4 2" xfId="7514"/>
    <cellStyle name="Normal 5 5 5 5" xfId="5861"/>
    <cellStyle name="Normal 5 5 5 5 2" xfId="8180"/>
    <cellStyle name="Normal 5 5 5 6" xfId="6745"/>
    <cellStyle name="Normal 5 5 6" xfId="3008"/>
    <cellStyle name="Normal 5 5 6 2" xfId="4894"/>
    <cellStyle name="Normal 5 5 6 2 2" xfId="5569"/>
    <cellStyle name="Normal 5 5 6 2 2 2" xfId="7888"/>
    <cellStyle name="Normal 5 5 6 2 3" xfId="6239"/>
    <cellStyle name="Normal 5 5 6 2 3 2" xfId="8558"/>
    <cellStyle name="Normal 5 5 6 2 4" xfId="7215"/>
    <cellStyle name="Normal 5 5 6 3" xfId="5237"/>
    <cellStyle name="Normal 5 5 6 3 2" xfId="7556"/>
    <cellStyle name="Normal 5 5 6 4" xfId="5903"/>
    <cellStyle name="Normal 5 5 6 4 2" xfId="8222"/>
    <cellStyle name="Normal 5 5 6 5" xfId="4569"/>
    <cellStyle name="Normal 5 5 6 5 2" xfId="6890"/>
    <cellStyle name="Normal 5 5 7" xfId="4147"/>
    <cellStyle name="Normal 5 5 7 2" xfId="5403"/>
    <cellStyle name="Normal 5 5 7 2 2" xfId="7722"/>
    <cellStyle name="Normal 5 5 7 3" xfId="6071"/>
    <cellStyle name="Normal 5 5 7 3 2" xfId="8390"/>
    <cellStyle name="Normal 5 5 7 4" xfId="4729"/>
    <cellStyle name="Normal 5 5 7 4 2" xfId="7050"/>
    <cellStyle name="Normal 5 5 8" xfId="5071"/>
    <cellStyle name="Normal 5 5 8 2" xfId="7390"/>
    <cellStyle name="Normal 5 5 9" xfId="5735"/>
    <cellStyle name="Normal 5 5 9 2" xfId="8054"/>
    <cellStyle name="Normal 5 6" xfId="3009"/>
    <cellStyle name="Normal 5 6 2" xfId="3010"/>
    <cellStyle name="Normal 5 6 2 2" xfId="3011"/>
    <cellStyle name="Normal 5 6 2 2 2" xfId="3012"/>
    <cellStyle name="Normal 5 6 2 2 2 2" xfId="3013"/>
    <cellStyle name="Normal 5 6 2 2 2 2 2" xfId="6749"/>
    <cellStyle name="Normal 5 6 2 2 2 3" xfId="6748"/>
    <cellStyle name="Normal 5 6 2 2 3" xfId="3014"/>
    <cellStyle name="Normal 5 6 2 2 3 2" xfId="6750"/>
    <cellStyle name="Normal 5 6 2 2 4" xfId="6747"/>
    <cellStyle name="Normal 5 6 2 3" xfId="3015"/>
    <cellStyle name="Normal 5 6 2 3 2" xfId="3016"/>
    <cellStyle name="Normal 5 6 2 3 2 2" xfId="6752"/>
    <cellStyle name="Normal 5 6 2 3 3" xfId="6751"/>
    <cellStyle name="Normal 5 6 2 4" xfId="3017"/>
    <cellStyle name="Normal 5 6 2 4 2" xfId="6753"/>
    <cellStyle name="Normal 5 6 2 5" xfId="6746"/>
    <cellStyle name="Normal 5 6 3" xfId="3018"/>
    <cellStyle name="Normal 5 6 3 2" xfId="3019"/>
    <cellStyle name="Normal 5 6 3 2 2" xfId="3020"/>
    <cellStyle name="Normal 5 6 3 2 2 2" xfId="6756"/>
    <cellStyle name="Normal 5 6 3 2 3" xfId="6755"/>
    <cellStyle name="Normal 5 6 3 3" xfId="3021"/>
    <cellStyle name="Normal 5 6 3 3 2" xfId="6757"/>
    <cellStyle name="Normal 5 6 3 4" xfId="6754"/>
    <cellStyle name="Normal 5 6 4" xfId="3022"/>
    <cellStyle name="Normal 5 6 4 2" xfId="3023"/>
    <cellStyle name="Normal 5 6 4 2 2" xfId="6759"/>
    <cellStyle name="Normal 5 6 4 3" xfId="6758"/>
    <cellStyle name="Normal 5 6 5" xfId="3024"/>
    <cellStyle name="Normal 5 6 5 2" xfId="6760"/>
    <cellStyle name="Normal 5 6 6" xfId="3025"/>
    <cellStyle name="Normal 5 6 6 2" xfId="6761"/>
    <cellStyle name="Normal 5 7" xfId="3026"/>
    <cellStyle name="Normal 5 7 2" xfId="3027"/>
    <cellStyle name="Normal 5 7 2 2" xfId="3028"/>
    <cellStyle name="Normal 5 7 2 2 2" xfId="3029"/>
    <cellStyle name="Normal 5 7 2 2 2 2" xfId="6765"/>
    <cellStyle name="Normal 5 7 2 2 3" xfId="6764"/>
    <cellStyle name="Normal 5 7 2 3" xfId="3030"/>
    <cellStyle name="Normal 5 7 2 3 2" xfId="6766"/>
    <cellStyle name="Normal 5 7 2 4" xfId="6763"/>
    <cellStyle name="Normal 5 7 3" xfId="3031"/>
    <cellStyle name="Normal 5 7 3 2" xfId="3032"/>
    <cellStyle name="Normal 5 7 3 2 2" xfId="6768"/>
    <cellStyle name="Normal 5 7 3 3" xfId="6767"/>
    <cellStyle name="Normal 5 7 4" xfId="3033"/>
    <cellStyle name="Normal 5 7 4 2" xfId="6769"/>
    <cellStyle name="Normal 5 7 5" xfId="6762"/>
    <cellStyle name="Normal 5 8" xfId="3034"/>
    <cellStyle name="Normal 5 8 2" xfId="3035"/>
    <cellStyle name="Normal 5 8 2 2" xfId="6771"/>
    <cellStyle name="Normal 5 8 3" xfId="6770"/>
    <cellStyle name="Normal 50" xfId="798"/>
    <cellStyle name="Normal 50 2" xfId="3036"/>
    <cellStyle name="Normal 50 2 2" xfId="3037"/>
    <cellStyle name="Normal 50 3" xfId="3038"/>
    <cellStyle name="Normal 50 4" xfId="3039"/>
    <cellStyle name="Normal 51" xfId="799"/>
    <cellStyle name="Normal 51 2" xfId="3040"/>
    <cellStyle name="Normal 51 2 2" xfId="3041"/>
    <cellStyle name="Normal 51 3" xfId="3042"/>
    <cellStyle name="Normal 51 4" xfId="3043"/>
    <cellStyle name="Normal 52" xfId="800"/>
    <cellStyle name="Normal 52 2" xfId="3044"/>
    <cellStyle name="Normal 52 2 2" xfId="3045"/>
    <cellStyle name="Normal 52 3" xfId="3046"/>
    <cellStyle name="Normal 52 4" xfId="3047"/>
    <cellStyle name="Normal 53" xfId="801"/>
    <cellStyle name="Normal 53 2" xfId="3048"/>
    <cellStyle name="Normal 53 2 2" xfId="3049"/>
    <cellStyle name="Normal 53 3" xfId="3050"/>
    <cellStyle name="Normal 53 4" xfId="3051"/>
    <cellStyle name="Normal 54" xfId="802"/>
    <cellStyle name="Normal 54 2" xfId="3052"/>
    <cellStyle name="Normal 54 2 2" xfId="3053"/>
    <cellStyle name="Normal 54 3" xfId="3054"/>
    <cellStyle name="Normal 54 4" xfId="3055"/>
    <cellStyle name="Normal 55" xfId="803"/>
    <cellStyle name="Normal 55 2" xfId="3056"/>
    <cellStyle name="Normal 55 2 2" xfId="3057"/>
    <cellStyle name="Normal 55 3" xfId="3058"/>
    <cellStyle name="Normal 55 4" xfId="3059"/>
    <cellStyle name="Normal 56" xfId="804"/>
    <cellStyle name="Normal 56 2" xfId="3060"/>
    <cellStyle name="Normal 56 2 2" xfId="3061"/>
    <cellStyle name="Normal 56 3" xfId="3062"/>
    <cellStyle name="Normal 56 4" xfId="3063"/>
    <cellStyle name="Normal 57" xfId="805"/>
    <cellStyle name="Normal 57 2" xfId="3064"/>
    <cellStyle name="Normal 57 2 2" xfId="3065"/>
    <cellStyle name="Normal 57 3" xfId="3066"/>
    <cellStyle name="Normal 57 4" xfId="3067"/>
    <cellStyle name="Normal 58" xfId="806"/>
    <cellStyle name="Normal 58 2" xfId="3068"/>
    <cellStyle name="Normal 58 2 2" xfId="3069"/>
    <cellStyle name="Normal 58 3" xfId="3070"/>
    <cellStyle name="Normal 58 4" xfId="3071"/>
    <cellStyle name="Normal 59" xfId="807"/>
    <cellStyle name="Normal 59 2" xfId="3072"/>
    <cellStyle name="Normal 6" xfId="808"/>
    <cellStyle name="Normal 6 2" xfId="809"/>
    <cellStyle name="Normal 6 2 2" xfId="810"/>
    <cellStyle name="Normal 6 2 2 2" xfId="811"/>
    <cellStyle name="Normal 6 2 3" xfId="812"/>
    <cellStyle name="Normal 6 2 4" xfId="4292"/>
    <cellStyle name="Normal 6 2 5" xfId="1588"/>
    <cellStyle name="Normal 6 3" xfId="813"/>
    <cellStyle name="Normal 6 3 2" xfId="3073"/>
    <cellStyle name="Normal 6 3 2 2" xfId="3074"/>
    <cellStyle name="Normal 6 3 3" xfId="3075"/>
    <cellStyle name="Normal 6 4" xfId="814"/>
    <cellStyle name="Normal 6 4 2" xfId="3076"/>
    <cellStyle name="Normal 6 5" xfId="815"/>
    <cellStyle name="Normal 6 6" xfId="816"/>
    <cellStyle name="Normal 6 7" xfId="3077"/>
    <cellStyle name="Normal 6 7 2" xfId="4148"/>
    <cellStyle name="Normal 6 8" xfId="3078"/>
    <cellStyle name="Normal 60" xfId="817"/>
    <cellStyle name="Normal 60 2" xfId="3079"/>
    <cellStyle name="Normal 61" xfId="818"/>
    <cellStyle name="Normal 61 2" xfId="3080"/>
    <cellStyle name="Normal 62" xfId="819"/>
    <cellStyle name="Normal 62 2" xfId="3081"/>
    <cellStyle name="Normal 63" xfId="820"/>
    <cellStyle name="Normal 63 2" xfId="3082"/>
    <cellStyle name="Normal 64" xfId="821"/>
    <cellStyle name="Normal 64 10" xfId="8787"/>
    <cellStyle name="Normal 64 2" xfId="3083"/>
    <cellStyle name="Normal 64 2 2" xfId="3084"/>
    <cellStyle name="Normal 64 2 2 2" xfId="4668"/>
    <cellStyle name="Normal 64 2 2 2 2" xfId="4997"/>
    <cellStyle name="Normal 64 2 2 2 2 2" xfId="5673"/>
    <cellStyle name="Normal 64 2 2 2 2 2 2" xfId="7992"/>
    <cellStyle name="Normal 64 2 2 2 2 3" xfId="6345"/>
    <cellStyle name="Normal 64 2 2 2 2 3 2" xfId="8664"/>
    <cellStyle name="Normal 64 2 2 2 2 4" xfId="7318"/>
    <cellStyle name="Normal 64 2 2 2 3" xfId="5341"/>
    <cellStyle name="Normal 64 2 2 2 3 2" xfId="7660"/>
    <cellStyle name="Normal 64 2 2 2 4" xfId="6009"/>
    <cellStyle name="Normal 64 2 2 2 4 2" xfId="8328"/>
    <cellStyle name="Normal 64 2 2 2 5" xfId="6989"/>
    <cellStyle name="Normal 64 2 2 3" xfId="4832"/>
    <cellStyle name="Normal 64 2 2 3 2" xfId="5507"/>
    <cellStyle name="Normal 64 2 2 3 2 2" xfId="7826"/>
    <cellStyle name="Normal 64 2 2 3 3" xfId="6177"/>
    <cellStyle name="Normal 64 2 2 3 3 2" xfId="8496"/>
    <cellStyle name="Normal 64 2 2 3 4" xfId="7153"/>
    <cellStyle name="Normal 64 2 2 4" xfId="5175"/>
    <cellStyle name="Normal 64 2 2 4 2" xfId="7494"/>
    <cellStyle name="Normal 64 2 2 5" xfId="5841"/>
    <cellStyle name="Normal 64 2 2 5 2" xfId="8160"/>
    <cellStyle name="Normal 64 2 2 6" xfId="6773"/>
    <cellStyle name="Normal 64 2 3" xfId="3085"/>
    <cellStyle name="Normal 64 2 3 2" xfId="4628"/>
    <cellStyle name="Normal 64 2 3 2 2" xfId="4957"/>
    <cellStyle name="Normal 64 2 3 2 2 2" xfId="5633"/>
    <cellStyle name="Normal 64 2 3 2 2 2 2" xfId="7952"/>
    <cellStyle name="Normal 64 2 3 2 2 3" xfId="6303"/>
    <cellStyle name="Normal 64 2 3 2 2 3 2" xfId="8622"/>
    <cellStyle name="Normal 64 2 3 2 2 4" xfId="7278"/>
    <cellStyle name="Normal 64 2 3 2 3" xfId="5301"/>
    <cellStyle name="Normal 64 2 3 2 3 2" xfId="7620"/>
    <cellStyle name="Normal 64 2 3 2 4" xfId="5967"/>
    <cellStyle name="Normal 64 2 3 2 4 2" xfId="8286"/>
    <cellStyle name="Normal 64 2 3 2 5" xfId="6949"/>
    <cellStyle name="Normal 64 2 3 3" xfId="4792"/>
    <cellStyle name="Normal 64 2 3 3 2" xfId="5467"/>
    <cellStyle name="Normal 64 2 3 3 2 2" xfId="7786"/>
    <cellStyle name="Normal 64 2 3 3 3" xfId="6135"/>
    <cellStyle name="Normal 64 2 3 3 3 2" xfId="8454"/>
    <cellStyle name="Normal 64 2 3 3 4" xfId="7113"/>
    <cellStyle name="Normal 64 2 3 4" xfId="5135"/>
    <cellStyle name="Normal 64 2 3 4 2" xfId="7454"/>
    <cellStyle name="Normal 64 2 3 5" xfId="5799"/>
    <cellStyle name="Normal 64 2 3 5 2" xfId="8118"/>
    <cellStyle name="Normal 64 2 3 6" xfId="6774"/>
    <cellStyle name="Normal 64 2 4" xfId="4556"/>
    <cellStyle name="Normal 64 2 4 2" xfId="4709"/>
    <cellStyle name="Normal 64 2 4 2 2" xfId="5039"/>
    <cellStyle name="Normal 64 2 4 2 2 2" xfId="5715"/>
    <cellStyle name="Normal 64 2 4 2 2 2 2" xfId="8034"/>
    <cellStyle name="Normal 64 2 4 2 2 3" xfId="6387"/>
    <cellStyle name="Normal 64 2 4 2 2 3 2" xfId="8706"/>
    <cellStyle name="Normal 64 2 4 2 2 4" xfId="7360"/>
    <cellStyle name="Normal 64 2 4 2 3" xfId="5383"/>
    <cellStyle name="Normal 64 2 4 2 3 2" xfId="7702"/>
    <cellStyle name="Normal 64 2 4 2 4" xfId="6051"/>
    <cellStyle name="Normal 64 2 4 2 4 2" xfId="8370"/>
    <cellStyle name="Normal 64 2 4 2 5" xfId="7030"/>
    <cellStyle name="Normal 64 2 4 3" xfId="4874"/>
    <cellStyle name="Normal 64 2 4 3 2" xfId="5549"/>
    <cellStyle name="Normal 64 2 4 3 2 2" xfId="7868"/>
    <cellStyle name="Normal 64 2 4 3 3" xfId="6219"/>
    <cellStyle name="Normal 64 2 4 3 3 2" xfId="8538"/>
    <cellStyle name="Normal 64 2 4 3 4" xfId="7195"/>
    <cellStyle name="Normal 64 2 4 4" xfId="5217"/>
    <cellStyle name="Normal 64 2 4 4 2" xfId="7536"/>
    <cellStyle name="Normal 64 2 4 5" xfId="5883"/>
    <cellStyle name="Normal 64 2 4 5 2" xfId="8202"/>
    <cellStyle name="Normal 64 2 4 6" xfId="6877"/>
    <cellStyle name="Normal 64 2 5" xfId="4588"/>
    <cellStyle name="Normal 64 2 5 2" xfId="4916"/>
    <cellStyle name="Normal 64 2 5 2 2" xfId="5591"/>
    <cellStyle name="Normal 64 2 5 2 2 2" xfId="7910"/>
    <cellStyle name="Normal 64 2 5 2 3" xfId="6261"/>
    <cellStyle name="Normal 64 2 5 2 3 2" xfId="8580"/>
    <cellStyle name="Normal 64 2 5 2 4" xfId="7237"/>
    <cellStyle name="Normal 64 2 5 3" xfId="5259"/>
    <cellStyle name="Normal 64 2 5 3 2" xfId="7578"/>
    <cellStyle name="Normal 64 2 5 4" xfId="5925"/>
    <cellStyle name="Normal 64 2 5 4 2" xfId="8244"/>
    <cellStyle name="Normal 64 2 5 5" xfId="6909"/>
    <cellStyle name="Normal 64 2 6" xfId="4751"/>
    <cellStyle name="Normal 64 2 6 2" xfId="5425"/>
    <cellStyle name="Normal 64 2 6 2 2" xfId="7744"/>
    <cellStyle name="Normal 64 2 6 3" xfId="6093"/>
    <cellStyle name="Normal 64 2 6 3 2" xfId="8412"/>
    <cellStyle name="Normal 64 2 6 4" xfId="7072"/>
    <cellStyle name="Normal 64 2 7" xfId="5093"/>
    <cellStyle name="Normal 64 2 7 2" xfId="7412"/>
    <cellStyle name="Normal 64 2 8" xfId="5757"/>
    <cellStyle name="Normal 64 2 8 2" xfId="8076"/>
    <cellStyle name="Normal 64 2 9" xfId="6772"/>
    <cellStyle name="Normal 64 3" xfId="3086"/>
    <cellStyle name="Normal 64 3 2" xfId="4648"/>
    <cellStyle name="Normal 64 3 2 2" xfId="4977"/>
    <cellStyle name="Normal 64 3 2 2 2" xfId="5653"/>
    <cellStyle name="Normal 64 3 2 2 2 2" xfId="7972"/>
    <cellStyle name="Normal 64 3 2 2 3" xfId="6324"/>
    <cellStyle name="Normal 64 3 2 2 3 2" xfId="8643"/>
    <cellStyle name="Normal 64 3 2 2 4" xfId="7298"/>
    <cellStyle name="Normal 64 3 2 3" xfId="5321"/>
    <cellStyle name="Normal 64 3 2 3 2" xfId="7640"/>
    <cellStyle name="Normal 64 3 2 4" xfId="5988"/>
    <cellStyle name="Normal 64 3 2 4 2" xfId="8307"/>
    <cellStyle name="Normal 64 3 2 5" xfId="6969"/>
    <cellStyle name="Normal 64 3 3" xfId="4812"/>
    <cellStyle name="Normal 64 3 3 2" xfId="5487"/>
    <cellStyle name="Normal 64 3 3 2 2" xfId="7806"/>
    <cellStyle name="Normal 64 3 3 3" xfId="6156"/>
    <cellStyle name="Normal 64 3 3 3 2" xfId="8475"/>
    <cellStyle name="Normal 64 3 3 4" xfId="7133"/>
    <cellStyle name="Normal 64 3 4" xfId="5155"/>
    <cellStyle name="Normal 64 3 4 2" xfId="7474"/>
    <cellStyle name="Normal 64 3 5" xfId="5820"/>
    <cellStyle name="Normal 64 3 5 2" xfId="8139"/>
    <cellStyle name="Normal 64 3 6" xfId="6775"/>
    <cellStyle name="Normal 64 4" xfId="3087"/>
    <cellStyle name="Normal 64 4 2" xfId="4608"/>
    <cellStyle name="Normal 64 4 2 2" xfId="4937"/>
    <cellStyle name="Normal 64 4 2 2 2" xfId="5612"/>
    <cellStyle name="Normal 64 4 2 2 2 2" xfId="7931"/>
    <cellStyle name="Normal 64 4 2 2 3" xfId="6282"/>
    <cellStyle name="Normal 64 4 2 2 3 2" xfId="8601"/>
    <cellStyle name="Normal 64 4 2 2 4" xfId="7258"/>
    <cellStyle name="Normal 64 4 2 3" xfId="5280"/>
    <cellStyle name="Normal 64 4 2 3 2" xfId="7599"/>
    <cellStyle name="Normal 64 4 2 4" xfId="5946"/>
    <cellStyle name="Normal 64 4 2 4 2" xfId="8265"/>
    <cellStyle name="Normal 64 4 2 5" xfId="6929"/>
    <cellStyle name="Normal 64 4 3" xfId="4772"/>
    <cellStyle name="Normal 64 4 3 2" xfId="5446"/>
    <cellStyle name="Normal 64 4 3 2 2" xfId="7765"/>
    <cellStyle name="Normal 64 4 3 3" xfId="6114"/>
    <cellStyle name="Normal 64 4 3 3 2" xfId="8433"/>
    <cellStyle name="Normal 64 4 3 4" xfId="7093"/>
    <cellStyle name="Normal 64 4 4" xfId="5114"/>
    <cellStyle name="Normal 64 4 4 2" xfId="7433"/>
    <cellStyle name="Normal 64 4 5" xfId="5778"/>
    <cellStyle name="Normal 64 4 5 2" xfId="8097"/>
    <cellStyle name="Normal 64 4 6" xfId="6776"/>
    <cellStyle name="Normal 64 5" xfId="3088"/>
    <cellStyle name="Normal 64 5 2" xfId="4689"/>
    <cellStyle name="Normal 64 5 2 2" xfId="5018"/>
    <cellStyle name="Normal 64 5 2 2 2" xfId="5694"/>
    <cellStyle name="Normal 64 5 2 2 2 2" xfId="8013"/>
    <cellStyle name="Normal 64 5 2 2 3" xfId="6366"/>
    <cellStyle name="Normal 64 5 2 2 3 2" xfId="8685"/>
    <cellStyle name="Normal 64 5 2 2 4" xfId="7339"/>
    <cellStyle name="Normal 64 5 2 3" xfId="5362"/>
    <cellStyle name="Normal 64 5 2 3 2" xfId="7681"/>
    <cellStyle name="Normal 64 5 2 4" xfId="6030"/>
    <cellStyle name="Normal 64 5 2 4 2" xfId="8349"/>
    <cellStyle name="Normal 64 5 2 5" xfId="7010"/>
    <cellStyle name="Normal 64 5 3" xfId="4853"/>
    <cellStyle name="Normal 64 5 3 2" xfId="5528"/>
    <cellStyle name="Normal 64 5 3 2 2" xfId="7847"/>
    <cellStyle name="Normal 64 5 3 3" xfId="6198"/>
    <cellStyle name="Normal 64 5 3 3 2" xfId="8517"/>
    <cellStyle name="Normal 64 5 3 4" xfId="7174"/>
    <cellStyle name="Normal 64 5 4" xfId="5196"/>
    <cellStyle name="Normal 64 5 4 2" xfId="7515"/>
    <cellStyle name="Normal 64 5 5" xfId="5862"/>
    <cellStyle name="Normal 64 5 5 2" xfId="8181"/>
    <cellStyle name="Normal 64 5 6" xfId="6777"/>
    <cellStyle name="Normal 64 6" xfId="4570"/>
    <cellStyle name="Normal 64 6 2" xfId="4895"/>
    <cellStyle name="Normal 64 6 2 2" xfId="5570"/>
    <cellStyle name="Normal 64 6 2 2 2" xfId="7889"/>
    <cellStyle name="Normal 64 6 2 3" xfId="6240"/>
    <cellStyle name="Normal 64 6 2 3 2" xfId="8559"/>
    <cellStyle name="Normal 64 6 2 4" xfId="7216"/>
    <cellStyle name="Normal 64 6 3" xfId="5238"/>
    <cellStyle name="Normal 64 6 3 2" xfId="7557"/>
    <cellStyle name="Normal 64 6 4" xfId="5904"/>
    <cellStyle name="Normal 64 6 4 2" xfId="8223"/>
    <cellStyle name="Normal 64 6 5" xfId="6891"/>
    <cellStyle name="Normal 64 7" xfId="4730"/>
    <cellStyle name="Normal 64 7 2" xfId="5404"/>
    <cellStyle name="Normal 64 7 2 2" xfId="7723"/>
    <cellStyle name="Normal 64 7 3" xfId="6072"/>
    <cellStyle name="Normal 64 7 3 2" xfId="8391"/>
    <cellStyle name="Normal 64 7 4" xfId="7051"/>
    <cellStyle name="Normal 64 8" xfId="5072"/>
    <cellStyle name="Normal 64 8 2" xfId="7391"/>
    <cellStyle name="Normal 64 9" xfId="5736"/>
    <cellStyle name="Normal 64 9 2" xfId="8055"/>
    <cellStyle name="Normal 65" xfId="822"/>
    <cellStyle name="Normal 65 10" xfId="8788"/>
    <cellStyle name="Normal 65 2" xfId="3089"/>
    <cellStyle name="Normal 65 2 2" xfId="3090"/>
    <cellStyle name="Normal 65 2 2 2" xfId="4669"/>
    <cellStyle name="Normal 65 2 2 2 2" xfId="4998"/>
    <cellStyle name="Normal 65 2 2 2 2 2" xfId="5674"/>
    <cellStyle name="Normal 65 2 2 2 2 2 2" xfId="7993"/>
    <cellStyle name="Normal 65 2 2 2 2 3" xfId="6346"/>
    <cellStyle name="Normal 65 2 2 2 2 3 2" xfId="8665"/>
    <cellStyle name="Normal 65 2 2 2 2 4" xfId="7319"/>
    <cellStyle name="Normal 65 2 2 2 3" xfId="5342"/>
    <cellStyle name="Normal 65 2 2 2 3 2" xfId="7661"/>
    <cellStyle name="Normal 65 2 2 2 4" xfId="6010"/>
    <cellStyle name="Normal 65 2 2 2 4 2" xfId="8329"/>
    <cellStyle name="Normal 65 2 2 2 5" xfId="6990"/>
    <cellStyle name="Normal 65 2 2 3" xfId="4833"/>
    <cellStyle name="Normal 65 2 2 3 2" xfId="5508"/>
    <cellStyle name="Normal 65 2 2 3 2 2" xfId="7827"/>
    <cellStyle name="Normal 65 2 2 3 3" xfId="6178"/>
    <cellStyle name="Normal 65 2 2 3 3 2" xfId="8497"/>
    <cellStyle name="Normal 65 2 2 3 4" xfId="7154"/>
    <cellStyle name="Normal 65 2 2 4" xfId="5176"/>
    <cellStyle name="Normal 65 2 2 4 2" xfId="7495"/>
    <cellStyle name="Normal 65 2 2 5" xfId="5842"/>
    <cellStyle name="Normal 65 2 2 5 2" xfId="8161"/>
    <cellStyle name="Normal 65 2 2 6" xfId="6779"/>
    <cellStyle name="Normal 65 2 3" xfId="3091"/>
    <cellStyle name="Normal 65 2 3 2" xfId="4629"/>
    <cellStyle name="Normal 65 2 3 2 2" xfId="4958"/>
    <cellStyle name="Normal 65 2 3 2 2 2" xfId="5634"/>
    <cellStyle name="Normal 65 2 3 2 2 2 2" xfId="7953"/>
    <cellStyle name="Normal 65 2 3 2 2 3" xfId="6304"/>
    <cellStyle name="Normal 65 2 3 2 2 3 2" xfId="8623"/>
    <cellStyle name="Normal 65 2 3 2 2 4" xfId="7279"/>
    <cellStyle name="Normal 65 2 3 2 3" xfId="5302"/>
    <cellStyle name="Normal 65 2 3 2 3 2" xfId="7621"/>
    <cellStyle name="Normal 65 2 3 2 4" xfId="5968"/>
    <cellStyle name="Normal 65 2 3 2 4 2" xfId="8287"/>
    <cellStyle name="Normal 65 2 3 2 5" xfId="6950"/>
    <cellStyle name="Normal 65 2 3 3" xfId="4793"/>
    <cellStyle name="Normal 65 2 3 3 2" xfId="5468"/>
    <cellStyle name="Normal 65 2 3 3 2 2" xfId="7787"/>
    <cellStyle name="Normal 65 2 3 3 3" xfId="6136"/>
    <cellStyle name="Normal 65 2 3 3 3 2" xfId="8455"/>
    <cellStyle name="Normal 65 2 3 3 4" xfId="7114"/>
    <cellStyle name="Normal 65 2 3 4" xfId="5136"/>
    <cellStyle name="Normal 65 2 3 4 2" xfId="7455"/>
    <cellStyle name="Normal 65 2 3 5" xfId="5800"/>
    <cellStyle name="Normal 65 2 3 5 2" xfId="8119"/>
    <cellStyle name="Normal 65 2 3 6" xfId="6780"/>
    <cellStyle name="Normal 65 2 4" xfId="4557"/>
    <cellStyle name="Normal 65 2 4 2" xfId="4710"/>
    <cellStyle name="Normal 65 2 4 2 2" xfId="5040"/>
    <cellStyle name="Normal 65 2 4 2 2 2" xfId="5716"/>
    <cellStyle name="Normal 65 2 4 2 2 2 2" xfId="8035"/>
    <cellStyle name="Normal 65 2 4 2 2 3" xfId="6388"/>
    <cellStyle name="Normal 65 2 4 2 2 3 2" xfId="8707"/>
    <cellStyle name="Normal 65 2 4 2 2 4" xfId="7361"/>
    <cellStyle name="Normal 65 2 4 2 3" xfId="5384"/>
    <cellStyle name="Normal 65 2 4 2 3 2" xfId="7703"/>
    <cellStyle name="Normal 65 2 4 2 4" xfId="6052"/>
    <cellStyle name="Normal 65 2 4 2 4 2" xfId="8371"/>
    <cellStyle name="Normal 65 2 4 2 5" xfId="7031"/>
    <cellStyle name="Normal 65 2 4 3" xfId="4875"/>
    <cellStyle name="Normal 65 2 4 3 2" xfId="5550"/>
    <cellStyle name="Normal 65 2 4 3 2 2" xfId="7869"/>
    <cellStyle name="Normal 65 2 4 3 3" xfId="6220"/>
    <cellStyle name="Normal 65 2 4 3 3 2" xfId="8539"/>
    <cellStyle name="Normal 65 2 4 3 4" xfId="7196"/>
    <cellStyle name="Normal 65 2 4 4" xfId="5218"/>
    <cellStyle name="Normal 65 2 4 4 2" xfId="7537"/>
    <cellStyle name="Normal 65 2 4 5" xfId="5884"/>
    <cellStyle name="Normal 65 2 4 5 2" xfId="8203"/>
    <cellStyle name="Normal 65 2 4 6" xfId="6878"/>
    <cellStyle name="Normal 65 2 5" xfId="4589"/>
    <cellStyle name="Normal 65 2 5 2" xfId="4917"/>
    <cellStyle name="Normal 65 2 5 2 2" xfId="5592"/>
    <cellStyle name="Normal 65 2 5 2 2 2" xfId="7911"/>
    <cellStyle name="Normal 65 2 5 2 3" xfId="6262"/>
    <cellStyle name="Normal 65 2 5 2 3 2" xfId="8581"/>
    <cellStyle name="Normal 65 2 5 2 4" xfId="7238"/>
    <cellStyle name="Normal 65 2 5 3" xfId="5260"/>
    <cellStyle name="Normal 65 2 5 3 2" xfId="7579"/>
    <cellStyle name="Normal 65 2 5 4" xfId="5926"/>
    <cellStyle name="Normal 65 2 5 4 2" xfId="8245"/>
    <cellStyle name="Normal 65 2 5 5" xfId="6910"/>
    <cellStyle name="Normal 65 2 6" xfId="4752"/>
    <cellStyle name="Normal 65 2 6 2" xfId="5426"/>
    <cellStyle name="Normal 65 2 6 2 2" xfId="7745"/>
    <cellStyle name="Normal 65 2 6 3" xfId="6094"/>
    <cellStyle name="Normal 65 2 6 3 2" xfId="8413"/>
    <cellStyle name="Normal 65 2 6 4" xfId="7073"/>
    <cellStyle name="Normal 65 2 7" xfId="5094"/>
    <cellStyle name="Normal 65 2 7 2" xfId="7413"/>
    <cellStyle name="Normal 65 2 8" xfId="5758"/>
    <cellStyle name="Normal 65 2 8 2" xfId="8077"/>
    <cellStyle name="Normal 65 2 9" xfId="6778"/>
    <cellStyle name="Normal 65 3" xfId="3092"/>
    <cellStyle name="Normal 65 3 2" xfId="4649"/>
    <cellStyle name="Normal 65 3 2 2" xfId="4978"/>
    <cellStyle name="Normal 65 3 2 2 2" xfId="5654"/>
    <cellStyle name="Normal 65 3 2 2 2 2" xfId="7973"/>
    <cellStyle name="Normal 65 3 2 2 3" xfId="6325"/>
    <cellStyle name="Normal 65 3 2 2 3 2" xfId="8644"/>
    <cellStyle name="Normal 65 3 2 2 4" xfId="7299"/>
    <cellStyle name="Normal 65 3 2 3" xfId="5322"/>
    <cellStyle name="Normal 65 3 2 3 2" xfId="7641"/>
    <cellStyle name="Normal 65 3 2 4" xfId="5989"/>
    <cellStyle name="Normal 65 3 2 4 2" xfId="8308"/>
    <cellStyle name="Normal 65 3 2 5" xfId="6970"/>
    <cellStyle name="Normal 65 3 3" xfId="4813"/>
    <cellStyle name="Normal 65 3 3 2" xfId="5488"/>
    <cellStyle name="Normal 65 3 3 2 2" xfId="7807"/>
    <cellStyle name="Normal 65 3 3 3" xfId="6157"/>
    <cellStyle name="Normal 65 3 3 3 2" xfId="8476"/>
    <cellStyle name="Normal 65 3 3 4" xfId="7134"/>
    <cellStyle name="Normal 65 3 4" xfId="5156"/>
    <cellStyle name="Normal 65 3 4 2" xfId="7475"/>
    <cellStyle name="Normal 65 3 5" xfId="5821"/>
    <cellStyle name="Normal 65 3 5 2" xfId="8140"/>
    <cellStyle name="Normal 65 3 6" xfId="6781"/>
    <cellStyle name="Normal 65 4" xfId="3093"/>
    <cellStyle name="Normal 65 4 2" xfId="4609"/>
    <cellStyle name="Normal 65 4 2 2" xfId="4938"/>
    <cellStyle name="Normal 65 4 2 2 2" xfId="5613"/>
    <cellStyle name="Normal 65 4 2 2 2 2" xfId="7932"/>
    <cellStyle name="Normal 65 4 2 2 3" xfId="6283"/>
    <cellStyle name="Normal 65 4 2 2 3 2" xfId="8602"/>
    <cellStyle name="Normal 65 4 2 2 4" xfId="7259"/>
    <cellStyle name="Normal 65 4 2 3" xfId="5281"/>
    <cellStyle name="Normal 65 4 2 3 2" xfId="7600"/>
    <cellStyle name="Normal 65 4 2 4" xfId="5947"/>
    <cellStyle name="Normal 65 4 2 4 2" xfId="8266"/>
    <cellStyle name="Normal 65 4 2 5" xfId="6930"/>
    <cellStyle name="Normal 65 4 3" xfId="4773"/>
    <cellStyle name="Normal 65 4 3 2" xfId="5447"/>
    <cellStyle name="Normal 65 4 3 2 2" xfId="7766"/>
    <cellStyle name="Normal 65 4 3 3" xfId="6115"/>
    <cellStyle name="Normal 65 4 3 3 2" xfId="8434"/>
    <cellStyle name="Normal 65 4 3 4" xfId="7094"/>
    <cellStyle name="Normal 65 4 4" xfId="5115"/>
    <cellStyle name="Normal 65 4 4 2" xfId="7434"/>
    <cellStyle name="Normal 65 4 5" xfId="5779"/>
    <cellStyle name="Normal 65 4 5 2" xfId="8098"/>
    <cellStyle name="Normal 65 4 6" xfId="6782"/>
    <cellStyle name="Normal 65 5" xfId="3094"/>
    <cellStyle name="Normal 65 5 2" xfId="4690"/>
    <cellStyle name="Normal 65 5 2 2" xfId="5019"/>
    <cellStyle name="Normal 65 5 2 2 2" xfId="5695"/>
    <cellStyle name="Normal 65 5 2 2 2 2" xfId="8014"/>
    <cellStyle name="Normal 65 5 2 2 3" xfId="6367"/>
    <cellStyle name="Normal 65 5 2 2 3 2" xfId="8686"/>
    <cellStyle name="Normal 65 5 2 2 4" xfId="7340"/>
    <cellStyle name="Normal 65 5 2 3" xfId="5363"/>
    <cellStyle name="Normal 65 5 2 3 2" xfId="7682"/>
    <cellStyle name="Normal 65 5 2 4" xfId="6031"/>
    <cellStyle name="Normal 65 5 2 4 2" xfId="8350"/>
    <cellStyle name="Normal 65 5 2 5" xfId="7011"/>
    <cellStyle name="Normal 65 5 3" xfId="4854"/>
    <cellStyle name="Normal 65 5 3 2" xfId="5529"/>
    <cellStyle name="Normal 65 5 3 2 2" xfId="7848"/>
    <cellStyle name="Normal 65 5 3 3" xfId="6199"/>
    <cellStyle name="Normal 65 5 3 3 2" xfId="8518"/>
    <cellStyle name="Normal 65 5 3 4" xfId="7175"/>
    <cellStyle name="Normal 65 5 4" xfId="5197"/>
    <cellStyle name="Normal 65 5 4 2" xfId="7516"/>
    <cellStyle name="Normal 65 5 5" xfId="5863"/>
    <cellStyle name="Normal 65 5 5 2" xfId="8182"/>
    <cellStyle name="Normal 65 5 6" xfId="6783"/>
    <cellStyle name="Normal 65 6" xfId="4571"/>
    <cellStyle name="Normal 65 6 2" xfId="4896"/>
    <cellStyle name="Normal 65 6 2 2" xfId="5571"/>
    <cellStyle name="Normal 65 6 2 2 2" xfId="7890"/>
    <cellStyle name="Normal 65 6 2 3" xfId="6241"/>
    <cellStyle name="Normal 65 6 2 3 2" xfId="8560"/>
    <cellStyle name="Normal 65 6 2 4" xfId="7217"/>
    <cellStyle name="Normal 65 6 3" xfId="5239"/>
    <cellStyle name="Normal 65 6 3 2" xfId="7558"/>
    <cellStyle name="Normal 65 6 4" xfId="5905"/>
    <cellStyle name="Normal 65 6 4 2" xfId="8224"/>
    <cellStyle name="Normal 65 6 5" xfId="6892"/>
    <cellStyle name="Normal 65 7" xfId="4731"/>
    <cellStyle name="Normal 65 7 2" xfId="5405"/>
    <cellStyle name="Normal 65 7 2 2" xfId="7724"/>
    <cellStyle name="Normal 65 7 3" xfId="6073"/>
    <cellStyle name="Normal 65 7 3 2" xfId="8392"/>
    <cellStyle name="Normal 65 7 4" xfId="7052"/>
    <cellStyle name="Normal 65 8" xfId="5073"/>
    <cellStyle name="Normal 65 8 2" xfId="7392"/>
    <cellStyle name="Normal 65 9" xfId="5737"/>
    <cellStyle name="Normal 65 9 2" xfId="8056"/>
    <cellStyle name="Normal 66" xfId="823"/>
    <cellStyle name="Normal 66 10" xfId="8789"/>
    <cellStyle name="Normal 66 2" xfId="3095"/>
    <cellStyle name="Normal 66 2 2" xfId="3096"/>
    <cellStyle name="Normal 66 2 2 2" xfId="4670"/>
    <cellStyle name="Normal 66 2 2 2 2" xfId="4999"/>
    <cellStyle name="Normal 66 2 2 2 2 2" xfId="5675"/>
    <cellStyle name="Normal 66 2 2 2 2 2 2" xfId="7994"/>
    <cellStyle name="Normal 66 2 2 2 2 3" xfId="6347"/>
    <cellStyle name="Normal 66 2 2 2 2 3 2" xfId="8666"/>
    <cellStyle name="Normal 66 2 2 2 2 4" xfId="7320"/>
    <cellStyle name="Normal 66 2 2 2 3" xfId="5343"/>
    <cellStyle name="Normal 66 2 2 2 3 2" xfId="7662"/>
    <cellStyle name="Normal 66 2 2 2 4" xfId="6011"/>
    <cellStyle name="Normal 66 2 2 2 4 2" xfId="8330"/>
    <cellStyle name="Normal 66 2 2 2 5" xfId="6991"/>
    <cellStyle name="Normal 66 2 2 3" xfId="4834"/>
    <cellStyle name="Normal 66 2 2 3 2" xfId="5509"/>
    <cellStyle name="Normal 66 2 2 3 2 2" xfId="7828"/>
    <cellStyle name="Normal 66 2 2 3 3" xfId="6179"/>
    <cellStyle name="Normal 66 2 2 3 3 2" xfId="8498"/>
    <cellStyle name="Normal 66 2 2 3 4" xfId="7155"/>
    <cellStyle name="Normal 66 2 2 4" xfId="5177"/>
    <cellStyle name="Normal 66 2 2 4 2" xfId="7496"/>
    <cellStyle name="Normal 66 2 2 5" xfId="5843"/>
    <cellStyle name="Normal 66 2 2 5 2" xfId="8162"/>
    <cellStyle name="Normal 66 2 2 6" xfId="6785"/>
    <cellStyle name="Normal 66 2 3" xfId="3097"/>
    <cellStyle name="Normal 66 2 3 2" xfId="4630"/>
    <cellStyle name="Normal 66 2 3 2 2" xfId="4959"/>
    <cellStyle name="Normal 66 2 3 2 2 2" xfId="5635"/>
    <cellStyle name="Normal 66 2 3 2 2 2 2" xfId="7954"/>
    <cellStyle name="Normal 66 2 3 2 2 3" xfId="6305"/>
    <cellStyle name="Normal 66 2 3 2 2 3 2" xfId="8624"/>
    <cellStyle name="Normal 66 2 3 2 2 4" xfId="7280"/>
    <cellStyle name="Normal 66 2 3 2 3" xfId="5303"/>
    <cellStyle name="Normal 66 2 3 2 3 2" xfId="7622"/>
    <cellStyle name="Normal 66 2 3 2 4" xfId="5969"/>
    <cellStyle name="Normal 66 2 3 2 4 2" xfId="8288"/>
    <cellStyle name="Normal 66 2 3 2 5" xfId="6951"/>
    <cellStyle name="Normal 66 2 3 3" xfId="4794"/>
    <cellStyle name="Normal 66 2 3 3 2" xfId="5469"/>
    <cellStyle name="Normal 66 2 3 3 2 2" xfId="7788"/>
    <cellStyle name="Normal 66 2 3 3 3" xfId="6137"/>
    <cellStyle name="Normal 66 2 3 3 3 2" xfId="8456"/>
    <cellStyle name="Normal 66 2 3 3 4" xfId="7115"/>
    <cellStyle name="Normal 66 2 3 4" xfId="5137"/>
    <cellStyle name="Normal 66 2 3 4 2" xfId="7456"/>
    <cellStyle name="Normal 66 2 3 5" xfId="5801"/>
    <cellStyle name="Normal 66 2 3 5 2" xfId="8120"/>
    <cellStyle name="Normal 66 2 3 6" xfId="6786"/>
    <cellStyle name="Normal 66 2 4" xfId="4558"/>
    <cellStyle name="Normal 66 2 4 2" xfId="4711"/>
    <cellStyle name="Normal 66 2 4 2 2" xfId="5041"/>
    <cellStyle name="Normal 66 2 4 2 2 2" xfId="5717"/>
    <cellStyle name="Normal 66 2 4 2 2 2 2" xfId="8036"/>
    <cellStyle name="Normal 66 2 4 2 2 3" xfId="6389"/>
    <cellStyle name="Normal 66 2 4 2 2 3 2" xfId="8708"/>
    <cellStyle name="Normal 66 2 4 2 2 4" xfId="7362"/>
    <cellStyle name="Normal 66 2 4 2 3" xfId="5385"/>
    <cellStyle name="Normal 66 2 4 2 3 2" xfId="7704"/>
    <cellStyle name="Normal 66 2 4 2 4" xfId="6053"/>
    <cellStyle name="Normal 66 2 4 2 4 2" xfId="8372"/>
    <cellStyle name="Normal 66 2 4 2 5" xfId="7032"/>
    <cellStyle name="Normal 66 2 4 3" xfId="4876"/>
    <cellStyle name="Normal 66 2 4 3 2" xfId="5551"/>
    <cellStyle name="Normal 66 2 4 3 2 2" xfId="7870"/>
    <cellStyle name="Normal 66 2 4 3 3" xfId="6221"/>
    <cellStyle name="Normal 66 2 4 3 3 2" xfId="8540"/>
    <cellStyle name="Normal 66 2 4 3 4" xfId="7197"/>
    <cellStyle name="Normal 66 2 4 4" xfId="5219"/>
    <cellStyle name="Normal 66 2 4 4 2" xfId="7538"/>
    <cellStyle name="Normal 66 2 4 5" xfId="5885"/>
    <cellStyle name="Normal 66 2 4 5 2" xfId="8204"/>
    <cellStyle name="Normal 66 2 4 6" xfId="6879"/>
    <cellStyle name="Normal 66 2 5" xfId="4590"/>
    <cellStyle name="Normal 66 2 5 2" xfId="4918"/>
    <cellStyle name="Normal 66 2 5 2 2" xfId="5593"/>
    <cellStyle name="Normal 66 2 5 2 2 2" xfId="7912"/>
    <cellStyle name="Normal 66 2 5 2 3" xfId="6263"/>
    <cellStyle name="Normal 66 2 5 2 3 2" xfId="8582"/>
    <cellStyle name="Normal 66 2 5 2 4" xfId="7239"/>
    <cellStyle name="Normal 66 2 5 3" xfId="5261"/>
    <cellStyle name="Normal 66 2 5 3 2" xfId="7580"/>
    <cellStyle name="Normal 66 2 5 4" xfId="5927"/>
    <cellStyle name="Normal 66 2 5 4 2" xfId="8246"/>
    <cellStyle name="Normal 66 2 5 5" xfId="6911"/>
    <cellStyle name="Normal 66 2 6" xfId="4753"/>
    <cellStyle name="Normal 66 2 6 2" xfId="5427"/>
    <cellStyle name="Normal 66 2 6 2 2" xfId="7746"/>
    <cellStyle name="Normal 66 2 6 3" xfId="6095"/>
    <cellStyle name="Normal 66 2 6 3 2" xfId="8414"/>
    <cellStyle name="Normal 66 2 6 4" xfId="7074"/>
    <cellStyle name="Normal 66 2 7" xfId="5095"/>
    <cellStyle name="Normal 66 2 7 2" xfId="7414"/>
    <cellStyle name="Normal 66 2 8" xfId="5759"/>
    <cellStyle name="Normal 66 2 8 2" xfId="8078"/>
    <cellStyle name="Normal 66 2 9" xfId="6784"/>
    <cellStyle name="Normal 66 3" xfId="3098"/>
    <cellStyle name="Normal 66 3 2" xfId="4650"/>
    <cellStyle name="Normal 66 3 2 2" xfId="4979"/>
    <cellStyle name="Normal 66 3 2 2 2" xfId="5655"/>
    <cellStyle name="Normal 66 3 2 2 2 2" xfId="7974"/>
    <cellStyle name="Normal 66 3 2 2 3" xfId="6326"/>
    <cellStyle name="Normal 66 3 2 2 3 2" xfId="8645"/>
    <cellStyle name="Normal 66 3 2 2 4" xfId="7300"/>
    <cellStyle name="Normal 66 3 2 3" xfId="5323"/>
    <cellStyle name="Normal 66 3 2 3 2" xfId="7642"/>
    <cellStyle name="Normal 66 3 2 4" xfId="5990"/>
    <cellStyle name="Normal 66 3 2 4 2" xfId="8309"/>
    <cellStyle name="Normal 66 3 2 5" xfId="6971"/>
    <cellStyle name="Normal 66 3 3" xfId="4814"/>
    <cellStyle name="Normal 66 3 3 2" xfId="5489"/>
    <cellStyle name="Normal 66 3 3 2 2" xfId="7808"/>
    <cellStyle name="Normal 66 3 3 3" xfId="6158"/>
    <cellStyle name="Normal 66 3 3 3 2" xfId="8477"/>
    <cellStyle name="Normal 66 3 3 4" xfId="7135"/>
    <cellStyle name="Normal 66 3 4" xfId="5157"/>
    <cellStyle name="Normal 66 3 4 2" xfId="7476"/>
    <cellStyle name="Normal 66 3 5" xfId="5822"/>
    <cellStyle name="Normal 66 3 5 2" xfId="8141"/>
    <cellStyle name="Normal 66 3 6" xfId="6787"/>
    <cellStyle name="Normal 66 4" xfId="3099"/>
    <cellStyle name="Normal 66 4 2" xfId="4610"/>
    <cellStyle name="Normal 66 4 2 2" xfId="4939"/>
    <cellStyle name="Normal 66 4 2 2 2" xfId="5614"/>
    <cellStyle name="Normal 66 4 2 2 2 2" xfId="7933"/>
    <cellStyle name="Normal 66 4 2 2 3" xfId="6284"/>
    <cellStyle name="Normal 66 4 2 2 3 2" xfId="8603"/>
    <cellStyle name="Normal 66 4 2 2 4" xfId="7260"/>
    <cellStyle name="Normal 66 4 2 3" xfId="5282"/>
    <cellStyle name="Normal 66 4 2 3 2" xfId="7601"/>
    <cellStyle name="Normal 66 4 2 4" xfId="5948"/>
    <cellStyle name="Normal 66 4 2 4 2" xfId="8267"/>
    <cellStyle name="Normal 66 4 2 5" xfId="6931"/>
    <cellStyle name="Normal 66 4 3" xfId="4774"/>
    <cellStyle name="Normal 66 4 3 2" xfId="5448"/>
    <cellStyle name="Normal 66 4 3 2 2" xfId="7767"/>
    <cellStyle name="Normal 66 4 3 3" xfId="6116"/>
    <cellStyle name="Normal 66 4 3 3 2" xfId="8435"/>
    <cellStyle name="Normal 66 4 3 4" xfId="7095"/>
    <cellStyle name="Normal 66 4 4" xfId="5116"/>
    <cellStyle name="Normal 66 4 4 2" xfId="7435"/>
    <cellStyle name="Normal 66 4 5" xfId="5780"/>
    <cellStyle name="Normal 66 4 5 2" xfId="8099"/>
    <cellStyle name="Normal 66 4 6" xfId="6788"/>
    <cellStyle name="Normal 66 5" xfId="3100"/>
    <cellStyle name="Normal 66 5 2" xfId="4691"/>
    <cellStyle name="Normal 66 5 2 2" xfId="5020"/>
    <cellStyle name="Normal 66 5 2 2 2" xfId="5696"/>
    <cellStyle name="Normal 66 5 2 2 2 2" xfId="8015"/>
    <cellStyle name="Normal 66 5 2 2 3" xfId="6368"/>
    <cellStyle name="Normal 66 5 2 2 3 2" xfId="8687"/>
    <cellStyle name="Normal 66 5 2 2 4" xfId="7341"/>
    <cellStyle name="Normal 66 5 2 3" xfId="5364"/>
    <cellStyle name="Normal 66 5 2 3 2" xfId="7683"/>
    <cellStyle name="Normal 66 5 2 4" xfId="6032"/>
    <cellStyle name="Normal 66 5 2 4 2" xfId="8351"/>
    <cellStyle name="Normal 66 5 2 5" xfId="7012"/>
    <cellStyle name="Normal 66 5 3" xfId="4855"/>
    <cellStyle name="Normal 66 5 3 2" xfId="5530"/>
    <cellStyle name="Normal 66 5 3 2 2" xfId="7849"/>
    <cellStyle name="Normal 66 5 3 3" xfId="6200"/>
    <cellStyle name="Normal 66 5 3 3 2" xfId="8519"/>
    <cellStyle name="Normal 66 5 3 4" xfId="7176"/>
    <cellStyle name="Normal 66 5 4" xfId="5198"/>
    <cellStyle name="Normal 66 5 4 2" xfId="7517"/>
    <cellStyle name="Normal 66 5 5" xfId="5864"/>
    <cellStyle name="Normal 66 5 5 2" xfId="8183"/>
    <cellStyle name="Normal 66 5 6" xfId="6789"/>
    <cellStyle name="Normal 66 6" xfId="4572"/>
    <cellStyle name="Normal 66 6 2" xfId="4897"/>
    <cellStyle name="Normal 66 6 2 2" xfId="5572"/>
    <cellStyle name="Normal 66 6 2 2 2" xfId="7891"/>
    <cellStyle name="Normal 66 6 2 3" xfId="6242"/>
    <cellStyle name="Normal 66 6 2 3 2" xfId="8561"/>
    <cellStyle name="Normal 66 6 2 4" xfId="7218"/>
    <cellStyle name="Normal 66 6 3" xfId="5240"/>
    <cellStyle name="Normal 66 6 3 2" xfId="7559"/>
    <cellStyle name="Normal 66 6 4" xfId="5906"/>
    <cellStyle name="Normal 66 6 4 2" xfId="8225"/>
    <cellStyle name="Normal 66 6 5" xfId="6893"/>
    <cellStyle name="Normal 66 7" xfId="4732"/>
    <cellStyle name="Normal 66 7 2" xfId="5406"/>
    <cellStyle name="Normal 66 7 2 2" xfId="7725"/>
    <cellStyle name="Normal 66 7 3" xfId="6074"/>
    <cellStyle name="Normal 66 7 3 2" xfId="8393"/>
    <cellStyle name="Normal 66 7 4" xfId="7053"/>
    <cellStyle name="Normal 66 8" xfId="5074"/>
    <cellStyle name="Normal 66 8 2" xfId="7393"/>
    <cellStyle name="Normal 66 9" xfId="5738"/>
    <cellStyle name="Normal 66 9 2" xfId="8057"/>
    <cellStyle name="Normal 67" xfId="824"/>
    <cellStyle name="Normal 67 10" xfId="8790"/>
    <cellStyle name="Normal 67 2" xfId="3101"/>
    <cellStyle name="Normal 67 2 2" xfId="3102"/>
    <cellStyle name="Normal 67 2 2 2" xfId="4671"/>
    <cellStyle name="Normal 67 2 2 2 2" xfId="5000"/>
    <cellStyle name="Normal 67 2 2 2 2 2" xfId="5676"/>
    <cellStyle name="Normal 67 2 2 2 2 2 2" xfId="7995"/>
    <cellStyle name="Normal 67 2 2 2 2 3" xfId="6348"/>
    <cellStyle name="Normal 67 2 2 2 2 3 2" xfId="8667"/>
    <cellStyle name="Normal 67 2 2 2 2 4" xfId="7321"/>
    <cellStyle name="Normal 67 2 2 2 3" xfId="5344"/>
    <cellStyle name="Normal 67 2 2 2 3 2" xfId="7663"/>
    <cellStyle name="Normal 67 2 2 2 4" xfId="6012"/>
    <cellStyle name="Normal 67 2 2 2 4 2" xfId="8331"/>
    <cellStyle name="Normal 67 2 2 2 5" xfId="6992"/>
    <cellStyle name="Normal 67 2 2 3" xfId="4835"/>
    <cellStyle name="Normal 67 2 2 3 2" xfId="5510"/>
    <cellStyle name="Normal 67 2 2 3 2 2" xfId="7829"/>
    <cellStyle name="Normal 67 2 2 3 3" xfId="6180"/>
    <cellStyle name="Normal 67 2 2 3 3 2" xfId="8499"/>
    <cellStyle name="Normal 67 2 2 3 4" xfId="7156"/>
    <cellStyle name="Normal 67 2 2 4" xfId="5178"/>
    <cellStyle name="Normal 67 2 2 4 2" xfId="7497"/>
    <cellStyle name="Normal 67 2 2 5" xfId="5844"/>
    <cellStyle name="Normal 67 2 2 5 2" xfId="8163"/>
    <cellStyle name="Normal 67 2 2 6" xfId="6791"/>
    <cellStyle name="Normal 67 2 3" xfId="3103"/>
    <cellStyle name="Normal 67 2 3 2" xfId="4631"/>
    <cellStyle name="Normal 67 2 3 2 2" xfId="4960"/>
    <cellStyle name="Normal 67 2 3 2 2 2" xfId="5636"/>
    <cellStyle name="Normal 67 2 3 2 2 2 2" xfId="7955"/>
    <cellStyle name="Normal 67 2 3 2 2 3" xfId="6306"/>
    <cellStyle name="Normal 67 2 3 2 2 3 2" xfId="8625"/>
    <cellStyle name="Normal 67 2 3 2 2 4" xfId="7281"/>
    <cellStyle name="Normal 67 2 3 2 3" xfId="5304"/>
    <cellStyle name="Normal 67 2 3 2 3 2" xfId="7623"/>
    <cellStyle name="Normal 67 2 3 2 4" xfId="5970"/>
    <cellStyle name="Normal 67 2 3 2 4 2" xfId="8289"/>
    <cellStyle name="Normal 67 2 3 2 5" xfId="6952"/>
    <cellStyle name="Normal 67 2 3 3" xfId="4795"/>
    <cellStyle name="Normal 67 2 3 3 2" xfId="5470"/>
    <cellStyle name="Normal 67 2 3 3 2 2" xfId="7789"/>
    <cellStyle name="Normal 67 2 3 3 3" xfId="6138"/>
    <cellStyle name="Normal 67 2 3 3 3 2" xfId="8457"/>
    <cellStyle name="Normal 67 2 3 3 4" xfId="7116"/>
    <cellStyle name="Normal 67 2 3 4" xfId="5138"/>
    <cellStyle name="Normal 67 2 3 4 2" xfId="7457"/>
    <cellStyle name="Normal 67 2 3 5" xfId="5802"/>
    <cellStyle name="Normal 67 2 3 5 2" xfId="8121"/>
    <cellStyle name="Normal 67 2 3 6" xfId="6792"/>
    <cellStyle name="Normal 67 2 4" xfId="4559"/>
    <cellStyle name="Normal 67 2 4 2" xfId="4712"/>
    <cellStyle name="Normal 67 2 4 2 2" xfId="5042"/>
    <cellStyle name="Normal 67 2 4 2 2 2" xfId="5718"/>
    <cellStyle name="Normal 67 2 4 2 2 2 2" xfId="8037"/>
    <cellStyle name="Normal 67 2 4 2 2 3" xfId="6390"/>
    <cellStyle name="Normal 67 2 4 2 2 3 2" xfId="8709"/>
    <cellStyle name="Normal 67 2 4 2 2 4" xfId="7363"/>
    <cellStyle name="Normal 67 2 4 2 3" xfId="5386"/>
    <cellStyle name="Normal 67 2 4 2 3 2" xfId="7705"/>
    <cellStyle name="Normal 67 2 4 2 4" xfId="6054"/>
    <cellStyle name="Normal 67 2 4 2 4 2" xfId="8373"/>
    <cellStyle name="Normal 67 2 4 2 5" xfId="7033"/>
    <cellStyle name="Normal 67 2 4 3" xfId="4877"/>
    <cellStyle name="Normal 67 2 4 3 2" xfId="5552"/>
    <cellStyle name="Normal 67 2 4 3 2 2" xfId="7871"/>
    <cellStyle name="Normal 67 2 4 3 3" xfId="6222"/>
    <cellStyle name="Normal 67 2 4 3 3 2" xfId="8541"/>
    <cellStyle name="Normal 67 2 4 3 4" xfId="7198"/>
    <cellStyle name="Normal 67 2 4 4" xfId="5220"/>
    <cellStyle name="Normal 67 2 4 4 2" xfId="7539"/>
    <cellStyle name="Normal 67 2 4 5" xfId="5886"/>
    <cellStyle name="Normal 67 2 4 5 2" xfId="8205"/>
    <cellStyle name="Normal 67 2 4 6" xfId="6880"/>
    <cellStyle name="Normal 67 2 5" xfId="4591"/>
    <cellStyle name="Normal 67 2 5 2" xfId="4919"/>
    <cellStyle name="Normal 67 2 5 2 2" xfId="5594"/>
    <cellStyle name="Normal 67 2 5 2 2 2" xfId="7913"/>
    <cellStyle name="Normal 67 2 5 2 3" xfId="6264"/>
    <cellStyle name="Normal 67 2 5 2 3 2" xfId="8583"/>
    <cellStyle name="Normal 67 2 5 2 4" xfId="7240"/>
    <cellStyle name="Normal 67 2 5 3" xfId="5262"/>
    <cellStyle name="Normal 67 2 5 3 2" xfId="7581"/>
    <cellStyle name="Normal 67 2 5 4" xfId="5928"/>
    <cellStyle name="Normal 67 2 5 4 2" xfId="8247"/>
    <cellStyle name="Normal 67 2 5 5" xfId="6912"/>
    <cellStyle name="Normal 67 2 6" xfId="4754"/>
    <cellStyle name="Normal 67 2 6 2" xfId="5428"/>
    <cellStyle name="Normal 67 2 6 2 2" xfId="7747"/>
    <cellStyle name="Normal 67 2 6 3" xfId="6096"/>
    <cellStyle name="Normal 67 2 6 3 2" xfId="8415"/>
    <cellStyle name="Normal 67 2 6 4" xfId="7075"/>
    <cellStyle name="Normal 67 2 7" xfId="5096"/>
    <cellStyle name="Normal 67 2 7 2" xfId="7415"/>
    <cellStyle name="Normal 67 2 8" xfId="5760"/>
    <cellStyle name="Normal 67 2 8 2" xfId="8079"/>
    <cellStyle name="Normal 67 2 9" xfId="6790"/>
    <cellStyle name="Normal 67 3" xfId="3104"/>
    <cellStyle name="Normal 67 3 2" xfId="4651"/>
    <cellStyle name="Normal 67 3 2 2" xfId="4980"/>
    <cellStyle name="Normal 67 3 2 2 2" xfId="5656"/>
    <cellStyle name="Normal 67 3 2 2 2 2" xfId="7975"/>
    <cellStyle name="Normal 67 3 2 2 3" xfId="6327"/>
    <cellStyle name="Normal 67 3 2 2 3 2" xfId="8646"/>
    <cellStyle name="Normal 67 3 2 2 4" xfId="7301"/>
    <cellStyle name="Normal 67 3 2 3" xfId="5324"/>
    <cellStyle name="Normal 67 3 2 3 2" xfId="7643"/>
    <cellStyle name="Normal 67 3 2 4" xfId="5991"/>
    <cellStyle name="Normal 67 3 2 4 2" xfId="8310"/>
    <cellStyle name="Normal 67 3 2 5" xfId="6972"/>
    <cellStyle name="Normal 67 3 3" xfId="4815"/>
    <cellStyle name="Normal 67 3 3 2" xfId="5490"/>
    <cellStyle name="Normal 67 3 3 2 2" xfId="7809"/>
    <cellStyle name="Normal 67 3 3 3" xfId="6159"/>
    <cellStyle name="Normal 67 3 3 3 2" xfId="8478"/>
    <cellStyle name="Normal 67 3 3 4" xfId="7136"/>
    <cellStyle name="Normal 67 3 4" xfId="5158"/>
    <cellStyle name="Normal 67 3 4 2" xfId="7477"/>
    <cellStyle name="Normal 67 3 5" xfId="5823"/>
    <cellStyle name="Normal 67 3 5 2" xfId="8142"/>
    <cellStyle name="Normal 67 3 6" xfId="6793"/>
    <cellStyle name="Normal 67 4" xfId="3105"/>
    <cellStyle name="Normal 67 4 2" xfId="4611"/>
    <cellStyle name="Normal 67 4 2 2" xfId="4940"/>
    <cellStyle name="Normal 67 4 2 2 2" xfId="5615"/>
    <cellStyle name="Normal 67 4 2 2 2 2" xfId="7934"/>
    <cellStyle name="Normal 67 4 2 2 3" xfId="6285"/>
    <cellStyle name="Normal 67 4 2 2 3 2" xfId="8604"/>
    <cellStyle name="Normal 67 4 2 2 4" xfId="7261"/>
    <cellStyle name="Normal 67 4 2 3" xfId="5283"/>
    <cellStyle name="Normal 67 4 2 3 2" xfId="7602"/>
    <cellStyle name="Normal 67 4 2 4" xfId="5949"/>
    <cellStyle name="Normal 67 4 2 4 2" xfId="8268"/>
    <cellStyle name="Normal 67 4 2 5" xfId="6932"/>
    <cellStyle name="Normal 67 4 3" xfId="4775"/>
    <cellStyle name="Normal 67 4 3 2" xfId="5449"/>
    <cellStyle name="Normal 67 4 3 2 2" xfId="7768"/>
    <cellStyle name="Normal 67 4 3 3" xfId="6117"/>
    <cellStyle name="Normal 67 4 3 3 2" xfId="8436"/>
    <cellStyle name="Normal 67 4 3 4" xfId="7096"/>
    <cellStyle name="Normal 67 4 4" xfId="5117"/>
    <cellStyle name="Normal 67 4 4 2" xfId="7436"/>
    <cellStyle name="Normal 67 4 5" xfId="5781"/>
    <cellStyle name="Normal 67 4 5 2" xfId="8100"/>
    <cellStyle name="Normal 67 4 6" xfId="6794"/>
    <cellStyle name="Normal 67 5" xfId="3106"/>
    <cellStyle name="Normal 67 5 2" xfId="4692"/>
    <cellStyle name="Normal 67 5 2 2" xfId="5021"/>
    <cellStyle name="Normal 67 5 2 2 2" xfId="5697"/>
    <cellStyle name="Normal 67 5 2 2 2 2" xfId="8016"/>
    <cellStyle name="Normal 67 5 2 2 3" xfId="6369"/>
    <cellStyle name="Normal 67 5 2 2 3 2" xfId="8688"/>
    <cellStyle name="Normal 67 5 2 2 4" xfId="7342"/>
    <cellStyle name="Normal 67 5 2 3" xfId="5365"/>
    <cellStyle name="Normal 67 5 2 3 2" xfId="7684"/>
    <cellStyle name="Normal 67 5 2 4" xfId="6033"/>
    <cellStyle name="Normal 67 5 2 4 2" xfId="8352"/>
    <cellStyle name="Normal 67 5 2 5" xfId="7013"/>
    <cellStyle name="Normal 67 5 3" xfId="4856"/>
    <cellStyle name="Normal 67 5 3 2" xfId="5531"/>
    <cellStyle name="Normal 67 5 3 2 2" xfId="7850"/>
    <cellStyle name="Normal 67 5 3 3" xfId="6201"/>
    <cellStyle name="Normal 67 5 3 3 2" xfId="8520"/>
    <cellStyle name="Normal 67 5 3 4" xfId="7177"/>
    <cellStyle name="Normal 67 5 4" xfId="5199"/>
    <cellStyle name="Normal 67 5 4 2" xfId="7518"/>
    <cellStyle name="Normal 67 5 5" xfId="5865"/>
    <cellStyle name="Normal 67 5 5 2" xfId="8184"/>
    <cellStyle name="Normal 67 5 6" xfId="6795"/>
    <cellStyle name="Normal 67 6" xfId="4573"/>
    <cellStyle name="Normal 67 6 2" xfId="4898"/>
    <cellStyle name="Normal 67 6 2 2" xfId="5573"/>
    <cellStyle name="Normal 67 6 2 2 2" xfId="7892"/>
    <cellStyle name="Normal 67 6 2 3" xfId="6243"/>
    <cellStyle name="Normal 67 6 2 3 2" xfId="8562"/>
    <cellStyle name="Normal 67 6 2 4" xfId="7219"/>
    <cellStyle name="Normal 67 6 3" xfId="5241"/>
    <cellStyle name="Normal 67 6 3 2" xfId="7560"/>
    <cellStyle name="Normal 67 6 4" xfId="5907"/>
    <cellStyle name="Normal 67 6 4 2" xfId="8226"/>
    <cellStyle name="Normal 67 6 5" xfId="6894"/>
    <cellStyle name="Normal 67 7" xfId="4733"/>
    <cellStyle name="Normal 67 7 2" xfId="5407"/>
    <cellStyle name="Normal 67 7 2 2" xfId="7726"/>
    <cellStyle name="Normal 67 7 3" xfId="6075"/>
    <cellStyle name="Normal 67 7 3 2" xfId="8394"/>
    <cellStyle name="Normal 67 7 4" xfId="7054"/>
    <cellStyle name="Normal 67 8" xfId="5075"/>
    <cellStyle name="Normal 67 8 2" xfId="7394"/>
    <cellStyle name="Normal 67 9" xfId="5739"/>
    <cellStyle name="Normal 67 9 2" xfId="8058"/>
    <cellStyle name="Normal 68" xfId="825"/>
    <cellStyle name="Normal 68 10" xfId="8791"/>
    <cellStyle name="Normal 68 2" xfId="3107"/>
    <cellStyle name="Normal 68 2 2" xfId="3108"/>
    <cellStyle name="Normal 68 2 2 2" xfId="4672"/>
    <cellStyle name="Normal 68 2 2 2 2" xfId="5001"/>
    <cellStyle name="Normal 68 2 2 2 2 2" xfId="5677"/>
    <cellStyle name="Normal 68 2 2 2 2 2 2" xfId="7996"/>
    <cellStyle name="Normal 68 2 2 2 2 3" xfId="6349"/>
    <cellStyle name="Normal 68 2 2 2 2 3 2" xfId="8668"/>
    <cellStyle name="Normal 68 2 2 2 2 4" xfId="7322"/>
    <cellStyle name="Normal 68 2 2 2 3" xfId="5345"/>
    <cellStyle name="Normal 68 2 2 2 3 2" xfId="7664"/>
    <cellStyle name="Normal 68 2 2 2 4" xfId="6013"/>
    <cellStyle name="Normal 68 2 2 2 4 2" xfId="8332"/>
    <cellStyle name="Normal 68 2 2 2 5" xfId="6993"/>
    <cellStyle name="Normal 68 2 2 3" xfId="4836"/>
    <cellStyle name="Normal 68 2 2 3 2" xfId="5511"/>
    <cellStyle name="Normal 68 2 2 3 2 2" xfId="7830"/>
    <cellStyle name="Normal 68 2 2 3 3" xfId="6181"/>
    <cellStyle name="Normal 68 2 2 3 3 2" xfId="8500"/>
    <cellStyle name="Normal 68 2 2 3 4" xfId="7157"/>
    <cellStyle name="Normal 68 2 2 4" xfId="5179"/>
    <cellStyle name="Normal 68 2 2 4 2" xfId="7498"/>
    <cellStyle name="Normal 68 2 2 5" xfId="5845"/>
    <cellStyle name="Normal 68 2 2 5 2" xfId="8164"/>
    <cellStyle name="Normal 68 2 2 6" xfId="6797"/>
    <cellStyle name="Normal 68 2 3" xfId="3109"/>
    <cellStyle name="Normal 68 2 3 2" xfId="4632"/>
    <cellStyle name="Normal 68 2 3 2 2" xfId="4961"/>
    <cellStyle name="Normal 68 2 3 2 2 2" xfId="5637"/>
    <cellStyle name="Normal 68 2 3 2 2 2 2" xfId="7956"/>
    <cellStyle name="Normal 68 2 3 2 2 3" xfId="6307"/>
    <cellStyle name="Normal 68 2 3 2 2 3 2" xfId="8626"/>
    <cellStyle name="Normal 68 2 3 2 2 4" xfId="7282"/>
    <cellStyle name="Normal 68 2 3 2 3" xfId="5305"/>
    <cellStyle name="Normal 68 2 3 2 3 2" xfId="7624"/>
    <cellStyle name="Normal 68 2 3 2 4" xfId="5971"/>
    <cellStyle name="Normal 68 2 3 2 4 2" xfId="8290"/>
    <cellStyle name="Normal 68 2 3 2 5" xfId="6953"/>
    <cellStyle name="Normal 68 2 3 3" xfId="4796"/>
    <cellStyle name="Normal 68 2 3 3 2" xfId="5471"/>
    <cellStyle name="Normal 68 2 3 3 2 2" xfId="7790"/>
    <cellStyle name="Normal 68 2 3 3 3" xfId="6139"/>
    <cellStyle name="Normal 68 2 3 3 3 2" xfId="8458"/>
    <cellStyle name="Normal 68 2 3 3 4" xfId="7117"/>
    <cellStyle name="Normal 68 2 3 4" xfId="5139"/>
    <cellStyle name="Normal 68 2 3 4 2" xfId="7458"/>
    <cellStyle name="Normal 68 2 3 5" xfId="5803"/>
    <cellStyle name="Normal 68 2 3 5 2" xfId="8122"/>
    <cellStyle name="Normal 68 2 3 6" xfId="6798"/>
    <cellStyle name="Normal 68 2 4" xfId="4560"/>
    <cellStyle name="Normal 68 2 4 2" xfId="4713"/>
    <cellStyle name="Normal 68 2 4 2 2" xfId="5043"/>
    <cellStyle name="Normal 68 2 4 2 2 2" xfId="5719"/>
    <cellStyle name="Normal 68 2 4 2 2 2 2" xfId="8038"/>
    <cellStyle name="Normal 68 2 4 2 2 3" xfId="6391"/>
    <cellStyle name="Normal 68 2 4 2 2 3 2" xfId="8710"/>
    <cellStyle name="Normal 68 2 4 2 2 4" xfId="7364"/>
    <cellStyle name="Normal 68 2 4 2 3" xfId="5387"/>
    <cellStyle name="Normal 68 2 4 2 3 2" xfId="7706"/>
    <cellStyle name="Normal 68 2 4 2 4" xfId="6055"/>
    <cellStyle name="Normal 68 2 4 2 4 2" xfId="8374"/>
    <cellStyle name="Normal 68 2 4 2 5" xfId="7034"/>
    <cellStyle name="Normal 68 2 4 3" xfId="4878"/>
    <cellStyle name="Normal 68 2 4 3 2" xfId="5553"/>
    <cellStyle name="Normal 68 2 4 3 2 2" xfId="7872"/>
    <cellStyle name="Normal 68 2 4 3 3" xfId="6223"/>
    <cellStyle name="Normal 68 2 4 3 3 2" xfId="8542"/>
    <cellStyle name="Normal 68 2 4 3 4" xfId="7199"/>
    <cellStyle name="Normal 68 2 4 4" xfId="5221"/>
    <cellStyle name="Normal 68 2 4 4 2" xfId="7540"/>
    <cellStyle name="Normal 68 2 4 5" xfId="5887"/>
    <cellStyle name="Normal 68 2 4 5 2" xfId="8206"/>
    <cellStyle name="Normal 68 2 4 6" xfId="6881"/>
    <cellStyle name="Normal 68 2 5" xfId="4592"/>
    <cellStyle name="Normal 68 2 5 2" xfId="4920"/>
    <cellStyle name="Normal 68 2 5 2 2" xfId="5595"/>
    <cellStyle name="Normal 68 2 5 2 2 2" xfId="7914"/>
    <cellStyle name="Normal 68 2 5 2 3" xfId="6265"/>
    <cellStyle name="Normal 68 2 5 2 3 2" xfId="8584"/>
    <cellStyle name="Normal 68 2 5 2 4" xfId="7241"/>
    <cellStyle name="Normal 68 2 5 3" xfId="5263"/>
    <cellStyle name="Normal 68 2 5 3 2" xfId="7582"/>
    <cellStyle name="Normal 68 2 5 4" xfId="5929"/>
    <cellStyle name="Normal 68 2 5 4 2" xfId="8248"/>
    <cellStyle name="Normal 68 2 5 5" xfId="6913"/>
    <cellStyle name="Normal 68 2 6" xfId="4755"/>
    <cellStyle name="Normal 68 2 6 2" xfId="5429"/>
    <cellStyle name="Normal 68 2 6 2 2" xfId="7748"/>
    <cellStyle name="Normal 68 2 6 3" xfId="6097"/>
    <cellStyle name="Normal 68 2 6 3 2" xfId="8416"/>
    <cellStyle name="Normal 68 2 6 4" xfId="7076"/>
    <cellStyle name="Normal 68 2 7" xfId="5097"/>
    <cellStyle name="Normal 68 2 7 2" xfId="7416"/>
    <cellStyle name="Normal 68 2 8" xfId="5761"/>
    <cellStyle name="Normal 68 2 8 2" xfId="8080"/>
    <cellStyle name="Normal 68 2 9" xfId="6796"/>
    <cellStyle name="Normal 68 3" xfId="3110"/>
    <cellStyle name="Normal 68 3 2" xfId="4652"/>
    <cellStyle name="Normal 68 3 2 2" xfId="4981"/>
    <cellStyle name="Normal 68 3 2 2 2" xfId="5657"/>
    <cellStyle name="Normal 68 3 2 2 2 2" xfId="7976"/>
    <cellStyle name="Normal 68 3 2 2 3" xfId="6328"/>
    <cellStyle name="Normal 68 3 2 2 3 2" xfId="8647"/>
    <cellStyle name="Normal 68 3 2 2 4" xfId="7302"/>
    <cellStyle name="Normal 68 3 2 3" xfId="5325"/>
    <cellStyle name="Normal 68 3 2 3 2" xfId="7644"/>
    <cellStyle name="Normal 68 3 2 4" xfId="5992"/>
    <cellStyle name="Normal 68 3 2 4 2" xfId="8311"/>
    <cellStyle name="Normal 68 3 2 5" xfId="6973"/>
    <cellStyle name="Normal 68 3 3" xfId="4816"/>
    <cellStyle name="Normal 68 3 3 2" xfId="5491"/>
    <cellStyle name="Normal 68 3 3 2 2" xfId="7810"/>
    <cellStyle name="Normal 68 3 3 3" xfId="6160"/>
    <cellStyle name="Normal 68 3 3 3 2" xfId="8479"/>
    <cellStyle name="Normal 68 3 3 4" xfId="7137"/>
    <cellStyle name="Normal 68 3 4" xfId="5159"/>
    <cellStyle name="Normal 68 3 4 2" xfId="7478"/>
    <cellStyle name="Normal 68 3 5" xfId="5824"/>
    <cellStyle name="Normal 68 3 5 2" xfId="8143"/>
    <cellStyle name="Normal 68 3 6" xfId="6799"/>
    <cellStyle name="Normal 68 4" xfId="3111"/>
    <cellStyle name="Normal 68 4 2" xfId="4612"/>
    <cellStyle name="Normal 68 4 2 2" xfId="4941"/>
    <cellStyle name="Normal 68 4 2 2 2" xfId="5616"/>
    <cellStyle name="Normal 68 4 2 2 2 2" xfId="7935"/>
    <cellStyle name="Normal 68 4 2 2 3" xfId="6286"/>
    <cellStyle name="Normal 68 4 2 2 3 2" xfId="8605"/>
    <cellStyle name="Normal 68 4 2 2 4" xfId="7262"/>
    <cellStyle name="Normal 68 4 2 3" xfId="5284"/>
    <cellStyle name="Normal 68 4 2 3 2" xfId="7603"/>
    <cellStyle name="Normal 68 4 2 4" xfId="5950"/>
    <cellStyle name="Normal 68 4 2 4 2" xfId="8269"/>
    <cellStyle name="Normal 68 4 2 5" xfId="6933"/>
    <cellStyle name="Normal 68 4 3" xfId="4776"/>
    <cellStyle name="Normal 68 4 3 2" xfId="5450"/>
    <cellStyle name="Normal 68 4 3 2 2" xfId="7769"/>
    <cellStyle name="Normal 68 4 3 3" xfId="6118"/>
    <cellStyle name="Normal 68 4 3 3 2" xfId="8437"/>
    <cellStyle name="Normal 68 4 3 4" xfId="7097"/>
    <cellStyle name="Normal 68 4 4" xfId="5118"/>
    <cellStyle name="Normal 68 4 4 2" xfId="7437"/>
    <cellStyle name="Normal 68 4 5" xfId="5782"/>
    <cellStyle name="Normal 68 4 5 2" xfId="8101"/>
    <cellStyle name="Normal 68 4 6" xfId="6800"/>
    <cellStyle name="Normal 68 5" xfId="3112"/>
    <cellStyle name="Normal 68 5 2" xfId="4693"/>
    <cellStyle name="Normal 68 5 2 2" xfId="5022"/>
    <cellStyle name="Normal 68 5 2 2 2" xfId="5698"/>
    <cellStyle name="Normal 68 5 2 2 2 2" xfId="8017"/>
    <cellStyle name="Normal 68 5 2 2 3" xfId="6370"/>
    <cellStyle name="Normal 68 5 2 2 3 2" xfId="8689"/>
    <cellStyle name="Normal 68 5 2 2 4" xfId="7343"/>
    <cellStyle name="Normal 68 5 2 3" xfId="5366"/>
    <cellStyle name="Normal 68 5 2 3 2" xfId="7685"/>
    <cellStyle name="Normal 68 5 2 4" xfId="6034"/>
    <cellStyle name="Normal 68 5 2 4 2" xfId="8353"/>
    <cellStyle name="Normal 68 5 2 5" xfId="7014"/>
    <cellStyle name="Normal 68 5 3" xfId="4857"/>
    <cellStyle name="Normal 68 5 3 2" xfId="5532"/>
    <cellStyle name="Normal 68 5 3 2 2" xfId="7851"/>
    <cellStyle name="Normal 68 5 3 3" xfId="6202"/>
    <cellStyle name="Normal 68 5 3 3 2" xfId="8521"/>
    <cellStyle name="Normal 68 5 3 4" xfId="7178"/>
    <cellStyle name="Normal 68 5 4" xfId="5200"/>
    <cellStyle name="Normal 68 5 4 2" xfId="7519"/>
    <cellStyle name="Normal 68 5 5" xfId="5866"/>
    <cellStyle name="Normal 68 5 5 2" xfId="8185"/>
    <cellStyle name="Normal 68 5 6" xfId="6801"/>
    <cellStyle name="Normal 68 6" xfId="4574"/>
    <cellStyle name="Normal 68 6 2" xfId="4899"/>
    <cellStyle name="Normal 68 6 2 2" xfId="5574"/>
    <cellStyle name="Normal 68 6 2 2 2" xfId="7893"/>
    <cellStyle name="Normal 68 6 2 3" xfId="6244"/>
    <cellStyle name="Normal 68 6 2 3 2" xfId="8563"/>
    <cellStyle name="Normal 68 6 2 4" xfId="7220"/>
    <cellStyle name="Normal 68 6 3" xfId="5242"/>
    <cellStyle name="Normal 68 6 3 2" xfId="7561"/>
    <cellStyle name="Normal 68 6 4" xfId="5908"/>
    <cellStyle name="Normal 68 6 4 2" xfId="8227"/>
    <cellStyle name="Normal 68 6 5" xfId="6895"/>
    <cellStyle name="Normal 68 7" xfId="4734"/>
    <cellStyle name="Normal 68 7 2" xfId="5408"/>
    <cellStyle name="Normal 68 7 2 2" xfId="7727"/>
    <cellStyle name="Normal 68 7 3" xfId="6076"/>
    <cellStyle name="Normal 68 7 3 2" xfId="8395"/>
    <cellStyle name="Normal 68 7 4" xfId="7055"/>
    <cellStyle name="Normal 68 8" xfId="5076"/>
    <cellStyle name="Normal 68 8 2" xfId="7395"/>
    <cellStyle name="Normal 68 9" xfId="5740"/>
    <cellStyle name="Normal 68 9 2" xfId="8059"/>
    <cellStyle name="Normal 69" xfId="826"/>
    <cellStyle name="Normal 69 2" xfId="3113"/>
    <cellStyle name="Normal 69 3" xfId="3114"/>
    <cellStyle name="Normal 69 4" xfId="3115"/>
    <cellStyle name="Normal 7" xfId="827"/>
    <cellStyle name="Normal 7 2" xfId="828"/>
    <cellStyle name="Normal 7 2 2" xfId="3116"/>
    <cellStyle name="Normal 7 2 2 2" xfId="3117"/>
    <cellStyle name="Normal 7 2 2 3" xfId="3118"/>
    <cellStyle name="Normal 7 2 3" xfId="3119"/>
    <cellStyle name="Normal 7 3" xfId="3120"/>
    <cellStyle name="Normal 7 3 2" xfId="3121"/>
    <cellStyle name="Normal 7 3 3" xfId="3122"/>
    <cellStyle name="Normal 7 3 4" xfId="4494"/>
    <cellStyle name="Normal 7 3 5" xfId="4293"/>
    <cellStyle name="Normal 7 4" xfId="3123"/>
    <cellStyle name="Normal 7 4 2" xfId="3124"/>
    <cellStyle name="Normal 7 5" xfId="3125"/>
    <cellStyle name="Normal 70" xfId="829"/>
    <cellStyle name="Normal 70 2" xfId="3126"/>
    <cellStyle name="Normal 70 3" xfId="3127"/>
    <cellStyle name="Normal 71" xfId="830"/>
    <cellStyle name="Normal 71 2" xfId="3128"/>
    <cellStyle name="Normal 71 3" xfId="3129"/>
    <cellStyle name="Normal 72" xfId="831"/>
    <cellStyle name="Normal 72 2" xfId="3130"/>
    <cellStyle name="Normal 72 2 2" xfId="3131"/>
    <cellStyle name="Normal 72 3" xfId="3132"/>
    <cellStyle name="Normal 72 4" xfId="3133"/>
    <cellStyle name="Normal 73" xfId="832"/>
    <cellStyle name="Normal 73 2" xfId="3134"/>
    <cellStyle name="Normal 73 2 2" xfId="3135"/>
    <cellStyle name="Normal 73 3" xfId="3136"/>
    <cellStyle name="Normal 73 4" xfId="3137"/>
    <cellStyle name="Normal 74" xfId="833"/>
    <cellStyle name="Normal 74 2" xfId="3138"/>
    <cellStyle name="Normal 74 2 2" xfId="3139"/>
    <cellStyle name="Normal 74 2 3" xfId="3140"/>
    <cellStyle name="Normal 74 3" xfId="3141"/>
    <cellStyle name="Normal 74 3 2" xfId="3142"/>
    <cellStyle name="Normal 74 3 3" xfId="4149"/>
    <cellStyle name="Normal 74 4" xfId="3143"/>
    <cellStyle name="Normal 75" xfId="834"/>
    <cellStyle name="Normal 75 2" xfId="3144"/>
    <cellStyle name="Normal 75 2 2" xfId="3145"/>
    <cellStyle name="Normal 76" xfId="835"/>
    <cellStyle name="Normal 76 2" xfId="3146"/>
    <cellStyle name="Normal 76 2 2" xfId="3147"/>
    <cellStyle name="Normal 77" xfId="836"/>
    <cellStyle name="Normal 78" xfId="837"/>
    <cellStyle name="Normal 79" xfId="838"/>
    <cellStyle name="Normal 8" xfId="839"/>
    <cellStyle name="Normal 8 2" xfId="840"/>
    <cellStyle name="Normal 8 2 2" xfId="841"/>
    <cellStyle name="Normal 8 2 2 2" xfId="3148"/>
    <cellStyle name="Normal 8 2 3" xfId="4294"/>
    <cellStyle name="Normal 8 3" xfId="3149"/>
    <cellStyle name="Normal 8 3 2" xfId="3150"/>
    <cellStyle name="Normal 8 3 3" xfId="3151"/>
    <cellStyle name="Normal 8 3 4" xfId="4150"/>
    <cellStyle name="Normal 8 4" xfId="3152"/>
    <cellStyle name="Normal 8 4 2" xfId="3153"/>
    <cellStyle name="Normal 8 5" xfId="3154"/>
    <cellStyle name="Normal 80" xfId="842"/>
    <cellStyle name="Normal 81" xfId="843"/>
    <cellStyle name="Normal 82" xfId="844"/>
    <cellStyle name="Normal 83" xfId="845"/>
    <cellStyle name="Normal 84" xfId="846"/>
    <cellStyle name="Normal 85" xfId="847"/>
    <cellStyle name="Normal 86" xfId="848"/>
    <cellStyle name="Normal 86 2" xfId="3155"/>
    <cellStyle name="Normal 86 3" xfId="3156"/>
    <cellStyle name="Normal 86 3 2" xfId="3157"/>
    <cellStyle name="Normal 86 3 2 2" xfId="3158"/>
    <cellStyle name="Normal 86 3 2 2 2" xfId="3159"/>
    <cellStyle name="Normal 86 3 2 2 2 2" xfId="6805"/>
    <cellStyle name="Normal 86 3 2 2 3" xfId="6804"/>
    <cellStyle name="Normal 86 3 2 3" xfId="3160"/>
    <cellStyle name="Normal 86 3 2 3 2" xfId="6806"/>
    <cellStyle name="Normal 86 3 2 4" xfId="6803"/>
    <cellStyle name="Normal 86 3 3" xfId="3161"/>
    <cellStyle name="Normal 86 3 3 2" xfId="3162"/>
    <cellStyle name="Normal 86 3 3 2 2" xfId="6808"/>
    <cellStyle name="Normal 86 3 3 3" xfId="6807"/>
    <cellStyle name="Normal 86 3 4" xfId="3163"/>
    <cellStyle name="Normal 86 3 4 2" xfId="6809"/>
    <cellStyle name="Normal 86 3 5" xfId="6802"/>
    <cellStyle name="Normal 86 4" xfId="3164"/>
    <cellStyle name="Normal 86 4 2" xfId="3165"/>
    <cellStyle name="Normal 86 4 2 2" xfId="3166"/>
    <cellStyle name="Normal 86 4 2 2 2" xfId="6812"/>
    <cellStyle name="Normal 86 4 2 3" xfId="6811"/>
    <cellStyle name="Normal 86 4 3" xfId="3167"/>
    <cellStyle name="Normal 86 4 3 2" xfId="6813"/>
    <cellStyle name="Normal 86 4 4" xfId="6810"/>
    <cellStyle name="Normal 86 5" xfId="3168"/>
    <cellStyle name="Normal 86 5 2" xfId="3169"/>
    <cellStyle name="Normal 86 5 2 2" xfId="6815"/>
    <cellStyle name="Normal 86 5 3" xfId="6814"/>
    <cellStyle name="Normal 86 6" xfId="3170"/>
    <cellStyle name="Normal 86 6 2" xfId="6816"/>
    <cellStyle name="Normal 86 7" xfId="3171"/>
    <cellStyle name="Normal 86 7 2" xfId="6817"/>
    <cellStyle name="Normal 87" xfId="849"/>
    <cellStyle name="Normal 88" xfId="850"/>
    <cellStyle name="Normal 88 2" xfId="3172"/>
    <cellStyle name="Normal 89" xfId="851"/>
    <cellStyle name="Normal 89 2" xfId="3173"/>
    <cellStyle name="Normal 9" xfId="852"/>
    <cellStyle name="Normal 9 2" xfId="853"/>
    <cellStyle name="Normal 9 2 2" xfId="3174"/>
    <cellStyle name="Normal 9 3" xfId="3175"/>
    <cellStyle name="Normal 9 3 2" xfId="3176"/>
    <cellStyle name="Normal 9 3 3" xfId="3177"/>
    <cellStyle name="Normal 9 3 4" xfId="3178"/>
    <cellStyle name="Normal 9 4" xfId="3179"/>
    <cellStyle name="Normal 9 4 2" xfId="3180"/>
    <cellStyle name="Normal 90" xfId="854"/>
    <cellStyle name="Normal 90 2" xfId="3181"/>
    <cellStyle name="Normal 91" xfId="3182"/>
    <cellStyle name="Normal 91 2" xfId="4495"/>
    <cellStyle name="Normal 91 3" xfId="4295"/>
    <cellStyle name="Normal 92" xfId="3183"/>
    <cellStyle name="Normal 92 2" xfId="4496"/>
    <cellStyle name="Normal 92 3" xfId="4296"/>
    <cellStyle name="Normal 93" xfId="3184"/>
    <cellStyle name="Normal 93 2" xfId="5046"/>
    <cellStyle name="Normal 94" xfId="3185"/>
    <cellStyle name="Normal 94 2" xfId="5047"/>
    <cellStyle name="Normal 94 2 2" xfId="7367"/>
    <cellStyle name="Normal 95" xfId="3186"/>
    <cellStyle name="Normal 96" xfId="3187"/>
    <cellStyle name="Normal 97" xfId="3188"/>
    <cellStyle name="Normal 98" xfId="3189"/>
    <cellStyle name="Normal 99" xfId="3190"/>
    <cellStyle name="Normal 99 2" xfId="8796"/>
    <cellStyle name="Normal 99 3" xfId="8751"/>
    <cellStyle name="Normal Bold" xfId="855"/>
    <cellStyle name="Normal Bold 2" xfId="3191"/>
    <cellStyle name="Normal Bold 3" xfId="4030"/>
    <cellStyle name="Normal_AMCCBLSH" xfId="856"/>
    <cellStyle name="Normal_Book3" xfId="857"/>
    <cellStyle name="Normal_DisclaimerSheet Samples" xfId="8829"/>
    <cellStyle name="Normal_intc(1).o" xfId="858"/>
    <cellStyle name="Normale_Immat gennaio 1996" xfId="4297"/>
    <cellStyle name="NormalItalic" xfId="3192"/>
    <cellStyle name="Note" xfId="859" builtinId="10" customBuiltin="1"/>
    <cellStyle name="Note 10" xfId="860"/>
    <cellStyle name="Note 10 2" xfId="861"/>
    <cellStyle name="Note 11" xfId="862"/>
    <cellStyle name="Note 11 2" xfId="863"/>
    <cellStyle name="Note 12" xfId="864"/>
    <cellStyle name="Note 12 2" xfId="3194"/>
    <cellStyle name="Note 12 3" xfId="3193"/>
    <cellStyle name="Note 13" xfId="3195"/>
    <cellStyle name="Note 13 2" xfId="3196"/>
    <cellStyle name="Note 2" xfId="865"/>
    <cellStyle name="Note 2 2" xfId="866"/>
    <cellStyle name="Note 2 2 2" xfId="3197"/>
    <cellStyle name="Note 2 2 2 2" xfId="3198"/>
    <cellStyle name="Note 2 2 3" xfId="3199"/>
    <cellStyle name="Note 2 2 4" xfId="3200"/>
    <cellStyle name="Note 2 3" xfId="867"/>
    <cellStyle name="Note 2 3 2" xfId="3201"/>
    <cellStyle name="Note 2 3 3" xfId="3202"/>
    <cellStyle name="Note 2 4" xfId="3203"/>
    <cellStyle name="Note 2 4 2" xfId="4497"/>
    <cellStyle name="Note 2 4 3" xfId="4298"/>
    <cellStyle name="Note 3" xfId="868"/>
    <cellStyle name="Note 3 2" xfId="869"/>
    <cellStyle name="Note 3 2 2" xfId="1580"/>
    <cellStyle name="Note 3 3" xfId="1581"/>
    <cellStyle name="Note 4" xfId="870"/>
    <cellStyle name="Note 4 2" xfId="871"/>
    <cellStyle name="Note 4 2 2" xfId="3204"/>
    <cellStyle name="Note 4 2 2 2" xfId="4498"/>
    <cellStyle name="Note 4 2 2 3" xfId="1578"/>
    <cellStyle name="Note 4 3" xfId="3205"/>
    <cellStyle name="Note 4 3 2" xfId="4499"/>
    <cellStyle name="Note 4 3 3" xfId="1579"/>
    <cellStyle name="Note 5" xfId="872"/>
    <cellStyle name="Note 5 2" xfId="873"/>
    <cellStyle name="Note 5 2 2" xfId="1568"/>
    <cellStyle name="Note 5 2 3" xfId="8794"/>
    <cellStyle name="Note 5 3" xfId="1569"/>
    <cellStyle name="Note 5 4" xfId="5045"/>
    <cellStyle name="Note 5 4 2" xfId="7366"/>
    <cellStyle name="Note 6" xfId="874"/>
    <cellStyle name="Note 6 2" xfId="875"/>
    <cellStyle name="Note 6 2 2" xfId="1566"/>
    <cellStyle name="Note 6 2 3" xfId="8800"/>
    <cellStyle name="Note 6 3" xfId="1567"/>
    <cellStyle name="Note 6 4" xfId="8755"/>
    <cellStyle name="Note 7" xfId="876"/>
    <cellStyle name="Note 7 2" xfId="877"/>
    <cellStyle name="Note 7 2 2" xfId="1563"/>
    <cellStyle name="Note 7 3" xfId="878"/>
    <cellStyle name="Note 8" xfId="879"/>
    <cellStyle name="Note 8 2" xfId="880"/>
    <cellStyle name="Note 9" xfId="881"/>
    <cellStyle name="Note 9 2" xfId="882"/>
    <cellStyle name="Notes" xfId="4031"/>
    <cellStyle name="num,nodecpts" xfId="4032"/>
    <cellStyle name="number" xfId="883"/>
    <cellStyle name="Number 2" xfId="3206"/>
    <cellStyle name="number 2 2" xfId="3207"/>
    <cellStyle name="Number 2 2 2" xfId="4151"/>
    <cellStyle name="Number 2 3" xfId="3208"/>
    <cellStyle name="Number 2 4" xfId="3209"/>
    <cellStyle name="Number 2 5" xfId="3210"/>
    <cellStyle name="number 2 6" xfId="3211"/>
    <cellStyle name="Number 2 7" xfId="4033"/>
    <cellStyle name="Number 2 8" xfId="3797"/>
    <cellStyle name="Number 3" xfId="3212"/>
    <cellStyle name="Number 4" xfId="3213"/>
    <cellStyle name="Number 5" xfId="3214"/>
    <cellStyle name="Number 6" xfId="3215"/>
    <cellStyle name="Number 7" xfId="3216"/>
    <cellStyle name="Number 8" xfId="3217"/>
    <cellStyle name="Numbers" xfId="4034"/>
    <cellStyle name="Numbers [0]" xfId="4035"/>
    <cellStyle name="Œ…‹æØ‚è [0.00]_GE 3 MINIMUM" xfId="884"/>
    <cellStyle name="Œ…‹æØ‚è_GE 3 MINIMUM" xfId="885"/>
    <cellStyle name="Onedec_FT Valuation " xfId="886"/>
    <cellStyle name="OneDecimal" xfId="3218"/>
    <cellStyle name="Other%" xfId="3219"/>
    <cellStyle name="outh America" xfId="887"/>
    <cellStyle name="Output" xfId="888" builtinId="21" customBuiltin="1"/>
    <cellStyle name="Output 2" xfId="889"/>
    <cellStyle name="Output 3" xfId="3220"/>
    <cellStyle name="Output 3 2" xfId="3221"/>
    <cellStyle name="Output 3 3" xfId="4500"/>
    <cellStyle name="Output 3 4" xfId="4299"/>
    <cellStyle name="Output 4" xfId="4376"/>
    <cellStyle name="Override" xfId="4036"/>
    <cellStyle name="p " xfId="890"/>
    <cellStyle name="Pass" xfId="891"/>
    <cellStyle name="Pass 2" xfId="3222"/>
    <cellStyle name="Pass 2 2" xfId="3223"/>
    <cellStyle name="Pass 2 3" xfId="3224"/>
    <cellStyle name="Pec (2dec,fs)" xfId="4037"/>
    <cellStyle name="Percent" xfId="892" builtinId="5"/>
    <cellStyle name="Percent (1)" xfId="3226"/>
    <cellStyle name="Percent [2]" xfId="893"/>
    <cellStyle name="Percent [2] 2" xfId="894"/>
    <cellStyle name="Percent [2] 2 2" xfId="895"/>
    <cellStyle name="Percent [2] 2 2 2" xfId="3227"/>
    <cellStyle name="Percent [2] 2 2 2 2" xfId="3228"/>
    <cellStyle name="Percent [2] 2 2 3" xfId="3229"/>
    <cellStyle name="Percent [2] 2 3" xfId="3230"/>
    <cellStyle name="Percent [2] 2 3 2" xfId="3231"/>
    <cellStyle name="Percent [2] 2 4" xfId="3232"/>
    <cellStyle name="Percent [2] 3" xfId="896"/>
    <cellStyle name="Percent [2] 3 2" xfId="897"/>
    <cellStyle name="Percent [2] 3 2 2" xfId="3234"/>
    <cellStyle name="Percent [2] 3 3" xfId="3235"/>
    <cellStyle name="Percent [2] 4" xfId="898"/>
    <cellStyle name="Percent [2] 4 2" xfId="899"/>
    <cellStyle name="Percent [2] 4 2 2" xfId="1551"/>
    <cellStyle name="Percent [2] 4 3" xfId="1552"/>
    <cellStyle name="Percent [2] 5" xfId="900"/>
    <cellStyle name="Percent [2] 5 2" xfId="901"/>
    <cellStyle name="Percent [2] 5 2 2" xfId="1549"/>
    <cellStyle name="Percent [2] 5 3" xfId="1550"/>
    <cellStyle name="Percent [2] 6" xfId="902"/>
    <cellStyle name="Percent [2] 6 2" xfId="1548"/>
    <cellStyle name="Percent [2] 7" xfId="3237"/>
    <cellStyle name="Percent [2] 7 2" xfId="3238"/>
    <cellStyle name="Percent [2] 8" xfId="3239"/>
    <cellStyle name="Percent [2] 8 2" xfId="3240"/>
    <cellStyle name="Percent 10" xfId="903"/>
    <cellStyle name="Percent 10 2" xfId="904"/>
    <cellStyle name="Percent 10 2 2" xfId="905"/>
    <cellStyle name="Percent 10 2 2 2" xfId="906"/>
    <cellStyle name="Percent 10 2 3" xfId="3241"/>
    <cellStyle name="Percent 10 2 4" xfId="3242"/>
    <cellStyle name="Percent 10 3" xfId="907"/>
    <cellStyle name="Percent 10 3 2" xfId="3243"/>
    <cellStyle name="Percent 10 3 2 2" xfId="3244"/>
    <cellStyle name="Percent 10 3 3" xfId="3245"/>
    <cellStyle name="Percent 10 4" xfId="908"/>
    <cellStyle name="Percent 10 4 2" xfId="3246"/>
    <cellStyle name="Percent 10 4 3" xfId="3247"/>
    <cellStyle name="Percent 10 5" xfId="3248"/>
    <cellStyle name="Percent 10 5 2" xfId="3249"/>
    <cellStyle name="Percent 10 5 3" xfId="3250"/>
    <cellStyle name="Percent 10 5 4" xfId="3251"/>
    <cellStyle name="Percent 10 5 5" xfId="4153"/>
    <cellStyle name="Percent 10 5 5 2" xfId="6846"/>
    <cellStyle name="Percent 100" xfId="3252"/>
    <cellStyle name="Percent 100 2" xfId="8823"/>
    <cellStyle name="Percent 100 3" xfId="8768"/>
    <cellStyle name="Percent 101" xfId="3253"/>
    <cellStyle name="Percent 101 2" xfId="8799"/>
    <cellStyle name="Percent 101 3" xfId="8754"/>
    <cellStyle name="Percent 102" xfId="3254"/>
    <cellStyle name="Percent 102 2" xfId="8816"/>
    <cellStyle name="Percent 102 3" xfId="8760"/>
    <cellStyle name="Percent 103" xfId="3255"/>
    <cellStyle name="Percent 103 2" xfId="8825"/>
    <cellStyle name="Percent 103 3" xfId="8772"/>
    <cellStyle name="Percent 104" xfId="3256"/>
    <cellStyle name="Percent 104 2" xfId="8820"/>
    <cellStyle name="Percent 104 3" xfId="8765"/>
    <cellStyle name="Percent 105" xfId="3257"/>
    <cellStyle name="Percent 106" xfId="3258"/>
    <cellStyle name="Percent 107" xfId="3259"/>
    <cellStyle name="Percent 108" xfId="3260"/>
    <cellStyle name="Percent 109" xfId="3261"/>
    <cellStyle name="Percent 11" xfId="909"/>
    <cellStyle name="Percent 11 2" xfId="910"/>
    <cellStyle name="Percent 11 2 2" xfId="3262"/>
    <cellStyle name="Percent 11 2 2 2" xfId="3263"/>
    <cellStyle name="Percent 11 2 3" xfId="3264"/>
    <cellStyle name="Percent 11 3" xfId="911"/>
    <cellStyle name="Percent 11 3 2" xfId="3265"/>
    <cellStyle name="Percent 11 3 2 2" xfId="3266"/>
    <cellStyle name="Percent 11 3 3" xfId="3267"/>
    <cellStyle name="Percent 11 4" xfId="3268"/>
    <cellStyle name="Percent 11 4 2" xfId="3269"/>
    <cellStyle name="Percent 11 5" xfId="3270"/>
    <cellStyle name="Percent 11 5 2" xfId="3271"/>
    <cellStyle name="Percent 11 6" xfId="3272"/>
    <cellStyle name="Percent 110" xfId="3273"/>
    <cellStyle name="Percent 111" xfId="3274"/>
    <cellStyle name="Percent 112" xfId="3275"/>
    <cellStyle name="Percent 113" xfId="3276"/>
    <cellStyle name="Percent 114" xfId="3277"/>
    <cellStyle name="Percent 115" xfId="3278"/>
    <cellStyle name="Percent 116" xfId="3279"/>
    <cellStyle name="Percent 117" xfId="3280"/>
    <cellStyle name="Percent 118" xfId="3281"/>
    <cellStyle name="Percent 119" xfId="3282"/>
    <cellStyle name="Percent 12" xfId="912"/>
    <cellStyle name="Percent 12 2" xfId="913"/>
    <cellStyle name="Percent 12 2 2" xfId="3283"/>
    <cellStyle name="Percent 12 2 2 2" xfId="3284"/>
    <cellStyle name="Percent 12 2 3" xfId="3285"/>
    <cellStyle name="Percent 12 3" xfId="914"/>
    <cellStyle name="Percent 12 3 2" xfId="3286"/>
    <cellStyle name="Percent 12 3 2 2" xfId="3287"/>
    <cellStyle name="Percent 12 3 3" xfId="3288"/>
    <cellStyle name="Percent 12 4" xfId="3289"/>
    <cellStyle name="Percent 12 4 2" xfId="3290"/>
    <cellStyle name="Percent 12 5" xfId="3291"/>
    <cellStyle name="Percent 120" xfId="3292"/>
    <cellStyle name="Percent 121" xfId="3293"/>
    <cellStyle name="Percent 122" xfId="3294"/>
    <cellStyle name="Percent 123" xfId="3295"/>
    <cellStyle name="Percent 124" xfId="3296"/>
    <cellStyle name="Percent 125" xfId="3297"/>
    <cellStyle name="Percent 126" xfId="3298"/>
    <cellStyle name="Percent 127" xfId="3299"/>
    <cellStyle name="Percent 128" xfId="3300"/>
    <cellStyle name="Percent 129" xfId="3301"/>
    <cellStyle name="Percent 13" xfId="915"/>
    <cellStyle name="Percent 13 2" xfId="916"/>
    <cellStyle name="Percent 13 2 2" xfId="3302"/>
    <cellStyle name="Percent 13 3" xfId="917"/>
    <cellStyle name="Percent 130" xfId="3303"/>
    <cellStyle name="Percent 131" xfId="3304"/>
    <cellStyle name="Percent 132" xfId="3305"/>
    <cellStyle name="Percent 133" xfId="3306"/>
    <cellStyle name="Percent 134" xfId="3307"/>
    <cellStyle name="Percent 135" xfId="3789"/>
    <cellStyle name="Percent 136" xfId="4163"/>
    <cellStyle name="Percent 137" xfId="3225"/>
    <cellStyle name="Percent 137 2" xfId="8750"/>
    <cellStyle name="Percent 138" xfId="2793"/>
    <cellStyle name="Percent 139" xfId="4501"/>
    <cellStyle name="Percent 14" xfId="918"/>
    <cellStyle name="Percent 14 2" xfId="919"/>
    <cellStyle name="Percent 14 2 2" xfId="3308"/>
    <cellStyle name="Percent 14 3" xfId="920"/>
    <cellStyle name="Percent 15" xfId="921"/>
    <cellStyle name="Percent 15 2" xfId="922"/>
    <cellStyle name="Percent 15 2 2" xfId="3309"/>
    <cellStyle name="Percent 15 3" xfId="923"/>
    <cellStyle name="Percent 16" xfId="924"/>
    <cellStyle name="Percent 16 2" xfId="925"/>
    <cellStyle name="Percent 16 2 2" xfId="3310"/>
    <cellStyle name="Percent 16 3" xfId="926"/>
    <cellStyle name="Percent 17" xfId="927"/>
    <cellStyle name="Percent 17 2" xfId="928"/>
    <cellStyle name="Percent 17 2 2" xfId="929"/>
    <cellStyle name="Percent 17 2 2 2" xfId="1498"/>
    <cellStyle name="Percent 17 2 3" xfId="1505"/>
    <cellStyle name="Percent 17 3" xfId="930"/>
    <cellStyle name="Percent 17 3 2" xfId="1494"/>
    <cellStyle name="Percent 17 4" xfId="1506"/>
    <cellStyle name="Percent 18" xfId="931"/>
    <cellStyle name="Percent 18 2" xfId="932"/>
    <cellStyle name="Percent 18 2 2" xfId="3312"/>
    <cellStyle name="Percent 18 2 2 2" xfId="3313"/>
    <cellStyle name="Percent 18 2 3" xfId="3314"/>
    <cellStyle name="Percent 18 3" xfId="3315"/>
    <cellStyle name="Percent 18 3 2" xfId="3316"/>
    <cellStyle name="Percent 18 4" xfId="3317"/>
    <cellStyle name="Percent 19" xfId="933"/>
    <cellStyle name="Percent 19 2" xfId="934"/>
    <cellStyle name="Percent 19 2 2" xfId="3319"/>
    <cellStyle name="Percent 19 2 2 2" xfId="3320"/>
    <cellStyle name="Percent 19 2 3" xfId="3321"/>
    <cellStyle name="Percent 19 3" xfId="3322"/>
    <cellStyle name="Percent 19 3 2" xfId="3323"/>
    <cellStyle name="Percent 19 4" xfId="3324"/>
    <cellStyle name="Percent 2" xfId="935"/>
    <cellStyle name="Percent 2 2" xfId="936"/>
    <cellStyle name="Percent 2 2 2" xfId="937"/>
    <cellStyle name="Percent 2 2 2 2" xfId="4155"/>
    <cellStyle name="Percent 2 2 2 3" xfId="4089"/>
    <cellStyle name="Percent 2 2 2 3 2" xfId="6836"/>
    <cellStyle name="Percent 2 2 3" xfId="3325"/>
    <cellStyle name="Percent 2 2 3 2" xfId="3326"/>
    <cellStyle name="Percent 2 2 3 3" xfId="4154"/>
    <cellStyle name="Percent 2 2 4" xfId="3794"/>
    <cellStyle name="Percent 2 2 4 2" xfId="6820"/>
    <cellStyle name="Percent 2 3" xfId="938"/>
    <cellStyle name="Percent 2 3 2" xfId="939"/>
    <cellStyle name="Percent 2 3 2 2" xfId="4156"/>
    <cellStyle name="Percent 2 3 2 3" xfId="4090"/>
    <cellStyle name="Percent 2 3 2 3 2" xfId="6837"/>
    <cellStyle name="Percent 2 3 3" xfId="3328"/>
    <cellStyle name="Percent 2 3 3 2" xfId="3329"/>
    <cellStyle name="Percent 2 3 4" xfId="3795"/>
    <cellStyle name="Percent 2 3 4 2" xfId="6821"/>
    <cellStyle name="Percent 2 4" xfId="3330"/>
    <cellStyle name="Percent 2 5" xfId="3331"/>
    <cellStyle name="Percent 2 5 2" xfId="4038"/>
    <cellStyle name="Percent 2_Pivot Table Tips" xfId="3332"/>
    <cellStyle name="Percent 20" xfId="940"/>
    <cellStyle name="Percent 20 2" xfId="941"/>
    <cellStyle name="Percent 20 2 2" xfId="942"/>
    <cellStyle name="Percent 20 2 2 2" xfId="3334"/>
    <cellStyle name="Percent 20 2 3" xfId="3335"/>
    <cellStyle name="Percent 20 3" xfId="943"/>
    <cellStyle name="Percent 20 3 2" xfId="3336"/>
    <cellStyle name="Percent 20 4" xfId="944"/>
    <cellStyle name="Percent 21" xfId="945"/>
    <cellStyle name="Percent 21 2" xfId="946"/>
    <cellStyle name="Percent 21 2 2" xfId="947"/>
    <cellStyle name="Percent 21 2 2 2" xfId="1411"/>
    <cellStyle name="Percent 21 2 3" xfId="1414"/>
    <cellStyle name="Percent 21 3" xfId="948"/>
    <cellStyle name="Percent 21 3 2" xfId="1409"/>
    <cellStyle name="Percent 21 4" xfId="949"/>
    <cellStyle name="Percent 21 4 2" xfId="3338"/>
    <cellStyle name="Percent 21 4 2 2" xfId="3339"/>
    <cellStyle name="Percent 21 4 2 2 2" xfId="3340"/>
    <cellStyle name="Percent 21 4 2 2 3" xfId="3341"/>
    <cellStyle name="Percent 21 4 2 3" xfId="3342"/>
    <cellStyle name="Percent 21 4 2 4" xfId="3343"/>
    <cellStyle name="Percent 21 4 3" xfId="3344"/>
    <cellStyle name="Percent 21 4 3 2" xfId="3345"/>
    <cellStyle name="Percent 21 4 3 3" xfId="3346"/>
    <cellStyle name="Percent 21 4 4" xfId="3347"/>
    <cellStyle name="Percent 21 4 5" xfId="3348"/>
    <cellStyle name="Percent 21 4 6" xfId="3349"/>
    <cellStyle name="Percent 21 5" xfId="3350"/>
    <cellStyle name="Percent 21 5 2" xfId="3351"/>
    <cellStyle name="Percent 21 5 2 2" xfId="3352"/>
    <cellStyle name="Percent 21 5 2 3" xfId="3353"/>
    <cellStyle name="Percent 21 5 3" xfId="3354"/>
    <cellStyle name="Percent 21 5 4" xfId="3355"/>
    <cellStyle name="Percent 21 6" xfId="3356"/>
    <cellStyle name="Percent 21 6 2" xfId="3357"/>
    <cellStyle name="Percent 21 7" xfId="3358"/>
    <cellStyle name="Percent 21 7 2" xfId="3359"/>
    <cellStyle name="Percent 22" xfId="950"/>
    <cellStyle name="Percent 22 2" xfId="951"/>
    <cellStyle name="Percent 22 2 2" xfId="3361"/>
    <cellStyle name="Percent 22 3" xfId="3362"/>
    <cellStyle name="Percent 22 3 2" xfId="3363"/>
    <cellStyle name="Percent 22 4" xfId="3802"/>
    <cellStyle name="Percent 22 4 2" xfId="6823"/>
    <cellStyle name="Percent 23" xfId="952"/>
    <cellStyle name="Percent 23 2" xfId="953"/>
    <cellStyle name="Percent 23 2 2" xfId="954"/>
    <cellStyle name="Percent 23 2 2 2" xfId="1388"/>
    <cellStyle name="Percent 23 2 3" xfId="1399"/>
    <cellStyle name="Percent 23 3" xfId="955"/>
    <cellStyle name="Percent 23 3 2" xfId="1385"/>
    <cellStyle name="Percent 23 4" xfId="3365"/>
    <cellStyle name="Percent 23 4 2" xfId="4157"/>
    <cellStyle name="Percent 23 4 3" xfId="4502"/>
    <cellStyle name="Percent 23 5" xfId="3801"/>
    <cellStyle name="Percent 23 5 2" xfId="6822"/>
    <cellStyle name="Percent 24" xfId="956"/>
    <cellStyle name="Percent 24 2" xfId="957"/>
    <cellStyle name="Percent 24 2 2" xfId="3366"/>
    <cellStyle name="Percent 24 3" xfId="3367"/>
    <cellStyle name="Percent 25" xfId="958"/>
    <cellStyle name="Percent 25 2" xfId="959"/>
    <cellStyle name="Percent 25 2 2" xfId="960"/>
    <cellStyle name="Percent 25 2 2 2" xfId="1375"/>
    <cellStyle name="Percent 25 2 3" xfId="1377"/>
    <cellStyle name="Percent 25 3" xfId="961"/>
    <cellStyle name="Percent 25 3 2" xfId="1352"/>
    <cellStyle name="Percent 25 4" xfId="1384"/>
    <cellStyle name="Percent 26" xfId="962"/>
    <cellStyle name="Percent 26 2" xfId="963"/>
    <cellStyle name="Percent 26 2 2" xfId="3368"/>
    <cellStyle name="Percent 26 3" xfId="3369"/>
    <cellStyle name="Percent 26 4" xfId="4088"/>
    <cellStyle name="Percent 27" xfId="964"/>
    <cellStyle name="Percent 27 2" xfId="3370"/>
    <cellStyle name="Percent 27 2 2" xfId="3371"/>
    <cellStyle name="Percent 27 3" xfId="3372"/>
    <cellStyle name="Percent 27 4" xfId="4071"/>
    <cellStyle name="Percent 28" xfId="965"/>
    <cellStyle name="Percent 28 2" xfId="966"/>
    <cellStyle name="Percent 28 2 2" xfId="3373"/>
    <cellStyle name="Percent 28 3" xfId="3374"/>
    <cellStyle name="Percent 28 4" xfId="4087"/>
    <cellStyle name="Percent 29" xfId="967"/>
    <cellStyle name="Percent 29 2" xfId="968"/>
    <cellStyle name="Percent 29 2 2" xfId="3375"/>
    <cellStyle name="Percent 29 3" xfId="3376"/>
    <cellStyle name="Percent 3" xfId="969"/>
    <cellStyle name="Percent 3 2" xfId="970"/>
    <cellStyle name="Percent 3 2 2" xfId="971"/>
    <cellStyle name="Percent 3 2 2 2" xfId="972"/>
    <cellStyle name="Percent 3 2 3" xfId="973"/>
    <cellStyle name="Percent 3 2 4" xfId="3377"/>
    <cellStyle name="Percent 3 2 5" xfId="3378"/>
    <cellStyle name="Percent 3 3" xfId="974"/>
    <cellStyle name="Percent 3 3 2" xfId="975"/>
    <cellStyle name="Percent 3 4" xfId="976"/>
    <cellStyle name="Percent 3 5" xfId="3379"/>
    <cellStyle name="Percent 3 5 2" xfId="3380"/>
    <cellStyle name="Percent 3 5 2 2" xfId="3381"/>
    <cellStyle name="Percent 3 5 2 3" xfId="3382"/>
    <cellStyle name="Percent 3 5 3" xfId="3383"/>
    <cellStyle name="Percent 3 5 4" xfId="3384"/>
    <cellStyle name="Percent 3 5 5" xfId="3385"/>
    <cellStyle name="Percent 3 6" xfId="3386"/>
    <cellStyle name="Percent 3 7" xfId="3796"/>
    <cellStyle name="Percent 30" xfId="977"/>
    <cellStyle name="Percent 30 2" xfId="978"/>
    <cellStyle name="Percent 31" xfId="979"/>
    <cellStyle name="Percent 31 2" xfId="3387"/>
    <cellStyle name="Percent 32" xfId="980"/>
    <cellStyle name="Percent 32 2" xfId="981"/>
    <cellStyle name="Percent 32 2 2" xfId="1319"/>
    <cellStyle name="Percent 32 3" xfId="1326"/>
    <cellStyle name="Percent 33" xfId="982"/>
    <cellStyle name="Percent 33 2" xfId="983"/>
    <cellStyle name="Percent 33 2 2" xfId="1318"/>
    <cellStyle name="Percent 33 3" xfId="3388"/>
    <cellStyle name="Percent 34" xfId="984"/>
    <cellStyle name="Percent 34 2" xfId="985"/>
    <cellStyle name="Percent 35" xfId="986"/>
    <cellStyle name="Percent 35 2" xfId="987"/>
    <cellStyle name="Percent 36" xfId="988"/>
    <cellStyle name="Percent 36 2" xfId="989"/>
    <cellStyle name="Percent 36 2 2" xfId="1306"/>
    <cellStyle name="Percent 36 3" xfId="3389"/>
    <cellStyle name="Percent 37" xfId="990"/>
    <cellStyle name="Percent 37 2" xfId="991"/>
    <cellStyle name="Percent 37 2 2" xfId="1305"/>
    <cellStyle name="Percent 37 3" xfId="3390"/>
    <cellStyle name="Percent 38" xfId="992"/>
    <cellStyle name="Percent 38 2" xfId="993"/>
    <cellStyle name="Percent 38 2 2" xfId="3391"/>
    <cellStyle name="Percent 38 3" xfId="3392"/>
    <cellStyle name="Percent 39" xfId="994"/>
    <cellStyle name="Percent 39 2" xfId="995"/>
    <cellStyle name="Percent 39 2 2" xfId="3393"/>
    <cellStyle name="Percent 39 3" xfId="3394"/>
    <cellStyle name="Percent 4" xfId="996"/>
    <cellStyle name="Percent 4 2" xfId="997"/>
    <cellStyle name="Percent 4 2 2" xfId="998"/>
    <cellStyle name="Percent 4 2 2 2" xfId="3395"/>
    <cellStyle name="Percent 4 2 3" xfId="3396"/>
    <cellStyle name="Percent 4 2 3 2" xfId="3397"/>
    <cellStyle name="Percent 4 3" xfId="999"/>
    <cellStyle name="Percent 4 3 2" xfId="3398"/>
    <cellStyle name="Percent 4 3 2 2" xfId="3399"/>
    <cellStyle name="Percent 4 3 3" xfId="3800"/>
    <cellStyle name="Percent 4 4" xfId="3400"/>
    <cellStyle name="Percent 4 4 2" xfId="3401"/>
    <cellStyle name="Percent 4 4 3" xfId="3402"/>
    <cellStyle name="Percent 4 5" xfId="3403"/>
    <cellStyle name="Percent 40" xfId="1000"/>
    <cellStyle name="Percent 40 2" xfId="3404"/>
    <cellStyle name="Percent 40 2 2" xfId="3405"/>
    <cellStyle name="Percent 40 3" xfId="3406"/>
    <cellStyle name="Percent 41" xfId="1001"/>
    <cellStyle name="Percent 41 2" xfId="3407"/>
    <cellStyle name="Percent 42" xfId="1002"/>
    <cellStyle name="Percent 42 2" xfId="1003"/>
    <cellStyle name="Percent 42 2 2" xfId="4172"/>
    <cellStyle name="Percent 42 3" xfId="4171"/>
    <cellStyle name="Percent 43" xfId="1004"/>
    <cellStyle name="Percent 43 2" xfId="1005"/>
    <cellStyle name="Percent 43 2 2" xfId="4174"/>
    <cellStyle name="Percent 43 3" xfId="4173"/>
    <cellStyle name="Percent 44" xfId="1006"/>
    <cellStyle name="Percent 44 2" xfId="1007"/>
    <cellStyle name="Percent 44 2 2" xfId="1008"/>
    <cellStyle name="Percent 44 2 3" xfId="4300"/>
    <cellStyle name="Percent 44 3" xfId="3408"/>
    <cellStyle name="Percent 45" xfId="1009"/>
    <cellStyle name="Percent 45 2" xfId="1010"/>
    <cellStyle name="Percent 45 2 2" xfId="1011"/>
    <cellStyle name="Percent 45 2 3" xfId="4301"/>
    <cellStyle name="Percent 45 3" xfId="3409"/>
    <cellStyle name="Percent 46" xfId="1012"/>
    <cellStyle name="Percent 46 2" xfId="1013"/>
    <cellStyle name="Percent 46 2 2" xfId="1014"/>
    <cellStyle name="Percent 46 2 3" xfId="4302"/>
    <cellStyle name="Percent 46 3" xfId="3410"/>
    <cellStyle name="Percent 47" xfId="1015"/>
    <cellStyle name="Percent 47 2" xfId="1016"/>
    <cellStyle name="Percent 47 2 2" xfId="1017"/>
    <cellStyle name="Percent 47 2 3" xfId="4303"/>
    <cellStyle name="Percent 47 3" xfId="3411"/>
    <cellStyle name="Percent 48" xfId="1018"/>
    <cellStyle name="Percent 48 2" xfId="1019"/>
    <cellStyle name="Percent 48 2 2" xfId="1020"/>
    <cellStyle name="Percent 48 2 3" xfId="4304"/>
    <cellStyle name="Percent 48 3" xfId="3412"/>
    <cellStyle name="Percent 49" xfId="1021"/>
    <cellStyle name="Percent 49 2" xfId="1022"/>
    <cellStyle name="Percent 49 2 2" xfId="4176"/>
    <cellStyle name="Percent 49 3" xfId="4175"/>
    <cellStyle name="Percent 5" xfId="1023"/>
    <cellStyle name="Percent 5 2" xfId="1024"/>
    <cellStyle name="Percent 5 2 2" xfId="1025"/>
    <cellStyle name="Percent 5 2 2 2" xfId="3413"/>
    <cellStyle name="Percent 5 2 3" xfId="3414"/>
    <cellStyle name="Percent 5 3" xfId="1026"/>
    <cellStyle name="Percent 5 3 2" xfId="3415"/>
    <cellStyle name="Percent 5 4" xfId="3416"/>
    <cellStyle name="Percent 5 4 2" xfId="3417"/>
    <cellStyle name="Percent 50" xfId="1027"/>
    <cellStyle name="Percent 50 2" xfId="1028"/>
    <cellStyle name="Percent 50 2 2" xfId="4178"/>
    <cellStyle name="Percent 50 3" xfId="4177"/>
    <cellStyle name="Percent 51" xfId="1029"/>
    <cellStyle name="Percent 51 2" xfId="1030"/>
    <cellStyle name="Percent 51 2 2" xfId="4180"/>
    <cellStyle name="Percent 51 3" xfId="4179"/>
    <cellStyle name="Percent 52" xfId="1031"/>
    <cellStyle name="Percent 52 2" xfId="1032"/>
    <cellStyle name="Percent 52 2 2" xfId="4181"/>
    <cellStyle name="Percent 52 3" xfId="3418"/>
    <cellStyle name="Percent 52 4" xfId="3419"/>
    <cellStyle name="Percent 52 4 2" xfId="3420"/>
    <cellStyle name="Percent 52 4 3" xfId="3421"/>
    <cellStyle name="Percent 52 5" xfId="3422"/>
    <cellStyle name="Percent 52 6" xfId="3423"/>
    <cellStyle name="Percent 52 7" xfId="3424"/>
    <cellStyle name="Percent 53" xfId="1033"/>
    <cellStyle name="Percent 53 2" xfId="1034"/>
    <cellStyle name="Percent 53 2 2" xfId="4182"/>
    <cellStyle name="Percent 53 3" xfId="3425"/>
    <cellStyle name="Percent 53 4" xfId="3426"/>
    <cellStyle name="Percent 53 4 2" xfId="3427"/>
    <cellStyle name="Percent 53 4 3" xfId="3428"/>
    <cellStyle name="Percent 53 5" xfId="3429"/>
    <cellStyle name="Percent 53 6" xfId="3430"/>
    <cellStyle name="Percent 53 7" xfId="3431"/>
    <cellStyle name="Percent 54" xfId="1035"/>
    <cellStyle name="Percent 54 2" xfId="1036"/>
    <cellStyle name="Percent 54 2 2" xfId="4184"/>
    <cellStyle name="Percent 54 3" xfId="4183"/>
    <cellStyle name="Percent 55" xfId="1037"/>
    <cellStyle name="Percent 55 2" xfId="1038"/>
    <cellStyle name="Percent 55 2 2" xfId="4186"/>
    <cellStyle name="Percent 55 3" xfId="4185"/>
    <cellStyle name="Percent 56" xfId="1039"/>
    <cellStyle name="Percent 56 2" xfId="3432"/>
    <cellStyle name="Percent 57" xfId="1040"/>
    <cellStyle name="Percent 57 2" xfId="3433"/>
    <cellStyle name="Percent 58" xfId="1041"/>
    <cellStyle name="Percent 58 2" xfId="3434"/>
    <cellStyle name="Percent 59" xfId="1042"/>
    <cellStyle name="Percent 59 2" xfId="3435"/>
    <cellStyle name="Percent 6" xfId="1043"/>
    <cellStyle name="Percent 6 2" xfId="1044"/>
    <cellStyle name="Percent 6 2 2" xfId="1045"/>
    <cellStyle name="Percent 6 2 2 2" xfId="3436"/>
    <cellStyle name="Percent 6 2 3" xfId="3437"/>
    <cellStyle name="Percent 6 3" xfId="1046"/>
    <cellStyle name="Percent 6 3 2" xfId="3438"/>
    <cellStyle name="Percent 6 4" xfId="3439"/>
    <cellStyle name="Percent 6 4 2" xfId="3440"/>
    <cellStyle name="Percent 6 4 3" xfId="3441"/>
    <cellStyle name="Percent 6 5" xfId="3442"/>
    <cellStyle name="Percent 60" xfId="1047"/>
    <cellStyle name="Percent 60 2" xfId="3443"/>
    <cellStyle name="Percent 61" xfId="1048"/>
    <cellStyle name="Percent 61 2" xfId="3444"/>
    <cellStyle name="Percent 61 2 2" xfId="3445"/>
    <cellStyle name="Percent 61 3" xfId="3446"/>
    <cellStyle name="Percent 62" xfId="1049"/>
    <cellStyle name="Percent 62 2" xfId="3447"/>
    <cellStyle name="Percent 63" xfId="1050"/>
    <cellStyle name="Percent 63 2" xfId="3448"/>
    <cellStyle name="Percent 64" xfId="1051"/>
    <cellStyle name="Percent 64 2" xfId="1052"/>
    <cellStyle name="Percent 64 2 2" xfId="2382"/>
    <cellStyle name="Percent 64 2 2 2" xfId="4189"/>
    <cellStyle name="Percent 64 2 3" xfId="4188"/>
    <cellStyle name="Percent 64 3" xfId="1053"/>
    <cellStyle name="Percent 64 3 2" xfId="1054"/>
    <cellStyle name="Percent 64 4" xfId="4187"/>
    <cellStyle name="Percent 65" xfId="1055"/>
    <cellStyle name="Percent 65 2" xfId="1056"/>
    <cellStyle name="Percent 65 2 2" xfId="2377"/>
    <cellStyle name="Percent 65 2 2 2" xfId="4192"/>
    <cellStyle name="Percent 65 2 3" xfId="4191"/>
    <cellStyle name="Percent 65 3" xfId="1057"/>
    <cellStyle name="Percent 65 3 2" xfId="1058"/>
    <cellStyle name="Percent 65 4" xfId="4190"/>
    <cellStyle name="Percent 66" xfId="1059"/>
    <cellStyle name="Percent 66 2" xfId="1060"/>
    <cellStyle name="Percent 66 2 2" xfId="2374"/>
    <cellStyle name="Percent 66 2 2 2" xfId="4195"/>
    <cellStyle name="Percent 66 2 3" xfId="4194"/>
    <cellStyle name="Percent 66 3" xfId="1061"/>
    <cellStyle name="Percent 66 3 2" xfId="1062"/>
    <cellStyle name="Percent 66 4" xfId="4193"/>
    <cellStyle name="Percent 67" xfId="1063"/>
    <cellStyle name="Percent 67 2" xfId="1064"/>
    <cellStyle name="Percent 67 2 2" xfId="3450"/>
    <cellStyle name="Percent 67 2 2 2" xfId="4198"/>
    <cellStyle name="Percent 67 2 3" xfId="4197"/>
    <cellStyle name="Percent 67 3" xfId="1065"/>
    <cellStyle name="Percent 67 3 2" xfId="1066"/>
    <cellStyle name="Percent 67 4" xfId="4196"/>
    <cellStyle name="Percent 68" xfId="1067"/>
    <cellStyle name="Percent 68 2" xfId="1068"/>
    <cellStyle name="Percent 68 2 2" xfId="3451"/>
    <cellStyle name="Percent 68 2 2 2" xfId="4201"/>
    <cellStyle name="Percent 68 2 3" xfId="4200"/>
    <cellStyle name="Percent 68 3" xfId="1069"/>
    <cellStyle name="Percent 68 3 2" xfId="1070"/>
    <cellStyle name="Percent 68 4" xfId="4199"/>
    <cellStyle name="Percent 69" xfId="1071"/>
    <cellStyle name="Percent 69 2" xfId="1072"/>
    <cellStyle name="Percent 69 2 2" xfId="2367"/>
    <cellStyle name="Percent 69 2 2 2" xfId="4204"/>
    <cellStyle name="Percent 69 2 3" xfId="4203"/>
    <cellStyle name="Percent 69 3" xfId="1073"/>
    <cellStyle name="Percent 69 3 2" xfId="1074"/>
    <cellStyle name="Percent 69 4" xfId="4202"/>
    <cellStyle name="Percent 7" xfId="1075"/>
    <cellStyle name="Percent 7 2" xfId="1076"/>
    <cellStyle name="Percent 7 2 2" xfId="3452"/>
    <cellStyle name="Percent 7 2 2 2" xfId="3453"/>
    <cellStyle name="Percent 7 2 3" xfId="3454"/>
    <cellStyle name="Percent 7 3" xfId="3455"/>
    <cellStyle name="Percent 7 3 2" xfId="3456"/>
    <cellStyle name="Percent 7 3 3" xfId="3457"/>
    <cellStyle name="Percent 7 3 4" xfId="4503"/>
    <cellStyle name="Percent 7 4" xfId="3458"/>
    <cellStyle name="Percent 70" xfId="1077"/>
    <cellStyle name="Percent 70 2" xfId="1078"/>
    <cellStyle name="Percent 70 2 2" xfId="2347"/>
    <cellStyle name="Percent 70 2 2 2" xfId="4207"/>
    <cellStyle name="Percent 70 2 3" xfId="4206"/>
    <cellStyle name="Percent 70 3" xfId="1079"/>
    <cellStyle name="Percent 70 3 2" xfId="1080"/>
    <cellStyle name="Percent 70 4" xfId="4205"/>
    <cellStyle name="Percent 71" xfId="1081"/>
    <cellStyle name="Percent 71 2" xfId="1082"/>
    <cellStyle name="Percent 71 2 2" xfId="3459"/>
    <cellStyle name="Percent 71 2 3" xfId="3460"/>
    <cellStyle name="Percent 71 3" xfId="3461"/>
    <cellStyle name="Percent 72" xfId="1083"/>
    <cellStyle name="Percent 72 2" xfId="3462"/>
    <cellStyle name="Percent 72 2 2" xfId="3463"/>
    <cellStyle name="Percent 72 2 3" xfId="3464"/>
    <cellStyle name="Percent 72 3" xfId="3465"/>
    <cellStyle name="Percent 73" xfId="1084"/>
    <cellStyle name="Percent 73 2" xfId="1085"/>
    <cellStyle name="Percent 73 2 2" xfId="3466"/>
    <cellStyle name="Percent 73 2 3" xfId="3467"/>
    <cellStyle name="Percent 73 3" xfId="3468"/>
    <cellStyle name="Percent 74" xfId="1086"/>
    <cellStyle name="Percent 74 2" xfId="1087"/>
    <cellStyle name="Percent 74 2 2" xfId="3469"/>
    <cellStyle name="Percent 74 2 3" xfId="3470"/>
    <cellStyle name="Percent 74 3" xfId="3471"/>
    <cellStyle name="Percent 75" xfId="1088"/>
    <cellStyle name="Percent 75 2" xfId="1089"/>
    <cellStyle name="Percent 75 2 2" xfId="3472"/>
    <cellStyle name="Percent 75 2 3" xfId="3473"/>
    <cellStyle name="Percent 75 3" xfId="3474"/>
    <cellStyle name="Percent 76" xfId="1090"/>
    <cellStyle name="Percent 76 2" xfId="1091"/>
    <cellStyle name="Percent 76 2 2" xfId="3475"/>
    <cellStyle name="Percent 76 2 3" xfId="3476"/>
    <cellStyle name="Percent 76 3" xfId="3477"/>
    <cellStyle name="Percent 77" xfId="1092"/>
    <cellStyle name="Percent 77 2" xfId="1093"/>
    <cellStyle name="Percent 77 2 2" xfId="3478"/>
    <cellStyle name="Percent 77 2 2 2" xfId="3479"/>
    <cellStyle name="Percent 77 2 3" xfId="3480"/>
    <cellStyle name="Percent 77 2 3 2" xfId="3481"/>
    <cellStyle name="Percent 77 2 4" xfId="3482"/>
    <cellStyle name="Percent 77 3" xfId="3483"/>
    <cellStyle name="Percent 77 3 2" xfId="3484"/>
    <cellStyle name="Percent 77 4" xfId="3485"/>
    <cellStyle name="Percent 77 5" xfId="3486"/>
    <cellStyle name="Percent 78" xfId="1094"/>
    <cellStyle name="Percent 78 2" xfId="1095"/>
    <cellStyle name="Percent 78 2 2" xfId="3487"/>
    <cellStyle name="Percent 78 2 3" xfId="3488"/>
    <cellStyle name="Percent 78 3" xfId="3489"/>
    <cellStyle name="Percent 78 4" xfId="3490"/>
    <cellStyle name="Percent 79" xfId="1096"/>
    <cellStyle name="Percent 79 2" xfId="1097"/>
    <cellStyle name="Percent 79 2 2" xfId="3491"/>
    <cellStyle name="Percent 79 2 3" xfId="3492"/>
    <cellStyle name="Percent 79 3" xfId="3493"/>
    <cellStyle name="Percent 8" xfId="1098"/>
    <cellStyle name="Percent 8 2" xfId="1099"/>
    <cellStyle name="Percent 8 2 2" xfId="3494"/>
    <cellStyle name="Percent 8 3" xfId="1100"/>
    <cellStyle name="Percent 8 4" xfId="3495"/>
    <cellStyle name="Percent 8 4 2" xfId="3496"/>
    <cellStyle name="Percent 8 4 3" xfId="4160"/>
    <cellStyle name="Percent 8 4 3 2" xfId="6847"/>
    <cellStyle name="Percent 8 5" xfId="3497"/>
    <cellStyle name="Percent 8 5 2" xfId="4159"/>
    <cellStyle name="Percent 80" xfId="1101"/>
    <cellStyle name="Percent 80 2" xfId="1102"/>
    <cellStyle name="Percent 80 2 2" xfId="3498"/>
    <cellStyle name="Percent 80 2 3" xfId="3499"/>
    <cellStyle name="Percent 80 3" xfId="3500"/>
    <cellStyle name="Percent 81" xfId="1103"/>
    <cellStyle name="Percent 81 2" xfId="1104"/>
    <cellStyle name="Percent 81 2 2" xfId="3501"/>
    <cellStyle name="Percent 81 2 3" xfId="3502"/>
    <cellStyle name="Percent 81 3" xfId="3503"/>
    <cellStyle name="Percent 82" xfId="1105"/>
    <cellStyle name="Percent 82 2" xfId="1106"/>
    <cellStyle name="Percent 82 2 2" xfId="3504"/>
    <cellStyle name="Percent 82 3" xfId="3505"/>
    <cellStyle name="Percent 83" xfId="1107"/>
    <cellStyle name="Percent 83 2" xfId="1108"/>
    <cellStyle name="Percent 83 2 2" xfId="3506"/>
    <cellStyle name="Percent 83 3" xfId="3507"/>
    <cellStyle name="Percent 84" xfId="1109"/>
    <cellStyle name="Percent 84 2" xfId="1110"/>
    <cellStyle name="Percent 84 2 2" xfId="3508"/>
    <cellStyle name="Percent 84 3" xfId="3509"/>
    <cellStyle name="Percent 85" xfId="1111"/>
    <cellStyle name="Percent 85 2" xfId="3510"/>
    <cellStyle name="Percent 85 3" xfId="3511"/>
    <cellStyle name="Percent 86" xfId="1112"/>
    <cellStyle name="Percent 86 2" xfId="3512"/>
    <cellStyle name="Percent 86 3" xfId="3513"/>
    <cellStyle name="Percent 87" xfId="1113"/>
    <cellStyle name="Percent 87 2" xfId="3514"/>
    <cellStyle name="Percent 87 3" xfId="3515"/>
    <cellStyle name="Percent 88" xfId="1114"/>
    <cellStyle name="Percent 88 2" xfId="3516"/>
    <cellStyle name="Percent 88 3" xfId="3517"/>
    <cellStyle name="Percent 89" xfId="1115"/>
    <cellStyle name="Percent 89 2" xfId="1116"/>
    <cellStyle name="Percent 89 3" xfId="3518"/>
    <cellStyle name="Percent 9" xfId="1117"/>
    <cellStyle name="Percent 9 2" xfId="1118"/>
    <cellStyle name="Percent 9 2 2" xfId="1119"/>
    <cellStyle name="Percent 9 2 2 2" xfId="3519"/>
    <cellStyle name="Percent 9 2 3" xfId="3520"/>
    <cellStyle name="Percent 9 2 3 2" xfId="4504"/>
    <cellStyle name="Percent 9 2 3 3" xfId="4305"/>
    <cellStyle name="Percent 9 3" xfId="1120"/>
    <cellStyle name="Percent 9 3 2" xfId="4208"/>
    <cellStyle name="Percent 9 4" xfId="1121"/>
    <cellStyle name="Percent 9 4 2" xfId="1122"/>
    <cellStyle name="Percent 9 5" xfId="3521"/>
    <cellStyle name="Percent 9 5 2" xfId="3522"/>
    <cellStyle name="Percent 9 5 3" xfId="3523"/>
    <cellStyle name="Percent 9 5 4" xfId="4161"/>
    <cellStyle name="Percent 9 5 4 2" xfId="6848"/>
    <cellStyle name="Percent 9 6" xfId="3524"/>
    <cellStyle name="Percent 90" xfId="1123"/>
    <cellStyle name="Percent 90 2" xfId="1124"/>
    <cellStyle name="Percent 90 3" xfId="3525"/>
    <cellStyle name="Percent 91" xfId="1125"/>
    <cellStyle name="Percent 91 2" xfId="3527"/>
    <cellStyle name="Percent 91 3" xfId="3528"/>
    <cellStyle name="Percent 91 4" xfId="3526"/>
    <cellStyle name="Percent 92" xfId="1126"/>
    <cellStyle name="Percent 92 2" xfId="3530"/>
    <cellStyle name="Percent 92 3" xfId="3531"/>
    <cellStyle name="Percent 92 4" xfId="3532"/>
    <cellStyle name="Percent 92 5" xfId="3529"/>
    <cellStyle name="Percent 93" xfId="1127"/>
    <cellStyle name="Percent 93 2" xfId="3534"/>
    <cellStyle name="Percent 93 3" xfId="3535"/>
    <cellStyle name="Percent 93 4" xfId="3536"/>
    <cellStyle name="Percent 93 5" xfId="3533"/>
    <cellStyle name="Percent 94" xfId="1128"/>
    <cellStyle name="Percent 94 2" xfId="3538"/>
    <cellStyle name="Percent 94 3" xfId="3539"/>
    <cellStyle name="Percent 94 4" xfId="3540"/>
    <cellStyle name="Percent 94 5" xfId="3537"/>
    <cellStyle name="Percent 95" xfId="1129"/>
    <cellStyle name="Percent 95 2" xfId="3541"/>
    <cellStyle name="Percent 95 3" xfId="3542"/>
    <cellStyle name="Percent 95 4" xfId="3543"/>
    <cellStyle name="Percent 96" xfId="3544"/>
    <cellStyle name="Percent 96 2" xfId="3545"/>
    <cellStyle name="Percent 96 3" xfId="3546"/>
    <cellStyle name="Percent 97" xfId="3547"/>
    <cellStyle name="Percent 97 2" xfId="3548"/>
    <cellStyle name="Percent 97 3" xfId="3549"/>
    <cellStyle name="Percent 98" xfId="3550"/>
    <cellStyle name="Percent 98 2" xfId="5050"/>
    <cellStyle name="Percent 98 2 2" xfId="7370"/>
    <cellStyle name="Percent 99" xfId="3551"/>
    <cellStyle name="Percent 99 2" xfId="8814"/>
    <cellStyle name="Percent 99 3" xfId="8757"/>
    <cellStyle name="Percent.0" xfId="1130"/>
    <cellStyle name="Percent.0 2" xfId="3552"/>
    <cellStyle name="Percent[1]" xfId="3553"/>
    <cellStyle name="Percent0" xfId="3554"/>
    <cellStyle name="Percent1" xfId="3555"/>
    <cellStyle name="Percent1 2" xfId="4039"/>
    <cellStyle name="Percent2" xfId="3556"/>
    <cellStyle name="Percent2 2" xfId="4040"/>
    <cellStyle name="percentage" xfId="3557"/>
    <cellStyle name="Percentage[1]" xfId="4041"/>
    <cellStyle name="PercentChange" xfId="4042"/>
    <cellStyle name="Percent-Input" xfId="3558"/>
    <cellStyle name="PercentPresentation" xfId="3559"/>
    <cellStyle name="POPS" xfId="3560"/>
    <cellStyle name="PresentationZero" xfId="3561"/>
    <cellStyle name="price" xfId="3562"/>
    <cellStyle name="ProgramVariable" xfId="4043"/>
    <cellStyle name="ProtectedDates" xfId="1131"/>
    <cellStyle name="q_AA - BenefitsBonus " xfId="3563"/>
    <cellStyle name="Ratio" xfId="4044"/>
    <cellStyle name="Ratios" xfId="4045"/>
    <cellStyle name="RatioX" xfId="4046"/>
    <cellStyle name="RED" xfId="1132"/>
    <cellStyle name="RED 2" xfId="3564"/>
    <cellStyle name="Ref Numbers" xfId="1133"/>
    <cellStyle name="Ref Numbers 2" xfId="3565"/>
    <cellStyle name="Report" xfId="4047"/>
    <cellStyle name="Restruct" xfId="1134"/>
    <cellStyle name="Restruct 2" xfId="1135"/>
    <cellStyle name="Restruct 2 2" xfId="1136"/>
    <cellStyle name="Restruct 2 2 2" xfId="3567"/>
    <cellStyle name="Restruct 2 3" xfId="3566"/>
    <cellStyle name="Restruct 3" xfId="3568"/>
    <cellStyle name="Restruct 3 2" xfId="3569"/>
    <cellStyle name="Restruct 3 3" xfId="4091"/>
    <cellStyle name="Restruct 4" xfId="3570"/>
    <cellStyle name="Restruct 4 2" xfId="3571"/>
    <cellStyle name="Restruct 4 2 2" xfId="3572"/>
    <cellStyle name="Restruct 4 2 3" xfId="3573"/>
    <cellStyle name="Restruct 4 3" xfId="3574"/>
    <cellStyle name="RevList" xfId="3575"/>
    <cellStyle name="Right" xfId="1137"/>
    <cellStyle name="Role" xfId="4048"/>
    <cellStyle name="RRSInstruction" xfId="1138"/>
    <cellStyle name="RRSInstruction 2" xfId="1139"/>
    <cellStyle name="RRSInstruction 2 2" xfId="3576"/>
    <cellStyle name="RRSInstruction 3" xfId="3577"/>
    <cellStyle name="RRSInstruction 4" xfId="4170"/>
    <cellStyle name="s_DCFLBO Code_Wireline Tel Forecast " xfId="1140"/>
    <cellStyle name="s_DCFLBO Code_Wireline Tel Forecast  2" xfId="3578"/>
    <cellStyle name="s_DCFLBO Code_Wireline Tel Forecast  2 2" xfId="3579"/>
    <cellStyle name="s_HardInc " xfId="1141"/>
    <cellStyle name="s_HardInc  2" xfId="3580"/>
    <cellStyle name="s_HardInc  2 2" xfId="3581"/>
    <cellStyle name="s_HardInc _Catalog" xfId="3582"/>
    <cellStyle name="s_HardInc _JapaneseCatalog" xfId="3583"/>
    <cellStyle name="s_HardInc _RRST1" xfId="1142"/>
    <cellStyle name="s_HardInc _RRST1 2" xfId="1143"/>
    <cellStyle name="s_HardInc _RRST12" xfId="1144"/>
    <cellStyle name="s_HardInc _RRST19" xfId="1145"/>
    <cellStyle name="s_HardInc _RRST19 2" xfId="1146"/>
    <cellStyle name="s_HardInc _RRST20" xfId="1147"/>
    <cellStyle name="s_HardInc _RRST20 2" xfId="1148"/>
    <cellStyle name="s_HardInc _RRST25" xfId="1149"/>
    <cellStyle name="s_HardInc _RRST25 2" xfId="1150"/>
    <cellStyle name="s_HardInc _RRST3" xfId="1151"/>
    <cellStyle name="s_HardInc _RRST6" xfId="1152"/>
    <cellStyle name="s_HardInc _RRST6 2" xfId="1153"/>
    <cellStyle name="s_HardInc _RRST9" xfId="1154"/>
    <cellStyle name="s_HardInc _RRST9 2" xfId="1155"/>
    <cellStyle name="s_Valuation " xfId="1156"/>
    <cellStyle name="s_Valuation  2" xfId="3584"/>
    <cellStyle name="s_Valuation  2 2" xfId="3585"/>
    <cellStyle name="s_Valuation _Catalog" xfId="3586"/>
    <cellStyle name="s_Valuation _JapaneseCatalog" xfId="3587"/>
    <cellStyle name="s_Valuation _RRST1" xfId="1157"/>
    <cellStyle name="s_Valuation _RRST1 2" xfId="1158"/>
    <cellStyle name="s_Valuation _RRST12" xfId="1159"/>
    <cellStyle name="s_Valuation _RRST19" xfId="1160"/>
    <cellStyle name="s_Valuation _RRST19 2" xfId="1161"/>
    <cellStyle name="s_Valuation _RRST20" xfId="1162"/>
    <cellStyle name="s_Valuation _RRST20 2" xfId="1163"/>
    <cellStyle name="s_Valuation _RRST25" xfId="1164"/>
    <cellStyle name="s_Valuation _RRST25 2" xfId="1165"/>
    <cellStyle name="s_Valuation _RRST3" xfId="1166"/>
    <cellStyle name="s_Valuation _RRST6" xfId="1167"/>
    <cellStyle name="s_Valuation _RRST6 2" xfId="1168"/>
    <cellStyle name="s_Valuation _RRST9" xfId="1169"/>
    <cellStyle name="s_Valuation _RRST9 2" xfId="1170"/>
    <cellStyle name="ScripFactor" xfId="4049"/>
    <cellStyle name="SectionHeaderNormal" xfId="3588"/>
    <cellStyle name="SectionHeading" xfId="4050"/>
    <cellStyle name="Shade" xfId="4051"/>
    <cellStyle name="Shaded" xfId="3589"/>
    <cellStyle name="Shares" xfId="3590"/>
    <cellStyle name="Source Line" xfId="1171"/>
    <cellStyle name="Source Line 2" xfId="3591"/>
    <cellStyle name="SPEC" xfId="4052"/>
    <cellStyle name="ssp " xfId="1172"/>
    <cellStyle name="Standard" xfId="4053"/>
    <cellStyle name="Style 1" xfId="1173"/>
    <cellStyle name="Style 1 10" xfId="1174"/>
    <cellStyle name="Style 1 10 2" xfId="1175"/>
    <cellStyle name="Style 1 11" xfId="1176"/>
    <cellStyle name="Style 1 11 2" xfId="1177"/>
    <cellStyle name="Style 1 11 2 2" xfId="3592"/>
    <cellStyle name="Style 1 11 3" xfId="3593"/>
    <cellStyle name="Style 1 11 4" xfId="3594"/>
    <cellStyle name="Style 1 12" xfId="1178"/>
    <cellStyle name="Style 1 12 2" xfId="1179"/>
    <cellStyle name="Style 1 13" xfId="1180"/>
    <cellStyle name="Style 1 13 2" xfId="1181"/>
    <cellStyle name="Style 1 13 2 2" xfId="3595"/>
    <cellStyle name="Style 1 13 3" xfId="3596"/>
    <cellStyle name="Style 1 13 4" xfId="3597"/>
    <cellStyle name="Style 1 14" xfId="1182"/>
    <cellStyle name="Style 1 14 2" xfId="1183"/>
    <cellStyle name="Style 1 14 3" xfId="3598"/>
    <cellStyle name="Style 1 15" xfId="1184"/>
    <cellStyle name="Style 1 15 2" xfId="3600"/>
    <cellStyle name="Style 1 15 3" xfId="3599"/>
    <cellStyle name="Style 1 16" xfId="3601"/>
    <cellStyle name="Style 1 16 2" xfId="3602"/>
    <cellStyle name="Style 1 2" xfId="1185"/>
    <cellStyle name="Style 1 2 2" xfId="1186"/>
    <cellStyle name="Style 1 2 2 2" xfId="1187"/>
    <cellStyle name="Style 1 2 2 2 2" xfId="3603"/>
    <cellStyle name="Style 1 2 2 2 2 2" xfId="3604"/>
    <cellStyle name="Style 1 2 2 2 2 3" xfId="4505"/>
    <cellStyle name="Style 1 2 2 2 3" xfId="3605"/>
    <cellStyle name="Style 1 2 2 3" xfId="3606"/>
    <cellStyle name="Style 1 2 2 3 2" xfId="3607"/>
    <cellStyle name="Style 1 2 2 3 3" xfId="3608"/>
    <cellStyle name="Style 1 2 2 4" xfId="3609"/>
    <cellStyle name="Style 1 2 2 4 2" xfId="3610"/>
    <cellStyle name="Style 1 2 2 5" xfId="3611"/>
    <cellStyle name="Style 1 2 3" xfId="1188"/>
    <cellStyle name="Style 1 2 3 2" xfId="3612"/>
    <cellStyle name="Style 1 2 3 2 2" xfId="3613"/>
    <cellStyle name="Style 1 2 3 3" xfId="3614"/>
    <cellStyle name="Style 1 2 4" xfId="1189"/>
    <cellStyle name="Style 1 2 4 2" xfId="3615"/>
    <cellStyle name="Style 1 2 5" xfId="3616"/>
    <cellStyle name="Style 1 2 5 2" xfId="3617"/>
    <cellStyle name="Style 1 2 5 3" xfId="3618"/>
    <cellStyle name="Style 1 2 6" xfId="3619"/>
    <cellStyle name="Style 1 2 7" xfId="3620"/>
    <cellStyle name="Style 1 3" xfId="1190"/>
    <cellStyle name="Style 1 3 2" xfId="1191"/>
    <cellStyle name="Style 1 3 2 2" xfId="1192"/>
    <cellStyle name="Style 1 3 2 2 2" xfId="1193"/>
    <cellStyle name="Style 1 3 2 2 3" xfId="3621"/>
    <cellStyle name="Style 1 3 2 2 3 2" xfId="4506"/>
    <cellStyle name="Style 1 3 2 2 3 3" xfId="4307"/>
    <cellStyle name="Style 1 3 2 3" xfId="1194"/>
    <cellStyle name="Style 1 3 2 4" xfId="1195"/>
    <cellStyle name="Style 1 3 2 5" xfId="1196"/>
    <cellStyle name="Style 1 3 2 6" xfId="1197"/>
    <cellStyle name="Style 1 3 3" xfId="1198"/>
    <cellStyle name="Style 1 3 3 2" xfId="1199"/>
    <cellStyle name="Style 1 3 3 2 2" xfId="3622"/>
    <cellStyle name="Style 1 3 3 3" xfId="3623"/>
    <cellStyle name="Style 1 3 3 3 2" xfId="4507"/>
    <cellStyle name="Style 1 3 3 3 3" xfId="4308"/>
    <cellStyle name="Style 1 3 4" xfId="1200"/>
    <cellStyle name="Style 1 3 4 2" xfId="3624"/>
    <cellStyle name="Style 1 3 5" xfId="1201"/>
    <cellStyle name="Style 1 3 6" xfId="1202"/>
    <cellStyle name="Style 1 3 7" xfId="1203"/>
    <cellStyle name="Style 1 3 8" xfId="3625"/>
    <cellStyle name="Style 1 4" xfId="1204"/>
    <cellStyle name="Style 1 4 2" xfId="1205"/>
    <cellStyle name="Style 1 4 2 2" xfId="1206"/>
    <cellStyle name="Style 1 4 2 2 2" xfId="1207"/>
    <cellStyle name="Style 1 4 2 2 2 2" xfId="3626"/>
    <cellStyle name="Style 1 4 2 2 2 2 2" xfId="4508"/>
    <cellStyle name="Style 1 4 2 2 2 2 3" xfId="4309"/>
    <cellStyle name="Style 1 4 2 3" xfId="1208"/>
    <cellStyle name="Style 1 4 2 3 2" xfId="3627"/>
    <cellStyle name="Style 1 4 2 3 3" xfId="3628"/>
    <cellStyle name="Style 1 4 2 4" xfId="1209"/>
    <cellStyle name="Style 1 4 2 5" xfId="3629"/>
    <cellStyle name="Style 1 4 3" xfId="1210"/>
    <cellStyle name="Style 1 4 3 2" xfId="1211"/>
    <cellStyle name="Style 1 4 3 2 2" xfId="3630"/>
    <cellStyle name="Style 1 4 3 2 2 2" xfId="4509"/>
    <cellStyle name="Style 1 4 3 2 2 3" xfId="4310"/>
    <cellStyle name="Style 1 4 3 2 3" xfId="3631"/>
    <cellStyle name="Style 1 4 3 3" xfId="3632"/>
    <cellStyle name="Style 1 4 3 3 2" xfId="3633"/>
    <cellStyle name="Style 1 4 4" xfId="1212"/>
    <cellStyle name="Style 1 4 4 2" xfId="3634"/>
    <cellStyle name="Style 1 4 4 2 2" xfId="3635"/>
    <cellStyle name="Style 1 4 4 3" xfId="3636"/>
    <cellStyle name="Style 1 4 5" xfId="1213"/>
    <cellStyle name="Style 1 4 5 2" xfId="3637"/>
    <cellStyle name="Style 1 4 6" xfId="3638"/>
    <cellStyle name="Style 1 4 6 2" xfId="3639"/>
    <cellStyle name="Style 1 4 6 3" xfId="3640"/>
    <cellStyle name="Style 1 4 7" xfId="3641"/>
    <cellStyle name="Style 1 5" xfId="1214"/>
    <cellStyle name="Style 1 5 2" xfId="1215"/>
    <cellStyle name="Style 1 5 2 2" xfId="1216"/>
    <cellStyle name="Style 1 5 2 2 2" xfId="1217"/>
    <cellStyle name="Style 1 5 2 2 2 2" xfId="3642"/>
    <cellStyle name="Style 1 5 2 2 2 2 2" xfId="4510"/>
    <cellStyle name="Style 1 5 2 2 2 2 3" xfId="4311"/>
    <cellStyle name="Style 1 5 2 3" xfId="1218"/>
    <cellStyle name="Style 1 5 2 3 2" xfId="3643"/>
    <cellStyle name="Style 1 5 2 3 3" xfId="3644"/>
    <cellStyle name="Style 1 5 2 4" xfId="3645"/>
    <cellStyle name="Style 1 5 3" xfId="1219"/>
    <cellStyle name="Style 1 5 3 2" xfId="3646"/>
    <cellStyle name="Style 1 5 4" xfId="1220"/>
    <cellStyle name="Style 1 5 4 2" xfId="3647"/>
    <cellStyle name="Style 1 5 4 3" xfId="3648"/>
    <cellStyle name="Style 1 5 5" xfId="1221"/>
    <cellStyle name="Style 1 5 5 2" xfId="3649"/>
    <cellStyle name="Style 1 5 6" xfId="3650"/>
    <cellStyle name="Style 1 5 6 2" xfId="3651"/>
    <cellStyle name="Style 1 6" xfId="1222"/>
    <cellStyle name="Style 1 6 2" xfId="1223"/>
    <cellStyle name="Style 1 6 2 2" xfId="1224"/>
    <cellStyle name="Style 1 6 2 2 2" xfId="3653"/>
    <cellStyle name="Style 1 6 2 2 3" xfId="3654"/>
    <cellStyle name="Style 1 6 2 3" xfId="1225"/>
    <cellStyle name="Style 1 6 2 3 2" xfId="3655"/>
    <cellStyle name="Style 1 6 2 3 3" xfId="3656"/>
    <cellStyle name="Style 1 6 2 4" xfId="4210"/>
    <cellStyle name="Style 1 6 3" xfId="1226"/>
    <cellStyle name="Style 1 6 3 2" xfId="3657"/>
    <cellStyle name="Style 1 6 3 3" xfId="3658"/>
    <cellStyle name="Style 1 6 4" xfId="1227"/>
    <cellStyle name="Style 1 6 4 2" xfId="3659"/>
    <cellStyle name="Style 1 6 4 3" xfId="3660"/>
    <cellStyle name="Style 1 6 5" xfId="4209"/>
    <cellStyle name="Style 1 7" xfId="1228"/>
    <cellStyle name="Style 1 7 2" xfId="1229"/>
    <cellStyle name="Style 1 7 2 2" xfId="4212"/>
    <cellStyle name="Style 1 7 3" xfId="1230"/>
    <cellStyle name="Style 1 7 3 2" xfId="3661"/>
    <cellStyle name="Style 1 7 3 3" xfId="3662"/>
    <cellStyle name="Style 1 7 4" xfId="1231"/>
    <cellStyle name="Style 1 7 4 2" xfId="3663"/>
    <cellStyle name="Style 1 7 4 3" xfId="3664"/>
    <cellStyle name="Style 1 7 5" xfId="4211"/>
    <cellStyle name="Style 1 8" xfId="1232"/>
    <cellStyle name="Style 1 8 2" xfId="1233"/>
    <cellStyle name="Style 1 8 2 2" xfId="3665"/>
    <cellStyle name="Style 1 8 2 2 2" xfId="4215"/>
    <cellStyle name="Style 1 8 2 2 3" xfId="4511"/>
    <cellStyle name="Style 1 8 2 2 4" xfId="2174"/>
    <cellStyle name="Style 1 8 2 3" xfId="4214"/>
    <cellStyle name="Style 1 8 3" xfId="1234"/>
    <cellStyle name="Style 1 8 3 2" xfId="1235"/>
    <cellStyle name="Style 1 8 3 3" xfId="3666"/>
    <cellStyle name="Style 1 8 4" xfId="3667"/>
    <cellStyle name="Style 1 8 4 2" xfId="4512"/>
    <cellStyle name="Style 1 8 4 3" xfId="4213"/>
    <cellStyle name="Style 1 9" xfId="1236"/>
    <cellStyle name="Style 1 9 2" xfId="1237"/>
    <cellStyle name="Style 1 9 2 2" xfId="3668"/>
    <cellStyle name="Style 1 9 2 3" xfId="3669"/>
    <cellStyle name="Style 1 9 2 3 2" xfId="4513"/>
    <cellStyle name="Style 1 9 2 3 3" xfId="4313"/>
    <cellStyle name="Style 1 9 3" xfId="3670"/>
    <cellStyle name="Style 1 9 4" xfId="3671"/>
    <cellStyle name="Style 1 9 4 2" xfId="4514"/>
    <cellStyle name="Style 1 9 4 3" xfId="4312"/>
    <cellStyle name="Style 1_Exhibits" xfId="1238"/>
    <cellStyle name="Style 2" xfId="1239"/>
    <cellStyle name="Style 2 2" xfId="1240"/>
    <cellStyle name="Style 2 2 2" xfId="1241"/>
    <cellStyle name="Style 2 2 2 2" xfId="3672"/>
    <cellStyle name="Style 2 2 3" xfId="3673"/>
    <cellStyle name="Style 2 3" xfId="1242"/>
    <cellStyle name="Style 2 3 2" xfId="1243"/>
    <cellStyle name="Style 2 3 2 2" xfId="3674"/>
    <cellStyle name="Style 2 3 2 2 2" xfId="4515"/>
    <cellStyle name="Style 2 3 2 2 3" xfId="4218"/>
    <cellStyle name="Style 2 3 3" xfId="4217"/>
    <cellStyle name="Style 2 3 4" xfId="4314"/>
    <cellStyle name="Style 2 4" xfId="1244"/>
    <cellStyle name="Style 2 4 2" xfId="1245"/>
    <cellStyle name="Style 2 4 2 2" xfId="3675"/>
    <cellStyle name="Style 2 4 2 2 2" xfId="4516"/>
    <cellStyle name="Style 2 4 2 2 3" xfId="4220"/>
    <cellStyle name="Style 2 4 3" xfId="3676"/>
    <cellStyle name="Style 2 4 3 2" xfId="4517"/>
    <cellStyle name="Style 2 4 3 3" xfId="4219"/>
    <cellStyle name="Style 2 5" xfId="1246"/>
    <cellStyle name="Style 2 5 2" xfId="1247"/>
    <cellStyle name="Style 2 5 2 2" xfId="4222"/>
    <cellStyle name="Style 2 5 3" xfId="3677"/>
    <cellStyle name="Style 2 5 3 2" xfId="4518"/>
    <cellStyle name="Style 2 5 3 3" xfId="4221"/>
    <cellStyle name="Style 2 6" xfId="1248"/>
    <cellStyle name="Style 2 6 2" xfId="4223"/>
    <cellStyle name="Style 2 7" xfId="4216"/>
    <cellStyle name="Style 2 7 2" xfId="4315"/>
    <cellStyle name="Style 21" xfId="3678"/>
    <cellStyle name="Style 22" xfId="3679"/>
    <cellStyle name="Style 23" xfId="3680"/>
    <cellStyle name="Style 24" xfId="3681"/>
    <cellStyle name="Style 24 2" xfId="3682"/>
    <cellStyle name="Style 25" xfId="3683"/>
    <cellStyle name="Style 26" xfId="3684"/>
    <cellStyle name="Style 26 2" xfId="3685"/>
    <cellStyle name="Style 27" xfId="3686"/>
    <cellStyle name="Style 3" xfId="1249"/>
    <cellStyle name="Style 3 2" xfId="1250"/>
    <cellStyle name="Style 3 2 2" xfId="3687"/>
    <cellStyle name="Style 3 2 2 2" xfId="4164"/>
    <cellStyle name="Style 32" xfId="3688"/>
    <cellStyle name="Style 4" xfId="1251"/>
    <cellStyle name="Style 4 2" xfId="1252"/>
    <cellStyle name="Style 4 2 2" xfId="3689"/>
    <cellStyle name="Style 4 2 2 2" xfId="4165"/>
    <cellStyle name="Style 5" xfId="1253"/>
    <cellStyle name="Style 5 2" xfId="1254"/>
    <cellStyle name="Style 5 2 2" xfId="1255"/>
    <cellStyle name="Style 5 2 2 2" xfId="3690"/>
    <cellStyle name="Style 5 2 2 2 2" xfId="3691"/>
    <cellStyle name="Style 5 2 2 3" xfId="3692"/>
    <cellStyle name="Style 5 2 3" xfId="3693"/>
    <cellStyle name="Style 5 2 3 2" xfId="3694"/>
    <cellStyle name="Style 5 2 3 3" xfId="3695"/>
    <cellStyle name="Style 5 2 4" xfId="3696"/>
    <cellStyle name="Style 5 3" xfId="1256"/>
    <cellStyle name="Style 5 3 2" xfId="1257"/>
    <cellStyle name="Style 5 3 2 2" xfId="3697"/>
    <cellStyle name="Style 5 3 3" xfId="3698"/>
    <cellStyle name="Style 5 4" xfId="1258"/>
    <cellStyle name="Style 5 4 2" xfId="1259"/>
    <cellStyle name="Style 5 4 2 2" xfId="4225"/>
    <cellStyle name="Style 5 4 3" xfId="4224"/>
    <cellStyle name="Style 5 5" xfId="1260"/>
    <cellStyle name="Style 5 5 2" xfId="1261"/>
    <cellStyle name="Style 5 5 2 2" xfId="4227"/>
    <cellStyle name="Style 5 5 3" xfId="4226"/>
    <cellStyle name="Style 5 6" xfId="1262"/>
    <cellStyle name="Style 5 6 2" xfId="4228"/>
    <cellStyle name="Style 5 7" xfId="3699"/>
    <cellStyle name="Style 5 7 2" xfId="3700"/>
    <cellStyle name="Style 5 8" xfId="3701"/>
    <cellStyle name="Style 5 8 2" xfId="3702"/>
    <cellStyle name="Style 6" xfId="3703"/>
    <cellStyle name="Style 7" xfId="3704"/>
    <cellStyle name="Style 8" xfId="3705"/>
    <cellStyle name="STYLE1" xfId="3706"/>
    <cellStyle name="STYLE2" xfId="3707"/>
    <cellStyle name="styleColumnTitles" xfId="3708"/>
    <cellStyle name="styleSeriesAttributes" xfId="3709"/>
    <cellStyle name="styleSeriesData" xfId="3710"/>
    <cellStyle name="styleSeriesDataForecast" xfId="3711"/>
    <cellStyle name="SubDollar" xfId="3712"/>
    <cellStyle name="SubGrowthRate" xfId="3713"/>
    <cellStyle name="Subhead" xfId="3714"/>
    <cellStyle name="Subscribers" xfId="3715"/>
    <cellStyle name="SubScript" xfId="3716"/>
    <cellStyle name="Subtotal" xfId="3717"/>
    <cellStyle name="SubVariable" xfId="3718"/>
    <cellStyle name="SuperScript" xfId="3719"/>
    <cellStyle name="Synopsis" xfId="4054"/>
    <cellStyle name="Synopsis 2" xfId="4122"/>
    <cellStyle name="Table Heading" xfId="1263"/>
    <cellStyle name="Table Title" xfId="3720"/>
    <cellStyle name="Table Units" xfId="3721"/>
    <cellStyle name="Table Units 2" xfId="3722"/>
    <cellStyle name="Table Units 3" xfId="4152"/>
    <cellStyle name="TableName" xfId="3723"/>
    <cellStyle name="TableName 2" xfId="4055"/>
    <cellStyle name="Text Wrap" xfId="3724"/>
    <cellStyle name="textbold" xfId="1264"/>
    <cellStyle name="TextBold 10" xfId="8764"/>
    <cellStyle name="textbold 2" xfId="1265"/>
    <cellStyle name="textbold 3" xfId="3725"/>
    <cellStyle name="TextBold 4" xfId="3726"/>
    <cellStyle name="TextBold 5" xfId="3727"/>
    <cellStyle name="TextBold 6" xfId="5055"/>
    <cellStyle name="TextBold 7" xfId="8769"/>
    <cellStyle name="TextBold 8" xfId="8771"/>
    <cellStyle name="TextBold 9" xfId="8759"/>
    <cellStyle name="Text-fin statements" xfId="4056"/>
    <cellStyle name="TextItalic" xfId="3728"/>
    <cellStyle name="TextNormal" xfId="3729"/>
    <cellStyle name="Title" xfId="1266" builtinId="15" customBuiltin="1"/>
    <cellStyle name="Title 2" xfId="1267"/>
    <cellStyle name="Title 3" xfId="3730"/>
    <cellStyle name="Title 3 2" xfId="3731"/>
    <cellStyle name="Title 3 3" xfId="3732"/>
    <cellStyle name="Title 3 4" xfId="4519"/>
    <cellStyle name="Title 3 5" xfId="4316"/>
    <cellStyle name="Title 4" xfId="4367"/>
    <cellStyle name="Title Line" xfId="1268"/>
    <cellStyle name="title1" xfId="1269"/>
    <cellStyle name="title2" xfId="1270"/>
    <cellStyle name="TitleBar" xfId="4057"/>
    <cellStyle name="TitleII" xfId="3733"/>
    <cellStyle name="TitleNormal" xfId="3734"/>
    <cellStyle name="Titles" xfId="1271"/>
    <cellStyle name="Titles 2" xfId="4058"/>
    <cellStyle name="Titre colonne" xfId="4317"/>
    <cellStyle name="Titre colonnes" xfId="4318"/>
    <cellStyle name="Titre general" xfId="4319"/>
    <cellStyle name="Titre général" xfId="4320"/>
    <cellStyle name="Titre ligne" xfId="4321"/>
    <cellStyle name="Titre lignes" xfId="4322"/>
    <cellStyle name="Titre tableau" xfId="4323"/>
    <cellStyle name="top" xfId="3735"/>
    <cellStyle name="Top Line" xfId="1272"/>
    <cellStyle name="Top Row" xfId="1273"/>
    <cellStyle name="Top Row 10" xfId="3736"/>
    <cellStyle name="Top Row 11" xfId="3737"/>
    <cellStyle name="Top Row 2" xfId="1274"/>
    <cellStyle name="Top Row 3" xfId="3738"/>
    <cellStyle name="Top Row 4" xfId="3739"/>
    <cellStyle name="Top Row 5" xfId="3740"/>
    <cellStyle name="Top Row 6" xfId="3741"/>
    <cellStyle name="Top Row 7" xfId="3742"/>
    <cellStyle name="Top Row 8" xfId="3743"/>
    <cellStyle name="Top Row 9" xfId="3744"/>
    <cellStyle name="Top Row_10794" xfId="3745"/>
    <cellStyle name="top-title" xfId="3746"/>
    <cellStyle name="Total" xfId="1275" builtinId="25" customBuiltin="1"/>
    <cellStyle name="Total 10" xfId="3747"/>
    <cellStyle name="Total 11" xfId="4379"/>
    <cellStyle name="Total 2" xfId="1276"/>
    <cellStyle name="Total 2 2" xfId="1277"/>
    <cellStyle name="Total 2 2 2" xfId="3748"/>
    <cellStyle name="Total 2 3" xfId="4168"/>
    <cellStyle name="Total 3" xfId="3749"/>
    <cellStyle name="Total 3 2" xfId="3750"/>
    <cellStyle name="Total 3 3" xfId="4520"/>
    <cellStyle name="Total 3 4" xfId="4324"/>
    <cellStyle name="Total 4" xfId="3751"/>
    <cellStyle name="Total 5" xfId="3752"/>
    <cellStyle name="Total 6" xfId="3753"/>
    <cellStyle name="Total 7" xfId="3754"/>
    <cellStyle name="Total 8" xfId="3755"/>
    <cellStyle name="Total 9" xfId="3756"/>
    <cellStyle name="Total intermediaire" xfId="4325"/>
    <cellStyle name="Total intermediaire 0" xfId="4326"/>
    <cellStyle name="Total intermediaire 1" xfId="4327"/>
    <cellStyle name="Total intermediaire_Sheet1" xfId="4328"/>
    <cellStyle name="Total Row" xfId="1278"/>
    <cellStyle name="Total tableau" xfId="4329"/>
    <cellStyle name="Totals" xfId="1279"/>
    <cellStyle name="TRHyperlink" xfId="4330"/>
    <cellStyle name="underline 1 decimal" xfId="1280"/>
    <cellStyle name="UnderlineNormal" xfId="3757"/>
    <cellStyle name="UnderlineNormal 2" xfId="4059"/>
    <cellStyle name="Unprot" xfId="3758"/>
    <cellStyle name="Unprot$" xfId="3759"/>
    <cellStyle name="Unprotect" xfId="3760"/>
    <cellStyle name="Unprotected" xfId="3761"/>
    <cellStyle name="UnProtectedCalc" xfId="1281"/>
    <cellStyle name="UnProtectedCalc 2" xfId="3762"/>
    <cellStyle name="UnProtectedCalc 3" xfId="4162"/>
    <cellStyle name="Upload Only" xfId="1282"/>
    <cellStyle name="Upload Only 2" xfId="3763"/>
    <cellStyle name="Use_1dp" xfId="4060"/>
    <cellStyle name="UseB_1dp" xfId="4061"/>
    <cellStyle name="Währung_ACEA" xfId="4331"/>
    <cellStyle name="Warning Text" xfId="1283" builtinId="11" customBuiltin="1"/>
    <cellStyle name="Warning Text 2" xfId="1284"/>
    <cellStyle name="Warning Text 3" xfId="3764"/>
    <cellStyle name="Warning Text 3 2" xfId="3765"/>
    <cellStyle name="WholeNumber" xfId="3766"/>
    <cellStyle name="Year" xfId="1285"/>
    <cellStyle name="Year 2" xfId="1286"/>
    <cellStyle name="Year 2 2" xfId="1287"/>
    <cellStyle name="Year 2 2 2" xfId="3767"/>
    <cellStyle name="Year 2 2 2 2" xfId="3768"/>
    <cellStyle name="Year 2 2 3" xfId="3769"/>
    <cellStyle name="Year 2 3" xfId="3770"/>
    <cellStyle name="Year 2 3 2" xfId="3771"/>
    <cellStyle name="Year 2 4" xfId="3772"/>
    <cellStyle name="Year 3" xfId="1288"/>
    <cellStyle name="Year 3 2" xfId="1289"/>
    <cellStyle name="Year 3 2 2" xfId="3773"/>
    <cellStyle name="Year 3 3" xfId="3774"/>
    <cellStyle name="Year 4" xfId="1290"/>
    <cellStyle name="Year 4 2" xfId="1291"/>
    <cellStyle name="Year 4 2 2" xfId="4230"/>
    <cellStyle name="Year 4 3" xfId="4229"/>
    <cellStyle name="Year 5" xfId="1292"/>
    <cellStyle name="Year 5 2" xfId="1293"/>
    <cellStyle name="Year 5 2 2" xfId="4232"/>
    <cellStyle name="Year 5 3" xfId="4231"/>
    <cellStyle name="Year 6" xfId="1294"/>
    <cellStyle name="Year 6 2" xfId="4233"/>
    <cellStyle name="Year 7" xfId="3775"/>
    <cellStyle name="Year 7 2" xfId="3776"/>
    <cellStyle name="Year 8" xfId="3777"/>
    <cellStyle name="Year 8 2" xfId="3778"/>
    <cellStyle name="Year_FT Valuation " xfId="4062"/>
    <cellStyle name="Years" xfId="3779"/>
    <cellStyle name="パーセント_QTBLNEW" xfId="1295"/>
    <cellStyle name="뷭?_BOOKSHIP_실적현황 " xfId="1296"/>
    <cellStyle name="쉼표_매출총괄(02)" xfId="3780"/>
    <cellStyle name="쬞\?1@" xfId="3781"/>
    <cellStyle name="콤마 [0]_   " xfId="1297"/>
    <cellStyle name="콤마_   " xfId="1298"/>
    <cellStyle name="통화 [0]_AP02MSEst" xfId="1299"/>
    <cellStyle name="통화_AP02MSEst" xfId="1300"/>
    <cellStyle name="표준_0N-HANDLING " xfId="3782"/>
    <cellStyle name="하이퍼링크_000727 IMT-2000 시설투자물량(4210) 4FA고려 필요 " xfId="1301"/>
    <cellStyle name="一般_Book2" xfId="4063"/>
    <cellStyle name="千分位[0]_Book2" xfId="4064"/>
    <cellStyle name="千分位_Book2" xfId="4065"/>
    <cellStyle name="未定義" xfId="3783"/>
    <cellStyle name="桁区切り [0.00]_new dif survey sheet" xfId="1302"/>
    <cellStyle name="標準_5401a" xfId="3785"/>
    <cellStyle name="百分比_Comp1-QSI,Liteon" xfId="4066"/>
    <cellStyle name="貨幣 [0]_Book2" xfId="4067"/>
    <cellStyle name="貨幣_Book2" xfId="4068"/>
    <cellStyle name="超連結_Comp-Global" xfId="4069"/>
  </cellStyles>
  <dxfs count="25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16" Target="../customXml/item1.xml" Type="http://schemas.openxmlformats.org/officeDocument/2006/relationships/customXml"/>
<Relationship Id="rId17" Target="../customXml/item2.xml" Type="http://schemas.openxmlformats.org/officeDocument/2006/relationships/customXml"/>
<Relationship Id="rId18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7</xdr:col>
      <xdr:colOff>390525</xdr:colOff>
      <xdr:row>204</xdr:row>
      <xdr:rowOff>104775</xdr:rowOff>
    </xdr:to>
    <xdr:pic>
      <xdr:nvPicPr>
        <xdr:cNvPr id="30183425" name="Picture 1" descr="C:\Users\sarlinde\AppData\Local\Temp\MercuryPriceRatingHistoryChart\MXIM.O_2018_04_26_18_41_47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2200275</xdr:colOff>
      <xdr:row>0</xdr:row>
      <xdr:rowOff>781050</xdr:rowOff>
    </xdr:to>
    <xdr:pic>
      <xdr:nvPicPr>
        <xdr:cNvPr id="14039904" name="Picture 102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21621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2200275</xdr:colOff>
      <xdr:row>0</xdr:row>
      <xdr:rowOff>781050</xdr:rowOff>
    </xdr:to>
    <xdr:pic>
      <xdr:nvPicPr>
        <xdr:cNvPr id="20531745" name="Picture 128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21621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2200275</xdr:colOff>
      <xdr:row>0</xdr:row>
      <xdr:rowOff>781050</xdr:rowOff>
    </xdr:to>
    <xdr:pic>
      <xdr:nvPicPr>
        <xdr:cNvPr id="26403087" name="Picture 44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21621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  <sheetName val="Chart 6"/>
      <sheetName val="Front page benchmarks_9x3"/>
      <sheetName val="Front page benchmarks_6x5"/>
      <sheetName val="Benchmarks_All_gray2"/>
      <sheetName val="Sector yardstick_OLD"/>
      <sheetName val="Front page benchmarks_6x3"/>
      <sheetName val="Benchmarks_All_gray1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"/>
  <sheetViews>
    <sheetView workbookViewId="0"/>
  </sheetViews>
  <sheetFormatPr defaultRowHeight="12.75"/>
  <sheetData>
    <row r="1" spans="1:2">
      <c r="A1" s="378"/>
      <c r="B1" t="s">
        <v>523</v>
      </c>
    </row>
    <row r="2" spans="1:2"/>
  </sheetData>
  <phoneticPr fontId="24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8"/>
  <sheetViews>
    <sheetView showGridLines="0" tabSelected="1" workbookViewId="0">
      <selection activeCell="Z1" sqref="Z1"/>
    </sheetView>
  </sheetViews>
  <sheetFormatPr defaultRowHeight="12.75"/>
  <cols>
    <col min="1" max="1" width="25.7109375" style="1513" customWidth="1"/>
    <col min="2" max="5" width="9.140625" style="1513"/>
    <col min="6" max="6" width="18.7109375" style="1513" customWidth="1"/>
    <col min="7" max="256" width="9.140625" style="1513"/>
    <col min="257" max="257" width="100.7109375" style="1513" customWidth="1"/>
    <col min="258" max="512" width="9.140625" style="1513"/>
    <col min="513" max="513" width="100.7109375" style="1513" customWidth="1"/>
    <col min="514" max="768" width="9.140625" style="1513"/>
    <col min="769" max="769" width="100.7109375" style="1513" customWidth="1"/>
    <col min="770" max="1024" width="9.140625" style="1513"/>
    <col min="1025" max="1025" width="100.7109375" style="1513" customWidth="1"/>
    <col min="1026" max="1280" width="9.140625" style="1513"/>
    <col min="1281" max="1281" width="100.7109375" style="1513" customWidth="1"/>
    <col min="1282" max="1536" width="9.140625" style="1513"/>
    <col min="1537" max="1537" width="100.7109375" style="1513" customWidth="1"/>
    <col min="1538" max="1792" width="9.140625" style="1513"/>
    <col min="1793" max="1793" width="100.7109375" style="1513" customWidth="1"/>
    <col min="1794" max="2048" width="9.140625" style="1513"/>
    <col min="2049" max="2049" width="100.7109375" style="1513" customWidth="1"/>
    <col min="2050" max="2304" width="9.140625" style="1513"/>
    <col min="2305" max="2305" width="100.7109375" style="1513" customWidth="1"/>
    <col min="2306" max="2560" width="9.140625" style="1513"/>
    <col min="2561" max="2561" width="100.7109375" style="1513" customWidth="1"/>
    <col min="2562" max="2816" width="9.140625" style="1513"/>
    <col min="2817" max="2817" width="100.7109375" style="1513" customWidth="1"/>
    <col min="2818" max="3072" width="9.140625" style="1513"/>
    <col min="3073" max="3073" width="100.7109375" style="1513" customWidth="1"/>
    <col min="3074" max="3328" width="9.140625" style="1513"/>
    <col min="3329" max="3329" width="100.7109375" style="1513" customWidth="1"/>
    <col min="3330" max="3584" width="9.140625" style="1513"/>
    <col min="3585" max="3585" width="100.7109375" style="1513" customWidth="1"/>
    <col min="3586" max="3840" width="9.140625" style="1513"/>
    <col min="3841" max="3841" width="100.7109375" style="1513" customWidth="1"/>
    <col min="3842" max="4096" width="9.140625" style="1513"/>
    <col min="4097" max="4097" width="100.7109375" style="1513" customWidth="1"/>
    <col min="4098" max="4352" width="9.140625" style="1513"/>
    <col min="4353" max="4353" width="100.7109375" style="1513" customWidth="1"/>
    <col min="4354" max="4608" width="9.140625" style="1513"/>
    <col min="4609" max="4609" width="100.7109375" style="1513" customWidth="1"/>
    <col min="4610" max="4864" width="9.140625" style="1513"/>
    <col min="4865" max="4865" width="100.7109375" style="1513" customWidth="1"/>
    <col min="4866" max="5120" width="9.140625" style="1513"/>
    <col min="5121" max="5121" width="100.7109375" style="1513" customWidth="1"/>
    <col min="5122" max="5376" width="9.140625" style="1513"/>
    <col min="5377" max="5377" width="100.7109375" style="1513" customWidth="1"/>
    <col min="5378" max="5632" width="9.140625" style="1513"/>
    <col min="5633" max="5633" width="100.7109375" style="1513" customWidth="1"/>
    <col min="5634" max="5888" width="9.140625" style="1513"/>
    <col min="5889" max="5889" width="100.7109375" style="1513" customWidth="1"/>
    <col min="5890" max="6144" width="9.140625" style="1513"/>
    <col min="6145" max="6145" width="100.7109375" style="1513" customWidth="1"/>
    <col min="6146" max="6400" width="9.140625" style="1513"/>
    <col min="6401" max="6401" width="100.7109375" style="1513" customWidth="1"/>
    <col min="6402" max="6656" width="9.140625" style="1513"/>
    <col min="6657" max="6657" width="100.7109375" style="1513" customWidth="1"/>
    <col min="6658" max="6912" width="9.140625" style="1513"/>
    <col min="6913" max="6913" width="100.7109375" style="1513" customWidth="1"/>
    <col min="6914" max="7168" width="9.140625" style="1513"/>
    <col min="7169" max="7169" width="100.7109375" style="1513" customWidth="1"/>
    <col min="7170" max="7424" width="9.140625" style="1513"/>
    <col min="7425" max="7425" width="100.7109375" style="1513" customWidth="1"/>
    <col min="7426" max="7680" width="9.140625" style="1513"/>
    <col min="7681" max="7681" width="100.7109375" style="1513" customWidth="1"/>
    <col min="7682" max="7936" width="9.140625" style="1513"/>
    <col min="7937" max="7937" width="100.7109375" style="1513" customWidth="1"/>
    <col min="7938" max="8192" width="9.140625" style="1513"/>
    <col min="8193" max="8193" width="100.7109375" style="1513" customWidth="1"/>
    <col min="8194" max="8448" width="9.140625" style="1513"/>
    <col min="8449" max="8449" width="100.7109375" style="1513" customWidth="1"/>
    <col min="8450" max="8704" width="9.140625" style="1513"/>
    <col min="8705" max="8705" width="100.7109375" style="1513" customWidth="1"/>
    <col min="8706" max="8960" width="9.140625" style="1513"/>
    <col min="8961" max="8961" width="100.7109375" style="1513" customWidth="1"/>
    <col min="8962" max="9216" width="9.140625" style="1513"/>
    <col min="9217" max="9217" width="100.7109375" style="1513" customWidth="1"/>
    <col min="9218" max="9472" width="9.140625" style="1513"/>
    <col min="9473" max="9473" width="100.7109375" style="1513" customWidth="1"/>
    <col min="9474" max="9728" width="9.140625" style="1513"/>
    <col min="9729" max="9729" width="100.7109375" style="1513" customWidth="1"/>
    <col min="9730" max="9984" width="9.140625" style="1513"/>
    <col min="9985" max="9985" width="100.7109375" style="1513" customWidth="1"/>
    <col min="9986" max="10240" width="9.140625" style="1513"/>
    <col min="10241" max="10241" width="100.7109375" style="1513" customWidth="1"/>
    <col min="10242" max="10496" width="9.140625" style="1513"/>
    <col min="10497" max="10497" width="100.7109375" style="1513" customWidth="1"/>
    <col min="10498" max="10752" width="9.140625" style="1513"/>
    <col min="10753" max="10753" width="100.7109375" style="1513" customWidth="1"/>
    <col min="10754" max="11008" width="9.140625" style="1513"/>
    <col min="11009" max="11009" width="100.7109375" style="1513" customWidth="1"/>
    <col min="11010" max="11264" width="9.140625" style="1513"/>
    <col min="11265" max="11265" width="100.7109375" style="1513" customWidth="1"/>
    <col min="11266" max="11520" width="9.140625" style="1513"/>
    <col min="11521" max="11521" width="100.7109375" style="1513" customWidth="1"/>
    <col min="11522" max="11776" width="9.140625" style="1513"/>
    <col min="11777" max="11777" width="100.7109375" style="1513" customWidth="1"/>
    <col min="11778" max="12032" width="9.140625" style="1513"/>
    <col min="12033" max="12033" width="100.7109375" style="1513" customWidth="1"/>
    <col min="12034" max="12288" width="9.140625" style="1513"/>
    <col min="12289" max="12289" width="100.7109375" style="1513" customWidth="1"/>
    <col min="12290" max="12544" width="9.140625" style="1513"/>
    <col min="12545" max="12545" width="100.7109375" style="1513" customWidth="1"/>
    <col min="12546" max="12800" width="9.140625" style="1513"/>
    <col min="12801" max="12801" width="100.7109375" style="1513" customWidth="1"/>
    <col min="12802" max="13056" width="9.140625" style="1513"/>
    <col min="13057" max="13057" width="100.7109375" style="1513" customWidth="1"/>
    <col min="13058" max="13312" width="9.140625" style="1513"/>
    <col min="13313" max="13313" width="100.7109375" style="1513" customWidth="1"/>
    <col min="13314" max="13568" width="9.140625" style="1513"/>
    <col min="13569" max="13569" width="100.7109375" style="1513" customWidth="1"/>
    <col min="13570" max="13824" width="9.140625" style="1513"/>
    <col min="13825" max="13825" width="100.7109375" style="1513" customWidth="1"/>
    <col min="13826" max="14080" width="9.140625" style="1513"/>
    <col min="14081" max="14081" width="100.7109375" style="1513" customWidth="1"/>
    <col min="14082" max="14336" width="9.140625" style="1513"/>
    <col min="14337" max="14337" width="100.7109375" style="1513" customWidth="1"/>
    <col min="14338" max="14592" width="9.140625" style="1513"/>
    <col min="14593" max="14593" width="100.7109375" style="1513" customWidth="1"/>
    <col min="14594" max="14848" width="9.140625" style="1513"/>
    <col min="14849" max="14849" width="100.7109375" style="1513" customWidth="1"/>
    <col min="14850" max="15104" width="9.140625" style="1513"/>
    <col min="15105" max="15105" width="100.7109375" style="1513" customWidth="1"/>
    <col min="15106" max="15360" width="9.140625" style="1513"/>
    <col min="15361" max="15361" width="100.7109375" style="1513" customWidth="1"/>
    <col min="15362" max="15616" width="9.140625" style="1513"/>
    <col min="15617" max="15617" width="100.7109375" style="1513" customWidth="1"/>
    <col min="15618" max="15872" width="9.140625" style="1513"/>
    <col min="15873" max="15873" width="100.7109375" style="1513" customWidth="1"/>
    <col min="15874" max="16128" width="9.140625" style="1513"/>
    <col min="16129" max="16129" width="100.7109375" style="1513" customWidth="1"/>
    <col min="16130" max="16384" width="9.140625" style="1513"/>
  </cols>
  <sheetData>
    <row r="1" spans="1:8" ht="30" customHeight="1">
      <c r="A1" s="1511"/>
      <c r="B1" s="1512"/>
      <c r="C1" s="1512"/>
      <c r="D1" s="1512"/>
      <c r="E1" s="1512"/>
      <c r="F1" s="1512"/>
      <c r="G1" s="1512"/>
      <c r="H1" s="1512"/>
    </row>
    <row r="2" spans="1:8" ht="14.25">
      <c r="A2" s="1514" t="s">
        <v>660</v>
      </c>
      <c r="B2" s="1512"/>
      <c r="C2" s="1512"/>
      <c r="D2" s="1512"/>
      <c r="E2" s="1512"/>
      <c r="F2" s="1512"/>
      <c r="G2" s="1512"/>
      <c r="H2" s="1512"/>
    </row>
    <row r="3" spans="1:8" ht="14.25">
      <c r="A3" s="1514" t="s">
        <v>661</v>
      </c>
      <c r="B3" s="1512"/>
      <c r="C3" s="1512"/>
      <c r="D3" s="1512"/>
      <c r="E3" s="1512"/>
      <c r="F3" s="1512"/>
      <c r="G3" s="1512"/>
      <c r="H3" s="1512"/>
    </row>
    <row r="4" spans="1:8" ht="14.25">
      <c r="A4" s="1514" t="s">
        <v>589</v>
      </c>
      <c r="B4" s="1512"/>
      <c r="C4" s="1512"/>
      <c r="D4" s="1512"/>
      <c r="E4" s="1512"/>
      <c r="F4" s="1512"/>
      <c r="G4" s="1512"/>
      <c r="H4" s="1512"/>
    </row>
    <row r="5" spans="1:8" ht="14.25">
      <c r="A5" s="1514" t="s">
        <v>662</v>
      </c>
      <c r="B5" s="1512"/>
      <c r="C5" s="1512"/>
      <c r="D5" s="1512"/>
      <c r="E5" s="1512"/>
      <c r="F5" s="1512"/>
      <c r="G5" s="1512"/>
      <c r="H5" s="1512"/>
    </row>
    <row r="6" spans="1:8" ht="14.25">
      <c r="A6" s="1514"/>
      <c r="B6" s="1512"/>
      <c r="C6" s="1512"/>
      <c r="D6" s="1512"/>
      <c r="E6" s="1512"/>
      <c r="F6" s="1512"/>
      <c r="G6" s="1512"/>
      <c r="H6" s="1512"/>
    </row>
    <row r="7" spans="1:8">
      <c r="A7" s="1511" t="s">
        <v>663</v>
      </c>
      <c r="B7" s="1512"/>
      <c r="C7" s="1512"/>
      <c r="D7" s="1512"/>
      <c r="E7" s="1512"/>
      <c r="F7" s="1512"/>
      <c r="G7" s="1512"/>
      <c r="H7" s="1512"/>
    </row>
    <row r="8" spans="1:8">
      <c r="A8" s="1511" t="s">
        <v>664</v>
      </c>
      <c r="B8" s="1512"/>
      <c r="C8" s="1512"/>
      <c r="D8" s="1512"/>
      <c r="E8" s="1512"/>
      <c r="F8" s="1512"/>
      <c r="G8" s="1512"/>
      <c r="H8" s="1512"/>
    </row>
    <row r="9" spans="1:8">
      <c r="A9" s="1511"/>
      <c r="B9" s="1512"/>
      <c r="C9" s="1512"/>
      <c r="D9" s="1512"/>
      <c r="E9" s="1512"/>
      <c r="F9" s="1512"/>
      <c r="G9" s="1512"/>
      <c r="H9" s="1512"/>
    </row>
    <row r="10" spans="1:8">
      <c r="A10" s="1515" t="s">
        <v>665</v>
      </c>
      <c r="B10" s="1512"/>
      <c r="C10" s="1512"/>
      <c r="D10" s="1512"/>
      <c r="E10" s="1512"/>
      <c r="F10" s="1512"/>
      <c r="G10" s="1512"/>
      <c r="H10" s="1512"/>
    </row>
    <row r="11" spans="1:8">
      <c r="A11" s="1515" t="s">
        <v>666</v>
      </c>
      <c r="B11" s="1512"/>
      <c r="C11" s="1512"/>
      <c r="D11" s="1512"/>
      <c r="E11" s="1512"/>
      <c r="F11" s="1512"/>
      <c r="G11" s="1512"/>
      <c r="H11" s="1512"/>
    </row>
    <row r="12" spans="1:8">
      <c r="A12" s="1515" t="s">
        <v>667</v>
      </c>
      <c r="B12" s="1512"/>
      <c r="C12" s="1512"/>
      <c r="D12" s="1512"/>
      <c r="E12" s="1512"/>
      <c r="F12" s="1512"/>
      <c r="G12" s="1512"/>
      <c r="H12" s="1512"/>
    </row>
    <row r="13" spans="1:8">
      <c r="A13" s="1515" t="s">
        <v>668</v>
      </c>
      <c r="B13" s="1512"/>
      <c r="C13" s="1512"/>
      <c r="D13" s="1512"/>
      <c r="E13" s="1512"/>
      <c r="F13" s="1512"/>
      <c r="G13" s="1512"/>
      <c r="H13" s="1512"/>
    </row>
    <row r="14" spans="1:8">
      <c r="A14" s="1515" t="s">
        <v>669</v>
      </c>
      <c r="B14" s="1512"/>
      <c r="C14" s="1512"/>
      <c r="D14" s="1512"/>
      <c r="E14" s="1512"/>
      <c r="F14" s="1512"/>
      <c r="G14" s="1512"/>
      <c r="H14" s="1512"/>
    </row>
    <row r="15" spans="1:8">
      <c r="A15" s="1515" t="s">
        <v>670</v>
      </c>
      <c r="B15" s="1512"/>
      <c r="C15" s="1512"/>
      <c r="D15" s="1512"/>
      <c r="E15" s="1512"/>
      <c r="F15" s="1512"/>
      <c r="G15" s="1512"/>
      <c r="H15" s="1512"/>
    </row>
    <row r="16" spans="1:8">
      <c r="A16" s="1515"/>
      <c r="B16" s="1512"/>
      <c r="C16" s="1512"/>
      <c r="D16" s="1512"/>
      <c r="E16" s="1512"/>
      <c r="F16" s="1512"/>
      <c r="G16" s="1512"/>
      <c r="H16" s="1512"/>
    </row>
    <row r="17" spans="1:8">
      <c r="A17" s="1515" t="s">
        <v>657</v>
      </c>
      <c r="B17" s="1512"/>
      <c r="C17" s="1512"/>
      <c r="D17" s="1512"/>
      <c r="E17" s="1512"/>
      <c r="F17" s="1512"/>
      <c r="G17" s="1512"/>
      <c r="H17" s="1512"/>
    </row>
    <row r="18" spans="1:8">
      <c r="A18" s="1515"/>
      <c r="B18" s="1512"/>
      <c r="C18" s="1512"/>
      <c r="D18" s="1512"/>
      <c r="E18" s="1512"/>
      <c r="F18" s="1512"/>
      <c r="G18" s="1512"/>
      <c r="H18" s="1512"/>
    </row>
    <row r="19" spans="1:8">
      <c r="A19" s="1515" t="s">
        <v>658</v>
      </c>
      <c r="B19" s="1512"/>
      <c r="C19" s="1512"/>
      <c r="D19" s="1512"/>
      <c r="E19" s="1512"/>
      <c r="F19" s="1512"/>
      <c r="G19" s="1512"/>
      <c r="H19" s="1512"/>
    </row>
    <row r="20" spans="1:8">
      <c r="A20" s="1511"/>
      <c r="B20" s="1512"/>
      <c r="C20" s="1512"/>
      <c r="D20" s="1512"/>
      <c r="E20" s="1512"/>
      <c r="F20" s="1512"/>
      <c r="G20" s="1512"/>
      <c r="H20" s="1512"/>
    </row>
    <row r="21" spans="1:8">
      <c r="A21" s="1516" t="s">
        <v>659</v>
      </c>
      <c r="B21" s="1512"/>
      <c r="C21" s="1512"/>
      <c r="D21" s="1512"/>
      <c r="E21" s="1512"/>
      <c r="F21" s="1512"/>
      <c r="G21" s="1512"/>
      <c r="H21" s="1512"/>
    </row>
    <row r="22" spans="1:8">
      <c r="A22" s="1517"/>
      <c r="B22" s="1517"/>
      <c r="C22" s="1517"/>
      <c r="D22" s="1517"/>
      <c r="E22" s="1517"/>
      <c r="F22" s="1517"/>
      <c r="G22" s="1517"/>
      <c r="H22" s="1517"/>
    </row>
    <row r="23" spans="1:8">
      <c r="A23" s="1518" t="s">
        <v>953</v>
      </c>
      <c r="B23" s="1517"/>
      <c r="C23" s="1517"/>
      <c r="D23" s="1517"/>
      <c r="E23" s="1517"/>
      <c r="F23" s="1517"/>
      <c r="G23" s="1517"/>
      <c r="H23" s="1517"/>
    </row>
    <row r="24" spans="1:8">
      <c r="A24" s="1518" t="s">
        <v>954</v>
      </c>
      <c r="B24" s="1517"/>
      <c r="C24" s="1517"/>
      <c r="D24" s="1517"/>
      <c r="E24" s="1517"/>
      <c r="F24" s="1517"/>
      <c r="G24" s="1517"/>
      <c r="H24" s="1517"/>
    </row>
    <row r="25" spans="1:8">
      <c r="A25" s="1518" t="s">
        <v>955</v>
      </c>
      <c r="B25" s="1517"/>
      <c r="C25" s="1517"/>
      <c r="D25" s="1517"/>
      <c r="E25" s="1517"/>
      <c r="F25" s="1517"/>
      <c r="G25" s="1517"/>
      <c r="H25" s="1517"/>
    </row>
    <row r="26" spans="1:8">
      <c r="A26" s="1518" t="s">
        <v>956</v>
      </c>
      <c r="B26" s="1517"/>
      <c r="C26" s="1517"/>
      <c r="D26" s="1517"/>
      <c r="E26" s="1517"/>
      <c r="F26" s="1517"/>
      <c r="G26" s="1517"/>
      <c r="H26" s="1517"/>
    </row>
    <row r="27" spans="1:8">
      <c r="A27" s="1517"/>
      <c r="B27" s="1517"/>
      <c r="C27" s="1517"/>
      <c r="D27" s="1517"/>
      <c r="E27" s="1517"/>
      <c r="F27" s="1517"/>
      <c r="G27" s="1517"/>
      <c r="H27" s="1517"/>
    </row>
    <row r="28" spans="1:8">
      <c r="A28" s="1517"/>
      <c r="B28" s="1517"/>
      <c r="C28" s="1517"/>
      <c r="D28" s="1517"/>
      <c r="E28" s="1517"/>
      <c r="F28" s="1517"/>
      <c r="G28" s="1517"/>
      <c r="H28" s="1517"/>
    </row>
    <row r="29" spans="1:8">
      <c r="A29" s="1518" t="s">
        <v>948</v>
      </c>
      <c r="B29" s="1517"/>
      <c r="C29" s="1517"/>
      <c r="D29" s="1517"/>
      <c r="E29" s="1517"/>
      <c r="F29" s="1517"/>
      <c r="G29" s="1517"/>
      <c r="H29" s="1517"/>
    </row>
    <row r="30" spans="1:8">
      <c r="A30" s="1518" t="s">
        <v>949</v>
      </c>
      <c r="B30" s="1517"/>
      <c r="C30" s="1517"/>
      <c r="D30" s="1517"/>
      <c r="E30" s="1517"/>
      <c r="F30" s="1517"/>
      <c r="G30" s="1517"/>
      <c r="H30" s="1517"/>
    </row>
    <row r="31" spans="1:8">
      <c r="A31" s="1518" t="s">
        <v>950</v>
      </c>
      <c r="B31" s="1517"/>
      <c r="C31" s="1517"/>
      <c r="D31" s="1517"/>
      <c r="E31" s="1517"/>
      <c r="F31" s="1517"/>
      <c r="G31" s="1517"/>
      <c r="H31" s="1517"/>
    </row>
    <row r="32" spans="1:8">
      <c r="A32" s="1518" t="s">
        <v>951</v>
      </c>
      <c r="B32" s="1517"/>
      <c r="C32" s="1517"/>
      <c r="D32" s="1517"/>
      <c r="E32" s="1517"/>
      <c r="F32" s="1517"/>
      <c r="G32" s="1517"/>
      <c r="H32" s="1517"/>
    </row>
    <row r="33" spans="1:8">
      <c r="A33" s="1518" t="s">
        <v>952</v>
      </c>
      <c r="B33" s="1517"/>
      <c r="C33" s="1517"/>
      <c r="D33" s="1517"/>
      <c r="E33" s="1517"/>
      <c r="F33" s="1517"/>
      <c r="G33" s="1517"/>
      <c r="H33" s="1517"/>
    </row>
    <row r="34" spans="1:8">
      <c r="A34" s="1517"/>
      <c r="B34" s="1517"/>
      <c r="C34" s="1517"/>
      <c r="D34" s="1517"/>
      <c r="E34" s="1517"/>
      <c r="F34" s="1517"/>
      <c r="G34" s="1517"/>
      <c r="H34" s="1517"/>
    </row>
    <row r="35" spans="1:8">
      <c r="A35" s="1518" t="s">
        <v>944</v>
      </c>
      <c r="B35" s="1517"/>
      <c r="C35" s="1517"/>
      <c r="D35" s="1517"/>
      <c r="E35" s="1517"/>
      <c r="F35" s="1517"/>
      <c r="G35" s="1517"/>
      <c r="H35" s="1517"/>
    </row>
    <row r="36" spans="1:8">
      <c r="A36" s="1518" t="s">
        <v>945</v>
      </c>
      <c r="B36" s="1517"/>
      <c r="C36" s="1517"/>
      <c r="D36" s="1517"/>
      <c r="E36" s="1517"/>
      <c r="F36" s="1517"/>
      <c r="G36" s="1517"/>
      <c r="H36" s="1517"/>
    </row>
    <row r="37" spans="1:8">
      <c r="A37" s="1518" t="s">
        <v>946</v>
      </c>
      <c r="B37" s="1517"/>
      <c r="C37" s="1517"/>
      <c r="D37" s="1517"/>
      <c r="E37" s="1517"/>
      <c r="F37" s="1517"/>
      <c r="G37" s="1517"/>
      <c r="H37" s="1517"/>
    </row>
    <row r="38" spans="1:8">
      <c r="A38" s="1518" t="s">
        <v>947</v>
      </c>
      <c r="B38" s="1517"/>
      <c r="C38" s="1517"/>
      <c r="D38" s="1517"/>
      <c r="E38" s="1517"/>
      <c r="F38" s="1517"/>
      <c r="G38" s="1517"/>
      <c r="H38" s="1517"/>
    </row>
    <row r="39" spans="1:8">
      <c r="A39" s="1517"/>
      <c r="B39" s="1517"/>
      <c r="C39" s="1517"/>
      <c r="D39" s="1517"/>
      <c r="E39" s="1517"/>
      <c r="F39" s="1517"/>
      <c r="G39" s="1517"/>
      <c r="H39" s="1517"/>
    </row>
    <row r="40" spans="1:8">
      <c r="A40" s="1518" t="s">
        <v>938</v>
      </c>
      <c r="B40" s="1517"/>
      <c r="C40" s="1517"/>
      <c r="D40" s="1517"/>
      <c r="E40" s="1517"/>
      <c r="F40" s="1517"/>
      <c r="G40" s="1517"/>
      <c r="H40" s="1517"/>
    </row>
    <row r="41" spans="1:8">
      <c r="A41" s="1518" t="s">
        <v>939</v>
      </c>
      <c r="B41" s="1517"/>
      <c r="C41" s="1517"/>
      <c r="D41" s="1517"/>
      <c r="E41" s="1517"/>
      <c r="F41" s="1517"/>
      <c r="G41" s="1517"/>
      <c r="H41" s="1517"/>
    </row>
    <row r="42" spans="1:8">
      <c r="A42" s="1518" t="s">
        <v>940</v>
      </c>
      <c r="B42" s="1517"/>
      <c r="C42" s="1517"/>
      <c r="D42" s="1517"/>
      <c r="E42" s="1517"/>
      <c r="F42" s="1517"/>
      <c r="G42" s="1517"/>
      <c r="H42" s="1517"/>
    </row>
    <row r="43" spans="1:8">
      <c r="A43" s="1518" t="s">
        <v>941</v>
      </c>
      <c r="B43" s="1517"/>
      <c r="C43" s="1517"/>
      <c r="D43" s="1517"/>
      <c r="E43" s="1517"/>
      <c r="F43" s="1517"/>
      <c r="G43" s="1517"/>
      <c r="H43" s="1517"/>
    </row>
    <row r="44" spans="1:8">
      <c r="A44" s="1518" t="s">
        <v>942</v>
      </c>
      <c r="B44" s="1517"/>
      <c r="C44" s="1517"/>
      <c r="D44" s="1517"/>
      <c r="E44" s="1517"/>
      <c r="F44" s="1517"/>
      <c r="G44" s="1517"/>
      <c r="H44" s="1517"/>
    </row>
    <row r="45" spans="1:8">
      <c r="A45" s="1518" t="s">
        <v>943</v>
      </c>
      <c r="B45" s="1517"/>
      <c r="C45" s="1517"/>
      <c r="D45" s="1517"/>
      <c r="E45" s="1517"/>
      <c r="F45" s="1517"/>
      <c r="G45" s="1517"/>
      <c r="H45" s="1517"/>
    </row>
    <row r="46" spans="1:8">
      <c r="A46" s="1517"/>
      <c r="B46" s="1517"/>
      <c r="C46" s="1517"/>
      <c r="D46" s="1517"/>
      <c r="E46" s="1517"/>
      <c r="F46" s="1517"/>
      <c r="G46" s="1517"/>
      <c r="H46" s="1517"/>
    </row>
    <row r="47" spans="1:8" ht="15.75">
      <c r="A47" s="1519" t="s">
        <v>671</v>
      </c>
      <c r="B47" s="1517"/>
      <c r="C47" s="1517"/>
      <c r="D47" s="1517"/>
      <c r="E47" s="1517"/>
      <c r="F47" s="1517"/>
      <c r="G47" s="1517"/>
      <c r="H47" s="1517"/>
    </row>
    <row r="48" spans="1:8">
      <c r="A48" s="1517"/>
      <c r="B48" s="1517"/>
      <c r="C48" s="1517"/>
      <c r="D48" s="1517"/>
      <c r="E48" s="1517"/>
      <c r="F48" s="1517"/>
      <c r="G48" s="1517"/>
      <c r="H48" s="1517"/>
    </row>
    <row r="49" spans="1:8">
      <c r="A49" s="1518" t="s">
        <v>934</v>
      </c>
      <c r="B49" s="1517"/>
      <c r="C49" s="1517"/>
      <c r="D49" s="1517"/>
      <c r="E49" s="1517"/>
      <c r="F49" s="1517"/>
      <c r="G49" s="1517"/>
      <c r="H49" s="1517"/>
    </row>
    <row r="50" spans="1:8">
      <c r="A50" s="1518" t="s">
        <v>935</v>
      </c>
      <c r="B50" s="1517"/>
      <c r="C50" s="1517"/>
      <c r="D50" s="1517"/>
      <c r="E50" s="1517"/>
      <c r="F50" s="1517"/>
      <c r="G50" s="1517"/>
      <c r="H50" s="1517"/>
    </row>
    <row r="51" spans="1:8">
      <c r="A51" s="1518" t="s">
        <v>936</v>
      </c>
      <c r="B51" s="1517"/>
      <c r="C51" s="1517"/>
      <c r="D51" s="1517"/>
      <c r="E51" s="1517"/>
      <c r="F51" s="1517"/>
      <c r="G51" s="1517"/>
      <c r="H51" s="1517"/>
    </row>
    <row r="52" spans="1:8">
      <c r="A52" s="1518" t="s">
        <v>937</v>
      </c>
      <c r="B52" s="1517"/>
      <c r="C52" s="1517"/>
      <c r="D52" s="1517"/>
      <c r="E52" s="1517"/>
      <c r="F52" s="1517"/>
      <c r="G52" s="1517"/>
      <c r="H52" s="1517"/>
    </row>
    <row r="53" spans="1:8">
      <c r="A53" s="1517"/>
      <c r="B53" s="1517"/>
      <c r="C53" s="1517"/>
      <c r="D53" s="1517"/>
      <c r="E53" s="1517"/>
      <c r="F53" s="1517"/>
      <c r="G53" s="1517"/>
      <c r="H53" s="1517"/>
    </row>
    <row r="54" spans="1:8">
      <c r="A54" s="1518" t="s">
        <v>672</v>
      </c>
      <c r="B54" s="1517"/>
      <c r="C54" s="1517"/>
      <c r="D54" s="1517"/>
      <c r="E54" s="1517"/>
      <c r="F54" s="1517"/>
      <c r="G54" s="1517"/>
      <c r="H54" s="1517"/>
    </row>
    <row r="55" spans="1:8">
      <c r="A55" s="1517"/>
      <c r="B55" s="1517"/>
      <c r="C55" s="1517"/>
      <c r="D55" s="1517"/>
      <c r="E55" s="1517"/>
      <c r="F55" s="1517"/>
      <c r="G55" s="1517"/>
      <c r="H55" s="1517"/>
    </row>
    <row r="56" spans="1:8" ht="15.75">
      <c r="A56" s="1519" t="s">
        <v>673</v>
      </c>
      <c r="B56" s="1517"/>
      <c r="C56" s="1517"/>
      <c r="D56" s="1517"/>
      <c r="E56" s="1517"/>
      <c r="F56" s="1517"/>
      <c r="G56" s="1517"/>
      <c r="H56" s="1517"/>
    </row>
    <row r="57" spans="1:8">
      <c r="A57" s="1517"/>
      <c r="B57" s="1517"/>
      <c r="C57" s="1517"/>
      <c r="D57" s="1517"/>
      <c r="E57" s="1517"/>
      <c r="F57" s="1517"/>
      <c r="G57" s="1517"/>
      <c r="H57" s="1517"/>
    </row>
    <row r="58" spans="1:8">
      <c r="A58" s="1518" t="s">
        <v>932</v>
      </c>
      <c r="B58" s="1517"/>
      <c r="C58" s="1517"/>
      <c r="D58" s="1517"/>
      <c r="E58" s="1517"/>
      <c r="F58" s="1517"/>
      <c r="G58" s="1517"/>
      <c r="H58" s="1517"/>
    </row>
    <row r="59" spans="1:8">
      <c r="A59" s="1518" t="s">
        <v>933</v>
      </c>
      <c r="B59" s="1517"/>
      <c r="C59" s="1517"/>
      <c r="D59" s="1517"/>
      <c r="E59" s="1517"/>
      <c r="F59" s="1517"/>
      <c r="G59" s="1517"/>
      <c r="H59" s="1517"/>
    </row>
    <row r="60" spans="1:8">
      <c r="A60" s="1517"/>
      <c r="B60" s="1517"/>
      <c r="C60" s="1517"/>
      <c r="D60" s="1517"/>
      <c r="E60" s="1517"/>
      <c r="F60" s="1517"/>
      <c r="G60" s="1517"/>
      <c r="H60" s="1517"/>
    </row>
    <row r="61" spans="1:8" ht="15.75">
      <c r="A61" s="1519" t="s">
        <v>674</v>
      </c>
      <c r="B61" s="1517"/>
      <c r="C61" s="1517"/>
      <c r="D61" s="1517"/>
      <c r="E61" s="1517"/>
      <c r="F61" s="1517"/>
      <c r="G61" s="1517"/>
      <c r="H61" s="1517"/>
    </row>
    <row r="62" spans="1:8">
      <c r="A62" s="1517"/>
      <c r="B62" s="1517"/>
      <c r="C62" s="1517"/>
      <c r="D62" s="1517"/>
      <c r="E62" s="1517"/>
      <c r="F62" s="1517"/>
      <c r="G62" s="1517"/>
      <c r="H62" s="1517"/>
    </row>
    <row r="63" spans="1:8">
      <c r="A63" s="1518" t="s">
        <v>930</v>
      </c>
      <c r="B63" s="1517"/>
      <c r="C63" s="1517"/>
      <c r="D63" s="1517"/>
      <c r="E63" s="1517"/>
      <c r="F63" s="1517"/>
      <c r="G63" s="1517"/>
      <c r="H63" s="1517"/>
    </row>
    <row r="64" spans="1:8">
      <c r="A64" s="1518" t="s">
        <v>931</v>
      </c>
      <c r="B64" s="1517"/>
      <c r="C64" s="1517"/>
      <c r="D64" s="1517"/>
      <c r="E64" s="1517"/>
      <c r="F64" s="1517"/>
      <c r="G64" s="1517"/>
      <c r="H64" s="1517"/>
    </row>
    <row r="65" spans="1:8">
      <c r="A65" s="1517"/>
      <c r="B65" s="1517"/>
      <c r="C65" s="1517"/>
      <c r="D65" s="1517"/>
      <c r="E65" s="1517"/>
      <c r="F65" s="1517"/>
      <c r="G65" s="1517"/>
      <c r="H65" s="1517"/>
    </row>
    <row r="66" spans="1:8">
      <c r="A66" s="1518" t="s">
        <v>928</v>
      </c>
      <c r="B66" s="1517"/>
      <c r="C66" s="1517"/>
      <c r="D66" s="1517"/>
      <c r="E66" s="1517"/>
      <c r="F66" s="1517"/>
      <c r="G66" s="1517"/>
      <c r="H66" s="1517"/>
    </row>
    <row r="67" spans="1:8">
      <c r="A67" s="1518" t="s">
        <v>929</v>
      </c>
      <c r="B67" s="1517"/>
      <c r="C67" s="1517"/>
      <c r="D67" s="1517"/>
      <c r="E67" s="1517"/>
      <c r="F67" s="1517"/>
      <c r="G67" s="1517"/>
      <c r="H67" s="1517"/>
    </row>
    <row r="68" spans="1:8">
      <c r="A68" s="1517"/>
      <c r="B68" s="1517"/>
      <c r="C68" s="1517"/>
      <c r="D68" s="1517"/>
      <c r="E68" s="1517"/>
      <c r="F68" s="1517"/>
      <c r="G68" s="1517"/>
      <c r="H68" s="1517"/>
    </row>
    <row r="69" spans="1:8">
      <c r="A69" s="1518" t="s">
        <v>926</v>
      </c>
      <c r="B69" s="1517"/>
      <c r="C69" s="1517"/>
      <c r="D69" s="1517"/>
      <c r="E69" s="1517"/>
      <c r="F69" s="1517"/>
      <c r="G69" s="1517"/>
      <c r="H69" s="1517"/>
    </row>
    <row r="70" spans="1:8">
      <c r="A70" s="1518" t="s">
        <v>927</v>
      </c>
      <c r="B70" s="1517"/>
      <c r="C70" s="1517"/>
      <c r="D70" s="1517"/>
      <c r="E70" s="1517"/>
      <c r="F70" s="1517"/>
      <c r="G70" s="1517"/>
      <c r="H70" s="1517"/>
    </row>
    <row r="71" spans="1:8">
      <c r="A71" s="1517"/>
      <c r="B71" s="1517"/>
      <c r="C71" s="1517"/>
      <c r="D71" s="1517"/>
      <c r="E71" s="1517"/>
      <c r="F71" s="1517"/>
      <c r="G71" s="1517"/>
      <c r="H71" s="1517"/>
    </row>
    <row r="72" spans="1:8">
      <c r="A72" s="1518" t="s">
        <v>924</v>
      </c>
      <c r="B72" s="1517"/>
      <c r="C72" s="1517"/>
      <c r="D72" s="1517"/>
      <c r="E72" s="1517"/>
      <c r="F72" s="1517"/>
      <c r="G72" s="1517"/>
      <c r="H72" s="1517"/>
    </row>
    <row r="73" spans="1:8">
      <c r="A73" s="1518" t="s">
        <v>925</v>
      </c>
      <c r="B73" s="1517"/>
      <c r="C73" s="1517"/>
      <c r="D73" s="1517"/>
      <c r="E73" s="1517"/>
      <c r="F73" s="1517"/>
      <c r="G73" s="1517"/>
      <c r="H73" s="1517"/>
    </row>
    <row r="74" spans="1:8">
      <c r="A74" s="1517"/>
      <c r="B74" s="1517"/>
      <c r="C74" s="1517"/>
      <c r="D74" s="1517"/>
      <c r="E74" s="1517"/>
      <c r="F74" s="1517"/>
      <c r="G74" s="1517"/>
      <c r="H74" s="1517"/>
    </row>
    <row r="75" spans="1:8">
      <c r="A75" s="1518" t="s">
        <v>921</v>
      </c>
      <c r="B75" s="1517"/>
      <c r="C75" s="1517"/>
      <c r="D75" s="1517"/>
      <c r="E75" s="1517"/>
      <c r="F75" s="1517"/>
      <c r="G75" s="1517"/>
      <c r="H75" s="1517"/>
    </row>
    <row r="76" spans="1:8">
      <c r="A76" s="1518" t="s">
        <v>922</v>
      </c>
      <c r="B76" s="1517"/>
      <c r="C76" s="1517"/>
      <c r="D76" s="1517"/>
      <c r="E76" s="1517"/>
      <c r="F76" s="1517"/>
      <c r="G76" s="1517"/>
      <c r="H76" s="1517"/>
    </row>
    <row r="77" spans="1:8">
      <c r="A77" s="1518" t="s">
        <v>923</v>
      </c>
      <c r="B77" s="1517"/>
      <c r="C77" s="1517"/>
      <c r="D77" s="1517"/>
      <c r="E77" s="1517"/>
      <c r="F77" s="1517"/>
      <c r="G77" s="1517"/>
      <c r="H77" s="1517"/>
    </row>
    <row r="78" spans="1:8">
      <c r="A78" s="1517"/>
      <c r="B78" s="1517"/>
      <c r="C78" s="1517"/>
      <c r="D78" s="1517"/>
      <c r="E78" s="1517"/>
      <c r="F78" s="1517"/>
      <c r="G78" s="1517"/>
      <c r="H78" s="1517"/>
    </row>
    <row r="79" spans="1:8">
      <c r="A79" s="1518" t="s">
        <v>918</v>
      </c>
      <c r="B79" s="1517"/>
      <c r="C79" s="1517"/>
      <c r="D79" s="1517"/>
      <c r="E79" s="1517"/>
      <c r="F79" s="1517"/>
      <c r="G79" s="1517"/>
      <c r="H79" s="1517"/>
    </row>
    <row r="80" spans="1:8">
      <c r="A80" s="1518" t="s">
        <v>919</v>
      </c>
      <c r="B80" s="1517"/>
      <c r="C80" s="1517"/>
      <c r="D80" s="1517"/>
      <c r="E80" s="1517"/>
      <c r="F80" s="1517"/>
      <c r="G80" s="1517"/>
      <c r="H80" s="1517"/>
    </row>
    <row r="81" spans="1:8">
      <c r="A81" s="1518" t="s">
        <v>920</v>
      </c>
      <c r="B81" s="1517"/>
      <c r="C81" s="1517"/>
      <c r="D81" s="1517"/>
      <c r="E81" s="1517"/>
      <c r="F81" s="1517"/>
      <c r="G81" s="1517"/>
      <c r="H81" s="1517"/>
    </row>
    <row r="82" spans="1:8">
      <c r="A82" s="1517"/>
      <c r="B82" s="1517"/>
      <c r="C82" s="1517"/>
      <c r="D82" s="1517"/>
      <c r="E82" s="1517"/>
      <c r="F82" s="1517"/>
      <c r="G82" s="1517"/>
      <c r="H82" s="1517"/>
    </row>
    <row r="83" spans="1:8">
      <c r="A83" s="1518" t="s">
        <v>675</v>
      </c>
      <c r="B83" s="1517"/>
      <c r="C83" s="1517"/>
      <c r="D83" s="1517"/>
      <c r="E83" s="1517"/>
      <c r="F83" s="1517"/>
      <c r="G83" s="1517"/>
      <c r="H83" s="1517"/>
    </row>
    <row r="84" spans="1:8">
      <c r="A84" s="1517"/>
      <c r="B84" s="1517"/>
      <c r="C84" s="1517"/>
      <c r="D84" s="1517"/>
      <c r="E84" s="1517"/>
      <c r="F84" s="1517"/>
      <c r="G84" s="1517"/>
      <c r="H84" s="1517"/>
    </row>
    <row r="85" spans="1:8">
      <c r="A85" s="1518" t="s">
        <v>913</v>
      </c>
      <c r="B85" s="1517"/>
      <c r="C85" s="1517"/>
      <c r="D85" s="1517"/>
      <c r="E85" s="1517"/>
      <c r="F85" s="1517"/>
      <c r="G85" s="1517"/>
      <c r="H85" s="1517"/>
    </row>
    <row r="86" spans="1:8">
      <c r="A86" s="1518" t="s">
        <v>914</v>
      </c>
      <c r="B86" s="1517"/>
      <c r="C86" s="1517"/>
      <c r="D86" s="1517"/>
      <c r="E86" s="1517"/>
      <c r="F86" s="1517"/>
      <c r="G86" s="1517"/>
      <c r="H86" s="1517"/>
    </row>
    <row r="87" spans="1:8">
      <c r="A87" s="1518" t="s">
        <v>915</v>
      </c>
      <c r="B87" s="1517"/>
      <c r="C87" s="1517"/>
      <c r="D87" s="1517"/>
      <c r="E87" s="1517"/>
      <c r="F87" s="1517"/>
      <c r="G87" s="1517"/>
      <c r="H87" s="1517"/>
    </row>
    <row r="88" spans="1:8">
      <c r="A88" s="1518" t="s">
        <v>916</v>
      </c>
      <c r="B88" s="1517"/>
      <c r="C88" s="1517"/>
      <c r="D88" s="1517"/>
      <c r="E88" s="1517"/>
      <c r="F88" s="1517"/>
      <c r="G88" s="1517"/>
      <c r="H88" s="1517"/>
    </row>
    <row r="89" spans="1:8">
      <c r="A89" s="1518" t="s">
        <v>917</v>
      </c>
      <c r="B89" s="1517"/>
      <c r="C89" s="1517"/>
      <c r="D89" s="1517"/>
      <c r="E89" s="1517"/>
      <c r="F89" s="1517"/>
      <c r="G89" s="1517"/>
      <c r="H89" s="1517"/>
    </row>
    <row r="90" spans="1:8">
      <c r="A90" s="1518" t="s">
        <v>800</v>
      </c>
      <c r="B90" s="1517"/>
      <c r="C90" s="1517"/>
      <c r="D90" s="1517"/>
      <c r="E90" s="1517"/>
      <c r="F90" s="1517"/>
      <c r="G90" s="1517"/>
      <c r="H90" s="1517"/>
    </row>
    <row r="91" spans="1:8">
      <c r="A91" s="1517"/>
      <c r="B91" s="1517"/>
      <c r="C91" s="1517"/>
      <c r="D91" s="1517"/>
      <c r="E91" s="1517"/>
      <c r="F91" s="1517"/>
      <c r="G91" s="1517"/>
      <c r="H91" s="1517"/>
    </row>
    <row r="92" spans="1:8">
      <c r="A92" s="1518" t="s">
        <v>906</v>
      </c>
      <c r="B92" s="1517"/>
      <c r="C92" s="1517"/>
      <c r="D92" s="1517"/>
      <c r="E92" s="1517"/>
      <c r="F92" s="1517"/>
      <c r="G92" s="1517"/>
      <c r="H92" s="1517"/>
    </row>
    <row r="93" spans="1:8">
      <c r="A93" s="1518" t="s">
        <v>907</v>
      </c>
      <c r="B93" s="1517"/>
      <c r="C93" s="1517"/>
      <c r="D93" s="1517"/>
      <c r="E93" s="1517"/>
      <c r="F93" s="1517"/>
      <c r="G93" s="1517"/>
      <c r="H93" s="1517"/>
    </row>
    <row r="94" spans="1:8">
      <c r="A94" s="1518" t="s">
        <v>908</v>
      </c>
      <c r="B94" s="1517"/>
      <c r="C94" s="1517"/>
      <c r="D94" s="1517"/>
      <c r="E94" s="1517"/>
      <c r="F94" s="1517"/>
      <c r="G94" s="1517"/>
      <c r="H94" s="1517"/>
    </row>
    <row r="95" spans="1:8">
      <c r="A95" s="1518" t="s">
        <v>909</v>
      </c>
      <c r="B95" s="1517"/>
      <c r="C95" s="1517"/>
      <c r="D95" s="1517"/>
      <c r="E95" s="1517"/>
      <c r="F95" s="1517"/>
      <c r="G95" s="1517"/>
      <c r="H95" s="1517"/>
    </row>
    <row r="96" spans="1:8">
      <c r="A96" s="1518" t="s">
        <v>910</v>
      </c>
      <c r="B96" s="1517"/>
      <c r="C96" s="1517"/>
      <c r="D96" s="1517"/>
      <c r="E96" s="1517"/>
      <c r="F96" s="1517"/>
      <c r="G96" s="1517"/>
      <c r="H96" s="1517"/>
    </row>
    <row r="97" spans="1:8">
      <c r="A97" s="1518" t="s">
        <v>911</v>
      </c>
      <c r="B97" s="1517"/>
      <c r="C97" s="1517"/>
      <c r="D97" s="1517"/>
      <c r="E97" s="1517"/>
      <c r="F97" s="1517"/>
      <c r="G97" s="1517"/>
      <c r="H97" s="1517"/>
    </row>
    <row r="98" spans="1:8">
      <c r="A98" s="1518" t="s">
        <v>912</v>
      </c>
      <c r="B98" s="1517"/>
      <c r="C98" s="1517"/>
      <c r="D98" s="1517"/>
      <c r="E98" s="1517"/>
      <c r="F98" s="1517"/>
      <c r="G98" s="1517"/>
      <c r="H98" s="1517"/>
    </row>
    <row r="99" spans="1:8">
      <c r="A99" s="1517"/>
      <c r="B99" s="1517"/>
      <c r="C99" s="1517"/>
      <c r="D99" s="1517"/>
      <c r="E99" s="1517"/>
      <c r="F99" s="1517"/>
      <c r="G99" s="1517"/>
      <c r="H99" s="1517"/>
    </row>
    <row r="100" spans="1:8">
      <c r="A100" s="1518" t="s">
        <v>904</v>
      </c>
      <c r="B100" s="1517"/>
      <c r="C100" s="1517"/>
      <c r="D100" s="1517"/>
      <c r="E100" s="1517"/>
      <c r="F100" s="1517"/>
      <c r="G100" s="1517"/>
      <c r="H100" s="1517"/>
    </row>
    <row r="101" spans="1:8">
      <c r="A101" s="1518" t="s">
        <v>905</v>
      </c>
      <c r="B101" s="1517"/>
      <c r="C101" s="1517"/>
      <c r="D101" s="1517"/>
      <c r="E101" s="1517"/>
      <c r="F101" s="1517"/>
      <c r="G101" s="1517"/>
      <c r="H101" s="1517"/>
    </row>
    <row r="102" spans="1:8">
      <c r="A102" s="1517"/>
      <c r="B102" s="1517"/>
      <c r="C102" s="1517"/>
      <c r="D102" s="1517"/>
      <c r="E102" s="1517"/>
      <c r="F102" s="1517"/>
      <c r="G102" s="1517"/>
      <c r="H102" s="1517"/>
    </row>
    <row r="103" spans="1:8" ht="15.75">
      <c r="A103" s="1519" t="s">
        <v>676</v>
      </c>
      <c r="B103" s="1517"/>
      <c r="C103" s="1517"/>
      <c r="D103" s="1517"/>
      <c r="E103" s="1517"/>
      <c r="F103" s="1517"/>
      <c r="G103" s="1517"/>
      <c r="H103" s="1517"/>
    </row>
    <row r="104" spans="1:8">
      <c r="A104" s="1517"/>
      <c r="B104" s="1517"/>
      <c r="C104" s="1517"/>
      <c r="D104" s="1517"/>
      <c r="E104" s="1517"/>
      <c r="F104" s="1517"/>
      <c r="G104" s="1517"/>
      <c r="H104" s="1517"/>
    </row>
    <row r="105" spans="1:8">
      <c r="A105" s="1518" t="s">
        <v>895</v>
      </c>
      <c r="B105" s="1517"/>
      <c r="C105" s="1517"/>
      <c r="D105" s="1517"/>
      <c r="E105" s="1517"/>
      <c r="F105" s="1517"/>
      <c r="G105" s="1517"/>
      <c r="H105" s="1517"/>
    </row>
    <row r="106" spans="1:8">
      <c r="A106" s="1518" t="s">
        <v>896</v>
      </c>
      <c r="B106" s="1517"/>
      <c r="C106" s="1517"/>
      <c r="D106" s="1517"/>
      <c r="E106" s="1517"/>
      <c r="F106" s="1517"/>
      <c r="G106" s="1517"/>
      <c r="H106" s="1517"/>
    </row>
    <row r="107" spans="1:8">
      <c r="A107" s="1518" t="s">
        <v>897</v>
      </c>
      <c r="B107" s="1517"/>
      <c r="C107" s="1517"/>
      <c r="D107" s="1517"/>
      <c r="E107" s="1517"/>
      <c r="F107" s="1517"/>
      <c r="G107" s="1517"/>
      <c r="H107" s="1517"/>
    </row>
    <row r="108" spans="1:8">
      <c r="A108" s="1518" t="s">
        <v>898</v>
      </c>
      <c r="B108" s="1517"/>
      <c r="C108" s="1517"/>
      <c r="D108" s="1517"/>
      <c r="E108" s="1517"/>
      <c r="F108" s="1517"/>
      <c r="G108" s="1517"/>
      <c r="H108" s="1517"/>
    </row>
    <row r="109" spans="1:8">
      <c r="A109" s="1518" t="s">
        <v>899</v>
      </c>
      <c r="B109" s="1517"/>
      <c r="C109" s="1517"/>
      <c r="D109" s="1517"/>
      <c r="E109" s="1517"/>
      <c r="F109" s="1517"/>
      <c r="G109" s="1517"/>
      <c r="H109" s="1517"/>
    </row>
    <row r="110" spans="1:8">
      <c r="A110" s="1518" t="s">
        <v>900</v>
      </c>
      <c r="B110" s="1517"/>
      <c r="C110" s="1517"/>
      <c r="D110" s="1517"/>
      <c r="E110" s="1517"/>
      <c r="F110" s="1517"/>
      <c r="G110" s="1517"/>
      <c r="H110" s="1517"/>
    </row>
    <row r="111" spans="1:8">
      <c r="A111" s="1518" t="s">
        <v>901</v>
      </c>
      <c r="B111" s="1517"/>
      <c r="C111" s="1517"/>
      <c r="D111" s="1517"/>
      <c r="E111" s="1517"/>
      <c r="F111" s="1517"/>
      <c r="G111" s="1517"/>
      <c r="H111" s="1517"/>
    </row>
    <row r="112" spans="1:8">
      <c r="A112" s="1518" t="s">
        <v>902</v>
      </c>
      <c r="B112" s="1517"/>
      <c r="C112" s="1517"/>
      <c r="D112" s="1517"/>
      <c r="E112" s="1517"/>
      <c r="F112" s="1517"/>
      <c r="G112" s="1517"/>
      <c r="H112" s="1517"/>
    </row>
    <row r="113" spans="1:8">
      <c r="A113" s="1518" t="s">
        <v>903</v>
      </c>
      <c r="B113" s="1517"/>
      <c r="C113" s="1517"/>
      <c r="D113" s="1517"/>
      <c r="E113" s="1517"/>
      <c r="F113" s="1517"/>
      <c r="G113" s="1517"/>
      <c r="H113" s="1517"/>
    </row>
    <row r="114" spans="1:8">
      <c r="A114" s="1517"/>
      <c r="B114" s="1517"/>
      <c r="C114" s="1517"/>
      <c r="D114" s="1517"/>
      <c r="E114" s="1517"/>
      <c r="F114" s="1517"/>
      <c r="G114" s="1517"/>
      <c r="H114" s="1517"/>
    </row>
    <row r="115" spans="1:8" ht="15.75">
      <c r="A115" s="1520" t="s">
        <v>677</v>
      </c>
      <c r="B115" s="1520"/>
      <c r="C115" s="1520"/>
      <c r="D115" s="1520"/>
      <c r="E115" s="1520"/>
      <c r="F115" s="1520"/>
      <c r="G115" s="1520"/>
      <c r="H115" s="1520"/>
    </row>
    <row r="116" spans="1:8">
      <c r="A116" s="1521" t="s">
        <v>678</v>
      </c>
      <c r="B116" s="1521"/>
      <c r="C116" s="1521"/>
      <c r="D116" s="1521"/>
      <c r="E116" s="1521"/>
      <c r="F116" s="1521"/>
      <c r="G116" s="1521"/>
      <c r="H116" s="1521"/>
    </row>
    <row r="117" spans="1:8">
      <c r="A117" s="1522"/>
      <c r="B117" s="1522"/>
      <c r="C117" s="1522"/>
      <c r="D117" s="1522"/>
      <c r="E117" s="1522"/>
      <c r="F117" s="1522"/>
      <c r="G117" s="1522"/>
      <c r="H117" s="1522"/>
    </row>
    <row r="118" spans="1:8">
      <c r="A118" s="1521" t="s">
        <v>893</v>
      </c>
      <c r="B118" s="1521"/>
      <c r="C118" s="1521"/>
      <c r="D118" s="1521"/>
      <c r="E118" s="1521"/>
      <c r="F118" s="1521"/>
      <c r="G118" s="1521"/>
      <c r="H118" s="1521"/>
    </row>
    <row r="119" spans="1:8">
      <c r="A119" s="1518" t="s">
        <v>894</v>
      </c>
      <c r="B119" s="1518"/>
      <c r="C119" s="1518"/>
      <c r="D119" s="1518"/>
      <c r="E119" s="1518"/>
      <c r="F119" s="1518"/>
      <c r="G119" s="1518"/>
      <c r="H119" s="1518"/>
    </row>
    <row r="120" spans="1:8">
      <c r="A120" s="1522"/>
      <c r="B120" s="1522"/>
      <c r="C120" s="1522"/>
      <c r="D120" s="1522"/>
      <c r="E120" s="1522"/>
      <c r="F120" s="1522"/>
      <c r="G120" s="1522"/>
      <c r="H120" s="1522"/>
    </row>
    <row r="121" spans="1:8">
      <c r="A121" s="1521" t="s">
        <v>886</v>
      </c>
      <c r="B121" s="1521"/>
      <c r="C121" s="1521"/>
      <c r="D121" s="1521"/>
      <c r="E121" s="1521"/>
      <c r="F121" s="1521"/>
      <c r="G121" s="1521"/>
      <c r="H121" s="1521"/>
    </row>
    <row r="122" spans="1:8">
      <c r="A122" s="1518" t="s">
        <v>887</v>
      </c>
      <c r="B122" s="1518"/>
      <c r="C122" s="1518"/>
      <c r="D122" s="1518"/>
      <c r="E122" s="1518"/>
      <c r="F122" s="1518"/>
      <c r="G122" s="1518"/>
      <c r="H122" s="1518"/>
    </row>
    <row r="123" spans="1:8">
      <c r="A123" s="1518" t="s">
        <v>888</v>
      </c>
      <c r="B123" s="1518"/>
      <c r="C123" s="1518"/>
      <c r="D123" s="1518"/>
      <c r="E123" s="1518"/>
      <c r="F123" s="1518"/>
      <c r="G123" s="1518"/>
      <c r="H123" s="1518"/>
    </row>
    <row r="124" spans="1:8">
      <c r="A124" s="1518" t="s">
        <v>889</v>
      </c>
      <c r="B124" s="1518"/>
      <c r="C124" s="1518"/>
      <c r="D124" s="1518"/>
      <c r="E124" s="1518"/>
      <c r="F124" s="1518"/>
      <c r="G124" s="1518"/>
      <c r="H124" s="1518"/>
    </row>
    <row r="125" spans="1:8">
      <c r="A125" s="1518" t="s">
        <v>890</v>
      </c>
      <c r="B125" s="1518"/>
      <c r="C125" s="1518"/>
      <c r="D125" s="1518"/>
      <c r="E125" s="1518"/>
      <c r="F125" s="1518"/>
      <c r="G125" s="1518"/>
      <c r="H125" s="1518"/>
    </row>
    <row r="126" spans="1:8">
      <c r="A126" s="1518" t="s">
        <v>891</v>
      </c>
      <c r="B126" s="1518"/>
      <c r="C126" s="1518"/>
      <c r="D126" s="1518"/>
      <c r="E126" s="1518"/>
      <c r="F126" s="1518"/>
      <c r="G126" s="1518"/>
      <c r="H126" s="1518"/>
    </row>
    <row r="127" spans="1:8">
      <c r="A127" s="1518" t="s">
        <v>892</v>
      </c>
      <c r="B127" s="1518"/>
      <c r="C127" s="1518"/>
      <c r="D127" s="1518"/>
      <c r="E127" s="1518"/>
      <c r="F127" s="1518"/>
      <c r="G127" s="1518"/>
      <c r="H127" s="1518"/>
    </row>
    <row r="128" spans="1:8">
      <c r="A128" s="1523"/>
      <c r="B128" s="1523"/>
      <c r="C128" s="1523"/>
      <c r="D128" s="1523"/>
      <c r="E128" s="1523"/>
      <c r="F128" s="1523"/>
      <c r="G128" s="1523"/>
      <c r="H128" s="1523"/>
    </row>
    <row r="129" spans="1:8">
      <c r="A129" s="1524"/>
      <c r="B129" s="1525" t="s">
        <v>679</v>
      </c>
      <c r="C129" s="1526"/>
      <c r="D129" s="1525" t="s">
        <v>680</v>
      </c>
      <c r="E129" s="1527"/>
      <c r="F129" s="1526"/>
      <c r="G129" s="1525" t="s">
        <v>681</v>
      </c>
      <c r="H129" s="1526"/>
    </row>
    <row r="130" spans="1:8">
      <c r="A130" s="1524" t="s">
        <v>682</v>
      </c>
      <c r="B130" s="1524" t="s">
        <v>532</v>
      </c>
      <c r="C130" s="1524" t="s">
        <v>683</v>
      </c>
      <c r="D130" s="1524" t="s">
        <v>532</v>
      </c>
      <c r="E130" s="1524" t="s">
        <v>684</v>
      </c>
      <c r="F130" s="1524" t="s">
        <v>685</v>
      </c>
      <c r="G130" s="1524" t="s">
        <v>532</v>
      </c>
      <c r="H130" s="1524" t="s">
        <v>686</v>
      </c>
    </row>
    <row r="131" spans="1:8">
      <c r="A131" s="1524" t="s">
        <v>687</v>
      </c>
      <c r="B131" s="1524">
        <v>1189</v>
      </c>
      <c r="C131" s="1528">
        <v>0.38</v>
      </c>
      <c r="D131" s="1524">
        <v>315</v>
      </c>
      <c r="E131" s="1528">
        <v>0.41</v>
      </c>
      <c r="F131" s="1528">
        <v>0.26</v>
      </c>
      <c r="G131" s="1524">
        <v>555</v>
      </c>
      <c r="H131" s="1528">
        <v>0.39</v>
      </c>
    </row>
    <row r="132" spans="1:8">
      <c r="A132" s="1524" t="s">
        <v>688</v>
      </c>
      <c r="B132" s="1524">
        <v>1355</v>
      </c>
      <c r="C132" s="1528">
        <v>0.43</v>
      </c>
      <c r="D132" s="1524">
        <v>364</v>
      </c>
      <c r="E132" s="1528">
        <v>0.47</v>
      </c>
      <c r="F132" s="1528">
        <v>0.27</v>
      </c>
      <c r="G132" s="1524">
        <v>644</v>
      </c>
      <c r="H132" s="1528">
        <v>0.45</v>
      </c>
    </row>
    <row r="133" spans="1:8">
      <c r="A133" s="1524" t="s">
        <v>689</v>
      </c>
      <c r="B133" s="1524">
        <v>53</v>
      </c>
      <c r="C133" s="1528">
        <v>0.02</v>
      </c>
      <c r="D133" s="1524">
        <v>4</v>
      </c>
      <c r="E133" s="1528">
        <v>0.01</v>
      </c>
      <c r="F133" s="1528">
        <v>0.08</v>
      </c>
      <c r="G133" s="1524">
        <v>7</v>
      </c>
      <c r="H133" s="1528">
        <v>0</v>
      </c>
    </row>
    <row r="134" spans="1:8">
      <c r="A134" s="1524" t="s">
        <v>690</v>
      </c>
      <c r="B134" s="1524">
        <v>545</v>
      </c>
      <c r="C134" s="1528">
        <v>0.17</v>
      </c>
      <c r="D134" s="1524">
        <v>84</v>
      </c>
      <c r="E134" s="1528">
        <v>0.11</v>
      </c>
      <c r="F134" s="1528">
        <v>0.15</v>
      </c>
      <c r="G134" s="1524">
        <v>214</v>
      </c>
      <c r="H134" s="1528">
        <v>0.15</v>
      </c>
    </row>
    <row r="135" spans="1:8">
      <c r="A135" s="1524" t="s">
        <v>221</v>
      </c>
      <c r="B135" s="1529">
        <v>3142</v>
      </c>
      <c r="C135" s="1524"/>
      <c r="D135" s="1524">
        <v>767</v>
      </c>
      <c r="E135" s="1524"/>
      <c r="F135" s="1524"/>
      <c r="G135" s="1524">
        <v>1420</v>
      </c>
      <c r="H135" s="1524"/>
    </row>
    <row r="136" spans="1:8">
      <c r="A136" s="1530"/>
      <c r="B136" s="1530"/>
      <c r="C136" s="1530"/>
      <c r="D136" s="1530"/>
      <c r="E136" s="1530"/>
      <c r="F136" s="1530"/>
      <c r="G136" s="1530"/>
      <c r="H136" s="1530"/>
    </row>
    <row r="137" spans="1:8">
      <c r="A137" s="1521" t="s">
        <v>882</v>
      </c>
      <c r="B137" s="1521"/>
      <c r="C137" s="1521"/>
      <c r="D137" s="1521"/>
      <c r="E137" s="1521"/>
      <c r="F137" s="1521"/>
      <c r="G137" s="1521"/>
      <c r="H137" s="1521"/>
    </row>
    <row r="138" spans="1:8">
      <c r="A138" s="1518" t="s">
        <v>883</v>
      </c>
      <c r="B138" s="1518"/>
      <c r="C138" s="1518"/>
      <c r="D138" s="1518"/>
      <c r="E138" s="1518"/>
      <c r="F138" s="1518"/>
      <c r="G138" s="1518"/>
      <c r="H138" s="1518"/>
    </row>
    <row r="139" spans="1:8">
      <c r="A139" s="1518" t="s">
        <v>884</v>
      </c>
      <c r="B139" s="1518"/>
      <c r="C139" s="1518"/>
      <c r="D139" s="1518"/>
      <c r="E139" s="1518"/>
      <c r="F139" s="1518"/>
      <c r="G139" s="1518"/>
      <c r="H139" s="1518"/>
    </row>
    <row r="140" spans="1:8">
      <c r="A140" s="1518" t="s">
        <v>885</v>
      </c>
      <c r="B140" s="1518"/>
      <c r="C140" s="1518"/>
      <c r="D140" s="1518"/>
      <c r="E140" s="1518"/>
      <c r="F140" s="1518"/>
      <c r="G140" s="1518"/>
      <c r="H140" s="1518"/>
    </row>
    <row r="141" spans="1:8">
      <c r="A141" s="1517"/>
      <c r="B141" s="1517"/>
      <c r="C141" s="1517"/>
      <c r="D141" s="1517"/>
      <c r="E141" s="1517"/>
      <c r="F141" s="1517"/>
      <c r="G141" s="1517"/>
      <c r="H141" s="1517"/>
    </row>
    <row r="142" spans="1:8" ht="15.75">
      <c r="A142" s="1519" t="s">
        <v>691</v>
      </c>
      <c r="B142" s="1517"/>
      <c r="C142" s="1517"/>
      <c r="D142" s="1517"/>
      <c r="E142" s="1517"/>
      <c r="F142" s="1517"/>
      <c r="G142" s="1517"/>
      <c r="H142" s="1517"/>
    </row>
    <row r="143" spans="1:8">
      <c r="A143" s="1517"/>
      <c r="B143" s="1517"/>
      <c r="C143" s="1517"/>
      <c r="D143" s="1517"/>
      <c r="E143" s="1517"/>
      <c r="F143" s="1517"/>
      <c r="G143" s="1517"/>
      <c r="H143" s="1517"/>
    </row>
    <row r="144" spans="1:8">
      <c r="A144" s="1518" t="s">
        <v>880</v>
      </c>
      <c r="B144" s="1517"/>
      <c r="C144" s="1517"/>
      <c r="D144" s="1517"/>
      <c r="E144" s="1517"/>
      <c r="F144" s="1517"/>
      <c r="G144" s="1517"/>
      <c r="H144" s="1517"/>
    </row>
    <row r="145" spans="1:8">
      <c r="A145" s="1518" t="s">
        <v>881</v>
      </c>
      <c r="B145" s="1517"/>
      <c r="C145" s="1517"/>
      <c r="D145" s="1517"/>
      <c r="E145" s="1517"/>
      <c r="F145" s="1517"/>
      <c r="G145" s="1517"/>
      <c r="H145" s="1517"/>
    </row>
    <row r="146" spans="1:8">
      <c r="A146" s="1517"/>
      <c r="B146" s="1517"/>
      <c r="C146" s="1517"/>
      <c r="D146" s="1517"/>
      <c r="E146" s="1517"/>
      <c r="F146" s="1517"/>
      <c r="G146" s="1517"/>
      <c r="H146" s="1517"/>
    </row>
    <row r="147" spans="1:8">
      <c r="A147" s="1518" t="s">
        <v>877</v>
      </c>
      <c r="B147" s="1517"/>
      <c r="C147" s="1517"/>
      <c r="D147" s="1517"/>
      <c r="E147" s="1517"/>
      <c r="F147" s="1517"/>
      <c r="G147" s="1517"/>
      <c r="H147" s="1517"/>
    </row>
    <row r="148" spans="1:8">
      <c r="A148" s="1518" t="s">
        <v>878</v>
      </c>
      <c r="B148" s="1517"/>
      <c r="C148" s="1517"/>
      <c r="D148" s="1517"/>
      <c r="E148" s="1517"/>
      <c r="F148" s="1517"/>
      <c r="G148" s="1517"/>
      <c r="H148" s="1517"/>
    </row>
    <row r="149" spans="1:8">
      <c r="A149" s="1518" t="s">
        <v>879</v>
      </c>
      <c r="B149" s="1517"/>
      <c r="C149" s="1517"/>
      <c r="D149" s="1517"/>
      <c r="E149" s="1517"/>
      <c r="F149" s="1517"/>
      <c r="G149" s="1517"/>
      <c r="H149" s="1517"/>
    </row>
    <row r="150" spans="1:8">
      <c r="A150" s="1517"/>
      <c r="B150" s="1517"/>
      <c r="C150" s="1517"/>
      <c r="D150" s="1517"/>
      <c r="E150" s="1517"/>
      <c r="F150" s="1517"/>
      <c r="G150" s="1517"/>
      <c r="H150" s="1517"/>
    </row>
    <row r="151" spans="1:8">
      <c r="A151" s="1518" t="s">
        <v>874</v>
      </c>
      <c r="B151" s="1517"/>
      <c r="C151" s="1517"/>
      <c r="D151" s="1517"/>
      <c r="E151" s="1517"/>
      <c r="F151" s="1517"/>
      <c r="G151" s="1517"/>
      <c r="H151" s="1517"/>
    </row>
    <row r="152" spans="1:8">
      <c r="A152" s="1518" t="s">
        <v>875</v>
      </c>
      <c r="B152" s="1517"/>
      <c r="C152" s="1517"/>
      <c r="D152" s="1517"/>
      <c r="E152" s="1517"/>
      <c r="F152" s="1517"/>
      <c r="G152" s="1517"/>
      <c r="H152" s="1517"/>
    </row>
    <row r="153" spans="1:8">
      <c r="A153" s="1518" t="s">
        <v>876</v>
      </c>
      <c r="B153" s="1517"/>
      <c r="C153" s="1517"/>
      <c r="D153" s="1517"/>
      <c r="E153" s="1517"/>
      <c r="F153" s="1517"/>
      <c r="G153" s="1517"/>
      <c r="H153" s="1517"/>
    </row>
    <row r="154" spans="1:8">
      <c r="A154" s="1517"/>
      <c r="B154" s="1517"/>
      <c r="C154" s="1517"/>
      <c r="D154" s="1517"/>
      <c r="E154" s="1517"/>
      <c r="F154" s="1517"/>
      <c r="G154" s="1517"/>
      <c r="H154" s="1517"/>
    </row>
    <row r="155" spans="1:8">
      <c r="A155" s="1518" t="s">
        <v>871</v>
      </c>
      <c r="B155" s="1517"/>
      <c r="C155" s="1517"/>
      <c r="D155" s="1517"/>
      <c r="E155" s="1517"/>
      <c r="F155" s="1517"/>
      <c r="G155" s="1517"/>
      <c r="H155" s="1517"/>
    </row>
    <row r="156" spans="1:8">
      <c r="A156" s="1518" t="s">
        <v>872</v>
      </c>
      <c r="B156" s="1517"/>
      <c r="C156" s="1517"/>
      <c r="D156" s="1517"/>
      <c r="E156" s="1517"/>
      <c r="F156" s="1517"/>
      <c r="G156" s="1517"/>
      <c r="H156" s="1517"/>
    </row>
    <row r="157" spans="1:8">
      <c r="A157" s="1518" t="s">
        <v>873</v>
      </c>
      <c r="B157" s="1517"/>
      <c r="C157" s="1517"/>
      <c r="D157" s="1517"/>
      <c r="E157" s="1517"/>
      <c r="F157" s="1517"/>
      <c r="G157" s="1517"/>
      <c r="H157" s="1517"/>
    </row>
    <row r="158" spans="1:8">
      <c r="A158" s="1517"/>
      <c r="B158" s="1517"/>
      <c r="C158" s="1517"/>
      <c r="D158" s="1517"/>
      <c r="E158" s="1517"/>
      <c r="F158" s="1517"/>
      <c r="G158" s="1517"/>
      <c r="H158" s="1517"/>
    </row>
    <row r="159" spans="1:8">
      <c r="A159" s="1518" t="s">
        <v>869</v>
      </c>
      <c r="B159" s="1517"/>
      <c r="C159" s="1517"/>
      <c r="D159" s="1517"/>
      <c r="E159" s="1517"/>
      <c r="F159" s="1517"/>
      <c r="G159" s="1517"/>
      <c r="H159" s="1517"/>
    </row>
    <row r="160" spans="1:8">
      <c r="A160" s="1518" t="s">
        <v>870</v>
      </c>
      <c r="B160" s="1517"/>
      <c r="C160" s="1517"/>
      <c r="D160" s="1517"/>
      <c r="E160" s="1517"/>
      <c r="F160" s="1517"/>
      <c r="G160" s="1517"/>
      <c r="H160" s="1517"/>
    </row>
    <row r="161" spans="1:8">
      <c r="A161" s="1517"/>
      <c r="B161" s="1517"/>
      <c r="C161" s="1517"/>
      <c r="D161" s="1517"/>
      <c r="E161" s="1517"/>
      <c r="F161" s="1517"/>
      <c r="G161" s="1517"/>
      <c r="H161" s="1517"/>
    </row>
    <row r="162" spans="1:8" ht="15.75">
      <c r="A162" s="1519" t="s">
        <v>692</v>
      </c>
      <c r="B162" s="1517"/>
      <c r="C162" s="1517"/>
      <c r="D162" s="1517"/>
      <c r="E162" s="1517"/>
      <c r="F162" s="1517"/>
      <c r="G162" s="1517"/>
      <c r="H162" s="1517"/>
    </row>
    <row r="163" spans="1:8">
      <c r="A163" s="1517"/>
      <c r="B163" s="1517"/>
      <c r="C163" s="1517"/>
      <c r="D163" s="1517"/>
      <c r="E163" s="1517"/>
      <c r="F163" s="1517"/>
      <c r="G163" s="1517"/>
      <c r="H163" s="1517"/>
    </row>
    <row r="164" spans="1:8">
      <c r="A164" s="1518" t="s">
        <v>867</v>
      </c>
      <c r="B164" s="1517"/>
      <c r="C164" s="1517"/>
      <c r="D164" s="1517"/>
      <c r="E164" s="1517"/>
      <c r="F164" s="1517"/>
      <c r="G164" s="1517"/>
      <c r="H164" s="1517"/>
    </row>
    <row r="165" spans="1:8">
      <c r="A165" s="1518" t="s">
        <v>868</v>
      </c>
      <c r="B165" s="1517"/>
      <c r="C165" s="1517"/>
      <c r="D165" s="1517"/>
      <c r="E165" s="1517"/>
      <c r="F165" s="1517"/>
      <c r="G165" s="1517"/>
      <c r="H165" s="1517"/>
    </row>
    <row r="166" spans="1:8">
      <c r="A166" s="1517"/>
      <c r="B166" s="1517"/>
      <c r="C166" s="1517"/>
      <c r="D166" s="1517"/>
      <c r="E166" s="1517"/>
      <c r="F166" s="1517"/>
      <c r="G166" s="1517"/>
      <c r="H166" s="1517"/>
    </row>
    <row r="167" spans="1:8">
      <c r="A167" s="1518" t="s">
        <v>865</v>
      </c>
      <c r="B167" s="1517"/>
      <c r="C167" s="1517"/>
      <c r="D167" s="1517"/>
      <c r="E167" s="1517"/>
      <c r="F167" s="1517"/>
      <c r="G167" s="1517"/>
      <c r="H167" s="1517"/>
    </row>
    <row r="168" spans="1:8">
      <c r="A168" s="1518" t="s">
        <v>866</v>
      </c>
      <c r="B168" s="1517"/>
      <c r="C168" s="1517"/>
      <c r="D168" s="1517"/>
      <c r="E168" s="1517"/>
      <c r="F168" s="1517"/>
      <c r="G168" s="1517"/>
      <c r="H168" s="1517"/>
    </row>
    <row r="169" spans="1:8">
      <c r="A169" s="1517"/>
      <c r="B169" s="1517"/>
      <c r="C169" s="1517"/>
      <c r="D169" s="1517"/>
      <c r="E169" s="1517"/>
      <c r="F169" s="1517"/>
      <c r="G169" s="1517"/>
      <c r="H169" s="1517"/>
    </row>
    <row r="170" spans="1:8">
      <c r="A170" s="1518" t="s">
        <v>863</v>
      </c>
      <c r="B170" s="1517"/>
      <c r="C170" s="1517"/>
      <c r="D170" s="1517"/>
      <c r="E170" s="1517"/>
      <c r="F170" s="1517"/>
      <c r="G170" s="1517"/>
      <c r="H170" s="1517"/>
    </row>
    <row r="171" spans="1:8">
      <c r="A171" s="1518" t="s">
        <v>864</v>
      </c>
      <c r="B171" s="1517"/>
      <c r="C171" s="1517"/>
      <c r="D171" s="1517"/>
      <c r="E171" s="1517"/>
      <c r="F171" s="1517"/>
      <c r="G171" s="1517"/>
      <c r="H171" s="1517"/>
    </row>
    <row r="172" spans="1:8">
      <c r="A172" s="1517"/>
      <c r="B172" s="1517"/>
      <c r="C172" s="1517"/>
      <c r="D172" s="1517"/>
      <c r="E172" s="1517"/>
      <c r="F172" s="1517"/>
      <c r="G172" s="1517"/>
      <c r="H172" s="1517"/>
    </row>
    <row r="173" spans="1:8">
      <c r="A173" s="1518" t="s">
        <v>860</v>
      </c>
      <c r="B173" s="1517"/>
      <c r="C173" s="1517"/>
      <c r="D173" s="1517"/>
      <c r="E173" s="1517"/>
      <c r="F173" s="1517"/>
      <c r="G173" s="1517"/>
      <c r="H173" s="1517"/>
    </row>
    <row r="174" spans="1:8">
      <c r="A174" s="1518" t="s">
        <v>861</v>
      </c>
      <c r="B174" s="1517"/>
      <c r="C174" s="1517"/>
      <c r="D174" s="1517"/>
      <c r="E174" s="1517"/>
      <c r="F174" s="1517"/>
      <c r="G174" s="1517"/>
      <c r="H174" s="1517"/>
    </row>
    <row r="175" spans="1:8">
      <c r="A175" s="1518" t="s">
        <v>862</v>
      </c>
      <c r="B175" s="1517"/>
      <c r="C175" s="1517"/>
      <c r="D175" s="1517"/>
      <c r="E175" s="1517"/>
      <c r="F175" s="1517"/>
      <c r="G175" s="1517"/>
      <c r="H175" s="1517"/>
    </row>
    <row r="176" spans="1:8">
      <c r="A176" s="1517"/>
      <c r="B176" s="1517"/>
      <c r="C176" s="1517"/>
      <c r="D176" s="1517"/>
      <c r="E176" s="1517"/>
      <c r="F176" s="1517"/>
      <c r="G176" s="1517"/>
      <c r="H176" s="1517"/>
    </row>
    <row r="177" spans="1:8">
      <c r="A177" s="1517"/>
      <c r="B177" s="1517"/>
      <c r="C177" s="1517"/>
      <c r="D177" s="1517"/>
      <c r="E177" s="1517"/>
      <c r="F177" s="1517"/>
      <c r="G177" s="1517"/>
      <c r="H177" s="1517"/>
    </row>
    <row r="178" spans="1:8">
      <c r="A178" s="1518" t="s">
        <v>570</v>
      </c>
      <c r="B178" s="1517"/>
      <c r="C178" s="1517"/>
      <c r="D178" s="1517"/>
      <c r="E178" s="1517"/>
      <c r="F178" s="1517"/>
      <c r="G178" s="1517"/>
      <c r="H178" s="1517"/>
    </row>
    <row r="179" spans="1:8">
      <c r="A179" s="1517"/>
      <c r="B179" s="1517"/>
      <c r="C179" s="1517"/>
      <c r="D179" s="1517"/>
      <c r="E179" s="1517"/>
      <c r="F179" s="1517"/>
      <c r="G179" s="1517"/>
      <c r="H179" s="1517"/>
    </row>
    <row r="180" spans="1:8" ht="15.75">
      <c r="A180" s="1519" t="s">
        <v>693</v>
      </c>
      <c r="B180" s="1517"/>
      <c r="C180" s="1517"/>
      <c r="D180" s="1517"/>
      <c r="E180" s="1517"/>
      <c r="F180" s="1517"/>
      <c r="G180" s="1517"/>
      <c r="H180" s="1517"/>
    </row>
    <row r="181" spans="1:8">
      <c r="A181" s="1517"/>
      <c r="B181" s="1517"/>
      <c r="C181" s="1517"/>
      <c r="D181" s="1517"/>
      <c r="E181" s="1517"/>
      <c r="F181" s="1517"/>
      <c r="G181" s="1517"/>
      <c r="H181" s="1517"/>
    </row>
    <row r="182" spans="1:8">
      <c r="A182" s="1517"/>
      <c r="B182" s="1517"/>
      <c r="C182" s="1517"/>
      <c r="D182" s="1517"/>
      <c r="E182" s="1517"/>
      <c r="F182" s="1517"/>
      <c r="G182" s="1517"/>
      <c r="H182" s="1517"/>
    </row>
    <row r="183" spans="1:8">
      <c r="A183" s="1517"/>
      <c r="B183" s="1517"/>
      <c r="C183" s="1517"/>
      <c r="D183" s="1517"/>
      <c r="E183" s="1517"/>
      <c r="F183" s="1517"/>
      <c r="G183" s="1517"/>
      <c r="H183" s="1517"/>
    </row>
    <row r="184" spans="1:8">
      <c r="A184" s="1517"/>
      <c r="B184" s="1517"/>
      <c r="C184" s="1517"/>
      <c r="D184" s="1517"/>
      <c r="E184" s="1517"/>
      <c r="F184" s="1517"/>
      <c r="G184" s="1517"/>
      <c r="H184" s="1517"/>
    </row>
    <row r="185" spans="1:8">
      <c r="A185" s="1517"/>
      <c r="B185" s="1517"/>
      <c r="C185" s="1517"/>
      <c r="D185" s="1517"/>
      <c r="E185" s="1517"/>
      <c r="F185" s="1517"/>
      <c r="G185" s="1517"/>
      <c r="H185" s="1517"/>
    </row>
    <row r="186" spans="1:8">
      <c r="A186" s="1517"/>
      <c r="B186" s="1517"/>
      <c r="C186" s="1517"/>
      <c r="D186" s="1517"/>
      <c r="E186" s="1517"/>
      <c r="F186" s="1517"/>
      <c r="G186" s="1517"/>
      <c r="H186" s="1517"/>
    </row>
    <row r="187" spans="1:8">
      <c r="A187" s="1517"/>
      <c r="B187" s="1517"/>
      <c r="C187" s="1517"/>
      <c r="D187" s="1517"/>
      <c r="E187" s="1517"/>
      <c r="F187" s="1517"/>
      <c r="G187" s="1517"/>
      <c r="H187" s="1517"/>
    </row>
    <row r="188" spans="1:8">
      <c r="A188" s="1517"/>
      <c r="B188" s="1517"/>
      <c r="C188" s="1517"/>
      <c r="D188" s="1517"/>
      <c r="E188" s="1517"/>
      <c r="F188" s="1517"/>
      <c r="G188" s="1517"/>
      <c r="H188" s="1517"/>
    </row>
    <row r="189" spans="1:8">
      <c r="A189" s="1517"/>
      <c r="B189" s="1517"/>
      <c r="C189" s="1517"/>
      <c r="D189" s="1517"/>
      <c r="E189" s="1517"/>
      <c r="F189" s="1517"/>
      <c r="G189" s="1517"/>
      <c r="H189" s="1517"/>
    </row>
    <row r="190" spans="1:8">
      <c r="A190" s="1517"/>
      <c r="B190" s="1517"/>
      <c r="C190" s="1517"/>
      <c r="D190" s="1517"/>
      <c r="E190" s="1517"/>
      <c r="F190" s="1517"/>
      <c r="G190" s="1517"/>
      <c r="H190" s="1517"/>
    </row>
    <row r="191" spans="1:8">
      <c r="A191" s="1517"/>
      <c r="B191" s="1517"/>
      <c r="C191" s="1517"/>
      <c r="D191" s="1517"/>
      <c r="E191" s="1517"/>
      <c r="F191" s="1517"/>
      <c r="G191" s="1517"/>
      <c r="H191" s="1517"/>
    </row>
    <row r="192" spans="1:8">
      <c r="A192" s="1517"/>
      <c r="B192" s="1517"/>
      <c r="C192" s="1517"/>
      <c r="D192" s="1517"/>
      <c r="E192" s="1517"/>
      <c r="F192" s="1517"/>
      <c r="G192" s="1517"/>
      <c r="H192" s="1517"/>
    </row>
    <row r="193" spans="1:8">
      <c r="A193" s="1517"/>
      <c r="B193" s="1517"/>
      <c r="C193" s="1517"/>
      <c r="D193" s="1517"/>
      <c r="E193" s="1517"/>
      <c r="F193" s="1517"/>
      <c r="G193" s="1517"/>
      <c r="H193" s="1517"/>
    </row>
    <row r="194" spans="1:8">
      <c r="A194" s="1517"/>
      <c r="B194" s="1517"/>
      <c r="C194" s="1517"/>
      <c r="D194" s="1517"/>
      <c r="E194" s="1517"/>
      <c r="F194" s="1517"/>
      <c r="G194" s="1517"/>
      <c r="H194" s="1517"/>
    </row>
    <row r="195" spans="1:8">
      <c r="A195" s="1517"/>
      <c r="B195" s="1517"/>
      <c r="C195" s="1517"/>
      <c r="D195" s="1517"/>
      <c r="E195" s="1517"/>
      <c r="F195" s="1517"/>
      <c r="G195" s="1517"/>
      <c r="H195" s="1517"/>
    </row>
    <row r="196" spans="1:8">
      <c r="A196" s="1517"/>
      <c r="B196" s="1517"/>
      <c r="C196" s="1517"/>
      <c r="D196" s="1517"/>
      <c r="E196" s="1517"/>
      <c r="F196" s="1517"/>
      <c r="G196" s="1517"/>
      <c r="H196" s="1517"/>
    </row>
    <row r="197" spans="1:8">
      <c r="A197" s="1517"/>
      <c r="B197" s="1517"/>
      <c r="C197" s="1517"/>
      <c r="D197" s="1517"/>
      <c r="E197" s="1517"/>
      <c r="F197" s="1517"/>
      <c r="G197" s="1517"/>
      <c r="H197" s="1517"/>
    </row>
    <row r="198" spans="1:8">
      <c r="A198" s="1517"/>
      <c r="B198" s="1517"/>
      <c r="C198" s="1517"/>
      <c r="D198" s="1517"/>
      <c r="E198" s="1517"/>
      <c r="F198" s="1517"/>
      <c r="G198" s="1517"/>
      <c r="H198" s="1517"/>
    </row>
    <row r="199" spans="1:8">
      <c r="A199" s="1517"/>
      <c r="B199" s="1517"/>
      <c r="C199" s="1517"/>
      <c r="D199" s="1517"/>
      <c r="E199" s="1517"/>
      <c r="F199" s="1517"/>
      <c r="G199" s="1517"/>
      <c r="H199" s="1517"/>
    </row>
    <row r="200" spans="1:8">
      <c r="A200" s="1517"/>
      <c r="B200" s="1517"/>
      <c r="C200" s="1517"/>
      <c r="D200" s="1517"/>
      <c r="E200" s="1517"/>
      <c r="F200" s="1517"/>
      <c r="G200" s="1517"/>
      <c r="H200" s="1517"/>
    </row>
    <row r="201" spans="1:8">
      <c r="A201" s="1517"/>
      <c r="B201" s="1517"/>
      <c r="C201" s="1517"/>
      <c r="D201" s="1517"/>
      <c r="E201" s="1517"/>
      <c r="F201" s="1517"/>
      <c r="G201" s="1517"/>
      <c r="H201" s="1517"/>
    </row>
    <row r="202" spans="1:8">
      <c r="A202" s="1517"/>
      <c r="B202" s="1517"/>
      <c r="C202" s="1517"/>
      <c r="D202" s="1517"/>
      <c r="E202" s="1517"/>
      <c r="F202" s="1517"/>
      <c r="G202" s="1517"/>
      <c r="H202" s="1517"/>
    </row>
    <row r="203" spans="1:8">
      <c r="A203" s="1517"/>
      <c r="B203" s="1517"/>
      <c r="C203" s="1517"/>
      <c r="D203" s="1517"/>
      <c r="E203" s="1517"/>
      <c r="F203" s="1517"/>
      <c r="G203" s="1517"/>
      <c r="H203" s="1517"/>
    </row>
    <row r="204" spans="1:8">
      <c r="A204" s="1517"/>
      <c r="B204" s="1517"/>
      <c r="C204" s="1517"/>
      <c r="D204" s="1517"/>
      <c r="E204" s="1517"/>
      <c r="F204" s="1517"/>
      <c r="G204" s="1517"/>
      <c r="H204" s="1517"/>
    </row>
    <row r="205" spans="1:8">
      <c r="A205" s="1517"/>
      <c r="B205" s="1517"/>
      <c r="C205" s="1517"/>
      <c r="D205" s="1517"/>
      <c r="E205" s="1517"/>
      <c r="F205" s="1517"/>
      <c r="G205" s="1517"/>
      <c r="H205" s="1517"/>
    </row>
    <row r="206" spans="1:8">
      <c r="A206" s="1517"/>
      <c r="B206" s="1517"/>
      <c r="C206" s="1517"/>
      <c r="D206" s="1517"/>
      <c r="E206" s="1517"/>
      <c r="F206" s="1517"/>
      <c r="G206" s="1517"/>
      <c r="H206" s="1517"/>
    </row>
    <row r="207" spans="1:8" ht="15.75">
      <c r="A207" s="1519" t="s">
        <v>694</v>
      </c>
      <c r="B207" s="1517"/>
      <c r="C207" s="1517"/>
      <c r="D207" s="1517"/>
      <c r="E207" s="1517"/>
      <c r="F207" s="1517"/>
      <c r="G207" s="1517"/>
      <c r="H207" s="1517"/>
    </row>
    <row r="208" spans="1:8">
      <c r="A208" s="1517"/>
      <c r="B208" s="1517"/>
      <c r="C208" s="1517"/>
      <c r="D208" s="1517"/>
      <c r="E208" s="1517"/>
      <c r="F208" s="1517"/>
      <c r="G208" s="1517"/>
      <c r="H208" s="1517"/>
    </row>
    <row r="209" spans="1:8">
      <c r="A209" s="1518" t="s">
        <v>855</v>
      </c>
      <c r="B209" s="1517"/>
      <c r="C209" s="1517"/>
      <c r="D209" s="1517"/>
      <c r="E209" s="1517"/>
      <c r="F209" s="1517"/>
      <c r="G209" s="1517"/>
      <c r="H209" s="1517"/>
    </row>
    <row r="210" spans="1:8">
      <c r="A210" s="1518" t="s">
        <v>856</v>
      </c>
      <c r="B210" s="1517"/>
      <c r="C210" s="1517"/>
      <c r="D210" s="1517"/>
      <c r="E210" s="1517"/>
      <c r="F210" s="1517"/>
      <c r="G210" s="1517"/>
      <c r="H210" s="1517"/>
    </row>
    <row r="211" spans="1:8">
      <c r="A211" s="1518" t="s">
        <v>857</v>
      </c>
      <c r="B211" s="1517"/>
      <c r="C211" s="1517"/>
      <c r="D211" s="1517"/>
      <c r="E211" s="1517"/>
      <c r="F211" s="1517"/>
      <c r="G211" s="1517"/>
      <c r="H211" s="1517"/>
    </row>
    <row r="212" spans="1:8">
      <c r="A212" s="1518" t="s">
        <v>858</v>
      </c>
      <c r="B212" s="1517"/>
      <c r="C212" s="1517"/>
      <c r="D212" s="1517"/>
      <c r="E212" s="1517"/>
      <c r="F212" s="1517"/>
      <c r="G212" s="1517"/>
      <c r="H212" s="1517"/>
    </row>
    <row r="213" spans="1:8">
      <c r="A213" s="1518" t="s">
        <v>859</v>
      </c>
      <c r="B213" s="1517"/>
      <c r="C213" s="1517"/>
      <c r="D213" s="1517"/>
      <c r="E213" s="1517"/>
      <c r="F213" s="1517"/>
      <c r="G213" s="1517"/>
      <c r="H213" s="1517"/>
    </row>
    <row r="214" spans="1:8">
      <c r="A214" s="1517"/>
      <c r="B214" s="1517"/>
      <c r="C214" s="1517"/>
      <c r="D214" s="1517"/>
      <c r="E214" s="1517"/>
      <c r="F214" s="1517"/>
      <c r="G214" s="1517"/>
      <c r="H214" s="1517"/>
    </row>
    <row r="215" spans="1:8">
      <c r="A215" s="1518" t="s">
        <v>852</v>
      </c>
      <c r="B215" s="1517"/>
      <c r="C215" s="1517"/>
      <c r="D215" s="1517"/>
      <c r="E215" s="1517"/>
      <c r="F215" s="1517"/>
      <c r="G215" s="1517"/>
      <c r="H215" s="1517"/>
    </row>
    <row r="216" spans="1:8">
      <c r="A216" s="1518" t="s">
        <v>853</v>
      </c>
      <c r="B216" s="1517"/>
      <c r="C216" s="1517"/>
      <c r="D216" s="1517"/>
      <c r="E216" s="1517"/>
      <c r="F216" s="1517"/>
      <c r="G216" s="1517"/>
      <c r="H216" s="1517"/>
    </row>
    <row r="217" spans="1:8">
      <c r="A217" s="1518" t="s">
        <v>854</v>
      </c>
      <c r="B217" s="1517"/>
      <c r="C217" s="1517"/>
      <c r="D217" s="1517"/>
      <c r="E217" s="1517"/>
      <c r="F217" s="1517"/>
      <c r="G217" s="1517"/>
      <c r="H217" s="1517"/>
    </row>
    <row r="218" spans="1:8" ht="15.75">
      <c r="A218" s="1519" t="s">
        <v>695</v>
      </c>
      <c r="B218" s="1517"/>
      <c r="C218" s="1517"/>
      <c r="D218" s="1517"/>
      <c r="E218" s="1517"/>
      <c r="F218" s="1517"/>
      <c r="G218" s="1517"/>
      <c r="H218" s="1517"/>
    </row>
    <row r="219" spans="1:8">
      <c r="A219" s="1517"/>
      <c r="B219" s="1517"/>
      <c r="C219" s="1517"/>
      <c r="D219" s="1517"/>
      <c r="E219" s="1517"/>
      <c r="F219" s="1517"/>
      <c r="G219" s="1517"/>
      <c r="H219" s="1517"/>
    </row>
    <row r="220" spans="1:8">
      <c r="A220" s="1518" t="s">
        <v>850</v>
      </c>
      <c r="B220" s="1517"/>
      <c r="C220" s="1517"/>
      <c r="D220" s="1517"/>
      <c r="E220" s="1517"/>
      <c r="F220" s="1517"/>
      <c r="G220" s="1517"/>
      <c r="H220" s="1517"/>
    </row>
    <row r="221" spans="1:8">
      <c r="A221" s="1518" t="s">
        <v>851</v>
      </c>
      <c r="B221" s="1517"/>
      <c r="C221" s="1517"/>
      <c r="D221" s="1517"/>
      <c r="E221" s="1517"/>
      <c r="F221" s="1517"/>
      <c r="G221" s="1517"/>
      <c r="H221" s="1517"/>
    </row>
    <row r="222" spans="1:8">
      <c r="A222" s="1517"/>
      <c r="B222" s="1517"/>
      <c r="C222" s="1517"/>
      <c r="D222" s="1517"/>
      <c r="E222" s="1517"/>
      <c r="F222" s="1517"/>
      <c r="G222" s="1517"/>
      <c r="H222" s="1517"/>
    </row>
    <row r="223" spans="1:8">
      <c r="A223" s="1518" t="s">
        <v>843</v>
      </c>
      <c r="B223" s="1517"/>
      <c r="C223" s="1517"/>
      <c r="D223" s="1517"/>
      <c r="E223" s="1517"/>
      <c r="F223" s="1517"/>
      <c r="G223" s="1517"/>
      <c r="H223" s="1517"/>
    </row>
    <row r="224" spans="1:8">
      <c r="A224" s="1518" t="s">
        <v>844</v>
      </c>
      <c r="B224" s="1517"/>
      <c r="C224" s="1517"/>
      <c r="D224" s="1517"/>
      <c r="E224" s="1517"/>
      <c r="F224" s="1517"/>
      <c r="G224" s="1517"/>
      <c r="H224" s="1517"/>
    </row>
    <row r="225" spans="1:8">
      <c r="A225" s="1518" t="s">
        <v>845</v>
      </c>
      <c r="B225" s="1517"/>
      <c r="C225" s="1517"/>
      <c r="D225" s="1517"/>
      <c r="E225" s="1517"/>
      <c r="F225" s="1517"/>
      <c r="G225" s="1517"/>
      <c r="H225" s="1517"/>
    </row>
    <row r="226" spans="1:8">
      <c r="A226" s="1518" t="s">
        <v>846</v>
      </c>
      <c r="B226" s="1517"/>
      <c r="C226" s="1517"/>
      <c r="D226" s="1517"/>
      <c r="E226" s="1517"/>
      <c r="F226" s="1517"/>
      <c r="G226" s="1517"/>
      <c r="H226" s="1517"/>
    </row>
    <row r="227" spans="1:8">
      <c r="A227" s="1518" t="s">
        <v>847</v>
      </c>
      <c r="B227" s="1517"/>
      <c r="C227" s="1517"/>
      <c r="D227" s="1517"/>
      <c r="E227" s="1517"/>
      <c r="F227" s="1517"/>
      <c r="G227" s="1517"/>
      <c r="H227" s="1517"/>
    </row>
    <row r="228" spans="1:8">
      <c r="A228" s="1518" t="s">
        <v>848</v>
      </c>
      <c r="B228" s="1517"/>
      <c r="C228" s="1517"/>
      <c r="D228" s="1517"/>
      <c r="E228" s="1517"/>
      <c r="F228" s="1517"/>
      <c r="G228" s="1517"/>
      <c r="H228" s="1517"/>
    </row>
    <row r="229" spans="1:8">
      <c r="A229" s="1518" t="s">
        <v>849</v>
      </c>
      <c r="B229" s="1517"/>
      <c r="C229" s="1517"/>
      <c r="D229" s="1517"/>
      <c r="E229" s="1517"/>
      <c r="F229" s="1517"/>
      <c r="G229" s="1517"/>
      <c r="H229" s="1517"/>
    </row>
    <row r="230" spans="1:8">
      <c r="A230" s="1517"/>
      <c r="B230" s="1517"/>
      <c r="C230" s="1517"/>
      <c r="D230" s="1517"/>
      <c r="E230" s="1517"/>
      <c r="F230" s="1517"/>
      <c r="G230" s="1517"/>
      <c r="H230" s="1517"/>
    </row>
    <row r="231" spans="1:8">
      <c r="A231" s="1518" t="s">
        <v>840</v>
      </c>
      <c r="B231" s="1517"/>
      <c r="C231" s="1517"/>
      <c r="D231" s="1517"/>
      <c r="E231" s="1517"/>
      <c r="F231" s="1517"/>
      <c r="G231" s="1517"/>
      <c r="H231" s="1517"/>
    </row>
    <row r="232" spans="1:8">
      <c r="A232" s="1518" t="s">
        <v>841</v>
      </c>
      <c r="B232" s="1517"/>
      <c r="C232" s="1517"/>
      <c r="D232" s="1517"/>
      <c r="E232" s="1517"/>
      <c r="F232" s="1517"/>
      <c r="G232" s="1517"/>
      <c r="H232" s="1517"/>
    </row>
    <row r="233" spans="1:8">
      <c r="A233" s="1518" t="s">
        <v>842</v>
      </c>
      <c r="B233" s="1517"/>
      <c r="C233" s="1517"/>
      <c r="D233" s="1517"/>
      <c r="E233" s="1517"/>
      <c r="F233" s="1517"/>
      <c r="G233" s="1517"/>
      <c r="H233" s="1517"/>
    </row>
    <row r="234" spans="1:8">
      <c r="A234" s="1517"/>
      <c r="B234" s="1517"/>
      <c r="C234" s="1517"/>
      <c r="D234" s="1517"/>
      <c r="E234" s="1517"/>
      <c r="F234" s="1517"/>
      <c r="G234" s="1517"/>
      <c r="H234" s="1517"/>
    </row>
    <row r="235" spans="1:8">
      <c r="A235" s="1518" t="s">
        <v>835</v>
      </c>
      <c r="B235" s="1517"/>
      <c r="C235" s="1517"/>
      <c r="D235" s="1517"/>
      <c r="E235" s="1517"/>
      <c r="F235" s="1517"/>
      <c r="G235" s="1517"/>
      <c r="H235" s="1517"/>
    </row>
    <row r="236" spans="1:8">
      <c r="A236" s="1518" t="s">
        <v>836</v>
      </c>
      <c r="B236" s="1517"/>
      <c r="C236" s="1517"/>
      <c r="D236" s="1517"/>
      <c r="E236" s="1517"/>
      <c r="F236" s="1517"/>
      <c r="G236" s="1517"/>
      <c r="H236" s="1517"/>
    </row>
    <row r="237" spans="1:8">
      <c r="A237" s="1518" t="s">
        <v>837</v>
      </c>
      <c r="B237" s="1517"/>
      <c r="C237" s="1517"/>
      <c r="D237" s="1517"/>
      <c r="E237" s="1517"/>
      <c r="F237" s="1517"/>
      <c r="G237" s="1517"/>
      <c r="H237" s="1517"/>
    </row>
    <row r="238" spans="1:8">
      <c r="A238" s="1518" t="s">
        <v>838</v>
      </c>
      <c r="B238" s="1517"/>
      <c r="C238" s="1517"/>
      <c r="D238" s="1517"/>
      <c r="E238" s="1517"/>
      <c r="F238" s="1517"/>
      <c r="G238" s="1517"/>
      <c r="H238" s="1517"/>
    </row>
    <row r="239" spans="1:8">
      <c r="A239" s="1518" t="s">
        <v>839</v>
      </c>
      <c r="B239" s="1517"/>
      <c r="C239" s="1517"/>
      <c r="D239" s="1517"/>
      <c r="E239" s="1517"/>
      <c r="F239" s="1517"/>
      <c r="G239" s="1517"/>
      <c r="H239" s="1517"/>
    </row>
    <row r="240" spans="1:8">
      <c r="A240" s="1517"/>
      <c r="B240" s="1517"/>
      <c r="C240" s="1517"/>
      <c r="D240" s="1517"/>
      <c r="E240" s="1517"/>
      <c r="F240" s="1517"/>
      <c r="G240" s="1517"/>
      <c r="H240" s="1517"/>
    </row>
    <row r="241" spans="1:8">
      <c r="A241" s="1518" t="s">
        <v>829</v>
      </c>
      <c r="B241" s="1517"/>
      <c r="C241" s="1517"/>
      <c r="D241" s="1517"/>
      <c r="E241" s="1517"/>
      <c r="F241" s="1517"/>
      <c r="G241" s="1517"/>
      <c r="H241" s="1517"/>
    </row>
    <row r="242" spans="1:8">
      <c r="A242" s="1518" t="s">
        <v>830</v>
      </c>
      <c r="B242" s="1517"/>
      <c r="C242" s="1517"/>
      <c r="D242" s="1517"/>
      <c r="E242" s="1517"/>
      <c r="F242" s="1517"/>
      <c r="G242" s="1517"/>
      <c r="H242" s="1517"/>
    </row>
    <row r="243" spans="1:8">
      <c r="A243" s="1518" t="s">
        <v>831</v>
      </c>
      <c r="B243" s="1517"/>
      <c r="C243" s="1517"/>
      <c r="D243" s="1517"/>
      <c r="E243" s="1517"/>
      <c r="F243" s="1517"/>
      <c r="G243" s="1517"/>
      <c r="H243" s="1517"/>
    </row>
    <row r="244" spans="1:8">
      <c r="A244" s="1518" t="s">
        <v>832</v>
      </c>
      <c r="B244" s="1517"/>
      <c r="C244" s="1517"/>
      <c r="D244" s="1517"/>
      <c r="E244" s="1517"/>
      <c r="F244" s="1517"/>
      <c r="G244" s="1517"/>
      <c r="H244" s="1517"/>
    </row>
    <row r="245" spans="1:8">
      <c r="A245" s="1518" t="s">
        <v>833</v>
      </c>
      <c r="B245" s="1517"/>
      <c r="C245" s="1517"/>
      <c r="D245" s="1517"/>
      <c r="E245" s="1517"/>
      <c r="F245" s="1517"/>
      <c r="G245" s="1517"/>
      <c r="H245" s="1517"/>
    </row>
    <row r="246" spans="1:8">
      <c r="A246" s="1518" t="s">
        <v>834</v>
      </c>
      <c r="B246" s="1517"/>
      <c r="C246" s="1517"/>
      <c r="D246" s="1517"/>
      <c r="E246" s="1517"/>
      <c r="F246" s="1517"/>
      <c r="G246" s="1517"/>
      <c r="H246" s="1517"/>
    </row>
    <row r="247" spans="1:8">
      <c r="A247" s="1517"/>
      <c r="B247" s="1517"/>
      <c r="C247" s="1517"/>
      <c r="D247" s="1517"/>
      <c r="E247" s="1517"/>
      <c r="F247" s="1517"/>
      <c r="G247" s="1517"/>
      <c r="H247" s="1517"/>
    </row>
    <row r="248" spans="1:8">
      <c r="A248" s="1518" t="s">
        <v>819</v>
      </c>
      <c r="B248" s="1517"/>
      <c r="C248" s="1517"/>
      <c r="D248" s="1517"/>
      <c r="E248" s="1517"/>
      <c r="F248" s="1517"/>
      <c r="G248" s="1517"/>
      <c r="H248" s="1517"/>
    </row>
    <row r="249" spans="1:8">
      <c r="A249" s="1518" t="s">
        <v>820</v>
      </c>
      <c r="B249" s="1517"/>
      <c r="C249" s="1517"/>
      <c r="D249" s="1517"/>
      <c r="E249" s="1517"/>
      <c r="F249" s="1517"/>
      <c r="G249" s="1517"/>
      <c r="H249" s="1517"/>
    </row>
    <row r="250" spans="1:8">
      <c r="A250" s="1518" t="s">
        <v>821</v>
      </c>
      <c r="B250" s="1517"/>
      <c r="C250" s="1517"/>
      <c r="D250" s="1517"/>
      <c r="E250" s="1517"/>
      <c r="F250" s="1517"/>
      <c r="G250" s="1517"/>
      <c r="H250" s="1517"/>
    </row>
    <row r="251" spans="1:8">
      <c r="A251" s="1518" t="s">
        <v>822</v>
      </c>
      <c r="B251" s="1517"/>
      <c r="C251" s="1517"/>
      <c r="D251" s="1517"/>
      <c r="E251" s="1517"/>
      <c r="F251" s="1517"/>
      <c r="G251" s="1517"/>
      <c r="H251" s="1517"/>
    </row>
    <row r="252" spans="1:8">
      <c r="A252" s="1518" t="s">
        <v>823</v>
      </c>
      <c r="B252" s="1517"/>
      <c r="C252" s="1517"/>
      <c r="D252" s="1517"/>
      <c r="E252" s="1517"/>
      <c r="F252" s="1517"/>
      <c r="G252" s="1517"/>
      <c r="H252" s="1517"/>
    </row>
    <row r="253" spans="1:8">
      <c r="A253" s="1518" t="s">
        <v>824</v>
      </c>
      <c r="B253" s="1517"/>
      <c r="C253" s="1517"/>
      <c r="D253" s="1517"/>
      <c r="E253" s="1517"/>
      <c r="F253" s="1517"/>
      <c r="G253" s="1517"/>
      <c r="H253" s="1517"/>
    </row>
    <row r="254" spans="1:8">
      <c r="A254" s="1518" t="s">
        <v>825</v>
      </c>
      <c r="B254" s="1517"/>
      <c r="C254" s="1517"/>
      <c r="D254" s="1517"/>
      <c r="E254" s="1517"/>
      <c r="F254" s="1517"/>
      <c r="G254" s="1517"/>
      <c r="H254" s="1517"/>
    </row>
    <row r="255" spans="1:8">
      <c r="A255" s="1518" t="s">
        <v>826</v>
      </c>
      <c r="B255" s="1517"/>
      <c r="C255" s="1517"/>
      <c r="D255" s="1517"/>
      <c r="E255" s="1517"/>
      <c r="F255" s="1517"/>
      <c r="G255" s="1517"/>
      <c r="H255" s="1517"/>
    </row>
    <row r="256" spans="1:8">
      <c r="A256" s="1518" t="s">
        <v>827</v>
      </c>
      <c r="B256" s="1517"/>
      <c r="C256" s="1517"/>
      <c r="D256" s="1517"/>
      <c r="E256" s="1517"/>
      <c r="F256" s="1517"/>
      <c r="G256" s="1517"/>
      <c r="H256" s="1517"/>
    </row>
    <row r="257" spans="1:8">
      <c r="A257" s="1518" t="s">
        <v>828</v>
      </c>
      <c r="B257" s="1517"/>
      <c r="C257" s="1517"/>
      <c r="D257" s="1517"/>
      <c r="E257" s="1517"/>
      <c r="F257" s="1517"/>
      <c r="G257" s="1517"/>
      <c r="H257" s="1517"/>
    </row>
    <row r="258" spans="1:8">
      <c r="A258" s="1517"/>
      <c r="B258" s="1517"/>
      <c r="C258" s="1517"/>
      <c r="D258" s="1517"/>
      <c r="E258" s="1517"/>
      <c r="F258" s="1517"/>
      <c r="G258" s="1517"/>
      <c r="H258" s="1517"/>
    </row>
    <row r="259" spans="1:8">
      <c r="A259" s="1518" t="s">
        <v>817</v>
      </c>
      <c r="B259" s="1517"/>
      <c r="C259" s="1517"/>
      <c r="D259" s="1517"/>
      <c r="E259" s="1517"/>
      <c r="F259" s="1517"/>
      <c r="G259" s="1517"/>
      <c r="H259" s="1517"/>
    </row>
    <row r="260" spans="1:8">
      <c r="A260" s="1518" t="s">
        <v>818</v>
      </c>
      <c r="B260" s="1517"/>
      <c r="C260" s="1517"/>
      <c r="D260" s="1517"/>
      <c r="E260" s="1517"/>
      <c r="F260" s="1517"/>
      <c r="G260" s="1517"/>
      <c r="H260" s="1517"/>
    </row>
    <row r="261" spans="1:8">
      <c r="A261" s="1517"/>
      <c r="B261" s="1517"/>
      <c r="C261" s="1517"/>
      <c r="D261" s="1517"/>
      <c r="E261" s="1517"/>
      <c r="F261" s="1517"/>
      <c r="G261" s="1517"/>
      <c r="H261" s="1517"/>
    </row>
    <row r="262" spans="1:8">
      <c r="A262" s="1518" t="s">
        <v>801</v>
      </c>
      <c r="B262" s="1517"/>
      <c r="C262" s="1517"/>
      <c r="D262" s="1517"/>
      <c r="E262" s="1517"/>
      <c r="F262" s="1517"/>
      <c r="G262" s="1517"/>
      <c r="H262" s="1517"/>
    </row>
    <row r="263" spans="1:8">
      <c r="A263" s="1518" t="s">
        <v>802</v>
      </c>
      <c r="B263" s="1517"/>
      <c r="C263" s="1517"/>
      <c r="D263" s="1517"/>
      <c r="E263" s="1517"/>
      <c r="F263" s="1517"/>
      <c r="G263" s="1517"/>
      <c r="H263" s="1517"/>
    </row>
    <row r="264" spans="1:8">
      <c r="A264" s="1518" t="s">
        <v>803</v>
      </c>
      <c r="B264" s="1517"/>
      <c r="C264" s="1517"/>
      <c r="D264" s="1517"/>
      <c r="E264" s="1517"/>
      <c r="F264" s="1517"/>
      <c r="G264" s="1517"/>
      <c r="H264" s="1517"/>
    </row>
    <row r="265" spans="1:8">
      <c r="A265" s="1518" t="s">
        <v>804</v>
      </c>
      <c r="B265" s="1517"/>
      <c r="C265" s="1517"/>
      <c r="D265" s="1517"/>
      <c r="E265" s="1517"/>
      <c r="F265" s="1517"/>
      <c r="G265" s="1517"/>
      <c r="H265" s="1517"/>
    </row>
    <row r="266" spans="1:8">
      <c r="A266" s="1518" t="s">
        <v>805</v>
      </c>
      <c r="B266" s="1517"/>
      <c r="C266" s="1517"/>
      <c r="D266" s="1517"/>
      <c r="E266" s="1517"/>
      <c r="F266" s="1517"/>
      <c r="G266" s="1517"/>
      <c r="H266" s="1517"/>
    </row>
    <row r="267" spans="1:8">
      <c r="A267" s="1518" t="s">
        <v>806</v>
      </c>
      <c r="B267" s="1517"/>
      <c r="C267" s="1517"/>
      <c r="D267" s="1517"/>
      <c r="E267" s="1517"/>
      <c r="F267" s="1517"/>
      <c r="G267" s="1517"/>
      <c r="H267" s="1517"/>
    </row>
    <row r="268" spans="1:8">
      <c r="A268" s="1518" t="s">
        <v>807</v>
      </c>
      <c r="B268" s="1517"/>
      <c r="C268" s="1517"/>
      <c r="D268" s="1517"/>
      <c r="E268" s="1517"/>
      <c r="F268" s="1517"/>
      <c r="G268" s="1517"/>
      <c r="H268" s="1517"/>
    </row>
    <row r="269" spans="1:8">
      <c r="A269" s="1518" t="s">
        <v>808</v>
      </c>
      <c r="B269" s="1517"/>
      <c r="C269" s="1517"/>
      <c r="D269" s="1517"/>
      <c r="E269" s="1517"/>
      <c r="F269" s="1517"/>
      <c r="G269" s="1517"/>
      <c r="H269" s="1517"/>
    </row>
    <row r="270" spans="1:8">
      <c r="A270" s="1518" t="s">
        <v>809</v>
      </c>
      <c r="B270" s="1517"/>
      <c r="C270" s="1517"/>
      <c r="D270" s="1517"/>
      <c r="E270" s="1517"/>
      <c r="F270" s="1517"/>
      <c r="G270" s="1517"/>
      <c r="H270" s="1517"/>
    </row>
    <row r="271" spans="1:8">
      <c r="A271" s="1518" t="s">
        <v>810</v>
      </c>
      <c r="B271" s="1517"/>
      <c r="C271" s="1517"/>
      <c r="D271" s="1517"/>
      <c r="E271" s="1517"/>
      <c r="F271" s="1517"/>
      <c r="G271" s="1517"/>
      <c r="H271" s="1517"/>
    </row>
    <row r="272" spans="1:8">
      <c r="A272" s="1518" t="s">
        <v>811</v>
      </c>
      <c r="B272" s="1517"/>
      <c r="C272" s="1517"/>
      <c r="D272" s="1517"/>
      <c r="E272" s="1517"/>
      <c r="F272" s="1517"/>
      <c r="G272" s="1517"/>
      <c r="H272" s="1517"/>
    </row>
    <row r="273" spans="1:8">
      <c r="A273" s="1518" t="s">
        <v>812</v>
      </c>
      <c r="B273" s="1517"/>
      <c r="C273" s="1517"/>
      <c r="D273" s="1517"/>
      <c r="E273" s="1517"/>
      <c r="F273" s="1517"/>
      <c r="G273" s="1517"/>
      <c r="H273" s="1517"/>
    </row>
    <row r="274" spans="1:8">
      <c r="A274" s="1518" t="s">
        <v>813</v>
      </c>
      <c r="B274" s="1517"/>
      <c r="C274" s="1517"/>
      <c r="D274" s="1517"/>
      <c r="E274" s="1517"/>
      <c r="F274" s="1517"/>
      <c r="G274" s="1517"/>
      <c r="H274" s="1517"/>
    </row>
    <row r="275" spans="1:8">
      <c r="A275" s="1518" t="s">
        <v>814</v>
      </c>
      <c r="B275" s="1517"/>
      <c r="C275" s="1517"/>
      <c r="D275" s="1517"/>
      <c r="E275" s="1517"/>
      <c r="F275" s="1517"/>
      <c r="G275" s="1517"/>
      <c r="H275" s="1517"/>
    </row>
    <row r="276" spans="1:8">
      <c r="A276" s="1518" t="s">
        <v>815</v>
      </c>
      <c r="B276" s="1517"/>
      <c r="C276" s="1517"/>
      <c r="D276" s="1517"/>
      <c r="E276" s="1517"/>
      <c r="F276" s="1517"/>
      <c r="G276" s="1517"/>
      <c r="H276" s="1517"/>
    </row>
    <row r="277" spans="1:8">
      <c r="A277" s="1518" t="s">
        <v>816</v>
      </c>
      <c r="B277" s="1517"/>
      <c r="C277" s="1517"/>
      <c r="D277" s="1517"/>
      <c r="E277" s="1517"/>
      <c r="F277" s="1517"/>
      <c r="G277" s="1517"/>
      <c r="H277" s="1517"/>
    </row>
    <row r="278" spans="1:8">
      <c r="A278" s="1517"/>
      <c r="B278" s="1517"/>
      <c r="C278" s="1517"/>
      <c r="D278" s="1517"/>
      <c r="E278" s="1517"/>
      <c r="F278" s="1517"/>
      <c r="G278" s="1517"/>
      <c r="H278" s="1517"/>
    </row>
    <row r="279" spans="1:8">
      <c r="A279" s="1518" t="s">
        <v>794</v>
      </c>
      <c r="B279" s="1517"/>
      <c r="C279" s="1517"/>
      <c r="D279" s="1517"/>
      <c r="E279" s="1517"/>
      <c r="F279" s="1517"/>
      <c r="G279" s="1517"/>
      <c r="H279" s="1517"/>
    </row>
    <row r="280" spans="1:8">
      <c r="A280" s="1518" t="s">
        <v>795</v>
      </c>
      <c r="B280" s="1517"/>
      <c r="C280" s="1517"/>
      <c r="D280" s="1517"/>
      <c r="E280" s="1517"/>
      <c r="F280" s="1517"/>
      <c r="G280" s="1517"/>
      <c r="H280" s="1517"/>
    </row>
    <row r="281" spans="1:8">
      <c r="A281" s="1518" t="s">
        <v>796</v>
      </c>
      <c r="B281" s="1517"/>
      <c r="C281" s="1517"/>
      <c r="D281" s="1517"/>
      <c r="E281" s="1517"/>
      <c r="F281" s="1517"/>
      <c r="G281" s="1517"/>
      <c r="H281" s="1517"/>
    </row>
    <row r="282" spans="1:8">
      <c r="A282" s="1518" t="s">
        <v>797</v>
      </c>
      <c r="B282" s="1517"/>
      <c r="C282" s="1517"/>
      <c r="D282" s="1517"/>
      <c r="E282" s="1517"/>
      <c r="F282" s="1517"/>
      <c r="G282" s="1517"/>
      <c r="H282" s="1517"/>
    </row>
    <row r="283" spans="1:8">
      <c r="A283" s="1518" t="s">
        <v>798</v>
      </c>
      <c r="B283" s="1517"/>
      <c r="C283" s="1517"/>
      <c r="D283" s="1517"/>
      <c r="E283" s="1517"/>
      <c r="F283" s="1517"/>
      <c r="G283" s="1517"/>
      <c r="H283" s="1517"/>
    </row>
    <row r="284" spans="1:8">
      <c r="A284" s="1518" t="s">
        <v>799</v>
      </c>
      <c r="B284" s="1517"/>
      <c r="C284" s="1517"/>
      <c r="D284" s="1517"/>
      <c r="E284" s="1517"/>
      <c r="F284" s="1517"/>
      <c r="G284" s="1517"/>
      <c r="H284" s="1517"/>
    </row>
    <row r="285" spans="1:8">
      <c r="A285" s="1518" t="s">
        <v>800</v>
      </c>
      <c r="B285" s="1517"/>
      <c r="C285" s="1517"/>
      <c r="D285" s="1517"/>
      <c r="E285" s="1517"/>
      <c r="F285" s="1517"/>
      <c r="G285" s="1517"/>
      <c r="H285" s="1517"/>
    </row>
    <row r="286" spans="1:8">
      <c r="A286" s="1517"/>
      <c r="B286" s="1517"/>
      <c r="C286" s="1517"/>
      <c r="D286" s="1517"/>
      <c r="E286" s="1517"/>
      <c r="F286" s="1517"/>
      <c r="G286" s="1517"/>
      <c r="H286" s="1517"/>
    </row>
    <row r="287" spans="1:8">
      <c r="A287" s="1518" t="s">
        <v>785</v>
      </c>
      <c r="B287" s="1517"/>
      <c r="C287" s="1517"/>
      <c r="D287" s="1517"/>
      <c r="E287" s="1517"/>
      <c r="F287" s="1517"/>
      <c r="G287" s="1517"/>
      <c r="H287" s="1517"/>
    </row>
    <row r="288" spans="1:8">
      <c r="A288" s="1518" t="s">
        <v>786</v>
      </c>
      <c r="B288" s="1517"/>
      <c r="C288" s="1517"/>
      <c r="D288" s="1517"/>
      <c r="E288" s="1517"/>
      <c r="F288" s="1517"/>
      <c r="G288" s="1517"/>
      <c r="H288" s="1517"/>
    </row>
    <row r="289" spans="1:8">
      <c r="A289" s="1518" t="s">
        <v>787</v>
      </c>
      <c r="B289" s="1517"/>
      <c r="C289" s="1517"/>
      <c r="D289" s="1517"/>
      <c r="E289" s="1517"/>
      <c r="F289" s="1517"/>
      <c r="G289" s="1517"/>
      <c r="H289" s="1517"/>
    </row>
    <row r="290" spans="1:8">
      <c r="A290" s="1518" t="s">
        <v>788</v>
      </c>
      <c r="B290" s="1517"/>
      <c r="C290" s="1517"/>
      <c r="D290" s="1517"/>
      <c r="E290" s="1517"/>
      <c r="F290" s="1517"/>
      <c r="G290" s="1517"/>
      <c r="H290" s="1517"/>
    </row>
    <row r="291" spans="1:8">
      <c r="A291" s="1518" t="s">
        <v>789</v>
      </c>
      <c r="B291" s="1517"/>
      <c r="C291" s="1517"/>
      <c r="D291" s="1517"/>
      <c r="E291" s="1517"/>
      <c r="F291" s="1517"/>
      <c r="G291" s="1517"/>
      <c r="H291" s="1517"/>
    </row>
    <row r="292" spans="1:8">
      <c r="A292" s="1518" t="s">
        <v>790</v>
      </c>
      <c r="B292" s="1517"/>
      <c r="C292" s="1517"/>
      <c r="D292" s="1517"/>
      <c r="E292" s="1517"/>
      <c r="F292" s="1517"/>
      <c r="G292" s="1517"/>
      <c r="H292" s="1517"/>
    </row>
    <row r="293" spans="1:8">
      <c r="A293" s="1518" t="s">
        <v>791</v>
      </c>
      <c r="B293" s="1517"/>
      <c r="C293" s="1517"/>
      <c r="D293" s="1517"/>
      <c r="E293" s="1517"/>
      <c r="F293" s="1517"/>
      <c r="G293" s="1517"/>
      <c r="H293" s="1517"/>
    </row>
    <row r="294" spans="1:8">
      <c r="A294" s="1518" t="s">
        <v>792</v>
      </c>
      <c r="B294" s="1517"/>
      <c r="C294" s="1517"/>
      <c r="D294" s="1517"/>
      <c r="E294" s="1517"/>
      <c r="F294" s="1517"/>
      <c r="G294" s="1517"/>
      <c r="H294" s="1517"/>
    </row>
    <row r="295" spans="1:8">
      <c r="A295" s="1518" t="s">
        <v>793</v>
      </c>
      <c r="B295" s="1517"/>
      <c r="C295" s="1517"/>
      <c r="D295" s="1517"/>
      <c r="E295" s="1517"/>
      <c r="F295" s="1517"/>
      <c r="G295" s="1517"/>
      <c r="H295" s="1517"/>
    </row>
    <row r="296" spans="1:8">
      <c r="A296" s="1517"/>
      <c r="B296" s="1517"/>
      <c r="C296" s="1517"/>
      <c r="D296" s="1517"/>
      <c r="E296" s="1517"/>
      <c r="F296" s="1517"/>
      <c r="G296" s="1517"/>
      <c r="H296" s="1517"/>
    </row>
    <row r="297" spans="1:8">
      <c r="A297" s="1518" t="s">
        <v>778</v>
      </c>
      <c r="B297" s="1517"/>
      <c r="C297" s="1517"/>
      <c r="D297" s="1517"/>
      <c r="E297" s="1517"/>
      <c r="F297" s="1517"/>
      <c r="G297" s="1517"/>
      <c r="H297" s="1517"/>
    </row>
    <row r="298" spans="1:8">
      <c r="A298" s="1518" t="s">
        <v>779</v>
      </c>
      <c r="B298" s="1517"/>
      <c r="C298" s="1517"/>
      <c r="D298" s="1517"/>
      <c r="E298" s="1517"/>
      <c r="F298" s="1517"/>
      <c r="G298" s="1517"/>
      <c r="H298" s="1517"/>
    </row>
    <row r="299" spans="1:8">
      <c r="A299" s="1518" t="s">
        <v>780</v>
      </c>
      <c r="B299" s="1517"/>
      <c r="C299" s="1517"/>
      <c r="D299" s="1517"/>
      <c r="E299" s="1517"/>
      <c r="F299" s="1517"/>
      <c r="G299" s="1517"/>
      <c r="H299" s="1517"/>
    </row>
    <row r="300" spans="1:8">
      <c r="A300" s="1518" t="s">
        <v>781</v>
      </c>
      <c r="B300" s="1517"/>
      <c r="C300" s="1517"/>
      <c r="D300" s="1517"/>
      <c r="E300" s="1517"/>
      <c r="F300" s="1517"/>
      <c r="G300" s="1517"/>
      <c r="H300" s="1517"/>
    </row>
    <row r="301" spans="1:8">
      <c r="A301" s="1518" t="s">
        <v>782</v>
      </c>
      <c r="B301" s="1517"/>
      <c r="C301" s="1517"/>
      <c r="D301" s="1517"/>
      <c r="E301" s="1517"/>
      <c r="F301" s="1517"/>
      <c r="G301" s="1517"/>
      <c r="H301" s="1517"/>
    </row>
    <row r="302" spans="1:8">
      <c r="A302" s="1518" t="s">
        <v>783</v>
      </c>
      <c r="B302" s="1517"/>
      <c r="C302" s="1517"/>
      <c r="D302" s="1517"/>
      <c r="E302" s="1517"/>
      <c r="F302" s="1517"/>
      <c r="G302" s="1517"/>
      <c r="H302" s="1517"/>
    </row>
    <row r="303" spans="1:8">
      <c r="A303" s="1518" t="s">
        <v>784</v>
      </c>
      <c r="B303" s="1517"/>
      <c r="C303" s="1517"/>
      <c r="D303" s="1517"/>
      <c r="E303" s="1517"/>
      <c r="F303" s="1517"/>
      <c r="G303" s="1517"/>
      <c r="H303" s="1517"/>
    </row>
    <row r="304" spans="1:8">
      <c r="A304" s="1517"/>
      <c r="B304" s="1517"/>
      <c r="C304" s="1517"/>
      <c r="D304" s="1517"/>
      <c r="E304" s="1517"/>
      <c r="F304" s="1517"/>
      <c r="G304" s="1517"/>
      <c r="H304" s="1517"/>
    </row>
    <row r="305" spans="1:8">
      <c r="A305" s="1518" t="s">
        <v>775</v>
      </c>
      <c r="B305" s="1517"/>
      <c r="C305" s="1517"/>
      <c r="D305" s="1517"/>
      <c r="E305" s="1517"/>
      <c r="F305" s="1517"/>
      <c r="G305" s="1517"/>
      <c r="H305" s="1517"/>
    </row>
    <row r="306" spans="1:8">
      <c r="A306" s="1518" t="s">
        <v>776</v>
      </c>
      <c r="B306" s="1517"/>
      <c r="C306" s="1517"/>
      <c r="D306" s="1517"/>
      <c r="E306" s="1517"/>
      <c r="F306" s="1517"/>
      <c r="G306" s="1517"/>
      <c r="H306" s="1517"/>
    </row>
    <row r="307" spans="1:8">
      <c r="A307" s="1518" t="s">
        <v>777</v>
      </c>
      <c r="B307" s="1517"/>
      <c r="C307" s="1517"/>
      <c r="D307" s="1517"/>
      <c r="E307" s="1517"/>
      <c r="F307" s="1517"/>
      <c r="G307" s="1517"/>
      <c r="H307" s="1517"/>
    </row>
    <row r="308" spans="1:8">
      <c r="A308" s="1517"/>
      <c r="B308" s="1517"/>
      <c r="C308" s="1517"/>
      <c r="D308" s="1517"/>
      <c r="E308" s="1517"/>
      <c r="F308" s="1517"/>
      <c r="G308" s="1517"/>
      <c r="H308" s="1517"/>
    </row>
    <row r="309" spans="1:8">
      <c r="A309" s="1518" t="s">
        <v>773</v>
      </c>
      <c r="B309" s="1517"/>
      <c r="C309" s="1517"/>
      <c r="D309" s="1517"/>
      <c r="E309" s="1517"/>
      <c r="F309" s="1517"/>
      <c r="G309" s="1517"/>
      <c r="H309" s="1517"/>
    </row>
    <row r="310" spans="1:8">
      <c r="A310" s="1518" t="s">
        <v>774</v>
      </c>
      <c r="B310" s="1517"/>
      <c r="C310" s="1517"/>
      <c r="D310" s="1517"/>
      <c r="E310" s="1517"/>
      <c r="F310" s="1517"/>
      <c r="G310" s="1517"/>
      <c r="H310" s="1517"/>
    </row>
    <row r="311" spans="1:8">
      <c r="A311" s="1517"/>
      <c r="B311" s="1517"/>
      <c r="C311" s="1517"/>
      <c r="D311" s="1517"/>
      <c r="E311" s="1517"/>
      <c r="F311" s="1517"/>
      <c r="G311" s="1517"/>
      <c r="H311" s="1517"/>
    </row>
    <row r="312" spans="1:8">
      <c r="A312" s="1518" t="s">
        <v>760</v>
      </c>
      <c r="B312" s="1517"/>
      <c r="C312" s="1517"/>
      <c r="D312" s="1517"/>
      <c r="E312" s="1517"/>
      <c r="F312" s="1517"/>
      <c r="G312" s="1517"/>
      <c r="H312" s="1517"/>
    </row>
    <row r="313" spans="1:8">
      <c r="A313" s="1518" t="s">
        <v>761</v>
      </c>
      <c r="B313" s="1517"/>
      <c r="C313" s="1517"/>
      <c r="D313" s="1517"/>
      <c r="E313" s="1517"/>
      <c r="F313" s="1517"/>
      <c r="G313" s="1517"/>
      <c r="H313" s="1517"/>
    </row>
    <row r="314" spans="1:8">
      <c r="A314" s="1518" t="s">
        <v>762</v>
      </c>
      <c r="B314" s="1517"/>
      <c r="C314" s="1517"/>
      <c r="D314" s="1517"/>
      <c r="E314" s="1517"/>
      <c r="F314" s="1517"/>
      <c r="G314" s="1517"/>
      <c r="H314" s="1517"/>
    </row>
    <row r="315" spans="1:8">
      <c r="A315" s="1518" t="s">
        <v>763</v>
      </c>
      <c r="B315" s="1517"/>
      <c r="C315" s="1517"/>
      <c r="D315" s="1517"/>
      <c r="E315" s="1517"/>
      <c r="F315" s="1517"/>
      <c r="G315" s="1517"/>
      <c r="H315" s="1517"/>
    </row>
    <row r="316" spans="1:8">
      <c r="A316" s="1518" t="s">
        <v>764</v>
      </c>
      <c r="B316" s="1517"/>
      <c r="C316" s="1517"/>
      <c r="D316" s="1517"/>
      <c r="E316" s="1517"/>
      <c r="F316" s="1517"/>
      <c r="G316" s="1517"/>
      <c r="H316" s="1517"/>
    </row>
    <row r="317" spans="1:8">
      <c r="A317" s="1518" t="s">
        <v>765</v>
      </c>
      <c r="B317" s="1517"/>
      <c r="C317" s="1517"/>
      <c r="D317" s="1517"/>
      <c r="E317" s="1517"/>
      <c r="F317" s="1517"/>
      <c r="G317" s="1517"/>
      <c r="H317" s="1517"/>
    </row>
    <row r="318" spans="1:8">
      <c r="A318" s="1518" t="s">
        <v>766</v>
      </c>
      <c r="B318" s="1517"/>
      <c r="C318" s="1517"/>
      <c r="D318" s="1517"/>
      <c r="E318" s="1517"/>
      <c r="F318" s="1517"/>
      <c r="G318" s="1517"/>
      <c r="H318" s="1517"/>
    </row>
    <row r="319" spans="1:8">
      <c r="A319" s="1518" t="s">
        <v>767</v>
      </c>
      <c r="B319" s="1517"/>
      <c r="C319" s="1517"/>
      <c r="D319" s="1517"/>
      <c r="E319" s="1517"/>
      <c r="F319" s="1517"/>
      <c r="G319" s="1517"/>
      <c r="H319" s="1517"/>
    </row>
    <row r="320" spans="1:8">
      <c r="A320" s="1518" t="s">
        <v>768</v>
      </c>
      <c r="B320" s="1517"/>
      <c r="C320" s="1517"/>
      <c r="D320" s="1517"/>
      <c r="E320" s="1517"/>
      <c r="F320" s="1517"/>
      <c r="G320" s="1517"/>
      <c r="H320" s="1517"/>
    </row>
    <row r="321" spans="1:8">
      <c r="A321" s="1518" t="s">
        <v>769</v>
      </c>
      <c r="B321" s="1517"/>
      <c r="C321" s="1517"/>
      <c r="D321" s="1517"/>
      <c r="E321" s="1517"/>
      <c r="F321" s="1517"/>
      <c r="G321" s="1517"/>
      <c r="H321" s="1517"/>
    </row>
    <row r="322" spans="1:8">
      <c r="A322" s="1518" t="s">
        <v>770</v>
      </c>
      <c r="B322" s="1517"/>
      <c r="C322" s="1517"/>
      <c r="D322" s="1517"/>
      <c r="E322" s="1517"/>
      <c r="F322" s="1517"/>
      <c r="G322" s="1517"/>
      <c r="H322" s="1517"/>
    </row>
    <row r="323" spans="1:8">
      <c r="A323" s="1518" t="s">
        <v>771</v>
      </c>
      <c r="B323" s="1517"/>
      <c r="C323" s="1517"/>
      <c r="D323" s="1517"/>
      <c r="E323" s="1517"/>
      <c r="F323" s="1517"/>
      <c r="G323" s="1517"/>
      <c r="H323" s="1517"/>
    </row>
    <row r="324" spans="1:8">
      <c r="A324" s="1518" t="s">
        <v>772</v>
      </c>
      <c r="B324" s="1517"/>
      <c r="C324" s="1517"/>
      <c r="D324" s="1517"/>
      <c r="E324" s="1517"/>
      <c r="F324" s="1517"/>
      <c r="G324" s="1517"/>
      <c r="H324" s="1517"/>
    </row>
    <row r="325" spans="1:8">
      <c r="A325" s="1517"/>
      <c r="B325" s="1517"/>
      <c r="C325" s="1517"/>
      <c r="D325" s="1517"/>
      <c r="E325" s="1517"/>
      <c r="F325" s="1517"/>
      <c r="G325" s="1517"/>
      <c r="H325" s="1517"/>
    </row>
    <row r="326" spans="1:8">
      <c r="A326" s="1518" t="s">
        <v>752</v>
      </c>
      <c r="B326" s="1517"/>
      <c r="C326" s="1517"/>
      <c r="D326" s="1517"/>
      <c r="E326" s="1517"/>
      <c r="F326" s="1517"/>
      <c r="G326" s="1517"/>
      <c r="H326" s="1517"/>
    </row>
    <row r="327" spans="1:8">
      <c r="A327" s="1518" t="s">
        <v>753</v>
      </c>
      <c r="B327" s="1517"/>
      <c r="C327" s="1517"/>
      <c r="D327" s="1517"/>
      <c r="E327" s="1517"/>
      <c r="F327" s="1517"/>
      <c r="G327" s="1517"/>
      <c r="H327" s="1517"/>
    </row>
    <row r="328" spans="1:8">
      <c r="A328" s="1518" t="s">
        <v>754</v>
      </c>
      <c r="B328" s="1517"/>
      <c r="C328" s="1517"/>
      <c r="D328" s="1517"/>
      <c r="E328" s="1517"/>
      <c r="F328" s="1517"/>
      <c r="G328" s="1517"/>
      <c r="H328" s="1517"/>
    </row>
    <row r="329" spans="1:8">
      <c r="A329" s="1518" t="s">
        <v>755</v>
      </c>
      <c r="B329" s="1517"/>
      <c r="C329" s="1517"/>
      <c r="D329" s="1517"/>
      <c r="E329" s="1517"/>
      <c r="F329" s="1517"/>
      <c r="G329" s="1517"/>
      <c r="H329" s="1517"/>
    </row>
    <row r="330" spans="1:8">
      <c r="A330" s="1518" t="s">
        <v>756</v>
      </c>
      <c r="B330" s="1517"/>
      <c r="C330" s="1517"/>
      <c r="D330" s="1517"/>
      <c r="E330" s="1517"/>
      <c r="F330" s="1517"/>
      <c r="G330" s="1517"/>
      <c r="H330" s="1517"/>
    </row>
    <row r="331" spans="1:8">
      <c r="A331" s="1518" t="s">
        <v>757</v>
      </c>
      <c r="B331" s="1517"/>
      <c r="C331" s="1517"/>
      <c r="D331" s="1517"/>
      <c r="E331" s="1517"/>
      <c r="F331" s="1517"/>
      <c r="G331" s="1517"/>
      <c r="H331" s="1517"/>
    </row>
    <row r="332" spans="1:8">
      <c r="A332" s="1518" t="s">
        <v>758</v>
      </c>
      <c r="B332" s="1517"/>
      <c r="C332" s="1517"/>
      <c r="D332" s="1517"/>
      <c r="E332" s="1517"/>
      <c r="F332" s="1517"/>
      <c r="G332" s="1517"/>
      <c r="H332" s="1517"/>
    </row>
    <row r="333" spans="1:8">
      <c r="A333" s="1518" t="s">
        <v>759</v>
      </c>
      <c r="B333" s="1517"/>
      <c r="C333" s="1517"/>
      <c r="D333" s="1517"/>
      <c r="E333" s="1517"/>
      <c r="F333" s="1517"/>
      <c r="G333" s="1517"/>
      <c r="H333" s="1517"/>
    </row>
    <row r="334" spans="1:8">
      <c r="A334" s="1517"/>
      <c r="B334" s="1517"/>
      <c r="C334" s="1517"/>
      <c r="D334" s="1517"/>
      <c r="E334" s="1517"/>
      <c r="F334" s="1517"/>
      <c r="G334" s="1517"/>
      <c r="H334" s="1517"/>
    </row>
    <row r="335" spans="1:8">
      <c r="A335" s="1518" t="s">
        <v>717</v>
      </c>
      <c r="B335" s="1517"/>
      <c r="C335" s="1517"/>
      <c r="D335" s="1517"/>
      <c r="E335" s="1517"/>
      <c r="F335" s="1517"/>
      <c r="G335" s="1517"/>
      <c r="H335" s="1517"/>
    </row>
    <row r="336" spans="1:8">
      <c r="A336" s="1518" t="s">
        <v>718</v>
      </c>
      <c r="B336" s="1517"/>
      <c r="C336" s="1517"/>
      <c r="D336" s="1517"/>
      <c r="E336" s="1517"/>
      <c r="F336" s="1517"/>
      <c r="G336" s="1517"/>
      <c r="H336" s="1517"/>
    </row>
    <row r="337" spans="1:8">
      <c r="A337" s="1518" t="s">
        <v>719</v>
      </c>
      <c r="B337" s="1517"/>
      <c r="C337" s="1517"/>
      <c r="D337" s="1517"/>
      <c r="E337" s="1517"/>
      <c r="F337" s="1517"/>
      <c r="G337" s="1517"/>
      <c r="H337" s="1517"/>
    </row>
    <row r="338" spans="1:8">
      <c r="A338" s="1518" t="s">
        <v>720</v>
      </c>
      <c r="B338" s="1517"/>
      <c r="C338" s="1517"/>
      <c r="D338" s="1517"/>
      <c r="E338" s="1517"/>
      <c r="F338" s="1517"/>
      <c r="G338" s="1517"/>
      <c r="H338" s="1517"/>
    </row>
    <row r="339" spans="1:8">
      <c r="A339" s="1518" t="s">
        <v>721</v>
      </c>
      <c r="B339" s="1517"/>
      <c r="C339" s="1517"/>
      <c r="D339" s="1517"/>
      <c r="E339" s="1517"/>
      <c r="F339" s="1517"/>
      <c r="G339" s="1517"/>
      <c r="H339" s="1517"/>
    </row>
    <row r="340" spans="1:8">
      <c r="A340" s="1518" t="s">
        <v>722</v>
      </c>
      <c r="B340" s="1517"/>
      <c r="C340" s="1517"/>
      <c r="D340" s="1517"/>
      <c r="E340" s="1517"/>
      <c r="F340" s="1517"/>
      <c r="G340" s="1517"/>
      <c r="H340" s="1517"/>
    </row>
    <row r="341" spans="1:8">
      <c r="A341" s="1518" t="s">
        <v>723</v>
      </c>
      <c r="B341" s="1517"/>
      <c r="C341" s="1517"/>
      <c r="D341" s="1517"/>
      <c r="E341" s="1517"/>
      <c r="F341" s="1517"/>
      <c r="G341" s="1517"/>
      <c r="H341" s="1517"/>
    </row>
    <row r="342" spans="1:8">
      <c r="A342" s="1518" t="s">
        <v>724</v>
      </c>
      <c r="B342" s="1517"/>
      <c r="C342" s="1517"/>
      <c r="D342" s="1517"/>
      <c r="E342" s="1517"/>
      <c r="F342" s="1517"/>
      <c r="G342" s="1517"/>
      <c r="H342" s="1517"/>
    </row>
    <row r="343" spans="1:8">
      <c r="A343" s="1518" t="s">
        <v>725</v>
      </c>
      <c r="B343" s="1517"/>
      <c r="C343" s="1517"/>
      <c r="D343" s="1517"/>
      <c r="E343" s="1517"/>
      <c r="F343" s="1517"/>
      <c r="G343" s="1517"/>
      <c r="H343" s="1517"/>
    </row>
    <row r="344" spans="1:8">
      <c r="A344" s="1518" t="s">
        <v>726</v>
      </c>
      <c r="B344" s="1517"/>
      <c r="C344" s="1517"/>
      <c r="D344" s="1517"/>
      <c r="E344" s="1517"/>
      <c r="F344" s="1517"/>
      <c r="G344" s="1517"/>
      <c r="H344" s="1517"/>
    </row>
    <row r="345" spans="1:8">
      <c r="A345" s="1518" t="s">
        <v>727</v>
      </c>
      <c r="B345" s="1517"/>
      <c r="C345" s="1517"/>
      <c r="D345" s="1517"/>
      <c r="E345" s="1517"/>
      <c r="F345" s="1517"/>
      <c r="G345" s="1517"/>
      <c r="H345" s="1517"/>
    </row>
    <row r="346" spans="1:8">
      <c r="A346" s="1518" t="s">
        <v>728</v>
      </c>
      <c r="B346" s="1517"/>
      <c r="C346" s="1517"/>
      <c r="D346" s="1517"/>
      <c r="E346" s="1517"/>
      <c r="F346" s="1517"/>
      <c r="G346" s="1517"/>
      <c r="H346" s="1517"/>
    </row>
    <row r="347" spans="1:8">
      <c r="A347" s="1518" t="s">
        <v>729</v>
      </c>
      <c r="B347" s="1517"/>
      <c r="C347" s="1517"/>
      <c r="D347" s="1517"/>
      <c r="E347" s="1517"/>
      <c r="F347" s="1517"/>
      <c r="G347" s="1517"/>
      <c r="H347" s="1517"/>
    </row>
    <row r="348" spans="1:8">
      <c r="A348" s="1518" t="s">
        <v>730</v>
      </c>
      <c r="B348" s="1517"/>
      <c r="C348" s="1517"/>
      <c r="D348" s="1517"/>
      <c r="E348" s="1517"/>
      <c r="F348" s="1517"/>
      <c r="G348" s="1517"/>
      <c r="H348" s="1517"/>
    </row>
    <row r="349" spans="1:8">
      <c r="A349" s="1518" t="s">
        <v>731</v>
      </c>
      <c r="B349" s="1517"/>
      <c r="C349" s="1517"/>
      <c r="D349" s="1517"/>
      <c r="E349" s="1517"/>
      <c r="F349" s="1517"/>
      <c r="G349" s="1517"/>
      <c r="H349" s="1517"/>
    </row>
    <row r="350" spans="1:8">
      <c r="A350" s="1518" t="s">
        <v>732</v>
      </c>
      <c r="B350" s="1517"/>
      <c r="C350" s="1517"/>
      <c r="D350" s="1517"/>
      <c r="E350" s="1517"/>
      <c r="F350" s="1517"/>
      <c r="G350" s="1517"/>
      <c r="H350" s="1517"/>
    </row>
    <row r="351" spans="1:8">
      <c r="A351" s="1518" t="s">
        <v>733</v>
      </c>
      <c r="B351" s="1517"/>
      <c r="C351" s="1517"/>
      <c r="D351" s="1517"/>
      <c r="E351" s="1517"/>
      <c r="F351" s="1517"/>
      <c r="G351" s="1517"/>
      <c r="H351" s="1517"/>
    </row>
    <row r="352" spans="1:8">
      <c r="A352" s="1518" t="s">
        <v>734</v>
      </c>
      <c r="B352" s="1517"/>
      <c r="C352" s="1517"/>
      <c r="D352" s="1517"/>
      <c r="E352" s="1517"/>
      <c r="F352" s="1517"/>
      <c r="G352" s="1517"/>
      <c r="H352" s="1517"/>
    </row>
    <row r="353" spans="1:8">
      <c r="A353" s="1518" t="s">
        <v>735</v>
      </c>
      <c r="B353" s="1517"/>
      <c r="C353" s="1517"/>
      <c r="D353" s="1517"/>
      <c r="E353" s="1517"/>
      <c r="F353" s="1517"/>
      <c r="G353" s="1517"/>
      <c r="H353" s="1517"/>
    </row>
    <row r="354" spans="1:8">
      <c r="A354" s="1518" t="s">
        <v>736</v>
      </c>
      <c r="B354" s="1517"/>
      <c r="C354" s="1517"/>
      <c r="D354" s="1517"/>
      <c r="E354" s="1517"/>
      <c r="F354" s="1517"/>
      <c r="G354" s="1517"/>
      <c r="H354" s="1517"/>
    </row>
    <row r="355" spans="1:8">
      <c r="A355" s="1518" t="s">
        <v>737</v>
      </c>
      <c r="B355" s="1517"/>
      <c r="C355" s="1517"/>
      <c r="D355" s="1517"/>
      <c r="E355" s="1517"/>
      <c r="F355" s="1517"/>
      <c r="G355" s="1517"/>
      <c r="H355" s="1517"/>
    </row>
    <row r="356" spans="1:8">
      <c r="A356" s="1518" t="s">
        <v>738</v>
      </c>
      <c r="B356" s="1517"/>
      <c r="C356" s="1517"/>
      <c r="D356" s="1517"/>
      <c r="E356" s="1517"/>
      <c r="F356" s="1517"/>
      <c r="G356" s="1517"/>
      <c r="H356" s="1517"/>
    </row>
    <row r="357" spans="1:8">
      <c r="A357" s="1518" t="s">
        <v>739</v>
      </c>
      <c r="B357" s="1517"/>
      <c r="C357" s="1517"/>
      <c r="D357" s="1517"/>
      <c r="E357" s="1517"/>
      <c r="F357" s="1517"/>
      <c r="G357" s="1517"/>
      <c r="H357" s="1517"/>
    </row>
    <row r="358" spans="1:8">
      <c r="A358" s="1518" t="s">
        <v>740</v>
      </c>
      <c r="B358" s="1517"/>
      <c r="C358" s="1517"/>
      <c r="D358" s="1517"/>
      <c r="E358" s="1517"/>
      <c r="F358" s="1517"/>
      <c r="G358" s="1517"/>
      <c r="H358" s="1517"/>
    </row>
    <row r="359" spans="1:8">
      <c r="A359" s="1518" t="s">
        <v>741</v>
      </c>
      <c r="B359" s="1517"/>
      <c r="C359" s="1517"/>
      <c r="D359" s="1517"/>
      <c r="E359" s="1517"/>
      <c r="F359" s="1517"/>
      <c r="G359" s="1517"/>
      <c r="H359" s="1517"/>
    </row>
    <row r="360" spans="1:8">
      <c r="A360" s="1518" t="s">
        <v>742</v>
      </c>
      <c r="B360" s="1517"/>
      <c r="C360" s="1517"/>
      <c r="D360" s="1517"/>
      <c r="E360" s="1517"/>
      <c r="F360" s="1517"/>
      <c r="G360" s="1517"/>
      <c r="H360" s="1517"/>
    </row>
    <row r="361" spans="1:8">
      <c r="A361" s="1518" t="s">
        <v>743</v>
      </c>
      <c r="B361" s="1517"/>
      <c r="C361" s="1517"/>
      <c r="D361" s="1517"/>
      <c r="E361" s="1517"/>
      <c r="F361" s="1517"/>
      <c r="G361" s="1517"/>
      <c r="H361" s="1517"/>
    </row>
    <row r="362" spans="1:8">
      <c r="A362" s="1518" t="s">
        <v>744</v>
      </c>
      <c r="B362" s="1517"/>
      <c r="C362" s="1517"/>
      <c r="D362" s="1517"/>
      <c r="E362" s="1517"/>
      <c r="F362" s="1517"/>
      <c r="G362" s="1517"/>
      <c r="H362" s="1517"/>
    </row>
    <row r="363" spans="1:8">
      <c r="A363" s="1518" t="s">
        <v>745</v>
      </c>
      <c r="B363" s="1517"/>
      <c r="C363" s="1517"/>
      <c r="D363" s="1517"/>
      <c r="E363" s="1517"/>
      <c r="F363" s="1517"/>
      <c r="G363" s="1517"/>
      <c r="H363" s="1517"/>
    </row>
    <row r="364" spans="1:8">
      <c r="A364" s="1518" t="s">
        <v>746</v>
      </c>
      <c r="B364" s="1517"/>
      <c r="C364" s="1517"/>
      <c r="D364" s="1517"/>
      <c r="E364" s="1517"/>
      <c r="F364" s="1517"/>
      <c r="G364" s="1517"/>
      <c r="H364" s="1517"/>
    </row>
    <row r="365" spans="1:8">
      <c r="A365" s="1518" t="s">
        <v>747</v>
      </c>
      <c r="B365" s="1517"/>
      <c r="C365" s="1517"/>
      <c r="D365" s="1517"/>
      <c r="E365" s="1517"/>
      <c r="F365" s="1517"/>
      <c r="G365" s="1517"/>
      <c r="H365" s="1517"/>
    </row>
    <row r="366" spans="1:8">
      <c r="A366" s="1518" t="s">
        <v>748</v>
      </c>
      <c r="B366" s="1517"/>
      <c r="C366" s="1517"/>
      <c r="D366" s="1517"/>
      <c r="E366" s="1517"/>
      <c r="F366" s="1517"/>
      <c r="G366" s="1517"/>
      <c r="H366" s="1517"/>
    </row>
    <row r="367" spans="1:8">
      <c r="A367" s="1518" t="s">
        <v>749</v>
      </c>
      <c r="B367" s="1517"/>
      <c r="C367" s="1517"/>
      <c r="D367" s="1517"/>
      <c r="E367" s="1517"/>
      <c r="F367" s="1517"/>
      <c r="G367" s="1517"/>
      <c r="H367" s="1517"/>
    </row>
    <row r="368" spans="1:8">
      <c r="A368" s="1518" t="s">
        <v>750</v>
      </c>
      <c r="B368" s="1517"/>
      <c r="C368" s="1517"/>
      <c r="D368" s="1517"/>
      <c r="E368" s="1517"/>
      <c r="F368" s="1517"/>
      <c r="G368" s="1517"/>
      <c r="H368" s="1517"/>
    </row>
    <row r="369" spans="1:8">
      <c r="A369" s="1518" t="s">
        <v>751</v>
      </c>
      <c r="B369" s="1517"/>
      <c r="C369" s="1517"/>
      <c r="D369" s="1517"/>
      <c r="E369" s="1517"/>
      <c r="F369" s="1517"/>
      <c r="G369" s="1517"/>
      <c r="H369" s="1517"/>
    </row>
    <row r="370" spans="1:8">
      <c r="A370" s="1517"/>
      <c r="B370" s="1517"/>
      <c r="C370" s="1517"/>
      <c r="D370" s="1517"/>
      <c r="E370" s="1517"/>
      <c r="F370" s="1517"/>
      <c r="G370" s="1517"/>
      <c r="H370" s="1517"/>
    </row>
    <row r="371" spans="1:8">
      <c r="A371" s="1518" t="s">
        <v>709</v>
      </c>
      <c r="B371" s="1517"/>
      <c r="C371" s="1517"/>
      <c r="D371" s="1517"/>
      <c r="E371" s="1517"/>
      <c r="F371" s="1517"/>
      <c r="G371" s="1517"/>
      <c r="H371" s="1517"/>
    </row>
    <row r="372" spans="1:8">
      <c r="A372" s="1518" t="s">
        <v>713</v>
      </c>
      <c r="B372" s="1517"/>
      <c r="C372" s="1517"/>
      <c r="D372" s="1517"/>
      <c r="E372" s="1517"/>
      <c r="F372" s="1517"/>
      <c r="G372" s="1517"/>
      <c r="H372" s="1517"/>
    </row>
    <row r="373" spans="1:8">
      <c r="A373" s="1518" t="s">
        <v>714</v>
      </c>
      <c r="B373" s="1517"/>
      <c r="C373" s="1517"/>
      <c r="D373" s="1517"/>
      <c r="E373" s="1517"/>
      <c r="F373" s="1517"/>
      <c r="G373" s="1517"/>
      <c r="H373" s="1517"/>
    </row>
    <row r="374" spans="1:8">
      <c r="A374" s="1518" t="s">
        <v>715</v>
      </c>
      <c r="B374" s="1517"/>
      <c r="C374" s="1517"/>
      <c r="D374" s="1517"/>
      <c r="E374" s="1517"/>
      <c r="F374" s="1517"/>
      <c r="G374" s="1517"/>
      <c r="H374" s="1517"/>
    </row>
    <row r="375" spans="1:8">
      <c r="A375" s="1518" t="s">
        <v>716</v>
      </c>
      <c r="B375" s="1517"/>
      <c r="C375" s="1517"/>
      <c r="D375" s="1517"/>
      <c r="E375" s="1517"/>
      <c r="F375" s="1517"/>
      <c r="G375" s="1517"/>
      <c r="H375" s="1517"/>
    </row>
    <row r="376" spans="1:8">
      <c r="A376" s="1517"/>
      <c r="B376" s="1517"/>
      <c r="C376" s="1517"/>
      <c r="D376" s="1517"/>
      <c r="E376" s="1517"/>
      <c r="F376" s="1517"/>
      <c r="G376" s="1517"/>
      <c r="H376" s="1517"/>
    </row>
    <row r="377" spans="1:8">
      <c r="A377" s="1518" t="s">
        <v>709</v>
      </c>
      <c r="B377" s="1517"/>
      <c r="C377" s="1517"/>
      <c r="D377" s="1517"/>
      <c r="E377" s="1517"/>
      <c r="F377" s="1517"/>
      <c r="G377" s="1517"/>
      <c r="H377" s="1517"/>
    </row>
    <row r="378" spans="1:8">
      <c r="A378" s="1518" t="s">
        <v>710</v>
      </c>
      <c r="B378" s="1517"/>
      <c r="C378" s="1517"/>
      <c r="D378" s="1517"/>
      <c r="E378" s="1517"/>
      <c r="F378" s="1517"/>
      <c r="G378" s="1517"/>
      <c r="H378" s="1517"/>
    </row>
    <row r="379" spans="1:8">
      <c r="A379" s="1518" t="s">
        <v>711</v>
      </c>
      <c r="B379" s="1517"/>
      <c r="C379" s="1517"/>
      <c r="D379" s="1517"/>
      <c r="E379" s="1517"/>
      <c r="F379" s="1517"/>
      <c r="G379" s="1517"/>
      <c r="H379" s="1517"/>
    </row>
    <row r="380" spans="1:8">
      <c r="A380" s="1518" t="s">
        <v>712</v>
      </c>
      <c r="B380" s="1517"/>
      <c r="C380" s="1517"/>
      <c r="D380" s="1517"/>
      <c r="E380" s="1517"/>
      <c r="F380" s="1517"/>
      <c r="G380" s="1517"/>
      <c r="H380" s="1517"/>
    </row>
    <row r="381" spans="1:8">
      <c r="A381" s="1517"/>
      <c r="B381" s="1517"/>
      <c r="C381" s="1517"/>
      <c r="D381" s="1517"/>
      <c r="E381" s="1517"/>
      <c r="F381" s="1517"/>
      <c r="G381" s="1517"/>
      <c r="H381" s="1517"/>
    </row>
    <row r="382" spans="1:8">
      <c r="A382" s="1518" t="s">
        <v>703</v>
      </c>
      <c r="B382" s="1517"/>
      <c r="C382" s="1517"/>
      <c r="D382" s="1517"/>
      <c r="E382" s="1517"/>
      <c r="F382" s="1517"/>
      <c r="G382" s="1517"/>
      <c r="H382" s="1517"/>
    </row>
    <row r="383" spans="1:8">
      <c r="A383" s="1518" t="s">
        <v>704</v>
      </c>
      <c r="B383" s="1517"/>
      <c r="C383" s="1517"/>
      <c r="D383" s="1517"/>
      <c r="E383" s="1517"/>
      <c r="F383" s="1517"/>
      <c r="G383" s="1517"/>
      <c r="H383" s="1517"/>
    </row>
    <row r="384" spans="1:8">
      <c r="A384" s="1518" t="s">
        <v>705</v>
      </c>
      <c r="B384" s="1517"/>
      <c r="C384" s="1517"/>
      <c r="D384" s="1517"/>
      <c r="E384" s="1517"/>
      <c r="F384" s="1517"/>
      <c r="G384" s="1517"/>
      <c r="H384" s="1517"/>
    </row>
    <row r="385" spans="1:8">
      <c r="A385" s="1518" t="s">
        <v>706</v>
      </c>
      <c r="B385" s="1517"/>
      <c r="C385" s="1517"/>
      <c r="D385" s="1517"/>
      <c r="E385" s="1517"/>
      <c r="F385" s="1517"/>
      <c r="G385" s="1517"/>
      <c r="H385" s="1517"/>
    </row>
    <row r="386" spans="1:8">
      <c r="A386" s="1518" t="s">
        <v>707</v>
      </c>
      <c r="B386" s="1517"/>
      <c r="C386" s="1517"/>
      <c r="D386" s="1517"/>
      <c r="E386" s="1517"/>
      <c r="F386" s="1517"/>
      <c r="G386" s="1517"/>
      <c r="H386" s="1517"/>
    </row>
    <row r="387" spans="1:8">
      <c r="A387" s="1518" t="s">
        <v>708</v>
      </c>
      <c r="B387" s="1517"/>
      <c r="C387" s="1517"/>
      <c r="D387" s="1517"/>
      <c r="E387" s="1517"/>
      <c r="F387" s="1517"/>
      <c r="G387" s="1517"/>
      <c r="H387" s="1517"/>
    </row>
    <row r="388" spans="1:8">
      <c r="A388" s="1517"/>
      <c r="B388" s="1517"/>
      <c r="C388" s="1517"/>
      <c r="D388" s="1517"/>
      <c r="E388" s="1517"/>
      <c r="F388" s="1517"/>
      <c r="G388" s="1517"/>
      <c r="H388" s="1517"/>
    </row>
    <row r="389" spans="1:8">
      <c r="A389" s="1518" t="s">
        <v>698</v>
      </c>
      <c r="B389" s="1517"/>
      <c r="C389" s="1517"/>
      <c r="D389" s="1517"/>
      <c r="E389" s="1517"/>
      <c r="F389" s="1517"/>
      <c r="G389" s="1517"/>
      <c r="H389" s="1517"/>
    </row>
    <row r="390" spans="1:8">
      <c r="A390" s="1518" t="s">
        <v>699</v>
      </c>
      <c r="B390" s="1517"/>
      <c r="C390" s="1517"/>
      <c r="D390" s="1517"/>
      <c r="E390" s="1517"/>
      <c r="F390" s="1517"/>
      <c r="G390" s="1517"/>
      <c r="H390" s="1517"/>
    </row>
    <row r="391" spans="1:8">
      <c r="A391" s="1518" t="s">
        <v>700</v>
      </c>
      <c r="B391" s="1517"/>
      <c r="C391" s="1517"/>
      <c r="D391" s="1517"/>
      <c r="E391" s="1517"/>
      <c r="F391" s="1517"/>
      <c r="G391" s="1517"/>
      <c r="H391" s="1517"/>
    </row>
    <row r="392" spans="1:8">
      <c r="A392" s="1518" t="s">
        <v>701</v>
      </c>
      <c r="B392" s="1517"/>
      <c r="C392" s="1517"/>
      <c r="D392" s="1517"/>
      <c r="E392" s="1517"/>
      <c r="F392" s="1517"/>
      <c r="G392" s="1517"/>
      <c r="H392" s="1517"/>
    </row>
    <row r="393" spans="1:8">
      <c r="A393" s="1518" t="s">
        <v>702</v>
      </c>
      <c r="B393" s="1517"/>
      <c r="C393" s="1517"/>
      <c r="D393" s="1517"/>
      <c r="E393" s="1517"/>
      <c r="F393" s="1517"/>
      <c r="G393" s="1517"/>
      <c r="H393" s="1517"/>
    </row>
    <row r="394" spans="1:8">
      <c r="A394" s="1517"/>
      <c r="B394" s="1517"/>
      <c r="C394" s="1517"/>
      <c r="D394" s="1517"/>
      <c r="E394" s="1517"/>
      <c r="F394" s="1517"/>
      <c r="G394" s="1517"/>
      <c r="H394" s="1517"/>
    </row>
    <row r="395" spans="1:8">
      <c r="A395" s="1518" t="s">
        <v>696</v>
      </c>
      <c r="B395" s="1517"/>
      <c r="C395" s="1517"/>
      <c r="D395" s="1517"/>
      <c r="E395" s="1517"/>
      <c r="F395" s="1517"/>
      <c r="G395" s="1517"/>
      <c r="H395" s="1517"/>
    </row>
    <row r="396" spans="1:8">
      <c r="A396" s="1518" t="s">
        <v>697</v>
      </c>
      <c r="B396" s="1517"/>
      <c r="C396" s="1517"/>
      <c r="D396" s="1517"/>
      <c r="E396" s="1517"/>
      <c r="F396" s="1517"/>
      <c r="G396" s="1517"/>
      <c r="H396" s="1517"/>
    </row>
    <row r="398" spans="1:8">
      <c r="A398" s="1513" t="s">
        <v>957</v>
      </c>
    </row>
  </sheetData>
  <mergeCells count="12">
    <mergeCell ref="A136:H136"/>
    <mergeCell ref="A137:H137"/>
    <mergeCell ref="B129:C129"/>
    <mergeCell ref="D129:F129"/>
    <mergeCell ref="G129:H129"/>
    <mergeCell ref="A115:H115"/>
    <mergeCell ref="A116:H116"/>
    <mergeCell ref="A117:H117"/>
    <mergeCell ref="A118:H118"/>
    <mergeCell ref="A120:H120"/>
    <mergeCell ref="A121:H121"/>
    <mergeCell ref="A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A1:DN202"/>
  <sheetViews>
    <sheetView showGridLines="0" zoomScale="85" zoomScaleNormal="85" workbookViewId="0">
      <pane xSplit="3" ySplit="9" topLeftCell="AV10" activePane="bottomRight" state="frozen"/>
      <selection activeCell="AZ6" sqref="AZ6:BC9"/>
      <selection pane="topRight" activeCell="AZ6" sqref="AZ6:BC9"/>
      <selection pane="bottomLeft" activeCell="AZ6" sqref="AZ6:BC9"/>
      <selection pane="bottomRight" activeCell="BE70" sqref="BE70"/>
    </sheetView>
  </sheetViews>
  <sheetFormatPr defaultRowHeight="14.25" customHeight="1" outlineLevelRow="2" outlineLevelCol="1"/>
  <cols>
    <col min="1" max="1" width="1.7109375" customWidth="1"/>
    <col min="2" max="2" width="49.5703125" customWidth="1"/>
    <col min="3" max="3" width="1.7109375" customWidth="1"/>
    <col min="4" max="27" width="11.42578125" hidden="1" customWidth="1" outlineLevel="1"/>
    <col min="28" max="28" width="11.42578125" hidden="1" customWidth="1" outlineLevel="1" collapsed="1"/>
    <col min="29" max="47" width="11.42578125" hidden="1" customWidth="1" outlineLevel="1"/>
    <col min="48" max="48" width="11.42578125" customWidth="1" collapsed="1"/>
    <col min="49" max="59" width="11.42578125" customWidth="1"/>
    <col min="60" max="63" width="11.42578125" hidden="1" customWidth="1" outlineLevel="1"/>
    <col min="64" max="64" width="3" customWidth="1" collapsed="1"/>
    <col min="65" max="75" width="12.85546875" hidden="1" customWidth="1" outlineLevel="1"/>
    <col min="76" max="76" width="12.85546875" customWidth="1" collapsed="1"/>
    <col min="77" max="78" width="12.85546875" customWidth="1"/>
    <col min="79" max="79" width="11.42578125" hidden="1" customWidth="1" outlineLevel="1"/>
    <col min="80" max="80" width="11.42578125" style="1425" customWidth="1" collapsed="1"/>
    <col min="81" max="82" width="11.42578125" style="1425" customWidth="1"/>
    <col min="83" max="83" width="3.140625" customWidth="1"/>
    <col min="84" max="94" width="11.42578125" hidden="1" customWidth="1" outlineLevel="1"/>
    <col min="95" max="95" width="11.42578125" customWidth="1" collapsed="1"/>
    <col min="96" max="97" width="11.42578125" customWidth="1"/>
    <col min="98" max="98" width="11.42578125" style="1210" customWidth="1"/>
    <col min="99" max="117" width="9.140625" hidden="1" customWidth="1" outlineLevel="1"/>
    <col min="118" max="118" width="9.140625" collapsed="1"/>
  </cols>
  <sheetData>
    <row r="1" spans="1:117" ht="67.5" customHeight="1">
      <c r="A1" s="5"/>
      <c r="B1" s="332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1374" t="str">
        <f>IF(SUM(BS)&lt;&gt;0,"BS BREAK","")</f>
        <v/>
      </c>
      <c r="BC1" s="206"/>
      <c r="BD1" s="2" t="str">
        <f>IF(SUM(BS)&lt;&gt;0,"BS BREAK","")</f>
        <v/>
      </c>
      <c r="BE1" s="1"/>
      <c r="BF1" s="1374" t="str">
        <f>IF(SUM(BS)&lt;&gt;0,"BS BREAK","")</f>
        <v/>
      </c>
      <c r="BG1" s="206"/>
      <c r="BH1" s="2" t="str">
        <f>IF(SUM(BS)&lt;&gt;0,"BS BREAK","")</f>
        <v/>
      </c>
      <c r="BI1" s="1"/>
      <c r="BJ1" s="1374" t="str">
        <f>IF(SUM(BS)&lt;&gt;0,"BS BREAK","")</f>
        <v/>
      </c>
      <c r="BK1" s="206"/>
      <c r="BL1" s="1374" t="str">
        <f>IF(SUM(BS)&lt;&gt;0,"BS BREAK","")</f>
        <v/>
      </c>
      <c r="BM1" s="1374" t="str">
        <f>IF(SUM(BS)&lt;&gt;0,"BS BREAK","")</f>
        <v/>
      </c>
      <c r="BN1" s="206"/>
      <c r="BO1" s="1374" t="str">
        <f>IF(SUM(BS)&lt;&gt;0,"BS BREAK","")</f>
        <v/>
      </c>
      <c r="BP1" s="206"/>
      <c r="BQ1" s="1374" t="str">
        <f>IF(SUM(BS)&lt;&gt;0,"BS BREAK","")</f>
        <v/>
      </c>
      <c r="BR1" s="206"/>
      <c r="BS1" s="206" t="str">
        <f>IF(SUM(BS)&lt;&gt;0,"BS BREAK","")</f>
        <v/>
      </c>
      <c r="BT1" s="206"/>
      <c r="BU1" s="206" t="str">
        <f>IF(SUM(BS)&lt;&gt;0,"BS BREAK","")</f>
        <v/>
      </c>
      <c r="BV1" s="206"/>
      <c r="BW1" s="206"/>
      <c r="BX1" s="206"/>
      <c r="BY1" s="206" t="str">
        <f>IF(SUM(BS)&lt;&gt;0,"BS BREAK","")</f>
        <v/>
      </c>
      <c r="BZ1" s="206"/>
      <c r="CA1" s="2" t="str">
        <f>IF(SUM(BS)&lt;&gt;0,"BS BREAK","")</f>
        <v/>
      </c>
      <c r="CB1" s="1374"/>
      <c r="CC1" s="1374"/>
      <c r="CD1" s="1374"/>
      <c r="CE1" s="1"/>
      <c r="CF1" s="2" t="str">
        <f>IF(SUM(BS)&lt;&gt;0,"BS BREAK","")</f>
        <v/>
      </c>
      <c r="CG1" s="1"/>
      <c r="CH1" s="2" t="str">
        <f>IF(SUM(BS)&lt;&gt;0,"BS BREAK","")</f>
        <v/>
      </c>
      <c r="CI1" s="2"/>
      <c r="CJ1" s="2" t="str">
        <f>IF(SUM(BS)&lt;&gt;0,"BS BREAK","")</f>
        <v/>
      </c>
      <c r="CK1" s="2"/>
      <c r="CL1" s="2" t="str">
        <f>IF(SUM(BS)&lt;&gt;0,"BS BREAK","")</f>
        <v/>
      </c>
      <c r="CM1" s="2"/>
      <c r="CN1" s="2" t="str">
        <f t="shared" ref="CN1:CS1" si="0">IF(SUM(BS)&lt;&gt;0,"BS BREAK","")</f>
        <v/>
      </c>
      <c r="CO1" s="2" t="str">
        <f t="shared" si="0"/>
        <v/>
      </c>
      <c r="CP1" s="2" t="str">
        <f t="shared" si="0"/>
        <v/>
      </c>
      <c r="CQ1" s="2" t="str">
        <f t="shared" si="0"/>
        <v/>
      </c>
      <c r="CR1" s="2" t="str">
        <f t="shared" si="0"/>
        <v/>
      </c>
      <c r="CS1" s="2" t="str">
        <f t="shared" si="0"/>
        <v/>
      </c>
      <c r="CT1" s="2"/>
    </row>
    <row r="2" spans="1:117" ht="18" customHeight="1">
      <c r="A2" s="1"/>
      <c r="B2" s="4" t="s">
        <v>203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340"/>
      <c r="BB2" s="206"/>
      <c r="BC2" s="206"/>
      <c r="BD2" s="1"/>
      <c r="BE2" s="1"/>
      <c r="BF2" s="206"/>
      <c r="BG2" s="206"/>
      <c r="BH2" s="1"/>
      <c r="BI2" s="1"/>
      <c r="BJ2" s="206"/>
      <c r="BK2" s="206"/>
      <c r="BL2" s="206"/>
      <c r="BM2" s="206"/>
      <c r="BN2" s="206"/>
      <c r="BO2" s="206"/>
      <c r="BP2" s="206"/>
      <c r="BQ2" s="206"/>
      <c r="BR2" s="206"/>
      <c r="BS2" s="206"/>
      <c r="BT2" s="206"/>
      <c r="BU2" s="206"/>
      <c r="BV2" s="206"/>
      <c r="BW2" s="206"/>
      <c r="BX2" s="206"/>
      <c r="BY2" s="206"/>
      <c r="BZ2" s="206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5"/>
      <c r="DC2" s="514" t="s">
        <v>56</v>
      </c>
      <c r="DD2" s="515"/>
      <c r="DE2" s="515"/>
      <c r="DF2" s="515"/>
      <c r="DG2" s="515"/>
      <c r="DH2" s="515"/>
      <c r="DI2" s="515"/>
      <c r="DJ2" s="515"/>
      <c r="DK2" s="515"/>
      <c r="DL2" s="515"/>
      <c r="DM2" s="515"/>
    </row>
    <row r="3" spans="1:117" ht="14.25" customHeight="1">
      <c r="A3" s="1"/>
      <c r="B3" s="1"/>
      <c r="C3" s="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1"/>
      <c r="AF3" s="701"/>
      <c r="AG3" s="701"/>
      <c r="AH3" s="701"/>
      <c r="AI3" s="701"/>
      <c r="AJ3" s="1"/>
      <c r="AK3" s="1"/>
      <c r="AL3" s="1"/>
      <c r="AM3" s="1"/>
      <c r="AN3" s="1"/>
      <c r="AO3" s="1"/>
      <c r="AP3" s="1"/>
      <c r="AQ3" s="1"/>
      <c r="AR3" s="1"/>
      <c r="AS3" s="1"/>
      <c r="AT3" s="206"/>
      <c r="AU3" s="206"/>
      <c r="AV3" s="206"/>
      <c r="AW3" s="206"/>
      <c r="AX3" s="206"/>
      <c r="AY3" s="206"/>
      <c r="AZ3" s="1"/>
      <c r="BA3" s="1"/>
      <c r="BB3" s="206"/>
      <c r="BC3" s="206"/>
      <c r="BD3" s="1"/>
      <c r="BE3" s="1"/>
      <c r="BF3" s="206"/>
      <c r="BG3" s="206"/>
      <c r="BH3" s="1"/>
      <c r="BI3" s="1"/>
      <c r="BJ3" s="206"/>
      <c r="BK3" s="206"/>
      <c r="BL3" s="206"/>
      <c r="BM3" s="206"/>
      <c r="BN3" s="206"/>
      <c r="BO3" s="206"/>
      <c r="BP3" s="206"/>
      <c r="BQ3" s="206"/>
      <c r="BR3" s="206"/>
      <c r="BS3" s="206"/>
      <c r="BT3" s="206"/>
      <c r="BU3" s="206"/>
      <c r="BV3" s="206"/>
      <c r="BW3" s="206"/>
      <c r="BX3" s="206"/>
      <c r="BY3" s="206"/>
      <c r="BZ3" s="206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5"/>
      <c r="DC3" s="516" t="s">
        <v>57</v>
      </c>
      <c r="DD3" s="515"/>
      <c r="DE3" s="515"/>
      <c r="DF3" s="517" t="s">
        <v>58</v>
      </c>
      <c r="DG3" s="515"/>
      <c r="DH3" s="515"/>
      <c r="DI3" s="515"/>
      <c r="DJ3" s="515"/>
      <c r="DK3" s="515"/>
      <c r="DL3" s="515"/>
      <c r="DM3" s="515"/>
    </row>
    <row r="4" spans="1:117" ht="14.25" customHeight="1">
      <c r="A4" s="1"/>
      <c r="B4" s="701"/>
      <c r="C4" s="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379"/>
      <c r="AF4" s="379"/>
      <c r="AG4" s="379"/>
      <c r="AH4" s="379"/>
      <c r="AI4" s="379"/>
      <c r="AJ4" s="1183"/>
      <c r="AK4" s="1183"/>
      <c r="AL4" s="1183"/>
      <c r="AM4" s="1183"/>
      <c r="AN4" s="1183"/>
      <c r="AO4" s="1183"/>
      <c r="AP4" s="1183"/>
      <c r="AQ4" s="1183"/>
      <c r="AR4" s="1183"/>
      <c r="AS4" s="1183"/>
      <c r="AT4" s="1304"/>
      <c r="AU4" s="1304"/>
      <c r="AV4" s="1304"/>
      <c r="AW4" s="1304"/>
      <c r="AX4" s="1304"/>
      <c r="AY4" s="1304"/>
      <c r="AZ4" s="1457"/>
      <c r="BA4" s="1183"/>
      <c r="BB4" s="1459"/>
      <c r="BC4" s="1458"/>
      <c r="BD4" s="1183"/>
      <c r="BE4" s="1183"/>
      <c r="BF4" s="1375"/>
      <c r="BG4" s="1375"/>
      <c r="BH4" s="1183"/>
      <c r="BI4" s="1183"/>
      <c r="BJ4" s="1375"/>
      <c r="BK4" s="1375"/>
      <c r="BL4" s="1375"/>
      <c r="BM4" s="1375"/>
      <c r="BN4" s="1375"/>
      <c r="BO4" s="1375"/>
      <c r="BP4" s="1375"/>
      <c r="BQ4" s="1375"/>
      <c r="BR4" s="1375"/>
      <c r="BS4" s="1375"/>
      <c r="BT4" s="1375"/>
      <c r="BU4" s="1375"/>
      <c r="BV4" s="1375"/>
      <c r="BW4" s="1375"/>
      <c r="BX4" s="1375"/>
      <c r="BY4" s="1375"/>
      <c r="BZ4" s="1375"/>
      <c r="CA4" s="379"/>
      <c r="CB4" s="1426"/>
      <c r="CC4" s="1426"/>
      <c r="CD4" s="1426"/>
      <c r="CE4" s="379"/>
      <c r="CF4" s="5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5"/>
      <c r="DC4" s="516" t="s">
        <v>537</v>
      </c>
      <c r="DD4" s="515"/>
      <c r="DE4" s="515"/>
      <c r="DF4" s="517" t="s">
        <v>59</v>
      </c>
      <c r="DG4" s="515"/>
      <c r="DH4" s="515"/>
      <c r="DI4" s="515"/>
      <c r="DJ4" s="515"/>
      <c r="DK4" s="515"/>
      <c r="DL4" s="515"/>
      <c r="DM4" s="515"/>
    </row>
    <row r="5" spans="1:117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379"/>
      <c r="AF5" s="379"/>
      <c r="AG5" s="379"/>
      <c r="AH5" s="379"/>
      <c r="AI5" s="379"/>
      <c r="AJ5" s="379"/>
      <c r="AK5" s="379"/>
      <c r="AL5" s="1263"/>
      <c r="AM5" s="1258"/>
      <c r="AN5" s="1258"/>
      <c r="AO5" s="1258"/>
      <c r="AP5" s="1258"/>
      <c r="AQ5" s="1347"/>
      <c r="AR5" s="1355"/>
      <c r="AS5" s="1347"/>
      <c r="AT5" s="37"/>
      <c r="AU5" s="1364"/>
      <c r="AV5" s="1355"/>
      <c r="AW5" s="1355"/>
      <c r="AX5" s="1355"/>
      <c r="AY5" s="1364"/>
      <c r="AZ5" s="1355"/>
      <c r="BA5" s="1355"/>
      <c r="BB5" s="1355"/>
      <c r="BC5" s="1460"/>
      <c r="BD5" s="1355"/>
      <c r="BE5" s="1355"/>
      <c r="BF5" s="1355"/>
      <c r="BG5" s="1355"/>
      <c r="BH5" s="1355"/>
      <c r="BI5" s="1355"/>
      <c r="BJ5" s="1355"/>
      <c r="BK5" s="1355"/>
      <c r="BL5" s="1355">
        <f>BL75</f>
        <v>0</v>
      </c>
      <c r="BM5" s="1376"/>
      <c r="BN5" s="1376"/>
      <c r="BO5" s="1376"/>
      <c r="BP5" s="1376"/>
      <c r="BQ5" s="1376"/>
      <c r="BR5" s="1376"/>
      <c r="BS5" s="1376"/>
      <c r="BT5" s="1376"/>
      <c r="BU5" s="1376"/>
      <c r="BV5" s="1376"/>
      <c r="BW5" s="1376"/>
      <c r="BX5" s="1376"/>
      <c r="BY5" s="1376"/>
      <c r="BZ5" s="1376"/>
      <c r="CA5" s="379"/>
      <c r="CB5" s="1426"/>
      <c r="CC5" s="1426"/>
      <c r="CD5" s="1426"/>
      <c r="CE5" s="379"/>
      <c r="CF5" s="5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5"/>
      <c r="DC5" s="516" t="s">
        <v>527</v>
      </c>
      <c r="DD5" s="515"/>
      <c r="DE5" s="515"/>
      <c r="DF5" s="517" t="s">
        <v>60</v>
      </c>
      <c r="DG5" s="515"/>
      <c r="DH5" s="515"/>
      <c r="DI5" s="515"/>
      <c r="DJ5" s="515"/>
      <c r="DK5" s="515"/>
      <c r="DL5" s="515"/>
      <c r="DM5" s="515"/>
    </row>
    <row r="6" spans="1:117" ht="14.25" customHeight="1">
      <c r="A6" s="1"/>
      <c r="B6" s="377" t="s">
        <v>528</v>
      </c>
      <c r="C6" s="206"/>
      <c r="D6" s="595" t="str">
        <f t="shared" ref="D6:AU6" si="1">ROUNDUP(MONTH(EOMONTH(D8,6))/3,0)&amp;"FQ"&amp;TEXT(EOMONTH(D8,6),"YYYY")</f>
        <v>1FQ2006</v>
      </c>
      <c r="E6" s="595" t="str">
        <f t="shared" si="1"/>
        <v>2FQ2006</v>
      </c>
      <c r="F6" s="595" t="str">
        <f t="shared" si="1"/>
        <v>3FQ2006</v>
      </c>
      <c r="G6" s="595" t="str">
        <f t="shared" si="1"/>
        <v>4FQ2006</v>
      </c>
      <c r="H6" s="595" t="str">
        <f t="shared" si="1"/>
        <v>1FQ2007</v>
      </c>
      <c r="I6" s="595" t="str">
        <f t="shared" si="1"/>
        <v>2FQ2007</v>
      </c>
      <c r="J6" s="595" t="str">
        <f t="shared" si="1"/>
        <v>3FQ2007</v>
      </c>
      <c r="K6" s="595" t="str">
        <f t="shared" si="1"/>
        <v>4FQ2007</v>
      </c>
      <c r="L6" s="595" t="str">
        <f t="shared" si="1"/>
        <v>1FQ2008</v>
      </c>
      <c r="M6" s="595" t="str">
        <f t="shared" si="1"/>
        <v>2FQ2008</v>
      </c>
      <c r="N6" s="595" t="str">
        <f t="shared" si="1"/>
        <v>3FQ2008</v>
      </c>
      <c r="O6" s="595" t="str">
        <f t="shared" si="1"/>
        <v>4FQ2008</v>
      </c>
      <c r="P6" s="595" t="str">
        <f t="shared" si="1"/>
        <v>1FQ2009</v>
      </c>
      <c r="Q6" s="595" t="str">
        <f t="shared" si="1"/>
        <v>2FQ2009</v>
      </c>
      <c r="R6" s="595" t="str">
        <f t="shared" si="1"/>
        <v>3FQ2009</v>
      </c>
      <c r="S6" s="595" t="str">
        <f t="shared" si="1"/>
        <v>4FQ2009</v>
      </c>
      <c r="T6" s="595" t="str">
        <f t="shared" si="1"/>
        <v>1FQ2010</v>
      </c>
      <c r="U6" s="595" t="str">
        <f t="shared" si="1"/>
        <v>2FQ2010</v>
      </c>
      <c r="V6" s="595" t="str">
        <f t="shared" si="1"/>
        <v>3FQ2010</v>
      </c>
      <c r="W6" s="595" t="str">
        <f t="shared" si="1"/>
        <v>4FQ2010</v>
      </c>
      <c r="X6" s="595" t="str">
        <f t="shared" si="1"/>
        <v>1FQ2011</v>
      </c>
      <c r="Y6" s="595" t="str">
        <f t="shared" si="1"/>
        <v>2FQ2011</v>
      </c>
      <c r="Z6" s="595" t="str">
        <f t="shared" si="1"/>
        <v>3FQ2011</v>
      </c>
      <c r="AA6" s="595" t="str">
        <f t="shared" si="1"/>
        <v>4FQ2011</v>
      </c>
      <c r="AB6" s="595" t="str">
        <f t="shared" si="1"/>
        <v>1FQ2012</v>
      </c>
      <c r="AC6" s="595" t="str">
        <f t="shared" si="1"/>
        <v>2FQ2012</v>
      </c>
      <c r="AD6" s="595" t="str">
        <f t="shared" si="1"/>
        <v>3FQ2012</v>
      </c>
      <c r="AE6" s="595" t="str">
        <f t="shared" si="1"/>
        <v>4FQ2012</v>
      </c>
      <c r="AF6" s="595" t="str">
        <f t="shared" si="1"/>
        <v>1FQ2013</v>
      </c>
      <c r="AG6" s="595" t="str">
        <f t="shared" si="1"/>
        <v>2FQ2013</v>
      </c>
      <c r="AH6" s="595" t="str">
        <f t="shared" si="1"/>
        <v>3FQ2013</v>
      </c>
      <c r="AI6" s="595" t="str">
        <f t="shared" si="1"/>
        <v>4FQ2013</v>
      </c>
      <c r="AJ6" s="595" t="str">
        <f t="shared" si="1"/>
        <v>1FQ2014</v>
      </c>
      <c r="AK6" s="595" t="str">
        <f t="shared" si="1"/>
        <v>2FQ2014</v>
      </c>
      <c r="AL6" s="595" t="str">
        <f t="shared" si="1"/>
        <v>3FQ2014</v>
      </c>
      <c r="AM6" s="595" t="str">
        <f t="shared" si="1"/>
        <v>4FQ2014</v>
      </c>
      <c r="AN6" s="595" t="str">
        <f t="shared" si="1"/>
        <v>1FQ2015</v>
      </c>
      <c r="AO6" s="595" t="str">
        <f t="shared" si="1"/>
        <v>2FQ2015</v>
      </c>
      <c r="AP6" s="595" t="str">
        <f t="shared" si="1"/>
        <v>3FQ2015</v>
      </c>
      <c r="AQ6" s="595" t="str">
        <f t="shared" si="1"/>
        <v>4FQ2015</v>
      </c>
      <c r="AR6" s="595" t="str">
        <f t="shared" si="1"/>
        <v>1FQ2016</v>
      </c>
      <c r="AS6" s="595" t="str">
        <f t="shared" si="1"/>
        <v>2FQ2016</v>
      </c>
      <c r="AT6" s="595" t="str">
        <f t="shared" si="1"/>
        <v>3FQ2016</v>
      </c>
      <c r="AU6" s="595" t="str">
        <f t="shared" si="1"/>
        <v>4FQ2016</v>
      </c>
      <c r="AV6" s="595" t="str">
        <f t="shared" ref="AV6:BC6" si="2">ROUNDUP(MONTH(EOMONTH(AV8,6))/3,0)&amp;"FQ"&amp;TEXT(EOMONTH(AV8,6),"YYYY")</f>
        <v>1FQ2017</v>
      </c>
      <c r="AW6" s="595" t="str">
        <f t="shared" si="2"/>
        <v>2FQ2017</v>
      </c>
      <c r="AX6" s="595" t="str">
        <f t="shared" si="2"/>
        <v>3FQ2017</v>
      </c>
      <c r="AY6" s="595" t="str">
        <f t="shared" si="2"/>
        <v>4FQ2017</v>
      </c>
      <c r="AZ6" s="595" t="str">
        <f t="shared" si="2"/>
        <v>1FQ2018</v>
      </c>
      <c r="BA6" s="595" t="str">
        <f t="shared" si="2"/>
        <v>2FQ2018</v>
      </c>
      <c r="BB6" s="595" t="str">
        <f t="shared" si="2"/>
        <v>3FQ2018</v>
      </c>
      <c r="BC6" s="595" t="str">
        <f t="shared" si="2"/>
        <v>4FQ2018</v>
      </c>
      <c r="BD6" s="595" t="str">
        <f t="shared" ref="BD6:BK6" si="3">ROUNDUP(MONTH(EOMONTH(BD8,6))/3,0)&amp;"FQ"&amp;TEXT(EOMONTH(BD8,6),"YYYY")</f>
        <v>1FQ2019</v>
      </c>
      <c r="BE6" s="595" t="str">
        <f t="shared" si="3"/>
        <v>2FQ2019</v>
      </c>
      <c r="BF6" s="595" t="str">
        <f t="shared" si="3"/>
        <v>3FQ2019</v>
      </c>
      <c r="BG6" s="595" t="str">
        <f t="shared" si="3"/>
        <v>4FQ2019</v>
      </c>
      <c r="BH6" s="595" t="str">
        <f t="shared" si="3"/>
        <v>1FQ2020</v>
      </c>
      <c r="BI6" s="595" t="str">
        <f t="shared" si="3"/>
        <v>2FQ2020</v>
      </c>
      <c r="BJ6" s="595" t="str">
        <f t="shared" si="3"/>
        <v>3FQ2020</v>
      </c>
      <c r="BK6" s="595" t="str">
        <f t="shared" si="3"/>
        <v>4FQ2020</v>
      </c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311"/>
      <c r="CC6" s="311"/>
      <c r="CD6" s="311"/>
      <c r="CE6" s="1"/>
      <c r="CF6" s="5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505"/>
      <c r="DC6" s="516" t="s">
        <v>528</v>
      </c>
      <c r="DD6" s="515"/>
      <c r="DE6" s="515"/>
      <c r="DF6" s="517" t="s">
        <v>61</v>
      </c>
      <c r="DG6" s="515"/>
      <c r="DH6" s="515"/>
      <c r="DI6" s="515"/>
      <c r="DJ6" s="515"/>
      <c r="DK6" s="515"/>
      <c r="DL6" s="515"/>
      <c r="DM6" s="515"/>
    </row>
    <row r="7" spans="1:117" ht="14.25" customHeight="1">
      <c r="A7" s="8"/>
      <c r="B7" s="9" t="s">
        <v>23</v>
      </c>
      <c r="C7" s="10"/>
      <c r="D7" s="17" t="s">
        <v>107</v>
      </c>
      <c r="E7" s="18" t="s">
        <v>108</v>
      </c>
      <c r="F7" s="18" t="s">
        <v>109</v>
      </c>
      <c r="G7" s="19" t="s">
        <v>110</v>
      </c>
      <c r="H7" s="17" t="s">
        <v>111</v>
      </c>
      <c r="I7" s="18" t="s">
        <v>112</v>
      </c>
      <c r="J7" s="18" t="s">
        <v>113</v>
      </c>
      <c r="K7" s="19" t="s">
        <v>114</v>
      </c>
      <c r="L7" s="17" t="s">
        <v>115</v>
      </c>
      <c r="M7" s="18" t="s">
        <v>116</v>
      </c>
      <c r="N7" s="18" t="s">
        <v>117</v>
      </c>
      <c r="O7" s="19" t="s">
        <v>118</v>
      </c>
      <c r="P7" s="17" t="s">
        <v>119</v>
      </c>
      <c r="Q7" s="18" t="s">
        <v>120</v>
      </c>
      <c r="R7" s="18" t="s">
        <v>121</v>
      </c>
      <c r="S7" s="19" t="s">
        <v>122</v>
      </c>
      <c r="T7" s="17" t="s">
        <v>123</v>
      </c>
      <c r="U7" s="18" t="s">
        <v>124</v>
      </c>
      <c r="V7" s="18" t="s">
        <v>125</v>
      </c>
      <c r="W7" s="19" t="s">
        <v>126</v>
      </c>
      <c r="X7" s="17" t="s">
        <v>127</v>
      </c>
      <c r="Y7" s="18" t="s">
        <v>128</v>
      </c>
      <c r="Z7" s="18" t="s">
        <v>129</v>
      </c>
      <c r="AA7" s="19" t="s">
        <v>130</v>
      </c>
      <c r="AB7" s="17" t="s">
        <v>131</v>
      </c>
      <c r="AC7" s="18" t="s">
        <v>132</v>
      </c>
      <c r="AD7" s="18" t="s">
        <v>133</v>
      </c>
      <c r="AE7" s="19" t="s">
        <v>202</v>
      </c>
      <c r="AF7" s="18" t="s">
        <v>208</v>
      </c>
      <c r="AG7" s="18" t="s">
        <v>213</v>
      </c>
      <c r="AH7" s="18" t="s">
        <v>283</v>
      </c>
      <c r="AI7" s="19" t="s">
        <v>286</v>
      </c>
      <c r="AJ7" s="17" t="s">
        <v>289</v>
      </c>
      <c r="AK7" s="18" t="s">
        <v>291</v>
      </c>
      <c r="AL7" s="18" t="s">
        <v>134</v>
      </c>
      <c r="AM7" s="19" t="s">
        <v>572</v>
      </c>
      <c r="AN7" s="17" t="s">
        <v>147</v>
      </c>
      <c r="AO7" s="18" t="s">
        <v>152</v>
      </c>
      <c r="AP7" s="18" t="s">
        <v>149</v>
      </c>
      <c r="AQ7" s="18" t="s">
        <v>591</v>
      </c>
      <c r="AR7" s="17" t="s">
        <v>600</v>
      </c>
      <c r="AS7" s="18" t="s">
        <v>599</v>
      </c>
      <c r="AT7" s="18" t="s">
        <v>604</v>
      </c>
      <c r="AU7" s="18" t="s">
        <v>606</v>
      </c>
      <c r="AV7" s="17" t="s">
        <v>607</v>
      </c>
      <c r="AW7" s="18" t="s">
        <v>618</v>
      </c>
      <c r="AX7" s="18" t="s">
        <v>620</v>
      </c>
      <c r="AY7" s="18" t="s">
        <v>622</v>
      </c>
      <c r="AZ7" s="17" t="s">
        <v>642</v>
      </c>
      <c r="BA7" s="18" t="s">
        <v>650</v>
      </c>
      <c r="BB7" s="18" t="s">
        <v>652</v>
      </c>
      <c r="BC7" s="19" t="s">
        <v>593</v>
      </c>
      <c r="BD7" s="17" t="s">
        <v>615</v>
      </c>
      <c r="BE7" s="18" t="s">
        <v>616</v>
      </c>
      <c r="BF7" s="18" t="s">
        <v>609</v>
      </c>
      <c r="BG7" s="19" t="s">
        <v>610</v>
      </c>
      <c r="BH7" s="17" t="s">
        <v>636</v>
      </c>
      <c r="BI7" s="18" t="s">
        <v>637</v>
      </c>
      <c r="BJ7" s="18" t="s">
        <v>638</v>
      </c>
      <c r="BK7" s="19" t="s">
        <v>639</v>
      </c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74"/>
      <c r="CC7" s="74"/>
      <c r="CD7" s="74"/>
      <c r="CE7" s="260"/>
      <c r="CF7" s="723" t="s">
        <v>192</v>
      </c>
      <c r="CG7" s="724" t="s">
        <v>193</v>
      </c>
      <c r="CH7" s="724" t="s">
        <v>194</v>
      </c>
      <c r="CI7" s="724" t="s">
        <v>195</v>
      </c>
      <c r="CJ7" s="724" t="s">
        <v>196</v>
      </c>
      <c r="CK7" s="724" t="s">
        <v>197</v>
      </c>
      <c r="CL7" s="724" t="s">
        <v>198</v>
      </c>
      <c r="CM7" s="724" t="s">
        <v>199</v>
      </c>
      <c r="CN7" s="724" t="s">
        <v>601</v>
      </c>
      <c r="CO7" s="724" t="s">
        <v>602</v>
      </c>
      <c r="CP7" s="724" t="s">
        <v>649</v>
      </c>
      <c r="CQ7" s="724" t="s">
        <v>595</v>
      </c>
      <c r="CR7" s="724" t="s">
        <v>617</v>
      </c>
      <c r="CS7" s="21" t="s">
        <v>640</v>
      </c>
      <c r="CT7" s="1418"/>
      <c r="DC7" s="516" t="s">
        <v>529</v>
      </c>
      <c r="DD7" s="515"/>
      <c r="DE7" s="515"/>
      <c r="DF7" s="517" t="s">
        <v>62</v>
      </c>
      <c r="DG7" s="515"/>
      <c r="DH7" s="515"/>
      <c r="DI7" s="515"/>
      <c r="DJ7" s="515"/>
      <c r="DK7" s="515"/>
      <c r="DL7" s="515"/>
      <c r="DM7" s="515"/>
    </row>
    <row r="8" spans="1:117" ht="14.25" customHeight="1">
      <c r="A8" s="8"/>
      <c r="B8" s="12" t="s">
        <v>63</v>
      </c>
      <c r="C8" s="13"/>
      <c r="D8" s="760">
        <v>38625</v>
      </c>
      <c r="E8" s="761">
        <v>38717</v>
      </c>
      <c r="F8" s="761">
        <v>38807</v>
      </c>
      <c r="G8" s="762">
        <v>38898</v>
      </c>
      <c r="H8" s="761">
        <v>38990</v>
      </c>
      <c r="I8" s="761">
        <v>39082</v>
      </c>
      <c r="J8" s="761">
        <v>39172</v>
      </c>
      <c r="K8" s="762">
        <v>39263</v>
      </c>
      <c r="L8" s="761">
        <v>39355</v>
      </c>
      <c r="M8" s="761">
        <v>39447</v>
      </c>
      <c r="N8" s="761">
        <v>39538</v>
      </c>
      <c r="O8" s="762">
        <v>39629</v>
      </c>
      <c r="P8" s="761">
        <v>39721</v>
      </c>
      <c r="Q8" s="761">
        <v>39813</v>
      </c>
      <c r="R8" s="761">
        <v>39903</v>
      </c>
      <c r="S8" s="762">
        <v>39994</v>
      </c>
      <c r="T8" s="761">
        <v>40086</v>
      </c>
      <c r="U8" s="761">
        <v>40178</v>
      </c>
      <c r="V8" s="761">
        <v>40268</v>
      </c>
      <c r="W8" s="762">
        <v>40359</v>
      </c>
      <c r="X8" s="761">
        <v>40451</v>
      </c>
      <c r="Y8" s="761">
        <v>40543</v>
      </c>
      <c r="Z8" s="761">
        <v>40633</v>
      </c>
      <c r="AA8" s="762">
        <v>40724</v>
      </c>
      <c r="AB8" s="761">
        <v>40816</v>
      </c>
      <c r="AC8" s="761">
        <v>40908</v>
      </c>
      <c r="AD8" s="761">
        <v>40999</v>
      </c>
      <c r="AE8" s="762">
        <v>41090</v>
      </c>
      <c r="AF8" s="761">
        <v>41182</v>
      </c>
      <c r="AG8" s="761">
        <v>41274</v>
      </c>
      <c r="AH8" s="761">
        <v>41364</v>
      </c>
      <c r="AI8" s="762">
        <v>41455</v>
      </c>
      <c r="AJ8" s="1203">
        <v>41547</v>
      </c>
      <c r="AK8" s="761">
        <v>41639</v>
      </c>
      <c r="AL8" s="761">
        <v>41729</v>
      </c>
      <c r="AM8" s="762">
        <v>41820</v>
      </c>
      <c r="AN8" s="1203">
        <v>41912</v>
      </c>
      <c r="AO8" s="761">
        <v>42004</v>
      </c>
      <c r="AP8" s="761">
        <v>42094</v>
      </c>
      <c r="AQ8" s="761">
        <v>42185</v>
      </c>
      <c r="AR8" s="1203">
        <v>42277</v>
      </c>
      <c r="AS8" s="761">
        <v>42369</v>
      </c>
      <c r="AT8" s="761">
        <v>42460</v>
      </c>
      <c r="AU8" s="761">
        <v>42551</v>
      </c>
      <c r="AV8" s="1203">
        <v>42643</v>
      </c>
      <c r="AW8" s="761">
        <v>42735</v>
      </c>
      <c r="AX8" s="761">
        <v>42825</v>
      </c>
      <c r="AY8" s="761">
        <v>42916</v>
      </c>
      <c r="AZ8" s="1203">
        <v>43008</v>
      </c>
      <c r="BA8" s="761">
        <v>43100</v>
      </c>
      <c r="BB8" s="761">
        <v>43190</v>
      </c>
      <c r="BC8" s="762">
        <v>43281</v>
      </c>
      <c r="BD8" s="1203">
        <v>43373</v>
      </c>
      <c r="BE8" s="761">
        <v>43465</v>
      </c>
      <c r="BF8" s="761">
        <v>43555</v>
      </c>
      <c r="BG8" s="762">
        <v>43646</v>
      </c>
      <c r="BH8" s="1203">
        <v>43738</v>
      </c>
      <c r="BI8" s="761">
        <v>43830</v>
      </c>
      <c r="BJ8" s="761">
        <v>43921</v>
      </c>
      <c r="BK8" s="762">
        <v>44012</v>
      </c>
      <c r="BL8" s="8"/>
      <c r="BM8" s="595" t="str">
        <f t="shared" ref="BM8:CA8" si="4">LEFT(BM9,6)</f>
        <v>FY2006</v>
      </c>
      <c r="BN8" s="595" t="str">
        <f t="shared" si="4"/>
        <v>FY2007</v>
      </c>
      <c r="BO8" s="595" t="str">
        <f t="shared" si="4"/>
        <v>FY2008</v>
      </c>
      <c r="BP8" s="595" t="str">
        <f t="shared" si="4"/>
        <v>FY2009</v>
      </c>
      <c r="BQ8" s="595" t="str">
        <f t="shared" si="4"/>
        <v>FY2010</v>
      </c>
      <c r="BR8" s="595" t="str">
        <f t="shared" si="4"/>
        <v>FY2011</v>
      </c>
      <c r="BS8" s="595" t="str">
        <f t="shared" si="4"/>
        <v>FY2012</v>
      </c>
      <c r="BT8" s="595" t="str">
        <f t="shared" si="4"/>
        <v>FY2013</v>
      </c>
      <c r="BU8" s="595" t="str">
        <f t="shared" si="4"/>
        <v>FY2014</v>
      </c>
      <c r="BV8" s="595" t="str">
        <f t="shared" si="4"/>
        <v>FY2015</v>
      </c>
      <c r="BW8" s="595"/>
      <c r="BX8" s="595" t="str">
        <f t="shared" si="4"/>
        <v>FY2017</v>
      </c>
      <c r="BY8" s="1506"/>
      <c r="BZ8" s="1506"/>
      <c r="CA8" s="595" t="str">
        <f t="shared" si="4"/>
        <v>FY2020</v>
      </c>
      <c r="CB8" s="1469"/>
      <c r="CC8" s="1469"/>
      <c r="CD8" s="1469"/>
      <c r="CE8" s="260"/>
      <c r="CF8" s="757">
        <v>39082</v>
      </c>
      <c r="CG8" s="758">
        <v>39447</v>
      </c>
      <c r="CH8" s="758">
        <v>39813</v>
      </c>
      <c r="CI8" s="758">
        <v>40178</v>
      </c>
      <c r="CJ8" s="758">
        <v>40543</v>
      </c>
      <c r="CK8" s="758">
        <v>40908</v>
      </c>
      <c r="CL8" s="758">
        <v>41274</v>
      </c>
      <c r="CM8" s="758">
        <v>41639</v>
      </c>
      <c r="CN8" s="758">
        <v>42004</v>
      </c>
      <c r="CO8" s="758">
        <v>42369</v>
      </c>
      <c r="CP8" s="758">
        <v>42735</v>
      </c>
      <c r="CQ8" s="758">
        <v>43100</v>
      </c>
      <c r="CR8" s="758">
        <v>43465</v>
      </c>
      <c r="CS8" s="759">
        <v>43830</v>
      </c>
      <c r="CT8" s="1431"/>
    </row>
    <row r="9" spans="1:117" ht="14.25" customHeight="1">
      <c r="A9" s="8"/>
      <c r="B9" s="15"/>
      <c r="C9" s="16"/>
      <c r="D9" s="18" t="s">
        <v>135</v>
      </c>
      <c r="E9" s="18" t="s">
        <v>136</v>
      </c>
      <c r="F9" s="18" t="s">
        <v>137</v>
      </c>
      <c r="G9" s="19" t="s">
        <v>138</v>
      </c>
      <c r="H9" s="18" t="s">
        <v>139</v>
      </c>
      <c r="I9" s="18" t="s">
        <v>140</v>
      </c>
      <c r="J9" s="18" t="s">
        <v>141</v>
      </c>
      <c r="K9" s="19" t="s">
        <v>142</v>
      </c>
      <c r="L9" s="18" t="s">
        <v>143</v>
      </c>
      <c r="M9" s="18" t="s">
        <v>144</v>
      </c>
      <c r="N9" s="18" t="s">
        <v>153</v>
      </c>
      <c r="O9" s="19" t="s">
        <v>154</v>
      </c>
      <c r="P9" s="18" t="s">
        <v>155</v>
      </c>
      <c r="Q9" s="18" t="s">
        <v>156</v>
      </c>
      <c r="R9" s="18" t="s">
        <v>157</v>
      </c>
      <c r="S9" s="19" t="s">
        <v>158</v>
      </c>
      <c r="T9" s="18" t="s">
        <v>159</v>
      </c>
      <c r="U9" s="18" t="s">
        <v>160</v>
      </c>
      <c r="V9" s="18" t="s">
        <v>161</v>
      </c>
      <c r="W9" s="19" t="s">
        <v>162</v>
      </c>
      <c r="X9" s="18" t="s">
        <v>163</v>
      </c>
      <c r="Y9" s="18" t="s">
        <v>164</v>
      </c>
      <c r="Z9" s="18" t="s">
        <v>165</v>
      </c>
      <c r="AA9" s="19" t="s">
        <v>166</v>
      </c>
      <c r="AB9" s="18" t="s">
        <v>167</v>
      </c>
      <c r="AC9" s="18" t="s">
        <v>168</v>
      </c>
      <c r="AD9" s="18" t="s">
        <v>169</v>
      </c>
      <c r="AE9" s="19" t="s">
        <v>201</v>
      </c>
      <c r="AF9" s="18" t="s">
        <v>207</v>
      </c>
      <c r="AG9" s="18" t="s">
        <v>214</v>
      </c>
      <c r="AH9" s="18" t="s">
        <v>284</v>
      </c>
      <c r="AI9" s="19" t="s">
        <v>285</v>
      </c>
      <c r="AJ9" s="17" t="s">
        <v>290</v>
      </c>
      <c r="AK9" s="18" t="s">
        <v>292</v>
      </c>
      <c r="AL9" s="18" t="s">
        <v>106</v>
      </c>
      <c r="AM9" s="19" t="s">
        <v>571</v>
      </c>
      <c r="AN9" s="17" t="s">
        <v>148</v>
      </c>
      <c r="AO9" s="18" t="s">
        <v>151</v>
      </c>
      <c r="AP9" s="18" t="s">
        <v>150</v>
      </c>
      <c r="AQ9" s="18" t="s">
        <v>592</v>
      </c>
      <c r="AR9" s="17" t="s">
        <v>597</v>
      </c>
      <c r="AS9" s="18" t="s">
        <v>598</v>
      </c>
      <c r="AT9" s="18" t="s">
        <v>603</v>
      </c>
      <c r="AU9" s="18" t="s">
        <v>605</v>
      </c>
      <c r="AV9" s="17" t="s">
        <v>608</v>
      </c>
      <c r="AW9" s="18" t="s">
        <v>619</v>
      </c>
      <c r="AX9" s="18" t="s">
        <v>621</v>
      </c>
      <c r="AY9" s="18" t="s">
        <v>623</v>
      </c>
      <c r="AZ9" s="17" t="s">
        <v>641</v>
      </c>
      <c r="BA9" s="18" t="s">
        <v>651</v>
      </c>
      <c r="BB9" s="18" t="s">
        <v>653</v>
      </c>
      <c r="BC9" s="19" t="s">
        <v>594</v>
      </c>
      <c r="BD9" s="17" t="s">
        <v>611</v>
      </c>
      <c r="BE9" s="18" t="s">
        <v>612</v>
      </c>
      <c r="BF9" s="18" t="s">
        <v>613</v>
      </c>
      <c r="BG9" s="19" t="s">
        <v>614</v>
      </c>
      <c r="BH9" s="17" t="s">
        <v>632</v>
      </c>
      <c r="BI9" s="18" t="s">
        <v>633</v>
      </c>
      <c r="BJ9" s="18" t="s">
        <v>634</v>
      </c>
      <c r="BK9" s="19" t="s">
        <v>635</v>
      </c>
      <c r="BL9" s="20"/>
      <c r="BM9" s="17" t="s">
        <v>180</v>
      </c>
      <c r="BN9" s="18" t="s">
        <v>181</v>
      </c>
      <c r="BO9" s="18" t="s">
        <v>182</v>
      </c>
      <c r="BP9" s="18" t="s">
        <v>183</v>
      </c>
      <c r="BQ9" s="18" t="s">
        <v>184</v>
      </c>
      <c r="BR9" s="18" t="s">
        <v>185</v>
      </c>
      <c r="BS9" s="18" t="s">
        <v>287</v>
      </c>
      <c r="BT9" s="18" t="s">
        <v>288</v>
      </c>
      <c r="BU9" s="18" t="s">
        <v>573</v>
      </c>
      <c r="BV9" s="18" t="s">
        <v>644</v>
      </c>
      <c r="BW9" s="18" t="s">
        <v>643</v>
      </c>
      <c r="BX9" s="18" t="s">
        <v>645</v>
      </c>
      <c r="BY9" s="18" t="s">
        <v>189</v>
      </c>
      <c r="BZ9" s="18" t="s">
        <v>190</v>
      </c>
      <c r="CA9" s="19" t="s">
        <v>191</v>
      </c>
      <c r="CB9" s="1470"/>
      <c r="CC9" s="1418"/>
      <c r="CD9" s="1418"/>
      <c r="CE9" s="260"/>
      <c r="CF9" s="725"/>
      <c r="CG9" s="726"/>
      <c r="CH9" s="726"/>
      <c r="CI9" s="726"/>
      <c r="CJ9" s="726"/>
      <c r="CK9" s="726"/>
      <c r="CL9" s="726"/>
      <c r="CM9" s="726"/>
      <c r="CN9" s="726"/>
      <c r="CO9" s="726"/>
      <c r="CP9" s="726"/>
      <c r="CQ9" s="726"/>
      <c r="CR9" s="726"/>
      <c r="CS9" s="727"/>
      <c r="CT9" s="1418"/>
    </row>
    <row r="10" spans="1:117" ht="14.25" customHeight="1">
      <c r="A10" s="8"/>
      <c r="B10" s="365" t="s">
        <v>461</v>
      </c>
      <c r="C10" s="24"/>
      <c r="D10" s="25">
        <v>424.09500000000003</v>
      </c>
      <c r="E10" s="25">
        <v>445.52</v>
      </c>
      <c r="F10" s="25">
        <v>478.17</v>
      </c>
      <c r="G10" s="510">
        <f>1856.945-F10-E10-D10</f>
        <v>509.15999999999985</v>
      </c>
      <c r="H10" s="25">
        <v>502.745</v>
      </c>
      <c r="I10" s="25">
        <v>497.45299999999997</v>
      </c>
      <c r="J10" s="25">
        <v>476.55599999999998</v>
      </c>
      <c r="K10" s="510">
        <f>2009.124-J10-I10-H10</f>
        <v>532.37</v>
      </c>
      <c r="L10" s="25">
        <v>524.08100000000002</v>
      </c>
      <c r="M10" s="25">
        <v>540.02499999999998</v>
      </c>
      <c r="N10" s="25">
        <v>487.41</v>
      </c>
      <c r="O10" s="510">
        <f>2052.783-N10-M10-L10</f>
        <v>501.26699999999994</v>
      </c>
      <c r="P10" s="25">
        <v>501.20400000000001</v>
      </c>
      <c r="Q10" s="25">
        <v>410.67500000000001</v>
      </c>
      <c r="R10" s="25">
        <v>339.66500000000002</v>
      </c>
      <c r="S10" s="510">
        <f>1646.015-R10-Q10-P10</f>
        <v>394.47100000000017</v>
      </c>
      <c r="T10" s="25">
        <v>449.24599999999998</v>
      </c>
      <c r="U10" s="25">
        <v>473.51499999999999</v>
      </c>
      <c r="V10" s="25">
        <v>508.88</v>
      </c>
      <c r="W10" s="510">
        <f>1997.603-V10-U10-T10</f>
        <v>565.96199999999999</v>
      </c>
      <c r="X10" s="25">
        <v>626.13900000000001</v>
      </c>
      <c r="Y10" s="25">
        <v>612.93600000000004</v>
      </c>
      <c r="Z10" s="25">
        <v>606.77499999999998</v>
      </c>
      <c r="AA10" s="510">
        <f>2472.341-Z10-Y10-X10</f>
        <v>626.49099999999964</v>
      </c>
      <c r="AB10" s="25">
        <v>636.00199999999995</v>
      </c>
      <c r="AC10" s="25">
        <v>591.35900000000004</v>
      </c>
      <c r="AD10" s="25">
        <v>571.21199999999999</v>
      </c>
      <c r="AE10" s="25">
        <v>604.95600000000002</v>
      </c>
      <c r="AF10" s="780">
        <v>623.07500000000005</v>
      </c>
      <c r="AG10" s="825">
        <v>605.30600000000004</v>
      </c>
      <c r="AH10" s="825">
        <v>604.88400000000001</v>
      </c>
      <c r="AI10" s="1182">
        <v>608.19399999999996</v>
      </c>
      <c r="AJ10" s="780">
        <v>585.24099999999999</v>
      </c>
      <c r="AK10" s="825">
        <v>620.274</v>
      </c>
      <c r="AL10" s="825">
        <v>605.68100000000004</v>
      </c>
      <c r="AM10" s="1182">
        <v>642.46699999999998</v>
      </c>
      <c r="AN10" s="780">
        <v>580.27499999999998</v>
      </c>
      <c r="AO10" s="825">
        <v>566.80899999999997</v>
      </c>
      <c r="AP10" s="825">
        <v>577.26300000000003</v>
      </c>
      <c r="AQ10" s="1182">
        <v>582.51700000000005</v>
      </c>
      <c r="AR10" s="780">
        <v>562.51</v>
      </c>
      <c r="AS10" s="825">
        <v>510.83100000000002</v>
      </c>
      <c r="AT10" s="825">
        <v>555.25199999999995</v>
      </c>
      <c r="AU10" s="825">
        <v>566.12599999999998</v>
      </c>
      <c r="AV10" s="780">
        <v>561.39599999999996</v>
      </c>
      <c r="AW10" s="825">
        <v>550.99800000000005</v>
      </c>
      <c r="AX10" s="825">
        <v>581.21600000000001</v>
      </c>
      <c r="AY10" s="825">
        <v>602.005</v>
      </c>
      <c r="AZ10" s="780">
        <v>575.67600000000004</v>
      </c>
      <c r="BA10" s="825">
        <v>622.63699999999994</v>
      </c>
      <c r="BB10" s="825">
        <v>648.59900000000005</v>
      </c>
      <c r="BC10" s="741">
        <f>+'BU-Segment'!BC100</f>
        <v>629.88691885000003</v>
      </c>
      <c r="BD10" s="1359">
        <f>+'BU-Segment'!BD100</f>
        <v>614.40226632400004</v>
      </c>
      <c r="BE10" s="740">
        <f>+'BU-Segment'!BE100</f>
        <v>615.55297175386011</v>
      </c>
      <c r="BF10" s="740">
        <f>+'BU-Segment'!BF100</f>
        <v>647.73373676348967</v>
      </c>
      <c r="BG10" s="741">
        <f>+'BU-Segment'!BG100</f>
        <v>654.58378202244683</v>
      </c>
      <c r="BH10" s="1359">
        <f>+'BU-Segment'!BH100</f>
        <v>644.08009710326837</v>
      </c>
      <c r="BI10" s="740">
        <f>+'BU-Segment'!BI100</f>
        <v>643.58537466034682</v>
      </c>
      <c r="BJ10" s="740">
        <f>+'BU-Segment'!BJ100</f>
        <v>669.76471696236217</v>
      </c>
      <c r="BK10" s="741">
        <f>+'BU-Segment'!BK100</f>
        <v>687.57139464671707</v>
      </c>
      <c r="BL10" s="20"/>
      <c r="BM10" s="483">
        <f>SUM(D10:G10)</f>
        <v>1856.9449999999999</v>
      </c>
      <c r="BN10" s="26">
        <f>SUM(H10:K10)</f>
        <v>2009.1239999999998</v>
      </c>
      <c r="BO10" s="26">
        <f>SUM(L10:O10)</f>
        <v>2052.7829999999999</v>
      </c>
      <c r="BP10" s="26">
        <f>SUM(P10:S10)</f>
        <v>1646.0150000000003</v>
      </c>
      <c r="BQ10" s="26">
        <f>SUM(T10:W10)</f>
        <v>1997.6030000000001</v>
      </c>
      <c r="BR10" s="26">
        <f>SUM(X10:AA10)</f>
        <v>2472.3409999999994</v>
      </c>
      <c r="BS10" s="26">
        <f>SUM(AB10:AE10)</f>
        <v>2403.529</v>
      </c>
      <c r="BT10" s="26">
        <f>SUM(AF10:AI10)</f>
        <v>2441.4589999999998</v>
      </c>
      <c r="BU10" s="26">
        <f>SUM(AJ10:AM10)</f>
        <v>2453.663</v>
      </c>
      <c r="BV10" s="26">
        <f>SUM(AN10:AQ10)</f>
        <v>2306.8639999999996</v>
      </c>
      <c r="BW10" s="26">
        <f>SUM(AR10:AU10)</f>
        <v>2194.7190000000001</v>
      </c>
      <c r="BX10" s="26">
        <f>SUM(AV10:AY10)</f>
        <v>2295.6150000000002</v>
      </c>
      <c r="BY10" s="26">
        <f>SUM(AZ10:BC10)</f>
        <v>2476.7989188500005</v>
      </c>
      <c r="BZ10" s="26">
        <f>SUM(BD10:BG10)</f>
        <v>2532.2727568637965</v>
      </c>
      <c r="CA10" s="730">
        <f>SUM(BH10:BK10)</f>
        <v>2645.0015833726943</v>
      </c>
      <c r="CB10" s="27"/>
      <c r="CC10" s="26"/>
      <c r="CD10" s="26"/>
      <c r="CE10" s="260"/>
      <c r="CF10" s="27">
        <f>SUM(F10:I10)</f>
        <v>1987.5279999999998</v>
      </c>
      <c r="CG10" s="26">
        <f>SUM(J10:M10)</f>
        <v>2073.0320000000002</v>
      </c>
      <c r="CH10" s="26">
        <f>SUM(N10:Q10)</f>
        <v>1900.5559999999998</v>
      </c>
      <c r="CI10" s="26">
        <f>SUM(R10:U10)</f>
        <v>1656.8969999999999</v>
      </c>
      <c r="CJ10" s="26">
        <f>SUM(V10:Y10)</f>
        <v>2313.9170000000004</v>
      </c>
      <c r="CK10" s="26">
        <f>SUM(Z10:AC10)</f>
        <v>2460.6269999999995</v>
      </c>
      <c r="CL10" s="26">
        <f>SUM(AD10:AG10)</f>
        <v>2404.549</v>
      </c>
      <c r="CM10" s="26">
        <f>SUM(AH10:AK10)</f>
        <v>2418.5929999999998</v>
      </c>
      <c r="CN10" s="26">
        <f>SUM(AL10:AO10)</f>
        <v>2395.232</v>
      </c>
      <c r="CO10" s="26">
        <f>SUM(AP10:AS10)</f>
        <v>2233.1210000000001</v>
      </c>
      <c r="CP10" s="26">
        <f>SUM(AT10:AW10)</f>
        <v>2233.7719999999999</v>
      </c>
      <c r="CQ10" s="26">
        <f>SUM(AX10:BA10)</f>
        <v>2381.5339999999997</v>
      </c>
      <c r="CR10" s="26">
        <f>SUM(BB10:BE10)</f>
        <v>2508.44115692786</v>
      </c>
      <c r="CS10" s="730">
        <f>SUM(BF10:BI10)</f>
        <v>2589.9829905495517</v>
      </c>
      <c r="CT10" s="26"/>
    </row>
    <row r="11" spans="1:117" ht="14.25" hidden="1" customHeight="1" outlineLevel="1">
      <c r="A11" s="8"/>
      <c r="B11" s="28" t="s">
        <v>293</v>
      </c>
      <c r="C11" s="29"/>
      <c r="D11" s="30">
        <v>0</v>
      </c>
      <c r="E11" s="30">
        <v>0</v>
      </c>
      <c r="F11" s="30">
        <v>0</v>
      </c>
      <c r="G11" s="31">
        <v>0</v>
      </c>
      <c r="H11" s="30">
        <v>0</v>
      </c>
      <c r="I11" s="30">
        <v>0</v>
      </c>
      <c r="J11" s="30">
        <v>0</v>
      </c>
      <c r="K11" s="31">
        <v>0</v>
      </c>
      <c r="L11" s="30">
        <v>0</v>
      </c>
      <c r="M11" s="30">
        <v>0</v>
      </c>
      <c r="N11" s="30">
        <v>0</v>
      </c>
      <c r="O11" s="31">
        <v>0</v>
      </c>
      <c r="P11" s="30">
        <v>0</v>
      </c>
      <c r="Q11" s="30">
        <v>0</v>
      </c>
      <c r="R11" s="30">
        <v>0</v>
      </c>
      <c r="S11" s="31">
        <v>0</v>
      </c>
      <c r="T11" s="30">
        <v>0</v>
      </c>
      <c r="U11" s="30">
        <v>0</v>
      </c>
      <c r="V11" s="30">
        <v>0</v>
      </c>
      <c r="W11" s="31">
        <v>0</v>
      </c>
      <c r="X11" s="30">
        <v>0</v>
      </c>
      <c r="Y11" s="30">
        <v>0</v>
      </c>
      <c r="Z11" s="30">
        <v>0</v>
      </c>
      <c r="AA11" s="31">
        <v>0</v>
      </c>
      <c r="AB11" s="30">
        <f>AA11</f>
        <v>0</v>
      </c>
      <c r="AC11" s="30">
        <v>0</v>
      </c>
      <c r="AD11" s="30">
        <v>0</v>
      </c>
      <c r="AE11" s="33">
        <f t="shared" ref="AE11:BB11" si="5">AD11</f>
        <v>0</v>
      </c>
      <c r="AF11" s="32">
        <f t="shared" si="5"/>
        <v>0</v>
      </c>
      <c r="AG11" s="32">
        <f t="shared" si="5"/>
        <v>0</v>
      </c>
      <c r="AH11" s="32">
        <f t="shared" si="5"/>
        <v>0</v>
      </c>
      <c r="AI11" s="33">
        <f t="shared" si="5"/>
        <v>0</v>
      </c>
      <c r="AJ11" s="34">
        <f t="shared" si="5"/>
        <v>0</v>
      </c>
      <c r="AK11" s="32">
        <f t="shared" si="5"/>
        <v>0</v>
      </c>
      <c r="AL11" s="32">
        <f t="shared" si="5"/>
        <v>0</v>
      </c>
      <c r="AM11" s="33">
        <f t="shared" si="5"/>
        <v>0</v>
      </c>
      <c r="AN11" s="34">
        <f t="shared" si="5"/>
        <v>0</v>
      </c>
      <c r="AO11" s="32">
        <f t="shared" si="5"/>
        <v>0</v>
      </c>
      <c r="AP11" s="32">
        <f t="shared" si="5"/>
        <v>0</v>
      </c>
      <c r="AQ11" s="33">
        <f t="shared" si="5"/>
        <v>0</v>
      </c>
      <c r="AR11" s="34">
        <f t="shared" si="5"/>
        <v>0</v>
      </c>
      <c r="AS11" s="32">
        <f t="shared" si="5"/>
        <v>0</v>
      </c>
      <c r="AT11" s="32">
        <f t="shared" si="5"/>
        <v>0</v>
      </c>
      <c r="AU11" s="32">
        <f t="shared" ref="AU11:BC11" si="6">AT11</f>
        <v>0</v>
      </c>
      <c r="AV11" s="34">
        <f t="shared" si="5"/>
        <v>0</v>
      </c>
      <c r="AW11" s="32">
        <f t="shared" si="5"/>
        <v>0</v>
      </c>
      <c r="AX11" s="32">
        <f t="shared" si="5"/>
        <v>0</v>
      </c>
      <c r="AY11" s="32">
        <f t="shared" si="6"/>
        <v>0</v>
      </c>
      <c r="AZ11" s="34">
        <f t="shared" si="5"/>
        <v>0</v>
      </c>
      <c r="BA11" s="32">
        <f t="shared" si="5"/>
        <v>0</v>
      </c>
      <c r="BB11" s="32">
        <f t="shared" si="5"/>
        <v>0</v>
      </c>
      <c r="BC11" s="33">
        <f t="shared" si="6"/>
        <v>0</v>
      </c>
      <c r="BD11" s="34">
        <f t="shared" ref="BD11:BK11" si="7">BC11</f>
        <v>0</v>
      </c>
      <c r="BE11" s="32">
        <f t="shared" si="7"/>
        <v>0</v>
      </c>
      <c r="BF11" s="32">
        <f t="shared" si="7"/>
        <v>0</v>
      </c>
      <c r="BG11" s="33">
        <f t="shared" si="7"/>
        <v>0</v>
      </c>
      <c r="BH11" s="34">
        <f t="shared" si="7"/>
        <v>0</v>
      </c>
      <c r="BI11" s="32">
        <f t="shared" si="7"/>
        <v>0</v>
      </c>
      <c r="BJ11" s="32">
        <f t="shared" si="7"/>
        <v>0</v>
      </c>
      <c r="BK11" s="33">
        <f t="shared" si="7"/>
        <v>0</v>
      </c>
      <c r="BL11" s="260"/>
      <c r="BM11" s="32">
        <f>SUM(D11:G11)</f>
        <v>0</v>
      </c>
      <c r="BN11" s="32">
        <f>SUM(H11:K11)</f>
        <v>0</v>
      </c>
      <c r="BO11" s="32">
        <f>SUM(L11:O11)</f>
        <v>0</v>
      </c>
      <c r="BP11" s="32">
        <f>SUM(P11:S11)</f>
        <v>0</v>
      </c>
      <c r="BQ11" s="32">
        <f>SUM(T11:W11)</f>
        <v>0</v>
      </c>
      <c r="BR11" s="32">
        <f>SUM(X11:AA11)</f>
        <v>0</v>
      </c>
      <c r="BS11" s="32">
        <f>SUM(AB11:AE11)</f>
        <v>0</v>
      </c>
      <c r="BT11" s="32">
        <f>SUM(AF11:AI11)</f>
        <v>0</v>
      </c>
      <c r="BU11" s="32">
        <f>SUM(AJ11:AM11)</f>
        <v>0</v>
      </c>
      <c r="BV11" s="32">
        <f>SUM(AN11:AQ11)</f>
        <v>0</v>
      </c>
      <c r="BW11" s="32">
        <f>SUM(AR11:AU11)</f>
        <v>0</v>
      </c>
      <c r="BX11" s="32">
        <f>SUM(AV11:AY11)</f>
        <v>0</v>
      </c>
      <c r="BY11" s="32">
        <f>SUM(AZ11:BC11)</f>
        <v>0</v>
      </c>
      <c r="BZ11" s="32">
        <f>SUM(BD11:BG11)</f>
        <v>0</v>
      </c>
      <c r="CA11" s="33">
        <f>SUM(BH11:BK11)</f>
        <v>0</v>
      </c>
      <c r="CB11" s="34"/>
      <c r="CC11" s="32"/>
      <c r="CD11" s="32"/>
      <c r="CE11" s="260"/>
      <c r="CF11" s="34">
        <f>SUM(F11:I11)</f>
        <v>0</v>
      </c>
      <c r="CG11" s="32">
        <f>SUM(J11:M11)</f>
        <v>0</v>
      </c>
      <c r="CH11" s="32">
        <f>SUM(N11:Q11)</f>
        <v>0</v>
      </c>
      <c r="CI11" s="32">
        <f>SUM(R11:U11)</f>
        <v>0</v>
      </c>
      <c r="CJ11" s="32">
        <f>SUM(V11:Y11)</f>
        <v>0</v>
      </c>
      <c r="CK11" s="32">
        <f>SUM(Z11:AC11)</f>
        <v>0</v>
      </c>
      <c r="CL11" s="32">
        <f>SUM(AD11:AG11)</f>
        <v>0</v>
      </c>
      <c r="CM11" s="32">
        <f>SUM(AH11:AK11)</f>
        <v>0</v>
      </c>
      <c r="CN11" s="32">
        <f>SUM(AL11:AO11)</f>
        <v>0</v>
      </c>
      <c r="CO11" s="32">
        <f>SUM(AP11:AS11)</f>
        <v>0</v>
      </c>
      <c r="CP11" s="32">
        <f>SUM(AT11:AW11)</f>
        <v>0</v>
      </c>
      <c r="CQ11" s="32">
        <f>SUM(AX11:BA11)</f>
        <v>0</v>
      </c>
      <c r="CR11" s="32">
        <f>SUM(BB11:BE11)</f>
        <v>0</v>
      </c>
      <c r="CS11" s="33">
        <f>SUM(BF11:BI11)</f>
        <v>0</v>
      </c>
      <c r="CT11" s="32"/>
    </row>
    <row r="12" spans="1:117" ht="14.25" hidden="1" customHeight="1" outlineLevel="1">
      <c r="A12" s="8"/>
      <c r="B12" s="35" t="s">
        <v>295</v>
      </c>
      <c r="C12" s="36"/>
      <c r="D12" s="37"/>
      <c r="E12" s="37">
        <f t="shared" ref="E12:AD12" si="8">E10/D10-1</f>
        <v>5.0519341185347511E-2</v>
      </c>
      <c r="F12" s="37">
        <f t="shared" si="8"/>
        <v>7.3285149937152072E-2</v>
      </c>
      <c r="G12" s="38">
        <f t="shared" si="8"/>
        <v>6.4809586548716602E-2</v>
      </c>
      <c r="H12" s="37">
        <f t="shared" si="8"/>
        <v>-1.2599182968025424E-2</v>
      </c>
      <c r="I12" s="37">
        <f t="shared" si="8"/>
        <v>-1.0526211101055227E-2</v>
      </c>
      <c r="J12" s="37">
        <f t="shared" si="8"/>
        <v>-4.2007988694409359E-2</v>
      </c>
      <c r="K12" s="38">
        <f t="shared" si="8"/>
        <v>0.11711949907251196</v>
      </c>
      <c r="L12" s="37">
        <f t="shared" si="8"/>
        <v>-1.5569998309446387E-2</v>
      </c>
      <c r="M12" s="37">
        <f t="shared" si="8"/>
        <v>3.0422778158337938E-2</v>
      </c>
      <c r="N12" s="37">
        <f t="shared" si="8"/>
        <v>-9.7430674505809778E-2</v>
      </c>
      <c r="O12" s="38">
        <f t="shared" si="8"/>
        <v>2.8429863974887448E-2</v>
      </c>
      <c r="P12" s="37">
        <f t="shared" si="8"/>
        <v>-1.2568152302050439E-4</v>
      </c>
      <c r="Q12" s="37">
        <f t="shared" si="8"/>
        <v>-0.18062305967230907</v>
      </c>
      <c r="R12" s="37">
        <f t="shared" si="8"/>
        <v>-0.17291045230413338</v>
      </c>
      <c r="S12" s="38">
        <f t="shared" si="8"/>
        <v>0.16135309790528951</v>
      </c>
      <c r="T12" s="37">
        <f t="shared" si="8"/>
        <v>0.13885684879243287</v>
      </c>
      <c r="U12" s="37">
        <f t="shared" si="8"/>
        <v>5.4021627348935786E-2</v>
      </c>
      <c r="V12" s="37">
        <f t="shared" si="8"/>
        <v>7.468612398762442E-2</v>
      </c>
      <c r="W12" s="38">
        <f t="shared" si="8"/>
        <v>0.11217182832887906</v>
      </c>
      <c r="X12" s="37">
        <f t="shared" si="8"/>
        <v>0.10632692654277154</v>
      </c>
      <c r="Y12" s="37">
        <f t="shared" si="8"/>
        <v>-2.1086372195311176E-2</v>
      </c>
      <c r="Z12" s="37">
        <f t="shared" si="8"/>
        <v>-1.0051620397562022E-2</v>
      </c>
      <c r="AA12" s="38">
        <f t="shared" si="8"/>
        <v>3.2493098759836192E-2</v>
      </c>
      <c r="AB12" s="37">
        <f t="shared" si="8"/>
        <v>1.5181383292019124E-2</v>
      </c>
      <c r="AC12" s="37">
        <f t="shared" si="8"/>
        <v>-7.0193175493158733E-2</v>
      </c>
      <c r="AD12" s="37">
        <f t="shared" si="8"/>
        <v>-3.4068983477041903E-2</v>
      </c>
      <c r="AE12" s="38">
        <f t="shared" ref="AE12:BB12" si="9">IF(ISERROR(AE10/AD10-1),"",AE10/AD10-1)</f>
        <v>5.9074389193504384E-2</v>
      </c>
      <c r="AF12" s="37">
        <f t="shared" si="9"/>
        <v>2.9950938580657116E-2</v>
      </c>
      <c r="AG12" s="37">
        <f t="shared" si="9"/>
        <v>-2.8518236167395572E-2</v>
      </c>
      <c r="AH12" s="37">
        <f t="shared" si="9"/>
        <v>-6.9716804393149534E-4</v>
      </c>
      <c r="AI12" s="38">
        <f t="shared" si="9"/>
        <v>5.4721235807195789E-3</v>
      </c>
      <c r="AJ12" s="39">
        <f t="shared" si="9"/>
        <v>-3.7739602824098828E-2</v>
      </c>
      <c r="AK12" s="37">
        <f t="shared" si="9"/>
        <v>5.9860809478488486E-2</v>
      </c>
      <c r="AL12" s="37">
        <f t="shared" si="9"/>
        <v>-2.3526699490870051E-2</v>
      </c>
      <c r="AM12" s="38">
        <f t="shared" si="9"/>
        <v>6.0734941330502279E-2</v>
      </c>
      <c r="AN12" s="39">
        <f t="shared" si="9"/>
        <v>-9.6801859083812891E-2</v>
      </c>
      <c r="AO12" s="37">
        <f t="shared" si="9"/>
        <v>-2.3206238421438097E-2</v>
      </c>
      <c r="AP12" s="37">
        <f t="shared" si="9"/>
        <v>1.8443602695087824E-2</v>
      </c>
      <c r="AQ12" s="38">
        <f t="shared" si="9"/>
        <v>9.1015706878840863E-3</v>
      </c>
      <c r="AR12" s="39">
        <f t="shared" si="9"/>
        <v>-3.4345778749804823E-2</v>
      </c>
      <c r="AS12" s="37">
        <f t="shared" si="9"/>
        <v>-9.1872144495208974E-2</v>
      </c>
      <c r="AT12" s="37">
        <f t="shared" si="9"/>
        <v>8.6958309108100096E-2</v>
      </c>
      <c r="AU12" s="37">
        <f t="shared" ref="AU12:BC12" si="10">IF(ISERROR(AU10/AT10-1),"",AU10/AT10-1)</f>
        <v>1.9583900643311614E-2</v>
      </c>
      <c r="AV12" s="39">
        <f t="shared" si="9"/>
        <v>-8.3550305055765106E-3</v>
      </c>
      <c r="AW12" s="37">
        <f t="shared" si="9"/>
        <v>-1.8521685227539719E-2</v>
      </c>
      <c r="AX12" s="37">
        <f t="shared" si="9"/>
        <v>5.4842304327783253E-2</v>
      </c>
      <c r="AY12" s="37">
        <f t="shared" si="10"/>
        <v>3.5768113747728814E-2</v>
      </c>
      <c r="AZ12" s="39">
        <f t="shared" si="9"/>
        <v>-4.373551714686752E-2</v>
      </c>
      <c r="BA12" s="37">
        <f t="shared" si="9"/>
        <v>8.1575400051417724E-2</v>
      </c>
      <c r="BB12" s="37">
        <f t="shared" si="9"/>
        <v>4.1696847440804374E-2</v>
      </c>
      <c r="BC12" s="38">
        <f t="shared" si="10"/>
        <v>-2.8850000000000042E-2</v>
      </c>
      <c r="BD12" s="39">
        <f t="shared" ref="BD12:BK12" si="11">IF(ISERROR(BD10/BC10-1),"",BD10/BC10-1)</f>
        <v>-2.458322607218244E-2</v>
      </c>
      <c r="BE12" s="37">
        <f t="shared" si="11"/>
        <v>1.8728860437720041E-3</v>
      </c>
      <c r="BF12" s="37">
        <f t="shared" si="11"/>
        <v>5.2279440578344882E-2</v>
      </c>
      <c r="BG12" s="38">
        <f t="shared" si="11"/>
        <v>1.0575402932051281E-2</v>
      </c>
      <c r="BH12" s="39">
        <f t="shared" si="11"/>
        <v>-1.6046356795956007E-2</v>
      </c>
      <c r="BI12" s="37">
        <f t="shared" si="11"/>
        <v>-7.6810701828322614E-4</v>
      </c>
      <c r="BJ12" s="37">
        <f t="shared" si="11"/>
        <v>4.0677341861336647E-2</v>
      </c>
      <c r="BK12" s="38">
        <f t="shared" si="11"/>
        <v>2.658646720764124E-2</v>
      </c>
      <c r="BL12" s="2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1"/>
      <c r="CB12" s="1247"/>
      <c r="CC12" s="40"/>
      <c r="CD12" s="40"/>
      <c r="CE12" s="260"/>
      <c r="CF12" s="39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8"/>
      <c r="CT12" s="37"/>
    </row>
    <row r="13" spans="1:117" ht="14.25" hidden="1" customHeight="1" outlineLevel="1">
      <c r="A13" s="8"/>
      <c r="B13" s="35" t="s">
        <v>296</v>
      </c>
      <c r="C13" s="36"/>
      <c r="D13" s="37"/>
      <c r="E13" s="37"/>
      <c r="F13" s="37"/>
      <c r="G13" s="38"/>
      <c r="H13" s="37">
        <f t="shared" ref="H13:BB13" si="12">IF(ISERROR(H10/D10-1),"",H10/D10-1)</f>
        <v>0.18545373088576844</v>
      </c>
      <c r="I13" s="37">
        <f t="shared" si="12"/>
        <v>0.11656715747890112</v>
      </c>
      <c r="J13" s="37">
        <f t="shared" si="12"/>
        <v>-3.3753685927599975E-3</v>
      </c>
      <c r="K13" s="38">
        <f t="shared" si="12"/>
        <v>4.5584884908477008E-2</v>
      </c>
      <c r="L13" s="37">
        <f t="shared" si="12"/>
        <v>4.2439009836000352E-2</v>
      </c>
      <c r="M13" s="37">
        <f t="shared" si="12"/>
        <v>8.5579944235937955E-2</v>
      </c>
      <c r="N13" s="37">
        <f t="shared" si="12"/>
        <v>2.2775917205952734E-2</v>
      </c>
      <c r="O13" s="38">
        <f t="shared" si="12"/>
        <v>-5.8423652722730535E-2</v>
      </c>
      <c r="P13" s="37">
        <f t="shared" si="12"/>
        <v>-4.3651649267956727E-2</v>
      </c>
      <c r="Q13" s="37">
        <f t="shared" si="12"/>
        <v>-0.23952594787278358</v>
      </c>
      <c r="R13" s="37">
        <f t="shared" si="12"/>
        <v>-0.30312262776717758</v>
      </c>
      <c r="S13" s="38">
        <f t="shared" si="12"/>
        <v>-0.21305212591293621</v>
      </c>
      <c r="T13" s="37">
        <f t="shared" si="12"/>
        <v>-0.1036663713777225</v>
      </c>
      <c r="U13" s="37">
        <f t="shared" si="12"/>
        <v>0.15301637547939362</v>
      </c>
      <c r="V13" s="37">
        <f t="shared" si="12"/>
        <v>0.49818203229652736</v>
      </c>
      <c r="W13" s="38">
        <f t="shared" si="12"/>
        <v>0.43473664730740591</v>
      </c>
      <c r="X13" s="37">
        <f t="shared" si="12"/>
        <v>0.39375531446022904</v>
      </c>
      <c r="Y13" s="37">
        <f t="shared" si="12"/>
        <v>0.29443840216255035</v>
      </c>
      <c r="Z13" s="37">
        <f t="shared" si="12"/>
        <v>0.1923734475711365</v>
      </c>
      <c r="AA13" s="38">
        <f t="shared" si="12"/>
        <v>0.106948876426332</v>
      </c>
      <c r="AB13" s="37">
        <f t="shared" si="12"/>
        <v>1.5752093385015042E-2</v>
      </c>
      <c r="AC13" s="37">
        <f t="shared" si="12"/>
        <v>-3.5202696529490818E-2</v>
      </c>
      <c r="AD13" s="37">
        <f t="shared" si="12"/>
        <v>-5.8609863623254044E-2</v>
      </c>
      <c r="AE13" s="38">
        <f t="shared" si="12"/>
        <v>-3.4373997391821454E-2</v>
      </c>
      <c r="AF13" s="37">
        <f t="shared" si="12"/>
        <v>-2.0325407781736415E-2</v>
      </c>
      <c r="AG13" s="37">
        <f t="shared" si="12"/>
        <v>2.3584658388559276E-2</v>
      </c>
      <c r="AH13" s="37">
        <f t="shared" si="12"/>
        <v>5.8948341421398709E-2</v>
      </c>
      <c r="AI13" s="38">
        <f t="shared" si="12"/>
        <v>5.3524553851849177E-3</v>
      </c>
      <c r="AJ13" s="39">
        <f t="shared" si="12"/>
        <v>-6.0721421979697543E-2</v>
      </c>
      <c r="AK13" s="37">
        <f t="shared" si="12"/>
        <v>2.4727988818878277E-2</v>
      </c>
      <c r="AL13" s="37">
        <f t="shared" si="12"/>
        <v>1.3176080041794602E-3</v>
      </c>
      <c r="AM13" s="38">
        <f t="shared" si="12"/>
        <v>5.6352085025501708E-2</v>
      </c>
      <c r="AN13" s="39">
        <f t="shared" si="12"/>
        <v>-8.4853931969907093E-3</v>
      </c>
      <c r="AO13" s="37">
        <f t="shared" si="12"/>
        <v>-8.6195777994886202E-2</v>
      </c>
      <c r="AP13" s="37">
        <f t="shared" si="12"/>
        <v>-4.6919087770625145E-2</v>
      </c>
      <c r="AQ13" s="38">
        <f t="shared" si="12"/>
        <v>-9.3312185684245152E-2</v>
      </c>
      <c r="AR13" s="39">
        <f t="shared" si="12"/>
        <v>-3.061479470940498E-2</v>
      </c>
      <c r="AS13" s="37">
        <f t="shared" si="12"/>
        <v>-9.8759899719305766E-2</v>
      </c>
      <c r="AT13" s="37">
        <f t="shared" si="12"/>
        <v>-3.8129933842979802E-2</v>
      </c>
      <c r="AU13" s="37">
        <f t="shared" ref="AU13:BC13" si="13">IF(ISERROR(AU10/AQ10-1),"",AU10/AQ10-1)</f>
        <v>-2.8138234592295253E-2</v>
      </c>
      <c r="AV13" s="39">
        <f t="shared" si="12"/>
        <v>-1.980409237169134E-3</v>
      </c>
      <c r="AW13" s="37">
        <f t="shared" si="12"/>
        <v>7.8630701738931386E-2</v>
      </c>
      <c r="AX13" s="37">
        <f t="shared" si="12"/>
        <v>4.6760750073840507E-2</v>
      </c>
      <c r="AY13" s="37">
        <f t="shared" si="13"/>
        <v>6.3376350847691221E-2</v>
      </c>
      <c r="AZ13" s="39">
        <f t="shared" si="12"/>
        <v>2.5436590214394261E-2</v>
      </c>
      <c r="BA13" s="37">
        <f t="shared" si="12"/>
        <v>0.13001680586862374</v>
      </c>
      <c r="BB13" s="37">
        <f t="shared" si="12"/>
        <v>0.11593452348180366</v>
      </c>
      <c r="BC13" s="38">
        <f t="shared" si="13"/>
        <v>4.6315095140405882E-2</v>
      </c>
      <c r="BD13" s="39">
        <f t="shared" ref="BD13:BK13" si="14">IF(ISERROR(BD10/AZ10-1),"",BD10/AZ10-1)</f>
        <v>6.7270941161347686E-2</v>
      </c>
      <c r="BE13" s="37">
        <f t="shared" si="14"/>
        <v>-1.1377461098745933E-2</v>
      </c>
      <c r="BF13" s="37">
        <f t="shared" si="14"/>
        <v>-1.3340495999999424E-3</v>
      </c>
      <c r="BG13" s="38">
        <f t="shared" si="14"/>
        <v>3.9208407784585342E-2</v>
      </c>
      <c r="BH13" s="39">
        <f t="shared" si="14"/>
        <v>4.8303582857583294E-2</v>
      </c>
      <c r="BI13" s="37">
        <f t="shared" si="14"/>
        <v>4.5540195877237899E-2</v>
      </c>
      <c r="BJ13" s="37">
        <f t="shared" si="14"/>
        <v>3.4012401930697544E-2</v>
      </c>
      <c r="BK13" s="38">
        <f t="shared" si="14"/>
        <v>5.0394790598614403E-2</v>
      </c>
      <c r="BL13" s="20"/>
      <c r="BM13" s="37"/>
      <c r="BN13" s="37">
        <f t="shared" ref="BN13:CA13" si="15">BN10/BM10-1</f>
        <v>8.1951269423703899E-2</v>
      </c>
      <c r="BO13" s="37">
        <f t="shared" si="15"/>
        <v>2.1730366069988793E-2</v>
      </c>
      <c r="BP13" s="37">
        <f t="shared" si="15"/>
        <v>-0.19815440794277794</v>
      </c>
      <c r="BQ13" s="37">
        <f t="shared" si="15"/>
        <v>0.21359951154758594</v>
      </c>
      <c r="BR13" s="37">
        <f t="shared" si="15"/>
        <v>0.23765382811299318</v>
      </c>
      <c r="BS13" s="37">
        <f>BS10/BR10-1</f>
        <v>-2.7832730193771638E-2</v>
      </c>
      <c r="BT13" s="37">
        <f t="shared" si="15"/>
        <v>1.5780962077012628E-2</v>
      </c>
      <c r="BU13" s="37">
        <f t="shared" si="15"/>
        <v>4.998650397160187E-3</v>
      </c>
      <c r="BV13" s="37">
        <f t="shared" si="15"/>
        <v>-5.9828509457085399E-2</v>
      </c>
      <c r="BW13" s="37">
        <f t="shared" si="15"/>
        <v>-4.8613615713799962E-2</v>
      </c>
      <c r="BX13" s="37">
        <f t="shared" si="15"/>
        <v>4.5972172291760538E-2</v>
      </c>
      <c r="BY13" s="37">
        <f t="shared" si="15"/>
        <v>7.8926091199961856E-2</v>
      </c>
      <c r="BZ13" s="37">
        <f t="shared" si="15"/>
        <v>2.239739269571106E-2</v>
      </c>
      <c r="CA13" s="38">
        <f t="shared" si="15"/>
        <v>4.4516857910879892E-2</v>
      </c>
      <c r="CB13" s="1471"/>
      <c r="CC13" s="1419"/>
      <c r="CD13" s="1419"/>
      <c r="CE13" s="260"/>
      <c r="CF13" s="39"/>
      <c r="CG13" s="37">
        <f t="shared" ref="CG13:CS13" si="16">CG10/CF10-1</f>
        <v>4.3020274431354144E-2</v>
      </c>
      <c r="CH13" s="37">
        <f t="shared" si="16"/>
        <v>-8.3199873422118098E-2</v>
      </c>
      <c r="CI13" s="37">
        <f t="shared" si="16"/>
        <v>-0.12820406239016369</v>
      </c>
      <c r="CJ13" s="37">
        <f t="shared" si="16"/>
        <v>0.39653641717016841</v>
      </c>
      <c r="CK13" s="37">
        <f t="shared" si="16"/>
        <v>6.340331135472832E-2</v>
      </c>
      <c r="CL13" s="37">
        <f t="shared" si="16"/>
        <v>-2.2790126256437726E-2</v>
      </c>
      <c r="CM13" s="37">
        <f t="shared" si="16"/>
        <v>5.8405963030905284E-3</v>
      </c>
      <c r="CN13" s="37">
        <f t="shared" si="16"/>
        <v>-9.6589215299969222E-3</v>
      </c>
      <c r="CO13" s="37">
        <f t="shared" si="16"/>
        <v>-6.76807090085636E-2</v>
      </c>
      <c r="CP13" s="37">
        <f t="shared" si="16"/>
        <v>2.9152025349277189E-4</v>
      </c>
      <c r="CQ13" s="37">
        <f t="shared" si="16"/>
        <v>6.6149096684889885E-2</v>
      </c>
      <c r="CR13" s="37">
        <f t="shared" si="16"/>
        <v>5.328798871981677E-2</v>
      </c>
      <c r="CS13" s="38">
        <f t="shared" si="16"/>
        <v>3.2506974858265147E-2</v>
      </c>
      <c r="CT13" s="37"/>
    </row>
    <row r="14" spans="1:117" ht="14.25" hidden="1" customHeight="1" outlineLevel="1">
      <c r="A14" s="8"/>
      <c r="B14" s="365" t="s">
        <v>74</v>
      </c>
      <c r="C14" s="24"/>
      <c r="D14" s="30">
        <v>424.09500000000003</v>
      </c>
      <c r="E14" s="30">
        <v>445.52</v>
      </c>
      <c r="F14" s="30">
        <v>478.17</v>
      </c>
      <c r="G14" s="31">
        <v>509.16</v>
      </c>
      <c r="H14" s="30">
        <v>502.745</v>
      </c>
      <c r="I14" s="30">
        <v>497.45299999999997</v>
      </c>
      <c r="J14" s="30">
        <v>476.55599999999998</v>
      </c>
      <c r="K14" s="31">
        <v>532.37</v>
      </c>
      <c r="L14" s="30">
        <v>524.08100000000002</v>
      </c>
      <c r="M14" s="30">
        <v>540.02499999999998</v>
      </c>
      <c r="N14" s="30">
        <v>487.41</v>
      </c>
      <c r="O14" s="31">
        <v>501.26699999999994</v>
      </c>
      <c r="P14" s="30">
        <v>501.20400000000001</v>
      </c>
      <c r="Q14" s="30">
        <v>410.67500000000001</v>
      </c>
      <c r="R14" s="30">
        <v>339.66500000000002</v>
      </c>
      <c r="S14" s="31">
        <v>394.47100000000017</v>
      </c>
      <c r="T14" s="30">
        <v>449.24599999999998</v>
      </c>
      <c r="U14" s="30">
        <v>473.51499999999999</v>
      </c>
      <c r="V14" s="30">
        <v>508.88</v>
      </c>
      <c r="W14" s="31">
        <v>565.96199999999999</v>
      </c>
      <c r="X14" s="30">
        <v>626.13900000000001</v>
      </c>
      <c r="Y14" s="30">
        <v>612.93600000000004</v>
      </c>
      <c r="Z14" s="30">
        <v>606.77499999999998</v>
      </c>
      <c r="AA14" s="31">
        <v>626.49099999999964</v>
      </c>
      <c r="AB14" s="30">
        <v>636.00199999999995</v>
      </c>
      <c r="AC14" s="30">
        <v>591.35900000000004</v>
      </c>
      <c r="AD14" s="30">
        <v>571.21199999999999</v>
      </c>
      <c r="AE14" s="31">
        <v>604.95600000000002</v>
      </c>
      <c r="AF14" s="30">
        <v>623.07500000000005</v>
      </c>
      <c r="AG14" s="30">
        <v>605.30600000000004</v>
      </c>
      <c r="AH14" s="30">
        <v>604.88400000000001</v>
      </c>
      <c r="AI14" s="31">
        <v>608.19399999999996</v>
      </c>
      <c r="AJ14" s="30">
        <v>585.24099999999999</v>
      </c>
      <c r="AK14" s="30">
        <v>620.274</v>
      </c>
      <c r="AL14" s="30">
        <v>605.68100000000004</v>
      </c>
      <c r="AM14" s="31">
        <v>642.46699999999998</v>
      </c>
      <c r="AN14" s="1350" t="s">
        <v>656</v>
      </c>
      <c r="AO14" s="1329" t="s">
        <v>656</v>
      </c>
      <c r="AP14" s="1343" t="s">
        <v>656</v>
      </c>
      <c r="AQ14" s="31">
        <v>642.46699999999998</v>
      </c>
      <c r="AR14" s="1350" t="s">
        <v>656</v>
      </c>
      <c r="AS14" s="1329" t="s">
        <v>656</v>
      </c>
      <c r="AT14" s="1363" t="s">
        <v>656</v>
      </c>
      <c r="AU14" s="1329" t="s">
        <v>656</v>
      </c>
      <c r="AV14" s="1350" t="s">
        <v>656</v>
      </c>
      <c r="AW14" s="1329" t="s">
        <v>656</v>
      </c>
      <c r="AX14" s="1329" t="s">
        <v>656</v>
      </c>
      <c r="AY14" s="1329" t="s">
        <v>656</v>
      </c>
      <c r="AZ14" s="1350" t="s">
        <v>656</v>
      </c>
      <c r="BA14" s="1329" t="s">
        <v>656</v>
      </c>
      <c r="BB14" s="1329" t="s">
        <v>656</v>
      </c>
      <c r="BC14" s="1331" t="s">
        <v>656</v>
      </c>
      <c r="BD14" s="1330" t="s">
        <v>656</v>
      </c>
      <c r="BE14" s="1329" t="s">
        <v>656</v>
      </c>
      <c r="BF14" s="1329" t="s">
        <v>656</v>
      </c>
      <c r="BG14" s="1331" t="s">
        <v>656</v>
      </c>
      <c r="BH14" s="1330" t="s">
        <v>656</v>
      </c>
      <c r="BI14" s="1329" t="s">
        <v>656</v>
      </c>
      <c r="BJ14" s="1329" t="s">
        <v>656</v>
      </c>
      <c r="BK14" s="1331" t="s">
        <v>656</v>
      </c>
      <c r="BL14" s="20"/>
      <c r="BM14" s="32">
        <f>SUM(D14:G14)</f>
        <v>1856.9450000000002</v>
      </c>
      <c r="BN14" s="32">
        <f>SUM(H14:K14)</f>
        <v>2009.1239999999998</v>
      </c>
      <c r="BO14" s="32">
        <f>SUM(L14:O14)</f>
        <v>2052.7829999999999</v>
      </c>
      <c r="BP14" s="32">
        <f>SUM(P14:S14)</f>
        <v>1646.0150000000003</v>
      </c>
      <c r="BQ14" s="32">
        <f>SUM(T14:W14)</f>
        <v>1997.6030000000001</v>
      </c>
      <c r="BR14" s="32">
        <f>SUM(X14:AA14)</f>
        <v>2472.3409999999994</v>
      </c>
      <c r="BS14" s="32" t="s">
        <v>656</v>
      </c>
      <c r="BT14" s="32" t="s">
        <v>656</v>
      </c>
      <c r="BU14" s="32" t="s">
        <v>656</v>
      </c>
      <c r="BV14" s="32" t="s">
        <v>656</v>
      </c>
      <c r="BW14" s="32" t="s">
        <v>656</v>
      </c>
      <c r="BX14" s="32" t="s">
        <v>656</v>
      </c>
      <c r="BY14" s="32" t="s">
        <v>656</v>
      </c>
      <c r="BZ14" s="32" t="s">
        <v>656</v>
      </c>
      <c r="CA14" s="1331" t="s">
        <v>656</v>
      </c>
      <c r="CB14" s="1330"/>
      <c r="CC14" s="1329"/>
      <c r="CD14" s="1329"/>
      <c r="CE14" s="260"/>
      <c r="CF14" s="34">
        <f>SUM(F14:I14)</f>
        <v>1987.528</v>
      </c>
      <c r="CG14" s="32">
        <f>SUM(J14:M14)</f>
        <v>2073.0320000000002</v>
      </c>
      <c r="CH14" s="32">
        <f>SUM(N14:Q14)</f>
        <v>1900.5559999999998</v>
      </c>
      <c r="CI14" s="32">
        <f>SUM(R14:U14)</f>
        <v>1656.8969999999999</v>
      </c>
      <c r="CJ14" s="32">
        <f>SUM(V14:Y14)</f>
        <v>2313.9170000000004</v>
      </c>
      <c r="CK14" s="32">
        <f>SUM(Z14:AC14)</f>
        <v>2460.6269999999995</v>
      </c>
      <c r="CL14" s="32">
        <f>SUM(AD14:AG14)</f>
        <v>2404.549</v>
      </c>
      <c r="CM14" s="32">
        <f>SUM(AH14:AK14)</f>
        <v>2418.5929999999998</v>
      </c>
      <c r="CN14" s="32">
        <f>SUM(AL14:AO14)</f>
        <v>1248.1480000000001</v>
      </c>
      <c r="CO14" s="32">
        <f>SUM(AP14:AS14)</f>
        <v>642.46699999999998</v>
      </c>
      <c r="CP14" s="32">
        <f>SUM(AT14:AW14)</f>
        <v>0</v>
      </c>
      <c r="CQ14" s="32">
        <f>SUM(AX14:BA14)</f>
        <v>0</v>
      </c>
      <c r="CR14" s="32">
        <f>SUM(BB14:BE14)</f>
        <v>0</v>
      </c>
      <c r="CS14" s="33">
        <f>SUM(BF14:BI14)</f>
        <v>0</v>
      </c>
      <c r="CT14" s="32"/>
    </row>
    <row r="15" spans="1:117" ht="14.25" hidden="1" customHeight="1" outlineLevel="1">
      <c r="A15" s="8"/>
      <c r="B15" s="35" t="s">
        <v>295</v>
      </c>
      <c r="C15" s="36"/>
      <c r="D15" s="37"/>
      <c r="E15" s="37">
        <f t="shared" ref="E15:BB15" si="17">IF(ISERROR(E14/D14-1),"",E14/D14-1)</f>
        <v>5.0519341185347511E-2</v>
      </c>
      <c r="F15" s="37">
        <f t="shared" si="17"/>
        <v>7.3285149937152072E-2</v>
      </c>
      <c r="G15" s="38">
        <f t="shared" si="17"/>
        <v>6.4809586548717046E-2</v>
      </c>
      <c r="H15" s="37">
        <f t="shared" si="17"/>
        <v>-1.2599182968025757E-2</v>
      </c>
      <c r="I15" s="37">
        <f t="shared" si="17"/>
        <v>-1.0526211101055227E-2</v>
      </c>
      <c r="J15" s="37">
        <f t="shared" si="17"/>
        <v>-4.2007988694409359E-2</v>
      </c>
      <c r="K15" s="38">
        <f t="shared" si="17"/>
        <v>0.11711949907251196</v>
      </c>
      <c r="L15" s="37">
        <f t="shared" si="17"/>
        <v>-1.5569998309446387E-2</v>
      </c>
      <c r="M15" s="37">
        <f t="shared" si="17"/>
        <v>3.0422778158337938E-2</v>
      </c>
      <c r="N15" s="37">
        <f t="shared" si="17"/>
        <v>-9.7430674505809778E-2</v>
      </c>
      <c r="O15" s="38">
        <f t="shared" si="17"/>
        <v>2.8429863974887448E-2</v>
      </c>
      <c r="P15" s="37">
        <f t="shared" si="17"/>
        <v>-1.2568152302050439E-4</v>
      </c>
      <c r="Q15" s="37">
        <f t="shared" si="17"/>
        <v>-0.18062305967230907</v>
      </c>
      <c r="R15" s="37">
        <f t="shared" si="17"/>
        <v>-0.17291045230413338</v>
      </c>
      <c r="S15" s="38">
        <f t="shared" si="17"/>
        <v>0.16135309790528951</v>
      </c>
      <c r="T15" s="37">
        <f t="shared" si="17"/>
        <v>0.13885684879243287</v>
      </c>
      <c r="U15" s="37">
        <f t="shared" si="17"/>
        <v>5.4021627348935786E-2</v>
      </c>
      <c r="V15" s="37">
        <f t="shared" si="17"/>
        <v>7.468612398762442E-2</v>
      </c>
      <c r="W15" s="38">
        <f t="shared" si="17"/>
        <v>0.11217182832887906</v>
      </c>
      <c r="X15" s="37">
        <f t="shared" si="17"/>
        <v>0.10632692654277154</v>
      </c>
      <c r="Y15" s="37">
        <f t="shared" si="17"/>
        <v>-2.1086372195311176E-2</v>
      </c>
      <c r="Z15" s="37">
        <f t="shared" si="17"/>
        <v>-1.0051620397562022E-2</v>
      </c>
      <c r="AA15" s="38">
        <f t="shared" si="17"/>
        <v>3.2493098759836192E-2</v>
      </c>
      <c r="AB15" s="37">
        <f t="shared" si="17"/>
        <v>1.5181383292019124E-2</v>
      </c>
      <c r="AC15" s="37">
        <f t="shared" si="17"/>
        <v>-7.0193175493158733E-2</v>
      </c>
      <c r="AD15" s="37">
        <f t="shared" si="17"/>
        <v>-3.4068983477041903E-2</v>
      </c>
      <c r="AE15" s="38">
        <f t="shared" si="17"/>
        <v>5.9074389193504384E-2</v>
      </c>
      <c r="AF15" s="37">
        <f>IF(ISERROR(AF14/AE14-1),"",AF14/AE14-1)</f>
        <v>2.9950938580657116E-2</v>
      </c>
      <c r="AG15" s="37">
        <f t="shared" si="17"/>
        <v>-2.8518236167395572E-2</v>
      </c>
      <c r="AH15" s="37">
        <f t="shared" si="17"/>
        <v>-6.9716804393149534E-4</v>
      </c>
      <c r="AI15" s="38">
        <f t="shared" si="17"/>
        <v>5.4721235807195789E-3</v>
      </c>
      <c r="AJ15" s="1280">
        <f t="shared" si="17"/>
        <v>-3.7739602824098828E-2</v>
      </c>
      <c r="AK15" s="37">
        <f t="shared" si="17"/>
        <v>5.9860809478488486E-2</v>
      </c>
      <c r="AL15" s="37">
        <f t="shared" si="17"/>
        <v>-2.3526699490870051E-2</v>
      </c>
      <c r="AM15" s="38">
        <f t="shared" si="17"/>
        <v>6.0734941330502279E-2</v>
      </c>
      <c r="AN15" s="1351" t="str">
        <f t="shared" si="17"/>
        <v/>
      </c>
      <c r="AO15" s="37" t="str">
        <f t="shared" si="17"/>
        <v/>
      </c>
      <c r="AP15" s="37" t="str">
        <f t="shared" si="17"/>
        <v/>
      </c>
      <c r="AQ15" s="38" t="str">
        <f t="shared" si="17"/>
        <v/>
      </c>
      <c r="AR15" s="1351" t="str">
        <f t="shared" si="17"/>
        <v/>
      </c>
      <c r="AS15" s="37" t="str">
        <f t="shared" si="17"/>
        <v/>
      </c>
      <c r="AT15" s="37" t="str">
        <f t="shared" si="17"/>
        <v/>
      </c>
      <c r="AU15" s="37" t="str">
        <f t="shared" ref="AU15:BC15" si="18">IF(ISERROR(AU14/AT14-1),"",AU14/AT14-1)</f>
        <v/>
      </c>
      <c r="AV15" s="1351" t="str">
        <f t="shared" si="17"/>
        <v/>
      </c>
      <c r="AW15" s="37" t="str">
        <f t="shared" si="17"/>
        <v/>
      </c>
      <c r="AX15" s="37" t="str">
        <f t="shared" si="17"/>
        <v/>
      </c>
      <c r="AY15" s="37" t="str">
        <f t="shared" si="18"/>
        <v/>
      </c>
      <c r="AZ15" s="1351" t="str">
        <f t="shared" si="17"/>
        <v/>
      </c>
      <c r="BA15" s="37" t="str">
        <f t="shared" si="17"/>
        <v/>
      </c>
      <c r="BB15" s="37" t="str">
        <f t="shared" si="17"/>
        <v/>
      </c>
      <c r="BC15" s="38" t="str">
        <f t="shared" si="18"/>
        <v/>
      </c>
      <c r="BD15" s="39" t="str">
        <f t="shared" ref="BD15:BK15" si="19">IF(ISERROR(BD14/BC14-1),"",BD14/BC14-1)</f>
        <v/>
      </c>
      <c r="BE15" s="37" t="str">
        <f t="shared" si="19"/>
        <v/>
      </c>
      <c r="BF15" s="37" t="str">
        <f t="shared" si="19"/>
        <v/>
      </c>
      <c r="BG15" s="38" t="str">
        <f t="shared" si="19"/>
        <v/>
      </c>
      <c r="BH15" s="39" t="str">
        <f t="shared" si="19"/>
        <v/>
      </c>
      <c r="BI15" s="37" t="str">
        <f t="shared" si="19"/>
        <v/>
      </c>
      <c r="BJ15" s="37" t="str">
        <f t="shared" si="19"/>
        <v/>
      </c>
      <c r="BK15" s="38" t="str">
        <f t="shared" si="19"/>
        <v/>
      </c>
      <c r="BL15" s="2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1"/>
      <c r="CB15" s="1247"/>
      <c r="CC15" s="40"/>
      <c r="CD15" s="40"/>
      <c r="CE15" s="260"/>
      <c r="CF15" s="39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8"/>
      <c r="CT15" s="37"/>
    </row>
    <row r="16" spans="1:117" ht="14.25" hidden="1" customHeight="1" outlineLevel="1">
      <c r="A16" s="8"/>
      <c r="B16" s="35" t="s">
        <v>296</v>
      </c>
      <c r="C16" s="36"/>
      <c r="D16" s="37"/>
      <c r="E16" s="37"/>
      <c r="F16" s="37"/>
      <c r="G16" s="38"/>
      <c r="H16" s="37">
        <f t="shared" ref="H16:BB16" si="20">IF(ISERROR(H14/D14-1),"",H14/D14-1)</f>
        <v>0.18545373088576844</v>
      </c>
      <c r="I16" s="37">
        <f t="shared" si="20"/>
        <v>0.11656715747890112</v>
      </c>
      <c r="J16" s="37">
        <f t="shared" si="20"/>
        <v>-3.3753685927599975E-3</v>
      </c>
      <c r="K16" s="38">
        <f t="shared" si="20"/>
        <v>4.5584884908476564E-2</v>
      </c>
      <c r="L16" s="37">
        <f t="shared" si="20"/>
        <v>4.2439009836000352E-2</v>
      </c>
      <c r="M16" s="37">
        <f t="shared" si="20"/>
        <v>8.5579944235937955E-2</v>
      </c>
      <c r="N16" s="37">
        <f t="shared" si="20"/>
        <v>2.2775917205952734E-2</v>
      </c>
      <c r="O16" s="38">
        <f t="shared" si="20"/>
        <v>-5.8423652722730535E-2</v>
      </c>
      <c r="P16" s="37">
        <f t="shared" si="20"/>
        <v>-4.3651649267956727E-2</v>
      </c>
      <c r="Q16" s="37">
        <f t="shared" si="20"/>
        <v>-0.23952594787278358</v>
      </c>
      <c r="R16" s="37">
        <f t="shared" si="20"/>
        <v>-0.30312262776717758</v>
      </c>
      <c r="S16" s="38">
        <f t="shared" si="20"/>
        <v>-0.21305212591293621</v>
      </c>
      <c r="T16" s="37">
        <f t="shared" si="20"/>
        <v>-0.1036663713777225</v>
      </c>
      <c r="U16" s="37">
        <f t="shared" si="20"/>
        <v>0.15301637547939362</v>
      </c>
      <c r="V16" s="37">
        <f t="shared" si="20"/>
        <v>0.49818203229652736</v>
      </c>
      <c r="W16" s="38">
        <f t="shared" si="20"/>
        <v>0.43473664730740591</v>
      </c>
      <c r="X16" s="37">
        <f t="shared" si="20"/>
        <v>0.39375531446022904</v>
      </c>
      <c r="Y16" s="37">
        <f t="shared" si="20"/>
        <v>0.29443840216255035</v>
      </c>
      <c r="Z16" s="37">
        <f t="shared" si="20"/>
        <v>0.1923734475711365</v>
      </c>
      <c r="AA16" s="38">
        <f t="shared" si="20"/>
        <v>0.106948876426332</v>
      </c>
      <c r="AB16" s="37">
        <f t="shared" si="20"/>
        <v>1.5752093385015042E-2</v>
      </c>
      <c r="AC16" s="37">
        <f t="shared" si="20"/>
        <v>-3.5202696529490818E-2</v>
      </c>
      <c r="AD16" s="37">
        <f t="shared" si="20"/>
        <v>-5.8609863623254044E-2</v>
      </c>
      <c r="AE16" s="38">
        <f t="shared" si="20"/>
        <v>-3.4373997391821454E-2</v>
      </c>
      <c r="AF16" s="37">
        <f t="shared" si="20"/>
        <v>-2.0325407781736415E-2</v>
      </c>
      <c r="AG16" s="37">
        <f t="shared" si="20"/>
        <v>2.3584658388559276E-2</v>
      </c>
      <c r="AH16" s="37">
        <f t="shared" si="20"/>
        <v>5.8948341421398709E-2</v>
      </c>
      <c r="AI16" s="38">
        <f t="shared" si="20"/>
        <v>5.3524553851849177E-3</v>
      </c>
      <c r="AJ16" s="37">
        <f t="shared" si="20"/>
        <v>-6.0721421979697543E-2</v>
      </c>
      <c r="AK16" s="37">
        <f t="shared" si="20"/>
        <v>2.4727988818878277E-2</v>
      </c>
      <c r="AL16" s="37">
        <f t="shared" si="20"/>
        <v>1.3176080041794602E-3</v>
      </c>
      <c r="AM16" s="38">
        <f t="shared" si="20"/>
        <v>5.6352085025501708E-2</v>
      </c>
      <c r="AN16" s="39" t="str">
        <f t="shared" si="20"/>
        <v/>
      </c>
      <c r="AO16" s="37" t="str">
        <f t="shared" si="20"/>
        <v/>
      </c>
      <c r="AP16" s="37" t="str">
        <f t="shared" si="20"/>
        <v/>
      </c>
      <c r="AQ16" s="38">
        <f t="shared" si="20"/>
        <v>0</v>
      </c>
      <c r="AR16" s="39" t="str">
        <f t="shared" si="20"/>
        <v/>
      </c>
      <c r="AS16" s="37" t="str">
        <f t="shared" si="20"/>
        <v/>
      </c>
      <c r="AT16" s="37" t="str">
        <f t="shared" si="20"/>
        <v/>
      </c>
      <c r="AU16" s="37" t="str">
        <f t="shared" ref="AU16:BC16" si="21">IF(ISERROR(AU14/AQ14-1),"",AU14/AQ14-1)</f>
        <v/>
      </c>
      <c r="AV16" s="39" t="str">
        <f t="shared" si="20"/>
        <v/>
      </c>
      <c r="AW16" s="37" t="str">
        <f t="shared" si="20"/>
        <v/>
      </c>
      <c r="AX16" s="37" t="str">
        <f t="shared" si="20"/>
        <v/>
      </c>
      <c r="AY16" s="37" t="str">
        <f t="shared" si="21"/>
        <v/>
      </c>
      <c r="AZ16" s="39" t="str">
        <f t="shared" si="20"/>
        <v/>
      </c>
      <c r="BA16" s="37" t="str">
        <f t="shared" si="20"/>
        <v/>
      </c>
      <c r="BB16" s="37" t="str">
        <f t="shared" si="20"/>
        <v/>
      </c>
      <c r="BC16" s="38" t="str">
        <f t="shared" si="21"/>
        <v/>
      </c>
      <c r="BD16" s="39" t="str">
        <f t="shared" ref="BD16:BK16" si="22">IF(ISERROR(BD14/AZ14-1),"",BD14/AZ14-1)</f>
        <v/>
      </c>
      <c r="BE16" s="37" t="str">
        <f t="shared" si="22"/>
        <v/>
      </c>
      <c r="BF16" s="37" t="str">
        <f t="shared" si="22"/>
        <v/>
      </c>
      <c r="BG16" s="38" t="str">
        <f t="shared" si="22"/>
        <v/>
      </c>
      <c r="BH16" s="39" t="str">
        <f t="shared" si="22"/>
        <v/>
      </c>
      <c r="BI16" s="37" t="str">
        <f t="shared" si="22"/>
        <v/>
      </c>
      <c r="BJ16" s="37" t="str">
        <f t="shared" si="22"/>
        <v/>
      </c>
      <c r="BK16" s="38" t="str">
        <f t="shared" si="22"/>
        <v/>
      </c>
      <c r="BL16" s="20"/>
      <c r="BM16" s="37"/>
      <c r="BN16" s="37">
        <f>BN14/BM14-1</f>
        <v>8.1951269423703677E-2</v>
      </c>
      <c r="BO16" s="37">
        <f>BO14/BN14-1</f>
        <v>2.1730366069988793E-2</v>
      </c>
      <c r="BP16" s="37">
        <f t="shared" ref="BP16:CA16" si="23">IF(ISERROR(BP14/BO14-1),"",BP14/BO14-1)</f>
        <v>-0.19815440794277794</v>
      </c>
      <c r="BQ16" s="37">
        <f t="shared" si="23"/>
        <v>0.21359951154758594</v>
      </c>
      <c r="BR16" s="37">
        <f t="shared" si="23"/>
        <v>0.23765382811299318</v>
      </c>
      <c r="BS16" s="37" t="str">
        <f>IF(ISERROR(BS14/BR14-1),"",BS14/BR14-1)</f>
        <v/>
      </c>
      <c r="BT16" s="37" t="str">
        <f t="shared" si="23"/>
        <v/>
      </c>
      <c r="BU16" s="37" t="str">
        <f t="shared" si="23"/>
        <v/>
      </c>
      <c r="BV16" s="37" t="str">
        <f t="shared" si="23"/>
        <v/>
      </c>
      <c r="BW16" s="37" t="str">
        <f t="shared" si="23"/>
        <v/>
      </c>
      <c r="BX16" s="37" t="str">
        <f t="shared" si="23"/>
        <v/>
      </c>
      <c r="BY16" s="37" t="str">
        <f t="shared" si="23"/>
        <v/>
      </c>
      <c r="BZ16" s="37" t="str">
        <f t="shared" si="23"/>
        <v/>
      </c>
      <c r="CA16" s="38" t="str">
        <f t="shared" si="23"/>
        <v/>
      </c>
      <c r="CB16" s="1247"/>
      <c r="CC16" s="40"/>
      <c r="CD16" s="40"/>
      <c r="CE16" s="260"/>
      <c r="CF16" s="39"/>
      <c r="CG16" s="37">
        <f t="shared" ref="CG16:CO16" si="24">CG14/CF14-1</f>
        <v>4.3020274431353922E-2</v>
      </c>
      <c r="CH16" s="37">
        <f t="shared" si="24"/>
        <v>-8.3199873422118098E-2</v>
      </c>
      <c r="CI16" s="37">
        <f t="shared" si="24"/>
        <v>-0.12820406239016369</v>
      </c>
      <c r="CJ16" s="37">
        <f t="shared" si="24"/>
        <v>0.39653641717016841</v>
      </c>
      <c r="CK16" s="37">
        <f t="shared" si="24"/>
        <v>6.340331135472832E-2</v>
      </c>
      <c r="CL16" s="37">
        <f t="shared" si="24"/>
        <v>-2.2790126256437726E-2</v>
      </c>
      <c r="CM16" s="37">
        <f t="shared" si="24"/>
        <v>5.8405963030905284E-3</v>
      </c>
      <c r="CN16" s="37">
        <f t="shared" si="24"/>
        <v>-0.48393632165478018</v>
      </c>
      <c r="CO16" s="37">
        <f t="shared" si="24"/>
        <v>-0.48526376679688632</v>
      </c>
      <c r="CP16" s="37">
        <f>IFERROR(CP14/CO14-1," ")</f>
        <v>-1</v>
      </c>
      <c r="CQ16" s="37" t="str">
        <f>IFERROR(CQ14/CP14-1," ")</f>
        <v xml:space="preserve"> </v>
      </c>
      <c r="CR16" s="37" t="str">
        <f>IFERROR(CR14/CQ14-1," ")</f>
        <v xml:space="preserve"> </v>
      </c>
      <c r="CS16" s="38" t="str">
        <f>IFERROR(CS14/CR14-1," ")</f>
        <v xml:space="preserve"> </v>
      </c>
      <c r="CT16" s="37"/>
    </row>
    <row r="17" spans="1:104" ht="14.25" hidden="1" customHeight="1" outlineLevel="1">
      <c r="A17" s="8"/>
      <c r="B17" s="365" t="s">
        <v>294</v>
      </c>
      <c r="C17" s="24"/>
      <c r="D17" s="32">
        <f t="shared" ref="D17:W17" si="25">D10-D11</f>
        <v>424.09500000000003</v>
      </c>
      <c r="E17" s="32">
        <f t="shared" si="25"/>
        <v>445.52</v>
      </c>
      <c r="F17" s="32">
        <f t="shared" si="25"/>
        <v>478.17</v>
      </c>
      <c r="G17" s="33">
        <f t="shared" si="25"/>
        <v>509.15999999999985</v>
      </c>
      <c r="H17" s="32">
        <f t="shared" si="25"/>
        <v>502.745</v>
      </c>
      <c r="I17" s="32">
        <f t="shared" si="25"/>
        <v>497.45299999999997</v>
      </c>
      <c r="J17" s="32">
        <f t="shared" si="25"/>
        <v>476.55599999999998</v>
      </c>
      <c r="K17" s="33">
        <f t="shared" si="25"/>
        <v>532.37</v>
      </c>
      <c r="L17" s="32">
        <f t="shared" si="25"/>
        <v>524.08100000000002</v>
      </c>
      <c r="M17" s="32">
        <f t="shared" si="25"/>
        <v>540.02499999999998</v>
      </c>
      <c r="N17" s="32">
        <f t="shared" si="25"/>
        <v>487.41</v>
      </c>
      <c r="O17" s="33">
        <f t="shared" si="25"/>
        <v>501.26699999999994</v>
      </c>
      <c r="P17" s="32">
        <f t="shared" si="25"/>
        <v>501.20400000000001</v>
      </c>
      <c r="Q17" s="32">
        <f t="shared" si="25"/>
        <v>410.67500000000001</v>
      </c>
      <c r="R17" s="32">
        <f t="shared" si="25"/>
        <v>339.66500000000002</v>
      </c>
      <c r="S17" s="33">
        <f t="shared" si="25"/>
        <v>394.47100000000017</v>
      </c>
      <c r="T17" s="32">
        <f t="shared" si="25"/>
        <v>449.24599999999998</v>
      </c>
      <c r="U17" s="32">
        <f t="shared" si="25"/>
        <v>473.51499999999999</v>
      </c>
      <c r="V17" s="32">
        <f t="shared" si="25"/>
        <v>508.88</v>
      </c>
      <c r="W17" s="33">
        <f t="shared" si="25"/>
        <v>565.96199999999999</v>
      </c>
      <c r="X17" s="32">
        <f t="shared" ref="X17:AH17" si="26">X10-X11</f>
        <v>626.13900000000001</v>
      </c>
      <c r="Y17" s="32">
        <f t="shared" si="26"/>
        <v>612.93600000000004</v>
      </c>
      <c r="Z17" s="32">
        <f t="shared" si="26"/>
        <v>606.77499999999998</v>
      </c>
      <c r="AA17" s="33">
        <f t="shared" si="26"/>
        <v>626.49099999999964</v>
      </c>
      <c r="AB17" s="32">
        <f t="shared" si="26"/>
        <v>636.00199999999995</v>
      </c>
      <c r="AC17" s="32">
        <f t="shared" si="26"/>
        <v>591.35900000000004</v>
      </c>
      <c r="AD17" s="32">
        <f t="shared" si="26"/>
        <v>571.21199999999999</v>
      </c>
      <c r="AE17" s="33">
        <f t="shared" si="26"/>
        <v>604.95600000000002</v>
      </c>
      <c r="AF17" s="32">
        <f t="shared" si="26"/>
        <v>623.07500000000005</v>
      </c>
      <c r="AG17" s="32">
        <f t="shared" si="26"/>
        <v>605.30600000000004</v>
      </c>
      <c r="AH17" s="32">
        <f t="shared" si="26"/>
        <v>604.88400000000001</v>
      </c>
      <c r="AI17" s="33">
        <f t="shared" ref="AI17:AN17" si="27">AI10-AI11</f>
        <v>608.19399999999996</v>
      </c>
      <c r="AJ17" s="34">
        <f t="shared" si="27"/>
        <v>585.24099999999999</v>
      </c>
      <c r="AK17" s="32">
        <f t="shared" si="27"/>
        <v>620.274</v>
      </c>
      <c r="AL17" s="32">
        <f t="shared" si="27"/>
        <v>605.68100000000004</v>
      </c>
      <c r="AM17" s="33">
        <f t="shared" si="27"/>
        <v>642.46699999999998</v>
      </c>
      <c r="AN17" s="34">
        <f t="shared" si="27"/>
        <v>580.27499999999998</v>
      </c>
      <c r="AO17" s="32">
        <f t="shared" ref="AO17:AT17" si="28">AO10-AO11</f>
        <v>566.80899999999997</v>
      </c>
      <c r="AP17" s="32">
        <f t="shared" si="28"/>
        <v>577.26300000000003</v>
      </c>
      <c r="AQ17" s="33">
        <f t="shared" si="28"/>
        <v>582.51700000000005</v>
      </c>
      <c r="AR17" s="34">
        <f t="shared" si="28"/>
        <v>562.51</v>
      </c>
      <c r="AS17" s="32">
        <f t="shared" si="28"/>
        <v>510.83100000000002</v>
      </c>
      <c r="AT17" s="32">
        <f t="shared" si="28"/>
        <v>555.25199999999995</v>
      </c>
      <c r="AU17" s="32">
        <f t="shared" ref="AU17:BC17" si="29">AU10-AU11</f>
        <v>566.12599999999998</v>
      </c>
      <c r="AV17" s="34">
        <f t="shared" si="29"/>
        <v>561.39599999999996</v>
      </c>
      <c r="AW17" s="32">
        <f t="shared" si="29"/>
        <v>550.99800000000005</v>
      </c>
      <c r="AX17" s="32">
        <f t="shared" si="29"/>
        <v>581.21600000000001</v>
      </c>
      <c r="AY17" s="32">
        <f>AY10-AY11</f>
        <v>602.005</v>
      </c>
      <c r="AZ17" s="34">
        <f>AZ10-AZ11</f>
        <v>575.67600000000004</v>
      </c>
      <c r="BA17" s="32">
        <f>BA10-BA11</f>
        <v>622.63699999999994</v>
      </c>
      <c r="BB17" s="32">
        <f t="shared" ref="BB17" si="30">BB10-BB11</f>
        <v>648.59900000000005</v>
      </c>
      <c r="BC17" s="33">
        <f t="shared" si="29"/>
        <v>629.88691885000003</v>
      </c>
      <c r="BD17" s="34">
        <f t="shared" ref="BD17:BK17" si="31">BD10-BD11</f>
        <v>614.40226632400004</v>
      </c>
      <c r="BE17" s="32">
        <f t="shared" si="31"/>
        <v>615.55297175386011</v>
      </c>
      <c r="BF17" s="32">
        <f t="shared" si="31"/>
        <v>647.73373676348967</v>
      </c>
      <c r="BG17" s="33">
        <f t="shared" si="31"/>
        <v>654.58378202244683</v>
      </c>
      <c r="BH17" s="34">
        <f t="shared" si="31"/>
        <v>644.08009710326837</v>
      </c>
      <c r="BI17" s="32">
        <f t="shared" si="31"/>
        <v>643.58537466034682</v>
      </c>
      <c r="BJ17" s="32">
        <f t="shared" si="31"/>
        <v>669.76471696236217</v>
      </c>
      <c r="BK17" s="33">
        <f t="shared" si="31"/>
        <v>687.57139464671707</v>
      </c>
      <c r="BL17" s="20"/>
      <c r="BM17" s="32">
        <f>SUM(D17:G17)</f>
        <v>1856.9449999999999</v>
      </c>
      <c r="BN17" s="32">
        <f>SUM(H17:K17)</f>
        <v>2009.1239999999998</v>
      </c>
      <c r="BO17" s="32">
        <f>SUM(L17:O17)</f>
        <v>2052.7829999999999</v>
      </c>
      <c r="BP17" s="32">
        <f>SUM(P17:S17)</f>
        <v>1646.0150000000003</v>
      </c>
      <c r="BQ17" s="32">
        <f>SUM(T17:W17)</f>
        <v>1997.6030000000001</v>
      </c>
      <c r="BR17" s="32">
        <f>SUM(X17:AA17)</f>
        <v>2472.3409999999994</v>
      </c>
      <c r="BS17" s="32">
        <f>SUM(AB17:AE17)</f>
        <v>2403.529</v>
      </c>
      <c r="BT17" s="32">
        <f>SUM(AF17:AI17)</f>
        <v>2441.4589999999998</v>
      </c>
      <c r="BU17" s="32">
        <f>SUM(AJ17:AM17)</f>
        <v>2453.663</v>
      </c>
      <c r="BV17" s="32">
        <f>SUM(AN17:AQ17)</f>
        <v>2306.8639999999996</v>
      </c>
      <c r="BW17" s="32">
        <f>SUM(AR17:AU17)</f>
        <v>2194.7190000000001</v>
      </c>
      <c r="BX17" s="32">
        <f>SUM(AV17:AY17)</f>
        <v>2295.6150000000002</v>
      </c>
      <c r="BY17" s="32">
        <f>SUM(AZ17:BC17)</f>
        <v>2476.7989188500005</v>
      </c>
      <c r="BZ17" s="32">
        <f>SUM(BD17:BG17)</f>
        <v>2532.2727568637965</v>
      </c>
      <c r="CA17" s="33">
        <f>SUM(BH17:BK17)</f>
        <v>2645.0015833726943</v>
      </c>
      <c r="CB17" s="34"/>
      <c r="CC17" s="32"/>
      <c r="CD17" s="32"/>
      <c r="CE17" s="260"/>
      <c r="CF17" s="34">
        <f>SUM(F17:I17)</f>
        <v>1987.5279999999998</v>
      </c>
      <c r="CG17" s="32">
        <f>SUM(J17:M17)</f>
        <v>2073.0320000000002</v>
      </c>
      <c r="CH17" s="32">
        <f>SUM(N17:Q17)</f>
        <v>1900.5559999999998</v>
      </c>
      <c r="CI17" s="32">
        <f>SUM(R17:U17)</f>
        <v>1656.8969999999999</v>
      </c>
      <c r="CJ17" s="32">
        <f>SUM(V17:Y17)</f>
        <v>2313.9170000000004</v>
      </c>
      <c r="CK17" s="32">
        <f>SUM(Z17:AC17)</f>
        <v>2460.6269999999995</v>
      </c>
      <c r="CL17" s="32">
        <f>SUM(AD17:AG17)</f>
        <v>2404.549</v>
      </c>
      <c r="CM17" s="32">
        <f>SUM(AH17:AK17)</f>
        <v>2418.5929999999998</v>
      </c>
      <c r="CN17" s="32">
        <f>SUM(AL17:AO17)</f>
        <v>2395.232</v>
      </c>
      <c r="CO17" s="32">
        <f>SUM(AP17:AS17)</f>
        <v>2233.1210000000001</v>
      </c>
      <c r="CP17" s="32">
        <f>SUM(AT17:AW17)</f>
        <v>2233.7719999999999</v>
      </c>
      <c r="CQ17" s="32">
        <f>SUM(AX17:BA17)</f>
        <v>2381.5339999999997</v>
      </c>
      <c r="CR17" s="32">
        <f>SUM(BB17:BE17)</f>
        <v>2508.44115692786</v>
      </c>
      <c r="CS17" s="33">
        <f>SUM(BF17:BI17)</f>
        <v>2589.9829905495517</v>
      </c>
      <c r="CT17" s="32"/>
    </row>
    <row r="18" spans="1:104" ht="14.25" customHeight="1" collapsed="1">
      <c r="A18" s="8"/>
      <c r="B18" s="35" t="s">
        <v>146</v>
      </c>
      <c r="C18" s="36"/>
      <c r="D18" s="37"/>
      <c r="E18" s="37">
        <f t="shared" ref="E18:W18" si="32">E10/D10-1</f>
        <v>5.0519341185347511E-2</v>
      </c>
      <c r="F18" s="37">
        <f t="shared" si="32"/>
        <v>7.3285149937152072E-2</v>
      </c>
      <c r="G18" s="38">
        <f t="shared" si="32"/>
        <v>6.4809586548716602E-2</v>
      </c>
      <c r="H18" s="37">
        <f t="shared" si="32"/>
        <v>-1.2599182968025424E-2</v>
      </c>
      <c r="I18" s="37">
        <f t="shared" si="32"/>
        <v>-1.0526211101055227E-2</v>
      </c>
      <c r="J18" s="37">
        <f t="shared" si="32"/>
        <v>-4.2007988694409359E-2</v>
      </c>
      <c r="K18" s="38">
        <f t="shared" si="32"/>
        <v>0.11711949907251196</v>
      </c>
      <c r="L18" s="37">
        <f t="shared" si="32"/>
        <v>-1.5569998309446387E-2</v>
      </c>
      <c r="M18" s="37">
        <f t="shared" si="32"/>
        <v>3.0422778158337938E-2</v>
      </c>
      <c r="N18" s="37">
        <f t="shared" si="32"/>
        <v>-9.7430674505809778E-2</v>
      </c>
      <c r="O18" s="38">
        <f t="shared" si="32"/>
        <v>2.8429863974887448E-2</v>
      </c>
      <c r="P18" s="37">
        <f t="shared" si="32"/>
        <v>-1.2568152302050439E-4</v>
      </c>
      <c r="Q18" s="37">
        <f t="shared" si="32"/>
        <v>-0.18062305967230907</v>
      </c>
      <c r="R18" s="37">
        <f t="shared" si="32"/>
        <v>-0.17291045230413338</v>
      </c>
      <c r="S18" s="38">
        <f t="shared" si="32"/>
        <v>0.16135309790528951</v>
      </c>
      <c r="T18" s="37">
        <f t="shared" si="32"/>
        <v>0.13885684879243287</v>
      </c>
      <c r="U18" s="37">
        <f t="shared" si="32"/>
        <v>5.4021627348935786E-2</v>
      </c>
      <c r="V18" s="37">
        <f t="shared" si="32"/>
        <v>7.468612398762442E-2</v>
      </c>
      <c r="W18" s="38">
        <f t="shared" si="32"/>
        <v>0.11217182832887906</v>
      </c>
      <c r="X18" s="37">
        <f t="shared" ref="X18:AP18" si="33">X10/W10-1</f>
        <v>0.10632692654277154</v>
      </c>
      <c r="Y18" s="37">
        <f t="shared" si="33"/>
        <v>-2.1086372195311176E-2</v>
      </c>
      <c r="Z18" s="37">
        <f t="shared" si="33"/>
        <v>-1.0051620397562022E-2</v>
      </c>
      <c r="AA18" s="38">
        <f t="shared" si="33"/>
        <v>3.2493098759836192E-2</v>
      </c>
      <c r="AB18" s="37">
        <f t="shared" si="33"/>
        <v>1.5181383292019124E-2</v>
      </c>
      <c r="AC18" s="37">
        <f>AC10/AB10-1</f>
        <v>-7.0193175493158733E-2</v>
      </c>
      <c r="AD18" s="37">
        <f>AD10/AC10-1</f>
        <v>-3.4068983477041903E-2</v>
      </c>
      <c r="AE18" s="38">
        <f>AE10/AD10-1</f>
        <v>5.9074389193504384E-2</v>
      </c>
      <c r="AF18" s="37">
        <f>AF10/AE10-1</f>
        <v>2.9950938580657116E-2</v>
      </c>
      <c r="AG18" s="37">
        <f t="shared" si="33"/>
        <v>-2.8518236167395572E-2</v>
      </c>
      <c r="AH18" s="37">
        <f t="shared" si="33"/>
        <v>-6.9716804393149534E-4</v>
      </c>
      <c r="AI18" s="38">
        <f>AI10/AH10-1</f>
        <v>5.4721235807195789E-3</v>
      </c>
      <c r="AJ18" s="39">
        <f>AJ10/AI10-1</f>
        <v>-3.7739602824098828E-2</v>
      </c>
      <c r="AK18" s="37">
        <f t="shared" si="33"/>
        <v>5.9860809478488486E-2</v>
      </c>
      <c r="AL18" s="37">
        <f t="shared" si="33"/>
        <v>-2.3526699490870051E-2</v>
      </c>
      <c r="AM18" s="38">
        <f>AM10/AL10-1</f>
        <v>6.0734941330502279E-2</v>
      </c>
      <c r="AN18" s="39">
        <f>AN10/AM10-1</f>
        <v>-9.6801859083812891E-2</v>
      </c>
      <c r="AO18" s="37">
        <f t="shared" si="33"/>
        <v>-2.3206238421438097E-2</v>
      </c>
      <c r="AP18" s="37">
        <f t="shared" si="33"/>
        <v>1.8443602695087824E-2</v>
      </c>
      <c r="AQ18" s="38">
        <f t="shared" ref="AQ18:BC18" si="34">AQ10/AP10-1</f>
        <v>9.1015706878840863E-3</v>
      </c>
      <c r="AR18" s="39">
        <f t="shared" si="34"/>
        <v>-3.4345778749804823E-2</v>
      </c>
      <c r="AS18" s="37">
        <f t="shared" si="34"/>
        <v>-9.1872144495208974E-2</v>
      </c>
      <c r="AT18" s="37">
        <f t="shared" si="34"/>
        <v>8.6958309108100096E-2</v>
      </c>
      <c r="AU18" s="37">
        <f t="shared" si="34"/>
        <v>1.9583900643311614E-2</v>
      </c>
      <c r="AV18" s="39">
        <f t="shared" si="34"/>
        <v>-8.3550305055765106E-3</v>
      </c>
      <c r="AW18" s="37">
        <f t="shared" si="34"/>
        <v>-1.8521685227539719E-2</v>
      </c>
      <c r="AX18" s="37">
        <f t="shared" si="34"/>
        <v>5.4842304327783253E-2</v>
      </c>
      <c r="AY18" s="37">
        <f t="shared" si="34"/>
        <v>3.5768113747728814E-2</v>
      </c>
      <c r="AZ18" s="39">
        <f t="shared" si="34"/>
        <v>-4.373551714686752E-2</v>
      </c>
      <c r="BA18" s="37">
        <f t="shared" si="34"/>
        <v>8.1575400051417724E-2</v>
      </c>
      <c r="BB18" s="37">
        <f t="shared" si="34"/>
        <v>4.1696847440804374E-2</v>
      </c>
      <c r="BC18" s="38">
        <f t="shared" si="34"/>
        <v>-2.8850000000000042E-2</v>
      </c>
      <c r="BD18" s="39">
        <f t="shared" ref="BD18:BK18" si="35">BD10/BC10-1</f>
        <v>-2.458322607218244E-2</v>
      </c>
      <c r="BE18" s="37">
        <f t="shared" si="35"/>
        <v>1.8728860437720041E-3</v>
      </c>
      <c r="BF18" s="37">
        <f t="shared" si="35"/>
        <v>5.2279440578344882E-2</v>
      </c>
      <c r="BG18" s="38">
        <f t="shared" si="35"/>
        <v>1.0575402932051281E-2</v>
      </c>
      <c r="BH18" s="39">
        <f t="shared" si="35"/>
        <v>-1.6046356795956007E-2</v>
      </c>
      <c r="BI18" s="37">
        <f t="shared" si="35"/>
        <v>-7.6810701828322614E-4</v>
      </c>
      <c r="BJ18" s="37">
        <f t="shared" si="35"/>
        <v>4.0677341861336647E-2</v>
      </c>
      <c r="BK18" s="38">
        <f t="shared" si="35"/>
        <v>2.658646720764124E-2</v>
      </c>
      <c r="BL18" s="2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1"/>
      <c r="CB18" s="1247"/>
      <c r="CC18" s="40"/>
      <c r="CD18" s="40"/>
      <c r="CE18" s="260"/>
      <c r="CF18" s="39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8"/>
      <c r="CT18" s="37"/>
    </row>
    <row r="19" spans="1:104" ht="14.25" customHeight="1">
      <c r="A19" s="8"/>
      <c r="B19" s="35" t="s">
        <v>145</v>
      </c>
      <c r="C19" s="36"/>
      <c r="D19" s="37"/>
      <c r="E19" s="37"/>
      <c r="F19" s="37"/>
      <c r="G19" s="38"/>
      <c r="H19" s="37">
        <f t="shared" ref="H19:W19" si="36">H10/D10-1</f>
        <v>0.18545373088576844</v>
      </c>
      <c r="I19" s="37">
        <f t="shared" si="36"/>
        <v>0.11656715747890112</v>
      </c>
      <c r="J19" s="37">
        <f t="shared" si="36"/>
        <v>-3.3753685927599975E-3</v>
      </c>
      <c r="K19" s="38">
        <f t="shared" si="36"/>
        <v>4.5584884908477008E-2</v>
      </c>
      <c r="L19" s="37">
        <f t="shared" si="36"/>
        <v>4.2439009836000352E-2</v>
      </c>
      <c r="M19" s="37">
        <f t="shared" si="36"/>
        <v>8.5579944235937955E-2</v>
      </c>
      <c r="N19" s="37">
        <f t="shared" si="36"/>
        <v>2.2775917205952734E-2</v>
      </c>
      <c r="O19" s="38">
        <f t="shared" si="36"/>
        <v>-5.8423652722730535E-2</v>
      </c>
      <c r="P19" s="37">
        <f t="shared" si="36"/>
        <v>-4.3651649267956727E-2</v>
      </c>
      <c r="Q19" s="37">
        <f t="shared" si="36"/>
        <v>-0.23952594787278358</v>
      </c>
      <c r="R19" s="37">
        <f t="shared" si="36"/>
        <v>-0.30312262776717758</v>
      </c>
      <c r="S19" s="38">
        <f t="shared" si="36"/>
        <v>-0.21305212591293621</v>
      </c>
      <c r="T19" s="37">
        <f t="shared" si="36"/>
        <v>-0.1036663713777225</v>
      </c>
      <c r="U19" s="37">
        <f t="shared" si="36"/>
        <v>0.15301637547939362</v>
      </c>
      <c r="V19" s="37">
        <f t="shared" si="36"/>
        <v>0.49818203229652736</v>
      </c>
      <c r="W19" s="38">
        <f t="shared" si="36"/>
        <v>0.43473664730740591</v>
      </c>
      <c r="X19" s="37">
        <f t="shared" ref="X19:BB19" si="37">X10/T10-1</f>
        <v>0.39375531446022904</v>
      </c>
      <c r="Y19" s="37">
        <f t="shared" si="37"/>
        <v>0.29443840216255035</v>
      </c>
      <c r="Z19" s="37">
        <f t="shared" si="37"/>
        <v>0.1923734475711365</v>
      </c>
      <c r="AA19" s="38">
        <f t="shared" si="37"/>
        <v>0.106948876426332</v>
      </c>
      <c r="AB19" s="37">
        <f t="shared" si="37"/>
        <v>1.5752093385015042E-2</v>
      </c>
      <c r="AC19" s="37">
        <f t="shared" si="37"/>
        <v>-3.5202696529490818E-2</v>
      </c>
      <c r="AD19" s="37">
        <f t="shared" si="37"/>
        <v>-5.8609863623254044E-2</v>
      </c>
      <c r="AE19" s="38">
        <f t="shared" si="37"/>
        <v>-3.4373997391821454E-2</v>
      </c>
      <c r="AF19" s="37">
        <f t="shared" si="37"/>
        <v>-2.0325407781736415E-2</v>
      </c>
      <c r="AG19" s="37">
        <f t="shared" si="37"/>
        <v>2.3584658388559276E-2</v>
      </c>
      <c r="AH19" s="37">
        <f t="shared" si="37"/>
        <v>5.8948341421398709E-2</v>
      </c>
      <c r="AI19" s="38">
        <f t="shared" si="37"/>
        <v>5.3524553851849177E-3</v>
      </c>
      <c r="AJ19" s="39">
        <f t="shared" si="37"/>
        <v>-6.0721421979697543E-2</v>
      </c>
      <c r="AK19" s="37">
        <f t="shared" si="37"/>
        <v>2.4727988818878277E-2</v>
      </c>
      <c r="AL19" s="37">
        <f t="shared" si="37"/>
        <v>1.3176080041794602E-3</v>
      </c>
      <c r="AM19" s="38">
        <f t="shared" si="37"/>
        <v>5.6352085025501708E-2</v>
      </c>
      <c r="AN19" s="39">
        <f t="shared" si="37"/>
        <v>-8.4853931969907093E-3</v>
      </c>
      <c r="AO19" s="37">
        <f t="shared" si="37"/>
        <v>-8.6195777994886202E-2</v>
      </c>
      <c r="AP19" s="37">
        <f t="shared" si="37"/>
        <v>-4.6919087770625145E-2</v>
      </c>
      <c r="AQ19" s="38">
        <f t="shared" si="37"/>
        <v>-9.3312185684245152E-2</v>
      </c>
      <c r="AR19" s="39">
        <f t="shared" si="37"/>
        <v>-3.061479470940498E-2</v>
      </c>
      <c r="AS19" s="37">
        <f t="shared" si="37"/>
        <v>-9.8759899719305766E-2</v>
      </c>
      <c r="AT19" s="37">
        <f t="shared" si="37"/>
        <v>-3.8129933842979802E-2</v>
      </c>
      <c r="AU19" s="37">
        <f t="shared" ref="AU19:BC19" si="38">AU17/AQ17-1</f>
        <v>-2.8138234592295253E-2</v>
      </c>
      <c r="AV19" s="39">
        <f t="shared" si="37"/>
        <v>-1.980409237169134E-3</v>
      </c>
      <c r="AW19" s="37">
        <f t="shared" si="37"/>
        <v>7.8630701738931386E-2</v>
      </c>
      <c r="AX19" s="37">
        <f t="shared" si="37"/>
        <v>4.6760750073840507E-2</v>
      </c>
      <c r="AY19" s="37">
        <f t="shared" si="38"/>
        <v>6.3376350847691221E-2</v>
      </c>
      <c r="AZ19" s="39">
        <f t="shared" si="37"/>
        <v>2.5436590214394261E-2</v>
      </c>
      <c r="BA19" s="37">
        <f t="shared" si="37"/>
        <v>0.13001680586862374</v>
      </c>
      <c r="BB19" s="37">
        <f t="shared" si="37"/>
        <v>0.11593452348180366</v>
      </c>
      <c r="BC19" s="38">
        <f t="shared" si="38"/>
        <v>4.6315095140405882E-2</v>
      </c>
      <c r="BD19" s="39">
        <f t="shared" ref="BD19:BK19" si="39">BD17/AZ17-1</f>
        <v>6.7270941161347686E-2</v>
      </c>
      <c r="BE19" s="37">
        <f t="shared" si="39"/>
        <v>-1.1377461098745933E-2</v>
      </c>
      <c r="BF19" s="37">
        <f t="shared" si="39"/>
        <v>-1.3340495999999424E-3</v>
      </c>
      <c r="BG19" s="38">
        <f t="shared" si="39"/>
        <v>3.9208407784585342E-2</v>
      </c>
      <c r="BH19" s="39">
        <f t="shared" si="39"/>
        <v>4.8303582857583294E-2</v>
      </c>
      <c r="BI19" s="37">
        <f t="shared" si="39"/>
        <v>4.5540195877237899E-2</v>
      </c>
      <c r="BJ19" s="37">
        <f t="shared" si="39"/>
        <v>3.4012401930697544E-2</v>
      </c>
      <c r="BK19" s="38">
        <f t="shared" si="39"/>
        <v>5.0394790598614403E-2</v>
      </c>
      <c r="BL19" s="20"/>
      <c r="BM19" s="37"/>
      <c r="BN19" s="37">
        <f t="shared" ref="BN19:CA19" si="40">BN17/BM17-1</f>
        <v>8.1951269423703899E-2</v>
      </c>
      <c r="BO19" s="37">
        <f t="shared" si="40"/>
        <v>2.1730366069988793E-2</v>
      </c>
      <c r="BP19" s="37">
        <f t="shared" si="40"/>
        <v>-0.19815440794277794</v>
      </c>
      <c r="BQ19" s="37">
        <f t="shared" si="40"/>
        <v>0.21359951154758594</v>
      </c>
      <c r="BR19" s="37">
        <f t="shared" si="40"/>
        <v>0.23765382811299318</v>
      </c>
      <c r="BS19" s="37">
        <f t="shared" si="40"/>
        <v>-2.7832730193771638E-2</v>
      </c>
      <c r="BT19" s="37">
        <f t="shared" si="40"/>
        <v>1.5780962077012628E-2</v>
      </c>
      <c r="BU19" s="37">
        <f t="shared" si="40"/>
        <v>4.998650397160187E-3</v>
      </c>
      <c r="BV19" s="37">
        <f t="shared" si="40"/>
        <v>-5.9828509457085399E-2</v>
      </c>
      <c r="BW19" s="37">
        <f t="shared" si="40"/>
        <v>-4.8613615713799962E-2</v>
      </c>
      <c r="BX19" s="37">
        <f t="shared" si="40"/>
        <v>4.5972172291760538E-2</v>
      </c>
      <c r="BY19" s="37">
        <f t="shared" si="40"/>
        <v>7.8926091199961856E-2</v>
      </c>
      <c r="BZ19" s="37">
        <f t="shared" si="40"/>
        <v>2.239739269571106E-2</v>
      </c>
      <c r="CA19" s="38">
        <f t="shared" si="40"/>
        <v>4.4516857910879892E-2</v>
      </c>
      <c r="CB19" s="39"/>
      <c r="CC19" s="37"/>
      <c r="CD19" s="37"/>
      <c r="CE19" s="260"/>
      <c r="CF19" s="39"/>
      <c r="CG19" s="37">
        <f t="shared" ref="CG19:CL19" si="41">CG17/CF17-1</f>
        <v>4.3020274431354144E-2</v>
      </c>
      <c r="CH19" s="37">
        <f t="shared" si="41"/>
        <v>-8.3199873422118098E-2</v>
      </c>
      <c r="CI19" s="37">
        <f t="shared" si="41"/>
        <v>-0.12820406239016369</v>
      </c>
      <c r="CJ19" s="37">
        <f t="shared" si="41"/>
        <v>0.39653641717016841</v>
      </c>
      <c r="CK19" s="37">
        <f t="shared" si="41"/>
        <v>6.340331135472832E-2</v>
      </c>
      <c r="CL19" s="37">
        <f t="shared" si="41"/>
        <v>-2.2790126256437726E-2</v>
      </c>
      <c r="CM19" s="37">
        <f t="shared" ref="CM19:CS19" si="42">CM17/CL17-1</f>
        <v>5.8405963030905284E-3</v>
      </c>
      <c r="CN19" s="37">
        <f t="shared" si="42"/>
        <v>-9.6589215299969222E-3</v>
      </c>
      <c r="CO19" s="37">
        <f t="shared" si="42"/>
        <v>-6.76807090085636E-2</v>
      </c>
      <c r="CP19" s="37">
        <f t="shared" si="42"/>
        <v>2.9152025349277189E-4</v>
      </c>
      <c r="CQ19" s="37">
        <f t="shared" si="42"/>
        <v>6.6149096684889885E-2</v>
      </c>
      <c r="CR19" s="37">
        <f t="shared" si="42"/>
        <v>5.328798871981677E-2</v>
      </c>
      <c r="CS19" s="38">
        <f t="shared" si="42"/>
        <v>3.2506974858265147E-2</v>
      </c>
      <c r="CT19" s="37"/>
    </row>
    <row r="20" spans="1:104" ht="14.25" customHeight="1">
      <c r="A20" s="8"/>
      <c r="B20" s="23"/>
      <c r="C20" s="24"/>
      <c r="D20" s="42"/>
      <c r="E20" s="42"/>
      <c r="F20" s="42"/>
      <c r="G20" s="43"/>
      <c r="H20" s="42"/>
      <c r="I20" s="42"/>
      <c r="J20" s="42"/>
      <c r="K20" s="43"/>
      <c r="L20" s="42"/>
      <c r="M20" s="42"/>
      <c r="N20" s="42"/>
      <c r="O20" s="43"/>
      <c r="P20" s="42"/>
      <c r="Q20" s="42"/>
      <c r="R20" s="42"/>
      <c r="S20" s="43"/>
      <c r="T20" s="42"/>
      <c r="U20" s="42"/>
      <c r="V20" s="42"/>
      <c r="W20" s="43"/>
      <c r="X20" s="42"/>
      <c r="Y20" s="42"/>
      <c r="Z20" s="42"/>
      <c r="AA20" s="43"/>
      <c r="AB20" s="42"/>
      <c r="AC20" s="42"/>
      <c r="AD20" s="42"/>
      <c r="AE20" s="43"/>
      <c r="AF20" s="42"/>
      <c r="AG20" s="42"/>
      <c r="AH20" s="42"/>
      <c r="AI20" s="43"/>
      <c r="AJ20" s="1257"/>
      <c r="AK20" s="42"/>
      <c r="AL20" s="42"/>
      <c r="AM20" s="43"/>
      <c r="AN20" s="1257"/>
      <c r="AO20" s="42"/>
      <c r="AP20" s="42"/>
      <c r="AQ20" s="43"/>
      <c r="AR20" s="1257"/>
      <c r="AS20" s="42"/>
      <c r="AT20" s="42"/>
      <c r="AU20" s="42"/>
      <c r="AV20" s="1257"/>
      <c r="AW20" s="42"/>
      <c r="AX20" s="42"/>
      <c r="AY20" s="42"/>
      <c r="AZ20" s="1257"/>
      <c r="BA20" s="42"/>
      <c r="BB20" s="42"/>
      <c r="BC20" s="43"/>
      <c r="BD20" s="1257"/>
      <c r="BE20" s="42"/>
      <c r="BF20" s="42"/>
      <c r="BG20" s="43"/>
      <c r="BH20" s="1257"/>
      <c r="BI20" s="42"/>
      <c r="BJ20" s="42"/>
      <c r="BK20" s="43"/>
      <c r="BL20" s="20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5"/>
      <c r="CB20" s="54"/>
      <c r="CC20" s="44"/>
      <c r="CD20" s="44"/>
      <c r="CE20" s="260"/>
      <c r="CF20" s="111"/>
      <c r="CG20" s="112"/>
      <c r="CH20" s="112"/>
      <c r="CI20" s="112"/>
      <c r="CJ20" s="112"/>
      <c r="CK20" s="112"/>
      <c r="CL20" s="112"/>
      <c r="CM20" s="112"/>
      <c r="CN20" s="112"/>
      <c r="CO20" s="112"/>
      <c r="CP20" s="112"/>
      <c r="CQ20" s="112"/>
      <c r="CR20" s="112"/>
      <c r="CS20" s="113"/>
      <c r="CT20" s="112"/>
    </row>
    <row r="21" spans="1:104" ht="14.25" hidden="1" customHeight="1" outlineLevel="1">
      <c r="A21" s="8"/>
      <c r="B21" s="714" t="s">
        <v>297</v>
      </c>
      <c r="C21" s="715"/>
      <c r="D21" s="716">
        <v>142.03100000000001</v>
      </c>
      <c r="E21" s="716">
        <v>152.315</v>
      </c>
      <c r="F21" s="716">
        <v>163.81299999999999</v>
      </c>
      <c r="G21" s="717">
        <f>638.547-F21-E21-D21</f>
        <v>180.38800000000003</v>
      </c>
      <c r="H21" s="716">
        <v>203.68700000000001</v>
      </c>
      <c r="I21" s="716">
        <v>189.27</v>
      </c>
      <c r="J21" s="716">
        <v>190.286</v>
      </c>
      <c r="K21" s="717">
        <f>782.494-J21-I21-H21</f>
        <v>199.25100000000009</v>
      </c>
      <c r="L21" s="716">
        <v>203.535</v>
      </c>
      <c r="M21" s="716">
        <v>204.32</v>
      </c>
      <c r="N21" s="716">
        <v>198.024</v>
      </c>
      <c r="O21" s="717">
        <f>804.083-N21-M21-L21</f>
        <v>198.20399999999998</v>
      </c>
      <c r="P21" s="716">
        <v>209.654</v>
      </c>
      <c r="Q21" s="716">
        <v>211.59</v>
      </c>
      <c r="R21" s="716">
        <v>171.96</v>
      </c>
      <c r="S21" s="717">
        <f>797.138-R21-Q21-P21</f>
        <v>203.93399999999997</v>
      </c>
      <c r="T21" s="716">
        <v>197.619</v>
      </c>
      <c r="U21" s="716">
        <v>181.727</v>
      </c>
      <c r="V21" s="716">
        <v>200.17699999999999</v>
      </c>
      <c r="W21" s="717">
        <f>804.537-V21-U21-T21</f>
        <v>225.01400000000004</v>
      </c>
      <c r="X21" s="716">
        <v>239.92500000000001</v>
      </c>
      <c r="Y21" s="716">
        <v>232.661</v>
      </c>
      <c r="Z21" s="716">
        <v>234.125</v>
      </c>
      <c r="AA21" s="717">
        <f>942.377-Z21-Y21-X21</f>
        <v>235.66599999999994</v>
      </c>
      <c r="AB21" s="716">
        <v>240.529</v>
      </c>
      <c r="AC21" s="716">
        <v>243.399</v>
      </c>
      <c r="AD21" s="716">
        <v>235.78200000000001</v>
      </c>
      <c r="AE21" s="732">
        <v>232.96700000000001</v>
      </c>
      <c r="AF21" s="716">
        <v>237.38399999999999</v>
      </c>
      <c r="AG21" s="716">
        <v>241.93100000000001</v>
      </c>
      <c r="AH21" s="716">
        <v>228.78200000000001</v>
      </c>
      <c r="AI21" s="732">
        <v>236.79499999999999</v>
      </c>
      <c r="AJ21" s="1256">
        <v>238.04499999999999</v>
      </c>
      <c r="AK21" s="716">
        <v>291.60199999999998</v>
      </c>
      <c r="AL21" s="716">
        <v>265.74400000000003</v>
      </c>
      <c r="AM21" s="732">
        <v>273.50700000000001</v>
      </c>
      <c r="AN21" s="1256">
        <v>241.54499999999999</v>
      </c>
      <c r="AO21" s="716">
        <v>252.732</v>
      </c>
      <c r="AP21" s="716">
        <v>261.995</v>
      </c>
      <c r="AQ21" s="732">
        <v>278.81599999999997</v>
      </c>
      <c r="AR21" s="1256">
        <v>276.15899999999999</v>
      </c>
      <c r="AS21" s="716">
        <v>218.66200000000001</v>
      </c>
      <c r="AT21" s="716">
        <v>236.411</v>
      </c>
      <c r="AU21" s="716">
        <v>219.09899999999999</v>
      </c>
      <c r="AV21" s="1256">
        <v>215.66399999999999</v>
      </c>
      <c r="AW21" s="716">
        <v>210.82</v>
      </c>
      <c r="AX21" s="716">
        <v>214.31200000000001</v>
      </c>
      <c r="AY21" s="716">
        <v>208.339</v>
      </c>
      <c r="AZ21" s="1256">
        <v>201.845</v>
      </c>
      <c r="BA21" s="716">
        <v>212.96100000000001</v>
      </c>
      <c r="BB21" s="716">
        <v>224.65299999999999</v>
      </c>
      <c r="BC21" s="718">
        <f t="shared" ref="BC21:BG21" si="43">+BC28+BC24</f>
        <v>218.86268322049997</v>
      </c>
      <c r="BD21" s="733">
        <f t="shared" si="43"/>
        <v>202.75274788691999</v>
      </c>
      <c r="BE21" s="719">
        <f t="shared" si="43"/>
        <v>202.51692770701996</v>
      </c>
      <c r="BF21" s="719">
        <f t="shared" si="43"/>
        <v>211.8089319216611</v>
      </c>
      <c r="BG21" s="718">
        <f t="shared" si="43"/>
        <v>212.08514537527273</v>
      </c>
      <c r="BH21" s="733">
        <f>+BH28+BH24</f>
        <v>209.32603155856219</v>
      </c>
      <c r="BI21" s="719">
        <f>+BI28+BI24</f>
        <v>209.16524676461268</v>
      </c>
      <c r="BJ21" s="719">
        <f>+BJ28+BJ24</f>
        <v>216.33400357884295</v>
      </c>
      <c r="BK21" s="718">
        <f>+BK28+BK24</f>
        <v>220.71041768159614</v>
      </c>
      <c r="BL21" s="20"/>
      <c r="BM21" s="719">
        <f>SUM(D21:G21)</f>
        <v>638.54700000000003</v>
      </c>
      <c r="BN21" s="719">
        <f>SUM(H21:K21)</f>
        <v>782.49400000000003</v>
      </c>
      <c r="BO21" s="719">
        <f>SUM(L21:O21)</f>
        <v>804.08299999999997</v>
      </c>
      <c r="BP21" s="719">
        <f>SUM(P21:S21)</f>
        <v>797.13800000000003</v>
      </c>
      <c r="BQ21" s="719">
        <f>SUM(T21:W21)</f>
        <v>804.53700000000003</v>
      </c>
      <c r="BR21" s="719">
        <f>SUM(X21:AA21)</f>
        <v>942.37699999999995</v>
      </c>
      <c r="BS21" s="719">
        <f>SUM(AB21:AE21)</f>
        <v>952.67700000000002</v>
      </c>
      <c r="BT21" s="719">
        <f>SUM(AF21:AI21)</f>
        <v>944.89199999999994</v>
      </c>
      <c r="BU21" s="719">
        <f>SUM(AJ21:AM21)</f>
        <v>1068.8979999999999</v>
      </c>
      <c r="BV21" s="719">
        <f>SUM(AN21:AQ21)</f>
        <v>1035.088</v>
      </c>
      <c r="BW21" s="719">
        <f>SUM(AR21:AU21)</f>
        <v>950.3309999999999</v>
      </c>
      <c r="BX21" s="719">
        <f>SUM(AV21:AY21)</f>
        <v>849.13499999999999</v>
      </c>
      <c r="BY21" s="719">
        <f>SUM(AZ21:BC21)</f>
        <v>858.32168322050006</v>
      </c>
      <c r="BZ21" s="719">
        <f>SUM(BD21:BG21)</f>
        <v>829.16375289087387</v>
      </c>
      <c r="CA21" s="718">
        <f>SUM(BH21:BK21)</f>
        <v>855.53569958361402</v>
      </c>
      <c r="CB21" s="733"/>
      <c r="CC21" s="719"/>
      <c r="CD21" s="719"/>
      <c r="CE21" s="260"/>
      <c r="CF21" s="34">
        <f>SUM(F21:I21)</f>
        <v>737.15800000000002</v>
      </c>
      <c r="CG21" s="32">
        <f>SUM(J21:M21)</f>
        <v>797.39200000000005</v>
      </c>
      <c r="CH21" s="32">
        <f>SUM(N21:Q21)</f>
        <v>817.47199999999998</v>
      </c>
      <c r="CI21" s="32">
        <f>SUM(R21:U21)</f>
        <v>755.24</v>
      </c>
      <c r="CJ21" s="32">
        <f>SUM(V21:Y21)</f>
        <v>897.77700000000004</v>
      </c>
      <c r="CK21" s="32">
        <f>SUM(Z21:AC21)</f>
        <v>953.71899999999994</v>
      </c>
      <c r="CL21" s="32">
        <f>SUM(AD21:AG21)</f>
        <v>948.06400000000008</v>
      </c>
      <c r="CM21" s="32">
        <f>SUM(AH21:AK21)</f>
        <v>995.22399999999993</v>
      </c>
      <c r="CN21" s="32">
        <f>SUM(AL21:AO21)</f>
        <v>1033.528</v>
      </c>
      <c r="CO21" s="32">
        <f>SUM(AP21:AS21)</f>
        <v>1035.6319999999998</v>
      </c>
      <c r="CP21" s="32">
        <f>SUM(AT21:AW21)</f>
        <v>881.99399999999991</v>
      </c>
      <c r="CQ21" s="32">
        <f>SUM(AX21:BA21)</f>
        <v>837.45699999999999</v>
      </c>
      <c r="CR21" s="32">
        <f>SUM(BB21:BE21)</f>
        <v>848.78535881443986</v>
      </c>
      <c r="CS21" s="33">
        <f>SUM(BF21:BI21)</f>
        <v>842.38535562010861</v>
      </c>
      <c r="CT21" s="32"/>
    </row>
    <row r="22" spans="1:104" ht="14.25" hidden="1" customHeight="1" outlineLevel="1">
      <c r="A22" s="8"/>
      <c r="B22" s="35" t="s">
        <v>298</v>
      </c>
      <c r="C22" s="36"/>
      <c r="D22" s="37">
        <f t="shared" ref="D22:AK22" si="44">D21/D10</f>
        <v>0.33490373619118358</v>
      </c>
      <c r="E22" s="37">
        <f t="shared" si="44"/>
        <v>0.3418813970192135</v>
      </c>
      <c r="F22" s="37">
        <f t="shared" si="44"/>
        <v>0.34258318171361646</v>
      </c>
      <c r="G22" s="38">
        <f t="shared" si="44"/>
        <v>0.35428548982638086</v>
      </c>
      <c r="H22" s="37">
        <f t="shared" si="44"/>
        <v>0.40514972799331672</v>
      </c>
      <c r="I22" s="37">
        <f t="shared" si="44"/>
        <v>0.38047815572526456</v>
      </c>
      <c r="J22" s="37">
        <f t="shared" si="44"/>
        <v>0.39929410184742192</v>
      </c>
      <c r="K22" s="38">
        <f t="shared" si="44"/>
        <v>0.37427165317354488</v>
      </c>
      <c r="L22" s="37">
        <f t="shared" si="44"/>
        <v>0.38836553891478603</v>
      </c>
      <c r="M22" s="37">
        <f t="shared" si="44"/>
        <v>0.37835285403453545</v>
      </c>
      <c r="N22" s="37">
        <f t="shared" si="44"/>
        <v>0.40627808210746597</v>
      </c>
      <c r="O22" s="38">
        <f t="shared" si="44"/>
        <v>0.39540604109187322</v>
      </c>
      <c r="P22" s="37">
        <f t="shared" si="44"/>
        <v>0.4183007318377347</v>
      </c>
      <c r="Q22" s="37">
        <f t="shared" si="44"/>
        <v>0.51522493455895779</v>
      </c>
      <c r="R22" s="37">
        <f t="shared" si="44"/>
        <v>0.50626352435487909</v>
      </c>
      <c r="S22" s="38">
        <f t="shared" si="44"/>
        <v>0.51698096945022542</v>
      </c>
      <c r="T22" s="37">
        <f t="shared" si="44"/>
        <v>0.43989039412704845</v>
      </c>
      <c r="U22" s="37">
        <f t="shared" si="44"/>
        <v>0.38378298469953437</v>
      </c>
      <c r="V22" s="37">
        <f t="shared" si="44"/>
        <v>0.39336778808363465</v>
      </c>
      <c r="W22" s="38">
        <f t="shared" si="44"/>
        <v>0.39757792926026841</v>
      </c>
      <c r="X22" s="37">
        <f t="shared" si="44"/>
        <v>0.3831816896887113</v>
      </c>
      <c r="Y22" s="37">
        <f t="shared" si="44"/>
        <v>0.37958449169244424</v>
      </c>
      <c r="Z22" s="37">
        <f t="shared" si="44"/>
        <v>0.38585142762968155</v>
      </c>
      <c r="AA22" s="38">
        <f t="shared" si="44"/>
        <v>0.37616821311080301</v>
      </c>
      <c r="AB22" s="37">
        <f t="shared" si="44"/>
        <v>0.37818906229854626</v>
      </c>
      <c r="AC22" s="37">
        <f t="shared" si="44"/>
        <v>0.41159261971154576</v>
      </c>
      <c r="AD22" s="37">
        <f t="shared" si="44"/>
        <v>0.41277494170290541</v>
      </c>
      <c r="AE22" s="38">
        <f t="shared" si="44"/>
        <v>0.38509742857331775</v>
      </c>
      <c r="AF22" s="37">
        <f t="shared" si="44"/>
        <v>0.38098784255506957</v>
      </c>
      <c r="AG22" s="37">
        <f t="shared" si="44"/>
        <v>0.39968379629476658</v>
      </c>
      <c r="AH22" s="37">
        <f t="shared" si="44"/>
        <v>0.37822458520972618</v>
      </c>
      <c r="AI22" s="38">
        <f t="shared" si="44"/>
        <v>0.38934122993650055</v>
      </c>
      <c r="AJ22" s="39">
        <f t="shared" si="44"/>
        <v>0.40674696407121169</v>
      </c>
      <c r="AK22" s="37">
        <f t="shared" si="44"/>
        <v>0.47011804460609341</v>
      </c>
      <c r="AL22" s="37">
        <f t="shared" ref="AL22:AQ22" si="45">AL21/AL10</f>
        <v>0.43875241257361552</v>
      </c>
      <c r="AM22" s="38">
        <f t="shared" si="45"/>
        <v>0.42571369424421801</v>
      </c>
      <c r="AN22" s="39">
        <f t="shared" si="45"/>
        <v>0.41625953211839212</v>
      </c>
      <c r="AO22" s="37">
        <f t="shared" si="45"/>
        <v>0.44588565107470068</v>
      </c>
      <c r="AP22" s="37">
        <f t="shared" si="45"/>
        <v>0.453857253972626</v>
      </c>
      <c r="AQ22" s="38">
        <f t="shared" si="45"/>
        <v>0.4786401083573526</v>
      </c>
      <c r="AR22" s="39">
        <f t="shared" ref="AR22:BC22" si="46">AR21/AR10</f>
        <v>0.49094060550034663</v>
      </c>
      <c r="AS22" s="37">
        <f t="shared" si="46"/>
        <v>0.42805154738064055</v>
      </c>
      <c r="AT22" s="37">
        <f t="shared" si="46"/>
        <v>0.42577244206234288</v>
      </c>
      <c r="AU22" s="37">
        <f t="shared" si="46"/>
        <v>0.38701455153093128</v>
      </c>
      <c r="AV22" s="39">
        <f t="shared" ref="AV22:BA22" si="47">AV21/AV10</f>
        <v>0.38415663809503453</v>
      </c>
      <c r="AW22" s="37">
        <f t="shared" si="47"/>
        <v>0.38261481892856231</v>
      </c>
      <c r="AX22" s="37">
        <f t="shared" si="47"/>
        <v>0.36873038594945773</v>
      </c>
      <c r="AY22" s="37">
        <f t="shared" si="47"/>
        <v>0.34607519871097414</v>
      </c>
      <c r="AZ22" s="39">
        <f t="shared" si="47"/>
        <v>0.35062257241920802</v>
      </c>
      <c r="BA22" s="37">
        <f t="shared" si="47"/>
        <v>0.34203074985906723</v>
      </c>
      <c r="BB22" s="37">
        <f t="shared" ref="BB22" si="48">BB21/BB10</f>
        <v>0.34636655313992154</v>
      </c>
      <c r="BC22" s="38">
        <f t="shared" si="46"/>
        <v>0.34746345204323809</v>
      </c>
      <c r="BD22" s="39">
        <f t="shared" ref="BD22:BK22" si="49">BD21/BD10</f>
        <v>0.32999999999999996</v>
      </c>
      <c r="BE22" s="37">
        <f t="shared" si="49"/>
        <v>0.32899999999999996</v>
      </c>
      <c r="BF22" s="37">
        <f t="shared" si="49"/>
        <v>0.32699999999999996</v>
      </c>
      <c r="BG22" s="38">
        <f t="shared" si="49"/>
        <v>0.32399999999999995</v>
      </c>
      <c r="BH22" s="39">
        <f t="shared" si="49"/>
        <v>0.32499999999999996</v>
      </c>
      <c r="BI22" s="37">
        <f t="shared" si="49"/>
        <v>0.32499999999999996</v>
      </c>
      <c r="BJ22" s="37">
        <f t="shared" si="49"/>
        <v>0.32299999999999995</v>
      </c>
      <c r="BK22" s="38">
        <f t="shared" si="49"/>
        <v>0.32099999999999995</v>
      </c>
      <c r="BL22" s="20"/>
      <c r="BM22" s="37">
        <f t="shared" ref="BM22:BW22" si="50">BM21/BM10</f>
        <v>0.34386963534191917</v>
      </c>
      <c r="BN22" s="37">
        <f t="shared" si="50"/>
        <v>0.38947023677981057</v>
      </c>
      <c r="BO22" s="37">
        <f t="shared" si="50"/>
        <v>0.39170384789819479</v>
      </c>
      <c r="BP22" s="37">
        <f t="shared" si="50"/>
        <v>0.48428355756174751</v>
      </c>
      <c r="BQ22" s="37">
        <f t="shared" si="50"/>
        <v>0.40275119730997599</v>
      </c>
      <c r="BR22" s="37">
        <f t="shared" si="50"/>
        <v>0.38116788905737525</v>
      </c>
      <c r="BS22" s="37">
        <f>BS21/BS10</f>
        <v>0.39636592693493611</v>
      </c>
      <c r="BT22" s="37">
        <f t="shared" si="50"/>
        <v>0.38701940110401201</v>
      </c>
      <c r="BU22" s="37">
        <f t="shared" si="50"/>
        <v>0.43563358130272978</v>
      </c>
      <c r="BV22" s="37">
        <f t="shared" si="50"/>
        <v>0.44869918642798196</v>
      </c>
      <c r="BW22" s="37">
        <f t="shared" si="50"/>
        <v>0.43300805251150598</v>
      </c>
      <c r="BX22" s="37">
        <f>BX21/BX10</f>
        <v>0.36989434203906141</v>
      </c>
      <c r="BY22" s="37">
        <f>BY21/BY10</f>
        <v>0.34654475851395572</v>
      </c>
      <c r="BZ22" s="37">
        <f>BZ21/BZ10</f>
        <v>0.32743856310241548</v>
      </c>
      <c r="CA22" s="38">
        <f>CA21/CA10</f>
        <v>0.32345375706456225</v>
      </c>
      <c r="CB22" s="39"/>
      <c r="CC22" s="37"/>
      <c r="CD22" s="37"/>
      <c r="CE22" s="260"/>
      <c r="CF22" s="39">
        <f t="shared" ref="CF22:CN22" si="51">CF21/CF10</f>
        <v>0.37089188177474736</v>
      </c>
      <c r="CG22" s="37">
        <f t="shared" si="51"/>
        <v>0.38465011635131535</v>
      </c>
      <c r="CH22" s="37">
        <f t="shared" si="51"/>
        <v>0.43012255361062768</v>
      </c>
      <c r="CI22" s="37">
        <f t="shared" si="51"/>
        <v>0.45581590165230551</v>
      </c>
      <c r="CJ22" s="37">
        <f t="shared" si="51"/>
        <v>0.38799014830696171</v>
      </c>
      <c r="CK22" s="37">
        <f t="shared" si="51"/>
        <v>0.3875918617490583</v>
      </c>
      <c r="CL22" s="37">
        <f t="shared" si="51"/>
        <v>0.39427934302856799</v>
      </c>
      <c r="CM22" s="37">
        <f t="shared" si="51"/>
        <v>0.41148882842214463</v>
      </c>
      <c r="CN22" s="37">
        <f t="shared" si="51"/>
        <v>0.43149390121708464</v>
      </c>
      <c r="CO22" s="37">
        <f>CO21/CO10</f>
        <v>0.46375991269617711</v>
      </c>
      <c r="CP22" s="37">
        <f>CP21/CP10</f>
        <v>0.39484513191140364</v>
      </c>
      <c r="CQ22" s="37">
        <f>CQ21/CQ10</f>
        <v>0.35164603990537197</v>
      </c>
      <c r="CR22" s="37">
        <f>CR21/CR10</f>
        <v>0.33837164426610067</v>
      </c>
      <c r="CS22" s="38">
        <f>CS21/CS10</f>
        <v>0.3252474470658081</v>
      </c>
      <c r="CT22" s="37"/>
    </row>
    <row r="23" spans="1:104" ht="14.25" hidden="1" customHeight="1" outlineLevel="1">
      <c r="A23" s="8"/>
      <c r="B23" s="28" t="s">
        <v>299</v>
      </c>
      <c r="C23" s="29"/>
      <c r="D23" s="30">
        <v>17.393000000000001</v>
      </c>
      <c r="E23" s="30">
        <v>16.314</v>
      </c>
      <c r="F23" s="30">
        <v>14.55</v>
      </c>
      <c r="G23" s="509">
        <f>62.14-F23-E23-D23</f>
        <v>13.883000000000003</v>
      </c>
      <c r="H23" s="30">
        <v>36.558999999999997</v>
      </c>
      <c r="I23" s="30">
        <v>15.685</v>
      </c>
      <c r="J23" s="30">
        <v>14.784000000000001</v>
      </c>
      <c r="K23" s="509">
        <f>81.186-J23-I23-H23</f>
        <v>14.158000000000001</v>
      </c>
      <c r="L23" s="30">
        <v>15.662000000000001</v>
      </c>
      <c r="M23" s="30">
        <v>11.667999999999999</v>
      </c>
      <c r="N23" s="30">
        <v>10.535</v>
      </c>
      <c r="O23" s="509">
        <f>45.99-N23-M23-L23</f>
        <v>8.1249999999999982</v>
      </c>
      <c r="P23" s="30">
        <v>11.92</v>
      </c>
      <c r="Q23" s="30">
        <v>30.834</v>
      </c>
      <c r="R23" s="30">
        <v>7.5739999999999998</v>
      </c>
      <c r="S23" s="509">
        <f>57.1-R23-Q23-P23</f>
        <v>6.7720000000000038</v>
      </c>
      <c r="T23" s="30">
        <v>5.4610000000000003</v>
      </c>
      <c r="U23" s="30">
        <v>5.2649999999999997</v>
      </c>
      <c r="V23" s="30">
        <v>1.071</v>
      </c>
      <c r="W23" s="509">
        <f>15.22-V23-U23-T23</f>
        <v>3.423</v>
      </c>
      <c r="X23" s="30">
        <v>3.895</v>
      </c>
      <c r="Y23" s="30">
        <v>3.7480000000000002</v>
      </c>
      <c r="Z23" s="30">
        <v>3.3359999999999999</v>
      </c>
      <c r="AA23" s="509">
        <f>14.001-Z23-Y23-X23</f>
        <v>3.0219999999999989</v>
      </c>
      <c r="AB23" s="30">
        <v>3.2570000000000001</v>
      </c>
      <c r="AC23" s="30">
        <v>3.6920000000000002</v>
      </c>
      <c r="AD23" s="30">
        <v>3.0990000000000002</v>
      </c>
      <c r="AE23" s="31">
        <v>3.0910000000000002</v>
      </c>
      <c r="AF23" s="30">
        <v>2.988</v>
      </c>
      <c r="AG23" s="30">
        <v>3.6829999999999998</v>
      </c>
      <c r="AH23" s="30">
        <v>3.0550000000000002</v>
      </c>
      <c r="AI23" s="31">
        <v>2.8780000000000001</v>
      </c>
      <c r="AJ23" s="1255">
        <v>2.742</v>
      </c>
      <c r="AK23" s="30">
        <v>3.3660000000000001</v>
      </c>
      <c r="AL23" s="30">
        <v>3.153</v>
      </c>
      <c r="AM23" s="31">
        <v>2.9870000000000001</v>
      </c>
      <c r="AN23" s="1255">
        <v>2.8370000000000002</v>
      </c>
      <c r="AO23" s="30">
        <v>2.988</v>
      </c>
      <c r="AP23" s="30">
        <v>3.0750000000000002</v>
      </c>
      <c r="AQ23" s="31">
        <v>2.9870000000000001</v>
      </c>
      <c r="AR23" s="1255">
        <v>2.8370000000000002</v>
      </c>
      <c r="AS23" s="30">
        <v>0</v>
      </c>
      <c r="AT23" s="30">
        <v>0</v>
      </c>
      <c r="AU23" s="32">
        <v>0</v>
      </c>
      <c r="AV23" s="1255"/>
      <c r="AW23" s="30">
        <v>0</v>
      </c>
      <c r="AX23" s="30">
        <v>0</v>
      </c>
      <c r="AY23" s="32">
        <v>0</v>
      </c>
      <c r="AZ23" s="1255"/>
      <c r="BA23" s="30">
        <v>0</v>
      </c>
      <c r="BB23" s="30">
        <v>0</v>
      </c>
      <c r="BC23" s="33">
        <f t="shared" ref="BC23:BG23" si="52">BB23</f>
        <v>0</v>
      </c>
      <c r="BD23" s="34">
        <f t="shared" si="52"/>
        <v>0</v>
      </c>
      <c r="BE23" s="32">
        <f t="shared" si="52"/>
        <v>0</v>
      </c>
      <c r="BF23" s="32">
        <f t="shared" si="52"/>
        <v>0</v>
      </c>
      <c r="BG23" s="33">
        <f t="shared" si="52"/>
        <v>0</v>
      </c>
      <c r="BH23" s="34">
        <f>BG23</f>
        <v>0</v>
      </c>
      <c r="BI23" s="32">
        <f>BH23</f>
        <v>0</v>
      </c>
      <c r="BJ23" s="32">
        <f>BI23</f>
        <v>0</v>
      </c>
      <c r="BK23" s="33">
        <f>BJ23</f>
        <v>0</v>
      </c>
      <c r="BL23" s="20"/>
      <c r="BM23" s="32">
        <f>SUM(D23:G23)</f>
        <v>62.140000000000008</v>
      </c>
      <c r="BN23" s="32">
        <f>SUM(H23:K23)</f>
        <v>81.186000000000007</v>
      </c>
      <c r="BO23" s="32">
        <f>SUM(L23:O23)</f>
        <v>45.989999999999995</v>
      </c>
      <c r="BP23" s="32">
        <f>SUM(P23:S23)</f>
        <v>57.1</v>
      </c>
      <c r="BQ23" s="32">
        <f>SUM(T23:W23)</f>
        <v>15.219999999999999</v>
      </c>
      <c r="BR23" s="32">
        <f>SUM(X23:AA23)</f>
        <v>14.000999999999999</v>
      </c>
      <c r="BS23" s="32">
        <f>SUM(AB23:AE23)</f>
        <v>13.138999999999999</v>
      </c>
      <c r="BT23" s="32">
        <f>SUM(AF23:AI23)</f>
        <v>12.603999999999999</v>
      </c>
      <c r="BU23" s="32">
        <f>SUM(AJ23:AM23)</f>
        <v>12.248000000000001</v>
      </c>
      <c r="BV23" s="32">
        <f>SUM(AN23:AQ23)</f>
        <v>11.887</v>
      </c>
      <c r="BW23" s="32">
        <f>SUM(AR23:AU23)</f>
        <v>2.8370000000000002</v>
      </c>
      <c r="BX23" s="32">
        <f>SUM(AV23:AY23)</f>
        <v>0</v>
      </c>
      <c r="BY23" s="32">
        <f>SUM(AZ23:BC23)</f>
        <v>0</v>
      </c>
      <c r="BZ23" s="32">
        <f>SUM(BD23:BG23)</f>
        <v>0</v>
      </c>
      <c r="CA23" s="33">
        <f>SUM(BH23:BK23)</f>
        <v>0</v>
      </c>
      <c r="CB23" s="34"/>
      <c r="CC23" s="32"/>
      <c r="CD23" s="32"/>
      <c r="CE23" s="260"/>
      <c r="CF23" s="34">
        <f>SUM(F23:I23)</f>
        <v>80.677000000000007</v>
      </c>
      <c r="CG23" s="32">
        <f>SUM(J23:M23)</f>
        <v>56.271999999999998</v>
      </c>
      <c r="CH23" s="32">
        <f>SUM(N23:Q23)</f>
        <v>61.414000000000001</v>
      </c>
      <c r="CI23" s="32">
        <f>SUM(R23:U23)</f>
        <v>25.072000000000003</v>
      </c>
      <c r="CJ23" s="32">
        <f>SUM(V23:Y23)</f>
        <v>12.137</v>
      </c>
      <c r="CK23" s="32">
        <f>SUM(Z23:AC23)</f>
        <v>13.306999999999999</v>
      </c>
      <c r="CL23" s="32">
        <f>SUM(AD23:AG23)</f>
        <v>12.861000000000001</v>
      </c>
      <c r="CM23" s="32">
        <f>SUM(AH23:AK23)</f>
        <v>12.041</v>
      </c>
      <c r="CN23" s="32">
        <f>SUM(AL23:AO23)</f>
        <v>11.965</v>
      </c>
      <c r="CO23" s="32">
        <f>SUM(AP23:AS23)</f>
        <v>8.8990000000000009</v>
      </c>
      <c r="CP23" s="32">
        <f>SUM(AT23:AW23)</f>
        <v>0</v>
      </c>
      <c r="CQ23" s="32">
        <f>SUM(AX23:BA23)</f>
        <v>0</v>
      </c>
      <c r="CR23" s="32">
        <f>SUM(BB23:BE23)</f>
        <v>0</v>
      </c>
      <c r="CS23" s="33">
        <f>SUM(BF23:BI23)</f>
        <v>0</v>
      </c>
      <c r="CT23" s="32"/>
    </row>
    <row r="24" spans="1:104" ht="14.25" hidden="1" customHeight="1" outlineLevel="1">
      <c r="A24" s="8"/>
      <c r="B24" s="28" t="s">
        <v>300</v>
      </c>
      <c r="C24" s="29"/>
      <c r="D24" s="30">
        <v>0</v>
      </c>
      <c r="E24" s="30">
        <v>0</v>
      </c>
      <c r="F24" s="30">
        <v>0</v>
      </c>
      <c r="G24" s="31">
        <v>0</v>
      </c>
      <c r="H24" s="30">
        <v>0</v>
      </c>
      <c r="I24" s="30">
        <v>0</v>
      </c>
      <c r="J24" s="30">
        <v>0</v>
      </c>
      <c r="K24" s="31">
        <v>0</v>
      </c>
      <c r="L24" s="30">
        <v>0</v>
      </c>
      <c r="M24" s="30">
        <v>0</v>
      </c>
      <c r="N24" s="30">
        <v>11.281000000000001</v>
      </c>
      <c r="O24" s="31">
        <v>11.329000000000001</v>
      </c>
      <c r="P24" s="30">
        <v>1.329</v>
      </c>
      <c r="Q24" s="30">
        <f>12.024+15.433+26.882</f>
        <v>54.338999999999999</v>
      </c>
      <c r="R24" s="30">
        <v>12.372</v>
      </c>
      <c r="S24" s="31">
        <f>18.932+2.321+0.835</f>
        <v>22.088000000000001</v>
      </c>
      <c r="T24" s="30">
        <v>2.3519999999999999</v>
      </c>
      <c r="U24" s="30">
        <v>2.3490000000000002</v>
      </c>
      <c r="V24" s="30">
        <v>2.35</v>
      </c>
      <c r="W24" s="31">
        <f>3.995+4.583</f>
        <v>8.5779999999999994</v>
      </c>
      <c r="X24" s="30">
        <f>6.349+4.357</f>
        <v>10.706</v>
      </c>
      <c r="Y24" s="30">
        <f>7.919+1.32</f>
        <v>9.238999999999999</v>
      </c>
      <c r="Z24" s="30">
        <v>7.9189999999999996</v>
      </c>
      <c r="AA24" s="31">
        <v>7.9770000000000003</v>
      </c>
      <c r="AB24" s="30">
        <v>9.4339999999999993</v>
      </c>
      <c r="AC24" s="30">
        <f>8.08+1.801</f>
        <v>9.8810000000000002</v>
      </c>
      <c r="AD24" s="30">
        <v>9.7870000000000008</v>
      </c>
      <c r="AE24" s="31">
        <v>9.3919999999999995</v>
      </c>
      <c r="AF24" s="30">
        <v>9.4540000000000006</v>
      </c>
      <c r="AG24" s="30">
        <v>8.9860000000000007</v>
      </c>
      <c r="AH24" s="30">
        <v>7.7770000000000001</v>
      </c>
      <c r="AI24" s="31">
        <v>7.7770000000000001</v>
      </c>
      <c r="AJ24" s="1255">
        <v>8.0920000000000005</v>
      </c>
      <c r="AK24" s="30">
        <f>13.066+19.098</f>
        <v>32.164000000000001</v>
      </c>
      <c r="AL24" s="30">
        <f>18.542+5.518</f>
        <v>24.060000000000002</v>
      </c>
      <c r="AM24" s="31">
        <f>18.75+0.371</f>
        <v>19.120999999999999</v>
      </c>
      <c r="AN24" s="1255">
        <v>18.75</v>
      </c>
      <c r="AO24" s="30">
        <f>18.75+8.895</f>
        <v>27.645</v>
      </c>
      <c r="AP24" s="30">
        <f>18.75+9.834</f>
        <v>28.584</v>
      </c>
      <c r="AQ24" s="31">
        <f>18.116+32.765</f>
        <v>50.881</v>
      </c>
      <c r="AR24" s="1255">
        <f>16.638+43.631</f>
        <v>60.269000000000005</v>
      </c>
      <c r="AS24" s="30">
        <f>14.734+2.032</f>
        <v>16.765999999999998</v>
      </c>
      <c r="AT24" s="30">
        <f>11.829+4.066+6.123</f>
        <v>22.018000000000001</v>
      </c>
      <c r="AU24" s="30">
        <f>11.829+4.098+0</f>
        <v>15.927</v>
      </c>
      <c r="AV24" s="1255">
        <f>12.602+1.178</f>
        <v>13.780000000000001</v>
      </c>
      <c r="AW24" s="30">
        <v>12.933</v>
      </c>
      <c r="AX24" s="30">
        <f>11.064+1.103</f>
        <v>12.167</v>
      </c>
      <c r="AY24" s="30">
        <v>11.064</v>
      </c>
      <c r="AZ24" s="1255">
        <v>11.064</v>
      </c>
      <c r="BA24" s="30">
        <v>11.138999999999999</v>
      </c>
      <c r="BB24" s="30">
        <v>12.101000000000001</v>
      </c>
      <c r="BC24" s="30">
        <v>11</v>
      </c>
      <c r="BD24" s="34">
        <v>0</v>
      </c>
      <c r="BE24" s="32">
        <v>0</v>
      </c>
      <c r="BF24" s="32">
        <v>0</v>
      </c>
      <c r="BG24" s="33">
        <v>0</v>
      </c>
      <c r="BH24" s="34">
        <v>0</v>
      </c>
      <c r="BI24" s="32">
        <v>0</v>
      </c>
      <c r="BJ24" s="32">
        <v>0</v>
      </c>
      <c r="BK24" s="33">
        <v>0</v>
      </c>
      <c r="BL24" s="20"/>
      <c r="BM24" s="32">
        <f>SUM(D24:G24)</f>
        <v>0</v>
      </c>
      <c r="BN24" s="32">
        <f>SUM(H24:K24)</f>
        <v>0</v>
      </c>
      <c r="BO24" s="32">
        <f>SUM(L24:O24)</f>
        <v>22.61</v>
      </c>
      <c r="BP24" s="32">
        <f>SUM(P24:S24)</f>
        <v>90.127999999999986</v>
      </c>
      <c r="BQ24" s="32">
        <f>SUM(T24:W24)</f>
        <v>15.629</v>
      </c>
      <c r="BR24" s="32">
        <f>SUM(X24:AA24)</f>
        <v>35.841000000000001</v>
      </c>
      <c r="BS24" s="32">
        <f>SUM(AB24:AE24)</f>
        <v>38.494</v>
      </c>
      <c r="BT24" s="32">
        <f>SUM(AF24:AI24)</f>
        <v>33.994</v>
      </c>
      <c r="BU24" s="32">
        <f>SUM(AJ24:AM24)</f>
        <v>83.436999999999998</v>
      </c>
      <c r="BV24" s="32">
        <f>SUM(AN24:AQ24)</f>
        <v>125.86</v>
      </c>
      <c r="BW24" s="32">
        <f>SUM(AR24:AU24)</f>
        <v>114.97999999999999</v>
      </c>
      <c r="BX24" s="32">
        <f>SUM(AV24:AY24)</f>
        <v>49.944000000000003</v>
      </c>
      <c r="BY24" s="32">
        <f>SUM(AZ24:BC24)</f>
        <v>45.304000000000002</v>
      </c>
      <c r="BZ24" s="32">
        <f>SUM(BD24:BG24)</f>
        <v>0</v>
      </c>
      <c r="CA24" s="33">
        <f>SUM(BH24:BK24)</f>
        <v>0</v>
      </c>
      <c r="CB24" s="34"/>
      <c r="CC24" s="32"/>
      <c r="CD24" s="32"/>
      <c r="CE24" s="260"/>
      <c r="CF24" s="34">
        <f>SUM(F24:I24)</f>
        <v>0</v>
      </c>
      <c r="CG24" s="32">
        <f>SUM(J24:M24)</f>
        <v>0</v>
      </c>
      <c r="CH24" s="32">
        <f>SUM(N24:Q24)</f>
        <v>78.277999999999992</v>
      </c>
      <c r="CI24" s="32">
        <f>SUM(R24:U24)</f>
        <v>39.161000000000001</v>
      </c>
      <c r="CJ24" s="32">
        <f>SUM(V24:Y24)</f>
        <v>30.872999999999998</v>
      </c>
      <c r="CK24" s="32">
        <f>SUM(Z24:AC24)</f>
        <v>35.210999999999999</v>
      </c>
      <c r="CL24" s="32">
        <f>SUM(AD24:AG24)</f>
        <v>37.619</v>
      </c>
      <c r="CM24" s="32">
        <f>SUM(AH24:AK24)</f>
        <v>55.81</v>
      </c>
      <c r="CN24" s="32">
        <f>SUM(AL24:AO24)</f>
        <v>89.575999999999993</v>
      </c>
      <c r="CO24" s="32">
        <f>SUM(AP24:AS24)</f>
        <v>156.5</v>
      </c>
      <c r="CP24" s="32">
        <f>SUM(AT24:AW24)</f>
        <v>64.658000000000001</v>
      </c>
      <c r="CQ24" s="32">
        <f>SUM(AX24:BA24)</f>
        <v>45.433999999999997</v>
      </c>
      <c r="CR24" s="32">
        <f>SUM(BB24:BE24)</f>
        <v>23.100999999999999</v>
      </c>
      <c r="CS24" s="33">
        <f>SUM(BF24:BI24)</f>
        <v>0</v>
      </c>
      <c r="CT24" s="32"/>
    </row>
    <row r="25" spans="1:104" ht="14.25" hidden="1" customHeight="1" outlineLevel="1">
      <c r="A25" s="8"/>
      <c r="B25" s="28" t="s">
        <v>301</v>
      </c>
      <c r="C25" s="29"/>
      <c r="D25" s="30">
        <v>0</v>
      </c>
      <c r="E25" s="30">
        <v>0</v>
      </c>
      <c r="F25" s="30">
        <v>0</v>
      </c>
      <c r="G25" s="31">
        <v>0</v>
      </c>
      <c r="H25" s="30">
        <v>0</v>
      </c>
      <c r="I25" s="30">
        <v>0</v>
      </c>
      <c r="J25" s="30">
        <v>0</v>
      </c>
      <c r="K25" s="31">
        <v>0</v>
      </c>
      <c r="L25" s="30">
        <v>0</v>
      </c>
      <c r="M25" s="30">
        <v>0</v>
      </c>
      <c r="N25" s="30">
        <v>0</v>
      </c>
      <c r="O25" s="31">
        <v>0</v>
      </c>
      <c r="P25" s="30">
        <v>0</v>
      </c>
      <c r="Q25" s="30">
        <v>0</v>
      </c>
      <c r="R25" s="30">
        <v>0</v>
      </c>
      <c r="S25" s="31">
        <v>0</v>
      </c>
      <c r="T25" s="30">
        <v>0</v>
      </c>
      <c r="U25" s="30">
        <v>0</v>
      </c>
      <c r="V25" s="30">
        <v>0</v>
      </c>
      <c r="W25" s="31">
        <v>0</v>
      </c>
      <c r="X25" s="30">
        <v>0</v>
      </c>
      <c r="Y25" s="30">
        <v>0</v>
      </c>
      <c r="Z25" s="30">
        <v>0</v>
      </c>
      <c r="AA25" s="31">
        <v>0</v>
      </c>
      <c r="AB25" s="30">
        <f>AA25</f>
        <v>0</v>
      </c>
      <c r="AC25" s="30">
        <v>0</v>
      </c>
      <c r="AD25" s="30">
        <v>0</v>
      </c>
      <c r="AE25" s="33">
        <f t="shared" ref="AE25:BB25" si="53">AD25</f>
        <v>0</v>
      </c>
      <c r="AF25" s="32">
        <f t="shared" si="53"/>
        <v>0</v>
      </c>
      <c r="AG25" s="32">
        <f t="shared" si="53"/>
        <v>0</v>
      </c>
      <c r="AH25" s="32">
        <f t="shared" si="53"/>
        <v>0</v>
      </c>
      <c r="AI25" s="33">
        <f t="shared" si="53"/>
        <v>0</v>
      </c>
      <c r="AJ25" s="34">
        <f t="shared" si="53"/>
        <v>0</v>
      </c>
      <c r="AK25" s="32">
        <f t="shared" si="53"/>
        <v>0</v>
      </c>
      <c r="AL25" s="32">
        <f t="shared" si="53"/>
        <v>0</v>
      </c>
      <c r="AM25" s="33">
        <f t="shared" si="53"/>
        <v>0</v>
      </c>
      <c r="AN25" s="34">
        <f t="shared" si="53"/>
        <v>0</v>
      </c>
      <c r="AO25" s="32">
        <f t="shared" si="53"/>
        <v>0</v>
      </c>
      <c r="AP25" s="32">
        <f t="shared" si="53"/>
        <v>0</v>
      </c>
      <c r="AQ25" s="33">
        <f t="shared" si="53"/>
        <v>0</v>
      </c>
      <c r="AR25" s="34">
        <f t="shared" si="53"/>
        <v>0</v>
      </c>
      <c r="AS25" s="32">
        <f t="shared" si="53"/>
        <v>0</v>
      </c>
      <c r="AT25" s="32">
        <f t="shared" si="53"/>
        <v>0</v>
      </c>
      <c r="AU25" s="32">
        <f>AT25</f>
        <v>0</v>
      </c>
      <c r="AV25" s="34">
        <f t="shared" si="53"/>
        <v>0</v>
      </c>
      <c r="AW25" s="32">
        <f t="shared" si="53"/>
        <v>0</v>
      </c>
      <c r="AX25" s="32">
        <f t="shared" si="53"/>
        <v>0</v>
      </c>
      <c r="AY25" s="32">
        <f>AX25</f>
        <v>0</v>
      </c>
      <c r="AZ25" s="34">
        <f t="shared" si="53"/>
        <v>0</v>
      </c>
      <c r="BA25" s="32">
        <f t="shared" si="53"/>
        <v>0</v>
      </c>
      <c r="BB25" s="32">
        <f t="shared" si="53"/>
        <v>0</v>
      </c>
      <c r="BC25" s="33">
        <f t="shared" ref="BC25:BG25" si="54">BB25</f>
        <v>0</v>
      </c>
      <c r="BD25" s="34">
        <f t="shared" si="54"/>
        <v>0</v>
      </c>
      <c r="BE25" s="32">
        <f t="shared" si="54"/>
        <v>0</v>
      </c>
      <c r="BF25" s="32">
        <f t="shared" si="54"/>
        <v>0</v>
      </c>
      <c r="BG25" s="33">
        <f t="shared" si="54"/>
        <v>0</v>
      </c>
      <c r="BH25" s="34">
        <f>BG25</f>
        <v>0</v>
      </c>
      <c r="BI25" s="32">
        <f>BH25</f>
        <v>0</v>
      </c>
      <c r="BJ25" s="32">
        <f>BI25</f>
        <v>0</v>
      </c>
      <c r="BK25" s="33">
        <f>BJ25</f>
        <v>0</v>
      </c>
      <c r="BL25" s="20"/>
      <c r="BM25" s="32">
        <f>SUM(D25:G25)</f>
        <v>0</v>
      </c>
      <c r="BN25" s="32">
        <f>SUM(H25:K25)</f>
        <v>0</v>
      </c>
      <c r="BO25" s="32">
        <f>SUM(L25:O25)</f>
        <v>0</v>
      </c>
      <c r="BP25" s="32">
        <f>SUM(P25:S25)</f>
        <v>0</v>
      </c>
      <c r="BQ25" s="32">
        <f>SUM(T25:W25)</f>
        <v>0</v>
      </c>
      <c r="BR25" s="32">
        <f>SUM(X25:AA25)</f>
        <v>0</v>
      </c>
      <c r="BS25" s="32">
        <f>SUM(AB25:AE25)</f>
        <v>0</v>
      </c>
      <c r="BT25" s="32">
        <f>SUM(AF25:AI25)</f>
        <v>0</v>
      </c>
      <c r="BU25" s="32">
        <f>SUM(AJ25:AM25)</f>
        <v>0</v>
      </c>
      <c r="BV25" s="32">
        <f>SUM(AN25:AQ25)</f>
        <v>0</v>
      </c>
      <c r="BW25" s="32">
        <f>SUM(AR25:AU25)</f>
        <v>0</v>
      </c>
      <c r="BX25" s="32">
        <f>SUM(AV25:AY25)</f>
        <v>0</v>
      </c>
      <c r="BY25" s="32">
        <f>SUM(AZ25:BC25)</f>
        <v>0</v>
      </c>
      <c r="BZ25" s="32">
        <f>SUM(BD25:BG25)</f>
        <v>0</v>
      </c>
      <c r="CA25" s="33">
        <f>SUM(BH25:BK25)</f>
        <v>0</v>
      </c>
      <c r="CB25" s="34"/>
      <c r="CC25" s="32"/>
      <c r="CD25" s="32"/>
      <c r="CE25" s="260"/>
      <c r="CF25" s="34">
        <f>SUM(F25:I25)</f>
        <v>0</v>
      </c>
      <c r="CG25" s="32">
        <f>SUM(J25:M25)</f>
        <v>0</v>
      </c>
      <c r="CH25" s="32">
        <f>SUM(N25:Q25)</f>
        <v>0</v>
      </c>
      <c r="CI25" s="32">
        <f>SUM(R25:U25)</f>
        <v>0</v>
      </c>
      <c r="CJ25" s="32">
        <f>SUM(V25:Y25)</f>
        <v>0</v>
      </c>
      <c r="CK25" s="32">
        <f>SUM(Z25:AC25)</f>
        <v>0</v>
      </c>
      <c r="CL25" s="32">
        <f>SUM(AD25:AG25)</f>
        <v>0</v>
      </c>
      <c r="CM25" s="32">
        <f>SUM(AH25:AK25)</f>
        <v>0</v>
      </c>
      <c r="CN25" s="32">
        <f>SUM(AL25:AO25)</f>
        <v>0</v>
      </c>
      <c r="CO25" s="32">
        <f>SUM(AP25:AS25)</f>
        <v>0</v>
      </c>
      <c r="CP25" s="32">
        <f>SUM(AT25:AW25)</f>
        <v>0</v>
      </c>
      <c r="CQ25" s="32">
        <f>SUM(AX25:BA25)</f>
        <v>0</v>
      </c>
      <c r="CR25" s="32">
        <f>SUM(BB25:BE25)</f>
        <v>0</v>
      </c>
      <c r="CS25" s="33">
        <f>SUM(BF25:BI25)</f>
        <v>0</v>
      </c>
      <c r="CT25" s="32"/>
    </row>
    <row r="26" spans="1:104" ht="14.25" hidden="1" customHeight="1" outlineLevel="1">
      <c r="A26" s="8"/>
      <c r="B26" s="23" t="s">
        <v>302</v>
      </c>
      <c r="C26" s="24"/>
      <c r="D26" s="32">
        <f t="shared" ref="D26:W26" si="55">D21-D24-D23-D25</f>
        <v>124.63800000000001</v>
      </c>
      <c r="E26" s="32">
        <f t="shared" si="55"/>
        <v>136.001</v>
      </c>
      <c r="F26" s="32">
        <f t="shared" si="55"/>
        <v>149.26299999999998</v>
      </c>
      <c r="G26" s="33">
        <f t="shared" si="55"/>
        <v>166.50500000000002</v>
      </c>
      <c r="H26" s="32">
        <f t="shared" si="55"/>
        <v>167.12800000000001</v>
      </c>
      <c r="I26" s="32">
        <f t="shared" si="55"/>
        <v>173.58500000000001</v>
      </c>
      <c r="J26" s="32">
        <f t="shared" si="55"/>
        <v>175.50200000000001</v>
      </c>
      <c r="K26" s="33">
        <f t="shared" si="55"/>
        <v>185.09300000000007</v>
      </c>
      <c r="L26" s="32">
        <f t="shared" si="55"/>
        <v>187.87299999999999</v>
      </c>
      <c r="M26" s="32">
        <f t="shared" si="55"/>
        <v>192.65199999999999</v>
      </c>
      <c r="N26" s="32">
        <f t="shared" si="55"/>
        <v>176.208</v>
      </c>
      <c r="O26" s="33">
        <f t="shared" si="55"/>
        <v>178.74999999999997</v>
      </c>
      <c r="P26" s="32">
        <f t="shared" si="55"/>
        <v>196.405</v>
      </c>
      <c r="Q26" s="32">
        <f t="shared" si="55"/>
        <v>126.417</v>
      </c>
      <c r="R26" s="32">
        <f t="shared" si="55"/>
        <v>152.01400000000001</v>
      </c>
      <c r="S26" s="33">
        <f t="shared" si="55"/>
        <v>175.07399999999998</v>
      </c>
      <c r="T26" s="32">
        <f t="shared" si="55"/>
        <v>189.80599999999998</v>
      </c>
      <c r="U26" s="32">
        <f t="shared" si="55"/>
        <v>174.11300000000003</v>
      </c>
      <c r="V26" s="32">
        <f t="shared" si="55"/>
        <v>196.756</v>
      </c>
      <c r="W26" s="33">
        <f t="shared" si="55"/>
        <v>213.01300000000003</v>
      </c>
      <c r="X26" s="32">
        <f t="shared" ref="X26:AK26" si="56">X21-X24-X23-X25</f>
        <v>225.32400000000001</v>
      </c>
      <c r="Y26" s="32">
        <f t="shared" si="56"/>
        <v>219.67400000000001</v>
      </c>
      <c r="Z26" s="32">
        <f t="shared" si="56"/>
        <v>222.86999999999998</v>
      </c>
      <c r="AA26" s="33">
        <f t="shared" si="56"/>
        <v>224.66699999999994</v>
      </c>
      <c r="AB26" s="32">
        <f>AB21-AB24-AB23-AB25</f>
        <v>227.83799999999999</v>
      </c>
      <c r="AC26" s="32">
        <f t="shared" si="56"/>
        <v>229.82599999999999</v>
      </c>
      <c r="AD26" s="32">
        <f t="shared" si="56"/>
        <v>222.89600000000002</v>
      </c>
      <c r="AE26" s="33">
        <f>AE21-AE24-AE23-AE25</f>
        <v>220.48400000000001</v>
      </c>
      <c r="AF26" s="32">
        <f>AF21-AF24-AF23-AF25</f>
        <v>224.94199999999998</v>
      </c>
      <c r="AG26" s="32">
        <f t="shared" si="56"/>
        <v>229.26200000000003</v>
      </c>
      <c r="AH26" s="32">
        <f t="shared" si="56"/>
        <v>217.95000000000002</v>
      </c>
      <c r="AI26" s="33">
        <f>AI21-AI24-AI23-AI25</f>
        <v>226.14</v>
      </c>
      <c r="AJ26" s="34">
        <f>AJ21-AJ24-AJ23-AJ25</f>
        <v>227.21099999999998</v>
      </c>
      <c r="AK26" s="32">
        <f t="shared" si="56"/>
        <v>256.072</v>
      </c>
      <c r="AL26" s="32">
        <f t="shared" ref="AL26:AQ26" si="57">AL21-AL24-AL23-AL25</f>
        <v>238.53100000000003</v>
      </c>
      <c r="AM26" s="33">
        <f t="shared" si="57"/>
        <v>251.399</v>
      </c>
      <c r="AN26" s="34">
        <f t="shared" si="57"/>
        <v>219.958</v>
      </c>
      <c r="AO26" s="32">
        <f t="shared" si="57"/>
        <v>222.09899999999999</v>
      </c>
      <c r="AP26" s="32">
        <f t="shared" si="57"/>
        <v>230.33600000000001</v>
      </c>
      <c r="AQ26" s="33">
        <f t="shared" si="57"/>
        <v>224.94799999999998</v>
      </c>
      <c r="AR26" s="34">
        <f t="shared" ref="AR26:BC26" si="58">AR21-AR24-AR23-AR25</f>
        <v>213.053</v>
      </c>
      <c r="AS26" s="32">
        <f t="shared" si="58"/>
        <v>201.89600000000002</v>
      </c>
      <c r="AT26" s="32">
        <f t="shared" si="58"/>
        <v>214.393</v>
      </c>
      <c r="AU26" s="32">
        <f t="shared" si="58"/>
        <v>203.172</v>
      </c>
      <c r="AV26" s="34">
        <f t="shared" ref="AV26:BA26" si="59">AV21-AV24-AV23-AV25</f>
        <v>201.88399999999999</v>
      </c>
      <c r="AW26" s="32">
        <f t="shared" si="59"/>
        <v>197.887</v>
      </c>
      <c r="AX26" s="32">
        <f t="shared" si="59"/>
        <v>202.14500000000001</v>
      </c>
      <c r="AY26" s="32">
        <f t="shared" si="59"/>
        <v>197.27500000000001</v>
      </c>
      <c r="AZ26" s="34">
        <f t="shared" si="59"/>
        <v>190.78100000000001</v>
      </c>
      <c r="BA26" s="32">
        <f t="shared" si="59"/>
        <v>201.822</v>
      </c>
      <c r="BB26" s="32">
        <f t="shared" ref="BB26" si="60">BB21-BB24-BB23-BB25</f>
        <v>212.55199999999999</v>
      </c>
      <c r="BC26" s="33">
        <f t="shared" si="58"/>
        <v>207.86268322049997</v>
      </c>
      <c r="BD26" s="34">
        <f t="shared" ref="BD26:BK26" si="61">BD21-BD24-BD23-BD25</f>
        <v>202.75274788691999</v>
      </c>
      <c r="BE26" s="32">
        <f t="shared" si="61"/>
        <v>202.51692770701996</v>
      </c>
      <c r="BF26" s="32">
        <f t="shared" si="61"/>
        <v>211.8089319216611</v>
      </c>
      <c r="BG26" s="33">
        <f t="shared" si="61"/>
        <v>212.08514537527273</v>
      </c>
      <c r="BH26" s="34">
        <f t="shared" si="61"/>
        <v>209.32603155856219</v>
      </c>
      <c r="BI26" s="32">
        <f t="shared" si="61"/>
        <v>209.16524676461268</v>
      </c>
      <c r="BJ26" s="32">
        <f t="shared" si="61"/>
        <v>216.33400357884295</v>
      </c>
      <c r="BK26" s="33">
        <f t="shared" si="61"/>
        <v>220.71041768159614</v>
      </c>
      <c r="BL26" s="20"/>
      <c r="BM26" s="32">
        <f t="shared" ref="BM26:BR26" si="62">BM21-BM24-BM23-BM25</f>
        <v>576.40700000000004</v>
      </c>
      <c r="BN26" s="32">
        <f t="shared" si="62"/>
        <v>701.30799999999999</v>
      </c>
      <c r="BO26" s="32">
        <f t="shared" si="62"/>
        <v>735.48299999999995</v>
      </c>
      <c r="BP26" s="32">
        <f t="shared" si="62"/>
        <v>649.91</v>
      </c>
      <c r="BQ26" s="32">
        <f t="shared" si="62"/>
        <v>773.68799999999999</v>
      </c>
      <c r="BR26" s="32">
        <f t="shared" si="62"/>
        <v>892.53499999999997</v>
      </c>
      <c r="BS26" s="32">
        <f t="shared" ref="BS26:CA26" si="63">BS21-BS24-BS23-BS25</f>
        <v>901.04399999999998</v>
      </c>
      <c r="BT26" s="32">
        <f t="shared" si="63"/>
        <v>898.29399999999987</v>
      </c>
      <c r="BU26" s="32">
        <f t="shared" si="63"/>
        <v>973.21299999999985</v>
      </c>
      <c r="BV26" s="32">
        <f t="shared" si="63"/>
        <v>897.34099999999989</v>
      </c>
      <c r="BW26" s="32">
        <f t="shared" si="63"/>
        <v>832.5139999999999</v>
      </c>
      <c r="BX26" s="32">
        <f t="shared" si="63"/>
        <v>799.19100000000003</v>
      </c>
      <c r="BY26" s="32">
        <f t="shared" si="63"/>
        <v>813.01768322050009</v>
      </c>
      <c r="BZ26" s="32">
        <f t="shared" si="63"/>
        <v>829.16375289087387</v>
      </c>
      <c r="CA26" s="33">
        <f t="shared" si="63"/>
        <v>855.53569958361402</v>
      </c>
      <c r="CB26" s="34"/>
      <c r="CC26" s="32"/>
      <c r="CD26" s="32"/>
      <c r="CE26" s="260"/>
      <c r="CF26" s="34">
        <f t="shared" ref="CF26:CL26" si="64">CF21-CF24-CF23-CF25</f>
        <v>656.48099999999999</v>
      </c>
      <c r="CG26" s="32">
        <f t="shared" si="64"/>
        <v>741.12</v>
      </c>
      <c r="CH26" s="32">
        <f t="shared" si="64"/>
        <v>677.78</v>
      </c>
      <c r="CI26" s="32">
        <f t="shared" si="64"/>
        <v>691.00699999999995</v>
      </c>
      <c r="CJ26" s="32">
        <f t="shared" si="64"/>
        <v>854.76700000000005</v>
      </c>
      <c r="CK26" s="32">
        <f t="shared" si="64"/>
        <v>905.20099999999991</v>
      </c>
      <c r="CL26" s="32">
        <f t="shared" si="64"/>
        <v>897.58400000000006</v>
      </c>
      <c r="CM26" s="32">
        <f t="shared" ref="CM26:CR26" si="65">CM21-CM24-CM23-CM25</f>
        <v>927.37299999999993</v>
      </c>
      <c r="CN26" s="32">
        <f t="shared" si="65"/>
        <v>931.98699999999997</v>
      </c>
      <c r="CO26" s="32">
        <f t="shared" si="65"/>
        <v>870.23299999999983</v>
      </c>
      <c r="CP26" s="32">
        <f t="shared" si="65"/>
        <v>817.3359999999999</v>
      </c>
      <c r="CQ26" s="32">
        <f t="shared" si="65"/>
        <v>792.02300000000002</v>
      </c>
      <c r="CR26" s="32">
        <f t="shared" si="65"/>
        <v>825.68435881443986</v>
      </c>
      <c r="CS26" s="33">
        <f>CS21-CS24-CS23-CS25</f>
        <v>842.38535562010861</v>
      </c>
      <c r="CT26" s="32"/>
    </row>
    <row r="27" spans="1:104" ht="14.25" hidden="1" customHeight="1" outlineLevel="1">
      <c r="A27" s="8"/>
      <c r="B27" s="35" t="s">
        <v>298</v>
      </c>
      <c r="C27" s="36"/>
      <c r="D27" s="37">
        <f t="shared" ref="D27:W27" si="66">D26/D17</f>
        <v>0.29389169879390231</v>
      </c>
      <c r="E27" s="37">
        <f t="shared" si="66"/>
        <v>0.30526351230023346</v>
      </c>
      <c r="F27" s="37">
        <f t="shared" si="66"/>
        <v>0.31215467302423816</v>
      </c>
      <c r="G27" s="38">
        <f t="shared" si="66"/>
        <v>0.32701901170555436</v>
      </c>
      <c r="H27" s="37">
        <f t="shared" si="66"/>
        <v>0.33243095406219858</v>
      </c>
      <c r="I27" s="37">
        <f t="shared" si="66"/>
        <v>0.34894753876245599</v>
      </c>
      <c r="J27" s="37">
        <f t="shared" si="66"/>
        <v>0.36827151478525089</v>
      </c>
      <c r="K27" s="38">
        <f t="shared" si="66"/>
        <v>0.34767736724458564</v>
      </c>
      <c r="L27" s="37">
        <f t="shared" si="66"/>
        <v>0.35848084551815462</v>
      </c>
      <c r="M27" s="37">
        <f t="shared" si="66"/>
        <v>0.35674644692375351</v>
      </c>
      <c r="N27" s="37">
        <f t="shared" si="66"/>
        <v>0.36151904967070841</v>
      </c>
      <c r="O27" s="38">
        <f t="shared" si="66"/>
        <v>0.35659638476101557</v>
      </c>
      <c r="P27" s="37">
        <f t="shared" si="66"/>
        <v>0.39186638574313054</v>
      </c>
      <c r="Q27" s="37">
        <f t="shared" si="66"/>
        <v>0.30782735739940342</v>
      </c>
      <c r="R27" s="37">
        <f t="shared" si="66"/>
        <v>0.44754095947477662</v>
      </c>
      <c r="S27" s="38">
        <f t="shared" si="66"/>
        <v>0.44381969777245961</v>
      </c>
      <c r="T27" s="37">
        <f t="shared" si="66"/>
        <v>0.42249903171091113</v>
      </c>
      <c r="U27" s="37">
        <f t="shared" si="66"/>
        <v>0.36770324065763499</v>
      </c>
      <c r="V27" s="37">
        <f t="shared" si="66"/>
        <v>0.38664518157522404</v>
      </c>
      <c r="W27" s="38">
        <f t="shared" si="66"/>
        <v>0.3763733254176076</v>
      </c>
      <c r="X27" s="37">
        <f t="shared" ref="X27:AK27" si="67">X26/X17</f>
        <v>0.35986258642250363</v>
      </c>
      <c r="Y27" s="37">
        <f t="shared" si="67"/>
        <v>0.35839630891316548</v>
      </c>
      <c r="Z27" s="37">
        <f t="shared" si="67"/>
        <v>0.36730254212846603</v>
      </c>
      <c r="AA27" s="38">
        <f t="shared" si="67"/>
        <v>0.35861169593816999</v>
      </c>
      <c r="AB27" s="37">
        <f t="shared" si="67"/>
        <v>0.35823472253231908</v>
      </c>
      <c r="AC27" s="37">
        <f t="shared" si="67"/>
        <v>0.3886404028686466</v>
      </c>
      <c r="AD27" s="37">
        <f t="shared" si="67"/>
        <v>0.39021589182300093</v>
      </c>
      <c r="AE27" s="38">
        <f>AE26/AE17</f>
        <v>0.36446287002691108</v>
      </c>
      <c r="AF27" s="37">
        <f>AF26/AF17</f>
        <v>0.36101913894795967</v>
      </c>
      <c r="AG27" s="37">
        <f t="shared" si="67"/>
        <v>0.3787538864640364</v>
      </c>
      <c r="AH27" s="37">
        <f t="shared" si="67"/>
        <v>0.36031701946158273</v>
      </c>
      <c r="AI27" s="38">
        <f>AI26/AI17</f>
        <v>0.37182214885381965</v>
      </c>
      <c r="AJ27" s="39">
        <f>AJ26/AJ17</f>
        <v>0.38823493227576328</v>
      </c>
      <c r="AK27" s="37">
        <f t="shared" si="67"/>
        <v>0.41283690756020724</v>
      </c>
      <c r="AL27" s="37">
        <f t="shared" ref="AL27:AQ27" si="68">AL26/AL17</f>
        <v>0.39382282092388571</v>
      </c>
      <c r="AM27" s="38">
        <f t="shared" si="68"/>
        <v>0.39130258830414638</v>
      </c>
      <c r="AN27" s="39">
        <f t="shared" si="68"/>
        <v>0.37905820516134592</v>
      </c>
      <c r="AO27" s="37">
        <f t="shared" si="68"/>
        <v>0.39184099052767335</v>
      </c>
      <c r="AP27" s="37">
        <f t="shared" si="68"/>
        <v>0.39901396763693497</v>
      </c>
      <c r="AQ27" s="38">
        <f t="shared" si="68"/>
        <v>0.3861655539666653</v>
      </c>
      <c r="AR27" s="39">
        <f t="shared" ref="AR27:BC27" si="69">AR26/AR17</f>
        <v>0.37875415548168034</v>
      </c>
      <c r="AS27" s="37">
        <f t="shared" si="69"/>
        <v>0.39523051655048347</v>
      </c>
      <c r="AT27" s="37">
        <f t="shared" si="69"/>
        <v>0.38611837508014385</v>
      </c>
      <c r="AU27" s="37">
        <f t="shared" si="69"/>
        <v>0.35888123845221737</v>
      </c>
      <c r="AV27" s="39">
        <f t="shared" ref="AV27:BA27" si="70">AV26/AV17</f>
        <v>0.35961068479290909</v>
      </c>
      <c r="AW27" s="37">
        <f t="shared" si="70"/>
        <v>0.35914286440241161</v>
      </c>
      <c r="AX27" s="37">
        <f t="shared" si="70"/>
        <v>0.34779668832241373</v>
      </c>
      <c r="AY27" s="37">
        <f t="shared" si="70"/>
        <v>0.32769661381549986</v>
      </c>
      <c r="AZ27" s="39">
        <f t="shared" si="70"/>
        <v>0.33140342831731734</v>
      </c>
      <c r="BA27" s="37">
        <f t="shared" si="70"/>
        <v>0.32414071120090843</v>
      </c>
      <c r="BB27" s="37">
        <f t="shared" ref="BB27" si="71">BB26/BB17</f>
        <v>0.32770941675827436</v>
      </c>
      <c r="BC27" s="38">
        <f t="shared" si="69"/>
        <v>0.32999999999999996</v>
      </c>
      <c r="BD27" s="39">
        <f t="shared" ref="BD27:BK27" si="72">BD26/BD17</f>
        <v>0.32999999999999996</v>
      </c>
      <c r="BE27" s="37">
        <f t="shared" si="72"/>
        <v>0.32899999999999996</v>
      </c>
      <c r="BF27" s="37">
        <f t="shared" si="72"/>
        <v>0.32699999999999996</v>
      </c>
      <c r="BG27" s="38">
        <f t="shared" si="72"/>
        <v>0.32399999999999995</v>
      </c>
      <c r="BH27" s="39">
        <f t="shared" si="72"/>
        <v>0.32499999999999996</v>
      </c>
      <c r="BI27" s="37">
        <f t="shared" si="72"/>
        <v>0.32499999999999996</v>
      </c>
      <c r="BJ27" s="37">
        <f t="shared" si="72"/>
        <v>0.32299999999999995</v>
      </c>
      <c r="BK27" s="38">
        <f t="shared" si="72"/>
        <v>0.32099999999999995</v>
      </c>
      <c r="BL27" s="20"/>
      <c r="BM27" s="37">
        <f t="shared" ref="BM27:BR27" si="73">BM26/BM17</f>
        <v>0.31040607018516975</v>
      </c>
      <c r="BN27" s="37">
        <f t="shared" si="73"/>
        <v>0.34906158106717161</v>
      </c>
      <c r="BO27" s="37">
        <f t="shared" si="73"/>
        <v>0.35828580030134699</v>
      </c>
      <c r="BP27" s="37">
        <f t="shared" si="73"/>
        <v>0.39483844314905991</v>
      </c>
      <c r="BQ27" s="37">
        <f t="shared" si="73"/>
        <v>0.38730818886435392</v>
      </c>
      <c r="BR27" s="37">
        <f t="shared" si="73"/>
        <v>0.36100804864701114</v>
      </c>
      <c r="BS27" s="37">
        <f t="shared" ref="BS27:CA27" si="74">BS26/BS17</f>
        <v>0.37488376466437473</v>
      </c>
      <c r="BT27" s="37">
        <f t="shared" si="74"/>
        <v>0.36793327268653697</v>
      </c>
      <c r="BU27" s="37">
        <f t="shared" si="74"/>
        <v>0.39663678345396242</v>
      </c>
      <c r="BV27" s="37">
        <f t="shared" si="74"/>
        <v>0.38898738720618126</v>
      </c>
      <c r="BW27" s="37">
        <f t="shared" si="74"/>
        <v>0.37932600938890121</v>
      </c>
      <c r="BX27" s="37">
        <f t="shared" si="74"/>
        <v>0.34813808064505586</v>
      </c>
      <c r="BY27" s="37">
        <f t="shared" si="74"/>
        <v>0.32825340686033216</v>
      </c>
      <c r="BZ27" s="37">
        <f t="shared" si="74"/>
        <v>0.32743856310241548</v>
      </c>
      <c r="CA27" s="38">
        <f t="shared" si="74"/>
        <v>0.32345375706456225</v>
      </c>
      <c r="CB27" s="39"/>
      <c r="CC27" s="37"/>
      <c r="CD27" s="37"/>
      <c r="CE27" s="260"/>
      <c r="CF27" s="39">
        <f t="shared" ref="CF27:CL27" si="75">CF26/CF17</f>
        <v>0.33030025237380306</v>
      </c>
      <c r="CG27" s="37">
        <f t="shared" si="75"/>
        <v>0.35750533518054711</v>
      </c>
      <c r="CH27" s="37">
        <f t="shared" si="75"/>
        <v>0.35662195694312615</v>
      </c>
      <c r="CI27" s="37">
        <f t="shared" si="75"/>
        <v>0.4170488569899034</v>
      </c>
      <c r="CJ27" s="37">
        <f t="shared" si="75"/>
        <v>0.36940261902220345</v>
      </c>
      <c r="CK27" s="37">
        <f t="shared" si="75"/>
        <v>0.36787412314015905</v>
      </c>
      <c r="CL27" s="37">
        <f t="shared" si="75"/>
        <v>0.37328580120430072</v>
      </c>
      <c r="CM27" s="37">
        <f t="shared" ref="CM27:CR27" si="76">CM26/CM17</f>
        <v>0.38343491443165512</v>
      </c>
      <c r="CN27" s="37">
        <f t="shared" si="76"/>
        <v>0.38910093051529038</v>
      </c>
      <c r="CO27" s="37">
        <f t="shared" si="76"/>
        <v>0.38969361713942047</v>
      </c>
      <c r="CP27" s="37">
        <f t="shared" si="76"/>
        <v>0.36589947407345064</v>
      </c>
      <c r="CQ27" s="37">
        <f t="shared" si="76"/>
        <v>0.33256842018631694</v>
      </c>
      <c r="CR27" s="37">
        <f t="shared" si="76"/>
        <v>0.32916233914200033</v>
      </c>
      <c r="CS27" s="38">
        <f>CS26/CS17</f>
        <v>0.3252474470658081</v>
      </c>
      <c r="CT27" s="37"/>
    </row>
    <row r="28" spans="1:104" s="735" customFormat="1" ht="14.25" customHeight="1" collapsed="1">
      <c r="A28" s="731"/>
      <c r="B28" s="714" t="s">
        <v>303</v>
      </c>
      <c r="C28" s="715"/>
      <c r="D28" s="719">
        <f>D21-D24-D25</f>
        <v>142.03100000000001</v>
      </c>
      <c r="E28" s="719">
        <f>E21-E24-E25</f>
        <v>152.315</v>
      </c>
      <c r="F28" s="719">
        <f>F21-F24-F25</f>
        <v>163.81299999999999</v>
      </c>
      <c r="G28" s="718">
        <f>G21-G24-G25</f>
        <v>180.38800000000003</v>
      </c>
      <c r="H28" s="719">
        <f t="shared" ref="H28:W28" si="77">H21-H24-H25</f>
        <v>203.68700000000001</v>
      </c>
      <c r="I28" s="719">
        <f t="shared" si="77"/>
        <v>189.27</v>
      </c>
      <c r="J28" s="719">
        <f t="shared" si="77"/>
        <v>190.286</v>
      </c>
      <c r="K28" s="718">
        <f t="shared" si="77"/>
        <v>199.25100000000009</v>
      </c>
      <c r="L28" s="719">
        <f t="shared" si="77"/>
        <v>203.535</v>
      </c>
      <c r="M28" s="719">
        <f t="shared" si="77"/>
        <v>204.32</v>
      </c>
      <c r="N28" s="719">
        <f t="shared" si="77"/>
        <v>186.74299999999999</v>
      </c>
      <c r="O28" s="718">
        <f t="shared" si="77"/>
        <v>186.87499999999997</v>
      </c>
      <c r="P28" s="719">
        <f t="shared" si="77"/>
        <v>208.32499999999999</v>
      </c>
      <c r="Q28" s="719">
        <f t="shared" si="77"/>
        <v>157.251</v>
      </c>
      <c r="R28" s="719">
        <f t="shared" si="77"/>
        <v>159.58800000000002</v>
      </c>
      <c r="S28" s="718">
        <f t="shared" si="77"/>
        <v>181.84599999999998</v>
      </c>
      <c r="T28" s="719">
        <f t="shared" si="77"/>
        <v>195.267</v>
      </c>
      <c r="U28" s="719">
        <f t="shared" si="77"/>
        <v>179.37800000000001</v>
      </c>
      <c r="V28" s="719">
        <f t="shared" si="77"/>
        <v>197.827</v>
      </c>
      <c r="W28" s="718">
        <f t="shared" si="77"/>
        <v>216.43600000000004</v>
      </c>
      <c r="X28" s="719">
        <f t="shared" ref="X28:AH28" si="78">X21-X24-X25</f>
        <v>229.21900000000002</v>
      </c>
      <c r="Y28" s="719">
        <f t="shared" si="78"/>
        <v>223.422</v>
      </c>
      <c r="Z28" s="719">
        <f t="shared" si="78"/>
        <v>226.20599999999999</v>
      </c>
      <c r="AA28" s="718">
        <f t="shared" si="78"/>
        <v>227.68899999999994</v>
      </c>
      <c r="AB28" s="719">
        <f t="shared" si="78"/>
        <v>231.095</v>
      </c>
      <c r="AC28" s="719">
        <f t="shared" si="78"/>
        <v>233.518</v>
      </c>
      <c r="AD28" s="719">
        <f t="shared" si="78"/>
        <v>225.995</v>
      </c>
      <c r="AE28" s="718">
        <f t="shared" si="78"/>
        <v>223.57500000000002</v>
      </c>
      <c r="AF28" s="719">
        <f t="shared" si="78"/>
        <v>227.92999999999998</v>
      </c>
      <c r="AG28" s="719">
        <f t="shared" si="78"/>
        <v>232.94500000000002</v>
      </c>
      <c r="AH28" s="719">
        <f t="shared" si="78"/>
        <v>221.00500000000002</v>
      </c>
      <c r="AI28" s="718">
        <f t="shared" ref="AI28:AN28" si="79">AI21-AI24-AI25</f>
        <v>229.018</v>
      </c>
      <c r="AJ28" s="733">
        <f t="shared" si="79"/>
        <v>229.95299999999997</v>
      </c>
      <c r="AK28" s="719">
        <f t="shared" si="79"/>
        <v>259.43799999999999</v>
      </c>
      <c r="AL28" s="719">
        <f t="shared" si="79"/>
        <v>241.68400000000003</v>
      </c>
      <c r="AM28" s="718">
        <f t="shared" si="79"/>
        <v>254.386</v>
      </c>
      <c r="AN28" s="733">
        <f t="shared" si="79"/>
        <v>222.79499999999999</v>
      </c>
      <c r="AO28" s="719">
        <f t="shared" ref="AO28:AU28" si="80">AO21-AO24-AO25</f>
        <v>225.08699999999999</v>
      </c>
      <c r="AP28" s="719">
        <f t="shared" si="80"/>
        <v>233.411</v>
      </c>
      <c r="AQ28" s="718">
        <f t="shared" si="80"/>
        <v>227.93499999999997</v>
      </c>
      <c r="AR28" s="733">
        <f t="shared" si="80"/>
        <v>215.89</v>
      </c>
      <c r="AS28" s="719">
        <f t="shared" si="80"/>
        <v>201.89600000000002</v>
      </c>
      <c r="AT28" s="719">
        <f t="shared" si="80"/>
        <v>214.393</v>
      </c>
      <c r="AU28" s="719">
        <f t="shared" si="80"/>
        <v>203.172</v>
      </c>
      <c r="AV28" s="733">
        <f t="shared" ref="AV28:BA28" si="81">AV21-AV24-AV25</f>
        <v>201.88399999999999</v>
      </c>
      <c r="AW28" s="719">
        <f t="shared" si="81"/>
        <v>197.887</v>
      </c>
      <c r="AX28" s="719">
        <f t="shared" si="81"/>
        <v>202.14500000000001</v>
      </c>
      <c r="AY28" s="719">
        <f t="shared" si="81"/>
        <v>197.27500000000001</v>
      </c>
      <c r="AZ28" s="733">
        <f t="shared" si="81"/>
        <v>190.78100000000001</v>
      </c>
      <c r="BA28" s="719">
        <f t="shared" si="81"/>
        <v>201.822</v>
      </c>
      <c r="BB28" s="719">
        <f t="shared" ref="BB28" si="82">BB21-BB24-BB25</f>
        <v>212.55199999999999</v>
      </c>
      <c r="BC28" s="718">
        <f t="shared" ref="BC28:BG28" si="83">+(1-BC36)*BC10</f>
        <v>207.86268322049997</v>
      </c>
      <c r="BD28" s="733">
        <f t="shared" si="83"/>
        <v>202.75274788691999</v>
      </c>
      <c r="BE28" s="719">
        <f t="shared" si="83"/>
        <v>202.51692770701996</v>
      </c>
      <c r="BF28" s="719">
        <f t="shared" si="83"/>
        <v>211.8089319216611</v>
      </c>
      <c r="BG28" s="718">
        <f t="shared" si="83"/>
        <v>212.08514537527273</v>
      </c>
      <c r="BH28" s="733">
        <f>+(1-BH36)*BH10</f>
        <v>209.32603155856219</v>
      </c>
      <c r="BI28" s="719">
        <f>+(1-BI36)*BI10</f>
        <v>209.16524676461268</v>
      </c>
      <c r="BJ28" s="719">
        <f>+(1-BJ36)*BJ10</f>
        <v>216.33400357884295</v>
      </c>
      <c r="BK28" s="718">
        <f>+(1-BK36)*BK10</f>
        <v>220.71041768159614</v>
      </c>
      <c r="BL28" s="720"/>
      <c r="BM28" s="719">
        <f t="shared" ref="BM28:BR28" si="84">BM21-BM24-BM25</f>
        <v>638.54700000000003</v>
      </c>
      <c r="BN28" s="719">
        <f t="shared" si="84"/>
        <v>782.49400000000003</v>
      </c>
      <c r="BO28" s="719">
        <f t="shared" si="84"/>
        <v>781.47299999999996</v>
      </c>
      <c r="BP28" s="719">
        <f t="shared" si="84"/>
        <v>707.01</v>
      </c>
      <c r="BQ28" s="719">
        <f t="shared" si="84"/>
        <v>788.90800000000002</v>
      </c>
      <c r="BR28" s="719">
        <f t="shared" si="84"/>
        <v>906.53599999999994</v>
      </c>
      <c r="BS28" s="719">
        <f t="shared" ref="BS28:CA28" si="85">BS21-BS24-BS25</f>
        <v>914.18299999999999</v>
      </c>
      <c r="BT28" s="719">
        <f t="shared" si="85"/>
        <v>910.89799999999991</v>
      </c>
      <c r="BU28" s="719">
        <f t="shared" si="85"/>
        <v>985.4609999999999</v>
      </c>
      <c r="BV28" s="719">
        <f t="shared" si="85"/>
        <v>909.22799999999995</v>
      </c>
      <c r="BW28" s="719">
        <f t="shared" si="85"/>
        <v>835.35099999999989</v>
      </c>
      <c r="BX28" s="719">
        <f t="shared" si="85"/>
        <v>799.19100000000003</v>
      </c>
      <c r="BY28" s="719">
        <f t="shared" si="85"/>
        <v>813.01768322050009</v>
      </c>
      <c r="BZ28" s="719">
        <f t="shared" si="85"/>
        <v>829.16375289087387</v>
      </c>
      <c r="CA28" s="718">
        <f t="shared" si="85"/>
        <v>855.53569958361402</v>
      </c>
      <c r="CB28" s="733"/>
      <c r="CC28" s="719"/>
      <c r="CD28" s="719"/>
      <c r="CE28" s="881"/>
      <c r="CF28" s="733">
        <f t="shared" ref="CF28:CL28" si="86">CF21-CF24-CF25</f>
        <v>737.15800000000002</v>
      </c>
      <c r="CG28" s="719">
        <f t="shared" si="86"/>
        <v>797.39200000000005</v>
      </c>
      <c r="CH28" s="719">
        <f t="shared" si="86"/>
        <v>739.19399999999996</v>
      </c>
      <c r="CI28" s="719">
        <f t="shared" si="86"/>
        <v>716.07899999999995</v>
      </c>
      <c r="CJ28" s="719">
        <f t="shared" si="86"/>
        <v>866.904</v>
      </c>
      <c r="CK28" s="719">
        <f t="shared" si="86"/>
        <v>918.50799999999992</v>
      </c>
      <c r="CL28" s="719">
        <f t="shared" si="86"/>
        <v>910.44500000000005</v>
      </c>
      <c r="CM28" s="719">
        <f t="shared" ref="CM28:CR28" si="87">CM21-CM24-CM25</f>
        <v>939.41399999999999</v>
      </c>
      <c r="CN28" s="719">
        <f t="shared" si="87"/>
        <v>943.952</v>
      </c>
      <c r="CO28" s="719">
        <f t="shared" si="87"/>
        <v>879.13199999999983</v>
      </c>
      <c r="CP28" s="719">
        <f t="shared" si="87"/>
        <v>817.3359999999999</v>
      </c>
      <c r="CQ28" s="719">
        <f t="shared" si="87"/>
        <v>792.02300000000002</v>
      </c>
      <c r="CR28" s="719">
        <f t="shared" si="87"/>
        <v>825.68435881443986</v>
      </c>
      <c r="CS28" s="718">
        <f>CS21-CS24-CS25</f>
        <v>842.38535562010861</v>
      </c>
      <c r="CT28" s="719"/>
      <c r="CU28"/>
      <c r="CV28"/>
      <c r="CW28"/>
      <c r="CX28"/>
      <c r="CY28"/>
      <c r="CZ28"/>
    </row>
    <row r="29" spans="1:104" ht="14.25" hidden="1" customHeight="1" outlineLevel="1">
      <c r="A29" s="8"/>
      <c r="B29" s="35" t="s">
        <v>298</v>
      </c>
      <c r="C29" s="36"/>
      <c r="D29" s="37">
        <f t="shared" ref="D29:W29" si="88">D28/D17</f>
        <v>0.33490373619118358</v>
      </c>
      <c r="E29" s="37">
        <f t="shared" si="88"/>
        <v>0.3418813970192135</v>
      </c>
      <c r="F29" s="37">
        <f t="shared" si="88"/>
        <v>0.34258318171361646</v>
      </c>
      <c r="G29" s="38">
        <f t="shared" si="88"/>
        <v>0.35428548982638086</v>
      </c>
      <c r="H29" s="37">
        <f t="shared" si="88"/>
        <v>0.40514972799331672</v>
      </c>
      <c r="I29" s="37">
        <f t="shared" si="88"/>
        <v>0.38047815572526456</v>
      </c>
      <c r="J29" s="37">
        <f t="shared" si="88"/>
        <v>0.39929410184742192</v>
      </c>
      <c r="K29" s="38">
        <f t="shared" si="88"/>
        <v>0.37427165317354488</v>
      </c>
      <c r="L29" s="37">
        <f t="shared" si="88"/>
        <v>0.38836553891478603</v>
      </c>
      <c r="M29" s="37">
        <f t="shared" si="88"/>
        <v>0.37835285403453545</v>
      </c>
      <c r="N29" s="37">
        <f t="shared" si="88"/>
        <v>0.38313329640343857</v>
      </c>
      <c r="O29" s="38">
        <f t="shared" si="88"/>
        <v>0.37280531134106176</v>
      </c>
      <c r="P29" s="37">
        <f t="shared" si="88"/>
        <v>0.41564911692644108</v>
      </c>
      <c r="Q29" s="37">
        <f t="shared" si="88"/>
        <v>0.38290862604249104</v>
      </c>
      <c r="R29" s="37">
        <f t="shared" si="88"/>
        <v>0.46983940058587143</v>
      </c>
      <c r="S29" s="38">
        <f t="shared" si="88"/>
        <v>0.46098699270668791</v>
      </c>
      <c r="T29" s="37">
        <f t="shared" si="88"/>
        <v>0.4346549551915877</v>
      </c>
      <c r="U29" s="37">
        <f t="shared" si="88"/>
        <v>0.37882221260150156</v>
      </c>
      <c r="V29" s="37">
        <f t="shared" si="88"/>
        <v>0.38874980349001731</v>
      </c>
      <c r="W29" s="38">
        <f t="shared" si="88"/>
        <v>0.38242143465462353</v>
      </c>
      <c r="X29" s="37">
        <f t="shared" ref="X29:AK29" si="89">X28/X17</f>
        <v>0.36608324988540886</v>
      </c>
      <c r="Y29" s="37">
        <f t="shared" si="89"/>
        <v>0.36451113982536509</v>
      </c>
      <c r="Z29" s="37">
        <f t="shared" si="89"/>
        <v>0.37280046145605866</v>
      </c>
      <c r="AA29" s="38">
        <f t="shared" si="89"/>
        <v>0.363435388537106</v>
      </c>
      <c r="AB29" s="37">
        <f t="shared" si="89"/>
        <v>0.36335577561076854</v>
      </c>
      <c r="AC29" s="37">
        <f t="shared" si="89"/>
        <v>0.39488364935682047</v>
      </c>
      <c r="AD29" s="37">
        <f t="shared" si="89"/>
        <v>0.39564119801404735</v>
      </c>
      <c r="AE29" s="38">
        <f>AE28/AE17</f>
        <v>0.36957233253327515</v>
      </c>
      <c r="AF29" s="37">
        <f>AF28/AF17</f>
        <v>0.36581470930465826</v>
      </c>
      <c r="AG29" s="37">
        <f t="shared" si="89"/>
        <v>0.38483841230716365</v>
      </c>
      <c r="AH29" s="37">
        <f t="shared" si="89"/>
        <v>0.3653675746093466</v>
      </c>
      <c r="AI29" s="38">
        <f>AI28/AI17</f>
        <v>0.37655419159018344</v>
      </c>
      <c r="AJ29" s="39">
        <f>AJ28/AJ17</f>
        <v>0.39292018160040049</v>
      </c>
      <c r="AK29" s="37">
        <f t="shared" si="89"/>
        <v>0.41826354159613333</v>
      </c>
      <c r="AL29" s="37">
        <f t="shared" ref="AL29:AQ29" si="90">AL28/AL17</f>
        <v>0.39902853152071804</v>
      </c>
      <c r="AM29" s="38">
        <f t="shared" si="90"/>
        <v>0.39595185433648733</v>
      </c>
      <c r="AN29" s="39">
        <f t="shared" si="90"/>
        <v>0.38394726638231874</v>
      </c>
      <c r="AO29" s="37">
        <f t="shared" si="90"/>
        <v>0.3971126075979739</v>
      </c>
      <c r="AP29" s="37">
        <f t="shared" si="90"/>
        <v>0.40434082905019025</v>
      </c>
      <c r="AQ29" s="38">
        <f t="shared" si="90"/>
        <v>0.39129330131137796</v>
      </c>
      <c r="AR29" s="39">
        <f t="shared" ref="AR29:BC29" si="91">AR28/AR17</f>
        <v>0.38379762137561996</v>
      </c>
      <c r="AS29" s="37">
        <f t="shared" si="91"/>
        <v>0.39523051655048347</v>
      </c>
      <c r="AT29" s="37">
        <f t="shared" si="91"/>
        <v>0.38611837508014385</v>
      </c>
      <c r="AU29" s="37">
        <f t="shared" si="91"/>
        <v>0.35888123845221737</v>
      </c>
      <c r="AV29" s="39">
        <f t="shared" ref="AV29:BA29" si="92">AV28/AV17</f>
        <v>0.35961068479290909</v>
      </c>
      <c r="AW29" s="37">
        <f t="shared" si="92"/>
        <v>0.35914286440241161</v>
      </c>
      <c r="AX29" s="37">
        <f t="shared" si="92"/>
        <v>0.34779668832241373</v>
      </c>
      <c r="AY29" s="37">
        <f t="shared" si="92"/>
        <v>0.32769661381549986</v>
      </c>
      <c r="AZ29" s="39">
        <f t="shared" si="92"/>
        <v>0.33140342831731734</v>
      </c>
      <c r="BA29" s="37">
        <f t="shared" si="92"/>
        <v>0.32414071120090843</v>
      </c>
      <c r="BB29" s="37">
        <f t="shared" ref="BB29" si="93">BB28/BB17</f>
        <v>0.32770941675827436</v>
      </c>
      <c r="BC29" s="38">
        <f t="shared" si="91"/>
        <v>0.32999999999999996</v>
      </c>
      <c r="BD29" s="39">
        <f t="shared" ref="BD29:BK29" si="94">BD28/BD17</f>
        <v>0.32999999999999996</v>
      </c>
      <c r="BE29" s="37">
        <f t="shared" si="94"/>
        <v>0.32899999999999996</v>
      </c>
      <c r="BF29" s="37">
        <f t="shared" si="94"/>
        <v>0.32699999999999996</v>
      </c>
      <c r="BG29" s="38">
        <f t="shared" si="94"/>
        <v>0.32399999999999995</v>
      </c>
      <c r="BH29" s="39">
        <f t="shared" si="94"/>
        <v>0.32499999999999996</v>
      </c>
      <c r="BI29" s="37">
        <f t="shared" si="94"/>
        <v>0.32499999999999996</v>
      </c>
      <c r="BJ29" s="37">
        <f t="shared" si="94"/>
        <v>0.32299999999999995</v>
      </c>
      <c r="BK29" s="38">
        <f t="shared" si="94"/>
        <v>0.32099999999999995</v>
      </c>
      <c r="BL29" s="20"/>
      <c r="BM29" s="37">
        <f t="shared" ref="BM29:BR29" si="95">BM28/BM17</f>
        <v>0.34386963534191917</v>
      </c>
      <c r="BN29" s="37">
        <f t="shared" si="95"/>
        <v>0.38947023677981057</v>
      </c>
      <c r="BO29" s="37">
        <f t="shared" si="95"/>
        <v>0.38068953221066232</v>
      </c>
      <c r="BP29" s="37">
        <f t="shared" si="95"/>
        <v>0.42952828497917689</v>
      </c>
      <c r="BQ29" s="37">
        <f t="shared" si="95"/>
        <v>0.3949273203934916</v>
      </c>
      <c r="BR29" s="37">
        <f t="shared" si="95"/>
        <v>0.36667110240860795</v>
      </c>
      <c r="BS29" s="37">
        <f t="shared" ref="BS29:CA29" si="96">BS28/BS17</f>
        <v>0.38035030989848678</v>
      </c>
      <c r="BT29" s="37">
        <f t="shared" si="96"/>
        <v>0.37309575954378099</v>
      </c>
      <c r="BU29" s="37">
        <f t="shared" si="96"/>
        <v>0.40162850399586247</v>
      </c>
      <c r="BV29" s="37">
        <f t="shared" si="96"/>
        <v>0.3941402700809411</v>
      </c>
      <c r="BW29" s="37">
        <f t="shared" si="96"/>
        <v>0.38061865778716997</v>
      </c>
      <c r="BX29" s="37">
        <f t="shared" si="96"/>
        <v>0.34813808064505586</v>
      </c>
      <c r="BY29" s="37">
        <f t="shared" si="96"/>
        <v>0.32825340686033216</v>
      </c>
      <c r="BZ29" s="37">
        <f t="shared" si="96"/>
        <v>0.32743856310241548</v>
      </c>
      <c r="CA29" s="38">
        <f t="shared" si="96"/>
        <v>0.32345375706456225</v>
      </c>
      <c r="CB29" s="39"/>
      <c r="CC29" s="37"/>
      <c r="CD29" s="37"/>
      <c r="CE29" s="260"/>
      <c r="CF29" s="39">
        <f t="shared" ref="CF29:CL29" si="97">CF28/CF17</f>
        <v>0.37089188177474736</v>
      </c>
      <c r="CG29" s="37">
        <f t="shared" si="97"/>
        <v>0.38465011635131535</v>
      </c>
      <c r="CH29" s="37">
        <f t="shared" si="97"/>
        <v>0.3889356588282587</v>
      </c>
      <c r="CI29" s="37">
        <f t="shared" si="97"/>
        <v>0.43218075716233417</v>
      </c>
      <c r="CJ29" s="37">
        <f t="shared" si="97"/>
        <v>0.37464783741162705</v>
      </c>
      <c r="CK29" s="37">
        <f t="shared" si="97"/>
        <v>0.37328209436050247</v>
      </c>
      <c r="CL29" s="37">
        <f t="shared" si="97"/>
        <v>0.37863441335568543</v>
      </c>
      <c r="CM29" s="37">
        <f t="shared" ref="CM29:CR29" si="98">CM28/CM17</f>
        <v>0.38841342879930607</v>
      </c>
      <c r="CN29" s="37">
        <f t="shared" si="98"/>
        <v>0.39409627125890101</v>
      </c>
      <c r="CO29" s="37">
        <f t="shared" si="98"/>
        <v>0.3936786228780258</v>
      </c>
      <c r="CP29" s="37">
        <f t="shared" si="98"/>
        <v>0.36589947407345064</v>
      </c>
      <c r="CQ29" s="37">
        <f t="shared" si="98"/>
        <v>0.33256842018631694</v>
      </c>
      <c r="CR29" s="37">
        <f t="shared" si="98"/>
        <v>0.32916233914200033</v>
      </c>
      <c r="CS29" s="38">
        <f>CS28/CS17</f>
        <v>0.3252474470658081</v>
      </c>
      <c r="CT29" s="37"/>
    </row>
    <row r="30" spans="1:104" ht="14.25" hidden="1" customHeight="1" outlineLevel="1">
      <c r="A30" s="8"/>
      <c r="B30" s="23"/>
      <c r="C30" s="24"/>
      <c r="D30" s="42"/>
      <c r="E30" s="42"/>
      <c r="F30" s="46"/>
      <c r="G30" s="43"/>
      <c r="H30" s="42"/>
      <c r="I30" s="42"/>
      <c r="J30" s="46"/>
      <c r="K30" s="43"/>
      <c r="L30" s="42"/>
      <c r="M30" s="42"/>
      <c r="N30" s="46"/>
      <c r="O30" s="43"/>
      <c r="P30" s="42"/>
      <c r="Q30" s="42"/>
      <c r="R30" s="46"/>
      <c r="S30" s="43"/>
      <c r="T30" s="42"/>
      <c r="U30" s="42"/>
      <c r="V30" s="46"/>
      <c r="W30" s="43"/>
      <c r="X30" s="42"/>
      <c r="Y30" s="42"/>
      <c r="Z30" s="46"/>
      <c r="AA30" s="43"/>
      <c r="AB30" s="42"/>
      <c r="AC30" s="42"/>
      <c r="AD30" s="46"/>
      <c r="AE30" s="43"/>
      <c r="AF30" s="42"/>
      <c r="AG30" s="42"/>
      <c r="AH30" s="42"/>
      <c r="AI30" s="43"/>
      <c r="AJ30" s="1257"/>
      <c r="AK30" s="42"/>
      <c r="AL30" s="42"/>
      <c r="AM30" s="43"/>
      <c r="AN30" s="1257"/>
      <c r="AO30" s="42"/>
      <c r="AP30" s="42"/>
      <c r="AQ30" s="43"/>
      <c r="AR30" s="1257"/>
      <c r="AS30" s="42"/>
      <c r="AT30" s="42"/>
      <c r="AU30" s="1260"/>
      <c r="AV30" s="1257"/>
      <c r="AW30" s="42"/>
      <c r="AX30" s="42"/>
      <c r="AY30" s="1260"/>
      <c r="AZ30" s="1257"/>
      <c r="BA30" s="42"/>
      <c r="BB30" s="42"/>
      <c r="BC30" s="1213"/>
      <c r="BD30" s="398"/>
      <c r="BE30" s="397"/>
      <c r="BF30" s="397"/>
      <c r="BG30" s="1213"/>
      <c r="BH30" s="398"/>
      <c r="BI30" s="397"/>
      <c r="BJ30" s="397"/>
      <c r="BK30" s="1213"/>
      <c r="BL30" s="20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5"/>
      <c r="CB30" s="54"/>
      <c r="CC30" s="44"/>
      <c r="CD30" s="44"/>
      <c r="CE30" s="260"/>
      <c r="CF30" s="111"/>
      <c r="CG30" s="112"/>
      <c r="CH30" s="112"/>
      <c r="CI30" s="112"/>
      <c r="CJ30" s="112"/>
      <c r="CK30" s="112"/>
      <c r="CL30" s="112"/>
      <c r="CM30" s="112"/>
      <c r="CN30" s="112"/>
      <c r="CO30" s="112"/>
      <c r="CP30" s="112"/>
      <c r="CQ30" s="112"/>
      <c r="CR30" s="112"/>
      <c r="CS30" s="113"/>
      <c r="CT30" s="112"/>
    </row>
    <row r="31" spans="1:104" ht="14.25" hidden="1" customHeight="1" outlineLevel="1">
      <c r="A31" s="8"/>
      <c r="B31" s="47" t="s">
        <v>304</v>
      </c>
      <c r="C31" s="48"/>
      <c r="D31" s="50">
        <f t="shared" ref="D31:AC31" si="99">D10-D21</f>
        <v>282.06400000000002</v>
      </c>
      <c r="E31" s="50">
        <f t="shared" si="99"/>
        <v>293.20499999999998</v>
      </c>
      <c r="F31" s="50">
        <f t="shared" si="99"/>
        <v>314.35700000000003</v>
      </c>
      <c r="G31" s="51">
        <f t="shared" si="99"/>
        <v>328.77199999999982</v>
      </c>
      <c r="H31" s="50">
        <f t="shared" si="99"/>
        <v>299.05799999999999</v>
      </c>
      <c r="I31" s="50">
        <f t="shared" si="99"/>
        <v>308.18299999999999</v>
      </c>
      <c r="J31" s="50">
        <f t="shared" si="99"/>
        <v>286.27</v>
      </c>
      <c r="K31" s="51">
        <f t="shared" si="99"/>
        <v>333.11899999999991</v>
      </c>
      <c r="L31" s="50">
        <f t="shared" si="99"/>
        <v>320.54600000000005</v>
      </c>
      <c r="M31" s="50">
        <f t="shared" si="99"/>
        <v>335.70499999999998</v>
      </c>
      <c r="N31" s="50">
        <f t="shared" si="99"/>
        <v>289.38600000000002</v>
      </c>
      <c r="O31" s="51">
        <f t="shared" si="99"/>
        <v>303.06299999999999</v>
      </c>
      <c r="P31" s="50">
        <f t="shared" si="99"/>
        <v>291.55</v>
      </c>
      <c r="Q31" s="50">
        <f t="shared" si="99"/>
        <v>199.08500000000001</v>
      </c>
      <c r="R31" s="50">
        <f t="shared" si="99"/>
        <v>167.70500000000001</v>
      </c>
      <c r="S31" s="51">
        <f t="shared" si="99"/>
        <v>190.53700000000021</v>
      </c>
      <c r="T31" s="50">
        <f t="shared" si="99"/>
        <v>251.62699999999998</v>
      </c>
      <c r="U31" s="50">
        <f t="shared" si="99"/>
        <v>291.78800000000001</v>
      </c>
      <c r="V31" s="50">
        <f t="shared" si="99"/>
        <v>308.70299999999997</v>
      </c>
      <c r="W31" s="51">
        <f t="shared" si="99"/>
        <v>340.94799999999998</v>
      </c>
      <c r="X31" s="50">
        <f t="shared" si="99"/>
        <v>386.214</v>
      </c>
      <c r="Y31" s="50">
        <f t="shared" si="99"/>
        <v>380.27500000000003</v>
      </c>
      <c r="Z31" s="50">
        <f t="shared" si="99"/>
        <v>372.65</v>
      </c>
      <c r="AA31" s="51">
        <f t="shared" si="99"/>
        <v>390.8249999999997</v>
      </c>
      <c r="AB31" s="50">
        <f t="shared" si="99"/>
        <v>395.47299999999996</v>
      </c>
      <c r="AC31" s="50">
        <f t="shared" si="99"/>
        <v>347.96000000000004</v>
      </c>
      <c r="AD31" s="50">
        <f>AD10-AD21</f>
        <v>335.42999999999995</v>
      </c>
      <c r="AE31" s="51">
        <f>AE10-AE21</f>
        <v>371.98900000000003</v>
      </c>
      <c r="AF31" s="50">
        <f>AF10-AF21</f>
        <v>385.69100000000003</v>
      </c>
      <c r="AG31" s="50">
        <f t="shared" ref="AG31:AL31" si="100">AG10-AG21</f>
        <v>363.375</v>
      </c>
      <c r="AH31" s="50">
        <f t="shared" si="100"/>
        <v>376.10199999999998</v>
      </c>
      <c r="AI31" s="51">
        <f t="shared" si="100"/>
        <v>371.399</v>
      </c>
      <c r="AJ31" s="49">
        <f t="shared" si="100"/>
        <v>347.19600000000003</v>
      </c>
      <c r="AK31" s="50">
        <f t="shared" si="100"/>
        <v>328.67200000000003</v>
      </c>
      <c r="AL31" s="50">
        <f t="shared" si="100"/>
        <v>339.93700000000001</v>
      </c>
      <c r="AM31" s="51">
        <f t="shared" ref="AM31:AR31" si="101">AM10-AM21</f>
        <v>368.96</v>
      </c>
      <c r="AN31" s="49">
        <f t="shared" si="101"/>
        <v>338.73</v>
      </c>
      <c r="AO31" s="50">
        <f t="shared" si="101"/>
        <v>314.077</v>
      </c>
      <c r="AP31" s="50">
        <f t="shared" si="101"/>
        <v>315.26800000000003</v>
      </c>
      <c r="AQ31" s="51">
        <f t="shared" si="101"/>
        <v>303.70100000000008</v>
      </c>
      <c r="AR31" s="49">
        <f t="shared" si="101"/>
        <v>286.351</v>
      </c>
      <c r="AS31" s="50">
        <f t="shared" ref="AS31:BC31" si="102">AS10-AS21</f>
        <v>292.16899999999998</v>
      </c>
      <c r="AT31" s="50">
        <f t="shared" si="102"/>
        <v>318.84099999999995</v>
      </c>
      <c r="AU31" s="50">
        <f t="shared" si="102"/>
        <v>347.02699999999999</v>
      </c>
      <c r="AV31" s="49">
        <f t="shared" si="102"/>
        <v>345.73199999999997</v>
      </c>
      <c r="AW31" s="50">
        <f t="shared" ref="AW31:BB31" si="103">AW10-AW21</f>
        <v>340.17800000000005</v>
      </c>
      <c r="AX31" s="50">
        <f t="shared" si="103"/>
        <v>366.904</v>
      </c>
      <c r="AY31" s="50">
        <f t="shared" si="103"/>
        <v>393.666</v>
      </c>
      <c r="AZ31" s="49">
        <f t="shared" si="103"/>
        <v>373.83100000000002</v>
      </c>
      <c r="BA31" s="50">
        <f t="shared" si="103"/>
        <v>409.67599999999993</v>
      </c>
      <c r="BB31" s="50">
        <f t="shared" si="103"/>
        <v>423.94600000000003</v>
      </c>
      <c r="BC31" s="51">
        <f t="shared" si="102"/>
        <v>411.02423562950003</v>
      </c>
      <c r="BD31" s="49">
        <f t="shared" ref="BD31:BK31" si="104">BD10-BD21</f>
        <v>411.64951843708002</v>
      </c>
      <c r="BE31" s="50">
        <f t="shared" si="104"/>
        <v>413.03604404684017</v>
      </c>
      <c r="BF31" s="50">
        <f t="shared" si="104"/>
        <v>435.92480484182857</v>
      </c>
      <c r="BG31" s="51">
        <f t="shared" si="104"/>
        <v>442.49863664717407</v>
      </c>
      <c r="BH31" s="49">
        <f t="shared" si="104"/>
        <v>434.75406554470618</v>
      </c>
      <c r="BI31" s="50">
        <f t="shared" si="104"/>
        <v>434.42012789573414</v>
      </c>
      <c r="BJ31" s="50">
        <f t="shared" si="104"/>
        <v>453.43071338351922</v>
      </c>
      <c r="BK31" s="51">
        <f t="shared" si="104"/>
        <v>466.86097696512093</v>
      </c>
      <c r="BL31" s="20"/>
      <c r="BM31" s="50">
        <f t="shared" ref="BM31:BV31" si="105">BM10-BM21</f>
        <v>1218.3979999999999</v>
      </c>
      <c r="BN31" s="50">
        <f t="shared" si="105"/>
        <v>1226.6299999999997</v>
      </c>
      <c r="BO31" s="50">
        <f t="shared" si="105"/>
        <v>1248.6999999999998</v>
      </c>
      <c r="BP31" s="50">
        <f t="shared" si="105"/>
        <v>848.87700000000029</v>
      </c>
      <c r="BQ31" s="50">
        <f t="shared" si="105"/>
        <v>1193.066</v>
      </c>
      <c r="BR31" s="50">
        <f t="shared" si="105"/>
        <v>1529.9639999999995</v>
      </c>
      <c r="BS31" s="50">
        <f>BS10-BS21</f>
        <v>1450.8519999999999</v>
      </c>
      <c r="BT31" s="50">
        <f t="shared" si="105"/>
        <v>1496.567</v>
      </c>
      <c r="BU31" s="50">
        <f t="shared" si="105"/>
        <v>1384.7650000000001</v>
      </c>
      <c r="BV31" s="50">
        <f t="shared" si="105"/>
        <v>1271.7759999999996</v>
      </c>
      <c r="BW31" s="50">
        <f>BW10-BW21</f>
        <v>1244.3880000000001</v>
      </c>
      <c r="BX31" s="50">
        <f>BX10-BX21</f>
        <v>1446.4800000000002</v>
      </c>
      <c r="BY31" s="50">
        <f>BY10-BY21</f>
        <v>1618.4772356295005</v>
      </c>
      <c r="BZ31" s="50">
        <f>BZ10-BZ21</f>
        <v>1703.1090039729227</v>
      </c>
      <c r="CA31" s="51">
        <f>CA10-CA21</f>
        <v>1789.4658837890802</v>
      </c>
      <c r="CB31" s="49"/>
      <c r="CC31" s="50"/>
      <c r="CD31" s="50"/>
      <c r="CE31" s="260"/>
      <c r="CF31" s="49">
        <f t="shared" ref="CF31:CN31" si="106">CF10-CF21</f>
        <v>1250.3699999999999</v>
      </c>
      <c r="CG31" s="50">
        <f t="shared" si="106"/>
        <v>1275.6400000000001</v>
      </c>
      <c r="CH31" s="50">
        <f t="shared" si="106"/>
        <v>1083.0839999999998</v>
      </c>
      <c r="CI31" s="50">
        <f t="shared" si="106"/>
        <v>901.65699999999993</v>
      </c>
      <c r="CJ31" s="50">
        <f t="shared" si="106"/>
        <v>1416.1400000000003</v>
      </c>
      <c r="CK31" s="50">
        <f t="shared" si="106"/>
        <v>1506.9079999999994</v>
      </c>
      <c r="CL31" s="50">
        <f t="shared" si="106"/>
        <v>1456.4849999999999</v>
      </c>
      <c r="CM31" s="50">
        <f t="shared" si="106"/>
        <v>1423.3689999999999</v>
      </c>
      <c r="CN31" s="50">
        <f t="shared" si="106"/>
        <v>1361.704</v>
      </c>
      <c r="CO31" s="50">
        <f>CO10-CO21</f>
        <v>1197.4890000000003</v>
      </c>
      <c r="CP31" s="50">
        <f>CP10-CP21</f>
        <v>1351.778</v>
      </c>
      <c r="CQ31" s="50">
        <f>CQ10-CQ21</f>
        <v>1544.0769999999998</v>
      </c>
      <c r="CR31" s="50">
        <f>CR10-CR21</f>
        <v>1659.6557981134201</v>
      </c>
      <c r="CS31" s="51">
        <f>CS10-CS21</f>
        <v>1747.5976349294431</v>
      </c>
      <c r="CT31" s="50"/>
    </row>
    <row r="32" spans="1:104" ht="14.25" hidden="1" customHeight="1" outlineLevel="1">
      <c r="A32" s="8"/>
      <c r="B32" s="35" t="s">
        <v>305</v>
      </c>
      <c r="C32" s="36"/>
      <c r="D32" s="37">
        <f t="shared" ref="D32:AD32" si="107">D31/D10</f>
        <v>0.66509626380881648</v>
      </c>
      <c r="E32" s="37">
        <f t="shared" si="107"/>
        <v>0.6581186029807865</v>
      </c>
      <c r="F32" s="37">
        <f t="shared" si="107"/>
        <v>0.65741681828638354</v>
      </c>
      <c r="G32" s="38">
        <f t="shared" si="107"/>
        <v>0.64571451017361914</v>
      </c>
      <c r="H32" s="37">
        <f t="shared" si="107"/>
        <v>0.59485027200668328</v>
      </c>
      <c r="I32" s="37">
        <f t="shared" si="107"/>
        <v>0.61952184427473556</v>
      </c>
      <c r="J32" s="37">
        <f t="shared" si="107"/>
        <v>0.60070589815257802</v>
      </c>
      <c r="K32" s="38">
        <f t="shared" si="107"/>
        <v>0.62572834682645517</v>
      </c>
      <c r="L32" s="37">
        <f t="shared" si="107"/>
        <v>0.61163446108521402</v>
      </c>
      <c r="M32" s="37">
        <f t="shared" si="107"/>
        <v>0.62164714596546455</v>
      </c>
      <c r="N32" s="37">
        <f t="shared" si="107"/>
        <v>0.59372191789253403</v>
      </c>
      <c r="O32" s="38">
        <f t="shared" si="107"/>
        <v>0.60459395890812684</v>
      </c>
      <c r="P32" s="37">
        <f t="shared" si="107"/>
        <v>0.58169926816226525</v>
      </c>
      <c r="Q32" s="37">
        <f t="shared" si="107"/>
        <v>0.48477506544104221</v>
      </c>
      <c r="R32" s="37">
        <f t="shared" si="107"/>
        <v>0.49373647564512091</v>
      </c>
      <c r="S32" s="38">
        <f t="shared" si="107"/>
        <v>0.48301903054977458</v>
      </c>
      <c r="T32" s="37">
        <f t="shared" si="107"/>
        <v>0.56010960587295155</v>
      </c>
      <c r="U32" s="37">
        <f t="shared" si="107"/>
        <v>0.61621701530046569</v>
      </c>
      <c r="V32" s="37">
        <f t="shared" si="107"/>
        <v>0.60663221191636529</v>
      </c>
      <c r="W32" s="38">
        <f t="shared" si="107"/>
        <v>0.60242207073973164</v>
      </c>
      <c r="X32" s="37">
        <f t="shared" si="107"/>
        <v>0.61681831031128864</v>
      </c>
      <c r="Y32" s="37">
        <f t="shared" si="107"/>
        <v>0.62041550830755576</v>
      </c>
      <c r="Z32" s="37">
        <f t="shared" si="107"/>
        <v>0.6141485723703185</v>
      </c>
      <c r="AA32" s="38">
        <f t="shared" si="107"/>
        <v>0.62383178688919705</v>
      </c>
      <c r="AB32" s="37">
        <f t="shared" si="107"/>
        <v>0.62181093770145379</v>
      </c>
      <c r="AC32" s="37">
        <f t="shared" si="107"/>
        <v>0.5884073802884543</v>
      </c>
      <c r="AD32" s="37">
        <f t="shared" si="107"/>
        <v>0.58722505829709448</v>
      </c>
      <c r="AE32" s="38">
        <f t="shared" ref="AE32:AK32" si="108">AE31/AE10</f>
        <v>0.61490257142668225</v>
      </c>
      <c r="AF32" s="37">
        <f t="shared" si="108"/>
        <v>0.61901215744493043</v>
      </c>
      <c r="AG32" s="37">
        <f t="shared" si="108"/>
        <v>0.60031620370523331</v>
      </c>
      <c r="AH32" s="37">
        <f>AH31/AH10</f>
        <v>0.62177541479027376</v>
      </c>
      <c r="AI32" s="38">
        <f t="shared" si="108"/>
        <v>0.61065877006349956</v>
      </c>
      <c r="AJ32" s="39">
        <f t="shared" si="108"/>
        <v>0.59325303592878842</v>
      </c>
      <c r="AK32" s="37">
        <f t="shared" si="108"/>
        <v>0.52988195539390659</v>
      </c>
      <c r="AL32" s="37">
        <f t="shared" ref="AL32:AQ32" si="109">AL31/AL10</f>
        <v>0.56124758742638448</v>
      </c>
      <c r="AM32" s="38">
        <f t="shared" si="109"/>
        <v>0.57428630575578199</v>
      </c>
      <c r="AN32" s="39">
        <f t="shared" si="109"/>
        <v>0.58374046788160794</v>
      </c>
      <c r="AO32" s="37">
        <f t="shared" si="109"/>
        <v>0.55411434892529943</v>
      </c>
      <c r="AP32" s="37">
        <f t="shared" si="109"/>
        <v>0.546142746027374</v>
      </c>
      <c r="AQ32" s="38">
        <f t="shared" si="109"/>
        <v>0.5213598916426474</v>
      </c>
      <c r="AR32" s="39">
        <f t="shared" ref="AR32:BC32" si="110">AR31/AR10</f>
        <v>0.50905939449965332</v>
      </c>
      <c r="AS32" s="37">
        <f t="shared" si="110"/>
        <v>0.57194845261935934</v>
      </c>
      <c r="AT32" s="37">
        <f t="shared" si="110"/>
        <v>0.57422755793765712</v>
      </c>
      <c r="AU32" s="37">
        <f t="shared" si="110"/>
        <v>0.61298544846906877</v>
      </c>
      <c r="AV32" s="39">
        <f t="shared" ref="AV32:BA32" si="111">AV31/AV10</f>
        <v>0.61584336190496547</v>
      </c>
      <c r="AW32" s="37">
        <f t="shared" si="111"/>
        <v>0.61738518107143769</v>
      </c>
      <c r="AX32" s="37">
        <f t="shared" si="111"/>
        <v>0.63126961405054227</v>
      </c>
      <c r="AY32" s="37">
        <f t="shared" si="111"/>
        <v>0.65392480128902586</v>
      </c>
      <c r="AZ32" s="39">
        <f t="shared" si="111"/>
        <v>0.64937742758079198</v>
      </c>
      <c r="BA32" s="37">
        <f t="shared" si="111"/>
        <v>0.65796925014093277</v>
      </c>
      <c r="BB32" s="37">
        <f t="shared" ref="BB32" si="112">BB31/BB10</f>
        <v>0.6536334468600784</v>
      </c>
      <c r="BC32" s="38">
        <f t="shared" si="110"/>
        <v>0.65253654795676186</v>
      </c>
      <c r="BD32" s="39">
        <f t="shared" ref="BD32:BK32" si="113">BD31/BD10</f>
        <v>0.67</v>
      </c>
      <c r="BE32" s="37">
        <f t="shared" si="113"/>
        <v>0.67100000000000004</v>
      </c>
      <c r="BF32" s="37">
        <f t="shared" si="113"/>
        <v>0.67300000000000004</v>
      </c>
      <c r="BG32" s="38">
        <f t="shared" si="113"/>
        <v>0.67600000000000005</v>
      </c>
      <c r="BH32" s="39">
        <f t="shared" si="113"/>
        <v>0.67500000000000004</v>
      </c>
      <c r="BI32" s="37">
        <f t="shared" si="113"/>
        <v>0.67500000000000004</v>
      </c>
      <c r="BJ32" s="37">
        <f t="shared" si="113"/>
        <v>0.67700000000000005</v>
      </c>
      <c r="BK32" s="38">
        <f t="shared" si="113"/>
        <v>0.67900000000000005</v>
      </c>
      <c r="BL32" s="20"/>
      <c r="BM32" s="37">
        <f t="shared" ref="BM32:BW32" si="114">BM31/BM10</f>
        <v>0.65613036465808083</v>
      </c>
      <c r="BN32" s="37">
        <f t="shared" si="114"/>
        <v>0.61052976322018937</v>
      </c>
      <c r="BO32" s="37">
        <f t="shared" si="114"/>
        <v>0.6082961521018051</v>
      </c>
      <c r="BP32" s="37">
        <f t="shared" si="114"/>
        <v>0.51571644243825243</v>
      </c>
      <c r="BQ32" s="37">
        <f t="shared" si="114"/>
        <v>0.59724880269002401</v>
      </c>
      <c r="BR32" s="37">
        <f t="shared" si="114"/>
        <v>0.6188321109426248</v>
      </c>
      <c r="BS32" s="37">
        <f>BS31/BS10</f>
        <v>0.60363407306506389</v>
      </c>
      <c r="BT32" s="37">
        <f t="shared" si="114"/>
        <v>0.6129805988959881</v>
      </c>
      <c r="BU32" s="37">
        <f t="shared" si="114"/>
        <v>0.56436641869727022</v>
      </c>
      <c r="BV32" s="37">
        <f t="shared" si="114"/>
        <v>0.5513008135720181</v>
      </c>
      <c r="BW32" s="37">
        <f t="shared" si="114"/>
        <v>0.56699194748849402</v>
      </c>
      <c r="BX32" s="37">
        <f>BX31/BX10</f>
        <v>0.63010565796093865</v>
      </c>
      <c r="BY32" s="37">
        <f>BY31/BY10</f>
        <v>0.65345524148604428</v>
      </c>
      <c r="BZ32" s="37">
        <f>BZ31/BZ10</f>
        <v>0.67256143689758452</v>
      </c>
      <c r="CA32" s="38">
        <f>CA31/CA10</f>
        <v>0.67654624293543764</v>
      </c>
      <c r="CB32" s="1471"/>
      <c r="CC32" s="1419"/>
      <c r="CD32" s="1419"/>
      <c r="CE32" s="260"/>
      <c r="CF32" s="39">
        <f t="shared" ref="CF32:CN32" si="115">CF31/CF10</f>
        <v>0.6291081182252527</v>
      </c>
      <c r="CG32" s="37">
        <f t="shared" si="115"/>
        <v>0.61534988364868459</v>
      </c>
      <c r="CH32" s="37">
        <f t="shared" si="115"/>
        <v>0.56987744638937232</v>
      </c>
      <c r="CI32" s="37">
        <f t="shared" si="115"/>
        <v>0.54418409834769454</v>
      </c>
      <c r="CJ32" s="37">
        <f t="shared" si="115"/>
        <v>0.61200985169303834</v>
      </c>
      <c r="CK32" s="37">
        <f t="shared" si="115"/>
        <v>0.61240813825094165</v>
      </c>
      <c r="CL32" s="37">
        <f t="shared" si="115"/>
        <v>0.60572065697143207</v>
      </c>
      <c r="CM32" s="37">
        <f t="shared" si="115"/>
        <v>0.58851117157785537</v>
      </c>
      <c r="CN32" s="37">
        <f t="shared" si="115"/>
        <v>0.56850609878291536</v>
      </c>
      <c r="CO32" s="37">
        <f>CO31/CO10</f>
        <v>0.53624008730382289</v>
      </c>
      <c r="CP32" s="37">
        <f>CP31/CP10</f>
        <v>0.60515486808859631</v>
      </c>
      <c r="CQ32" s="37">
        <f>CQ31/CQ10</f>
        <v>0.64835396009462809</v>
      </c>
      <c r="CR32" s="37">
        <f>CR31/CR10</f>
        <v>0.66162835573389933</v>
      </c>
      <c r="CS32" s="38">
        <f>CS31/CS10</f>
        <v>0.6747525529341919</v>
      </c>
      <c r="CT32" s="37"/>
    </row>
    <row r="33" spans="1:104" ht="14.25" hidden="1" customHeight="1" outlineLevel="1">
      <c r="A33" s="8"/>
      <c r="B33" s="47" t="s">
        <v>306</v>
      </c>
      <c r="C33" s="48"/>
      <c r="D33" s="50">
        <f>D17-D26</f>
        <v>299.45699999999999</v>
      </c>
      <c r="E33" s="50">
        <f>E17-E26</f>
        <v>309.51900000000001</v>
      </c>
      <c r="F33" s="50">
        <f>F17-F26</f>
        <v>328.90700000000004</v>
      </c>
      <c r="G33" s="51">
        <f>G17-G26</f>
        <v>342.65499999999986</v>
      </c>
      <c r="H33" s="50">
        <f t="shared" ref="H33:W33" si="116">H17-H26</f>
        <v>335.61699999999996</v>
      </c>
      <c r="I33" s="50">
        <f t="shared" si="116"/>
        <v>323.86799999999994</v>
      </c>
      <c r="J33" s="50">
        <f t="shared" si="116"/>
        <v>301.05399999999997</v>
      </c>
      <c r="K33" s="51">
        <f t="shared" si="116"/>
        <v>347.27699999999993</v>
      </c>
      <c r="L33" s="50">
        <f t="shared" si="116"/>
        <v>336.20800000000003</v>
      </c>
      <c r="M33" s="50">
        <f t="shared" si="116"/>
        <v>347.37299999999999</v>
      </c>
      <c r="N33" s="50">
        <f t="shared" si="116"/>
        <v>311.202</v>
      </c>
      <c r="O33" s="51">
        <f t="shared" si="116"/>
        <v>322.51699999999994</v>
      </c>
      <c r="P33" s="50">
        <f t="shared" si="116"/>
        <v>304.79899999999998</v>
      </c>
      <c r="Q33" s="50">
        <f t="shared" si="116"/>
        <v>284.25800000000004</v>
      </c>
      <c r="R33" s="50">
        <f t="shared" si="116"/>
        <v>187.65100000000001</v>
      </c>
      <c r="S33" s="51">
        <f t="shared" si="116"/>
        <v>219.39700000000019</v>
      </c>
      <c r="T33" s="50">
        <f t="shared" si="116"/>
        <v>259.44</v>
      </c>
      <c r="U33" s="50">
        <f t="shared" si="116"/>
        <v>299.40199999999993</v>
      </c>
      <c r="V33" s="50">
        <f t="shared" si="116"/>
        <v>312.12400000000002</v>
      </c>
      <c r="W33" s="51">
        <f t="shared" si="116"/>
        <v>352.94899999999996</v>
      </c>
      <c r="X33" s="50">
        <f>X17-X26</f>
        <v>400.815</v>
      </c>
      <c r="Y33" s="50">
        <f>Y17-Y26</f>
        <v>393.26200000000006</v>
      </c>
      <c r="Z33" s="50">
        <f t="shared" ref="Z33:AF33" si="117">Z17-Z26</f>
        <v>383.90499999999997</v>
      </c>
      <c r="AA33" s="51">
        <f t="shared" si="117"/>
        <v>401.82399999999973</v>
      </c>
      <c r="AB33" s="50">
        <f t="shared" si="117"/>
        <v>408.16399999999999</v>
      </c>
      <c r="AC33" s="50">
        <f t="shared" si="117"/>
        <v>361.53300000000002</v>
      </c>
      <c r="AD33" s="50">
        <f>AD17-AD26</f>
        <v>348.31599999999997</v>
      </c>
      <c r="AE33" s="51">
        <f t="shared" si="117"/>
        <v>384.47199999999998</v>
      </c>
      <c r="AF33" s="50">
        <f t="shared" si="117"/>
        <v>398.13300000000004</v>
      </c>
      <c r="AG33" s="50">
        <f>AG17-AG26</f>
        <v>376.04399999999998</v>
      </c>
      <c r="AH33" s="50">
        <f>AH17-AH26</f>
        <v>386.93399999999997</v>
      </c>
      <c r="AI33" s="51">
        <f>AI17-AI26</f>
        <v>382.05399999999997</v>
      </c>
      <c r="AJ33" s="49">
        <f>AJ17-AJ26</f>
        <v>358.03</v>
      </c>
      <c r="AK33" s="50">
        <f>AK17-AK26</f>
        <v>364.202</v>
      </c>
      <c r="AL33" s="50">
        <f t="shared" ref="AL33:AQ33" si="118">AL17-AL26</f>
        <v>367.15</v>
      </c>
      <c r="AM33" s="51">
        <f t="shared" si="118"/>
        <v>391.06799999999998</v>
      </c>
      <c r="AN33" s="49">
        <f t="shared" si="118"/>
        <v>360.31700000000001</v>
      </c>
      <c r="AO33" s="50">
        <f t="shared" si="118"/>
        <v>344.71</v>
      </c>
      <c r="AP33" s="50">
        <f t="shared" si="118"/>
        <v>346.92700000000002</v>
      </c>
      <c r="AQ33" s="51">
        <f t="shared" si="118"/>
        <v>357.56900000000007</v>
      </c>
      <c r="AR33" s="49">
        <f t="shared" ref="AR33:AW33" si="119">AR17-AR26</f>
        <v>349.45699999999999</v>
      </c>
      <c r="AS33" s="50">
        <f t="shared" si="119"/>
        <v>308.935</v>
      </c>
      <c r="AT33" s="50">
        <f t="shared" si="119"/>
        <v>340.85899999999992</v>
      </c>
      <c r="AU33" s="529">
        <f t="shared" si="119"/>
        <v>362.95399999999995</v>
      </c>
      <c r="AV33" s="49">
        <f t="shared" si="119"/>
        <v>359.51199999999994</v>
      </c>
      <c r="AW33" s="50">
        <f t="shared" si="119"/>
        <v>353.11100000000005</v>
      </c>
      <c r="AX33" s="50">
        <f t="shared" ref="AX33:BG33" si="120">AX17-AX26</f>
        <v>379.07100000000003</v>
      </c>
      <c r="AY33" s="529">
        <f t="shared" si="120"/>
        <v>404.73</v>
      </c>
      <c r="AZ33" s="49">
        <f t="shared" si="120"/>
        <v>384.89500000000004</v>
      </c>
      <c r="BA33" s="50">
        <f t="shared" si="120"/>
        <v>420.81499999999994</v>
      </c>
      <c r="BB33" s="50">
        <f t="shared" ref="BB33" si="121">BB17-BB26</f>
        <v>436.04700000000003</v>
      </c>
      <c r="BC33" s="51">
        <f t="shared" si="120"/>
        <v>422.02423562950003</v>
      </c>
      <c r="BD33" s="49">
        <f t="shared" si="120"/>
        <v>411.64951843708002</v>
      </c>
      <c r="BE33" s="50">
        <f t="shared" si="120"/>
        <v>413.03604404684017</v>
      </c>
      <c r="BF33" s="50">
        <f t="shared" si="120"/>
        <v>435.92480484182857</v>
      </c>
      <c r="BG33" s="51">
        <f t="shared" si="120"/>
        <v>442.49863664717407</v>
      </c>
      <c r="BH33" s="49">
        <f>BH17-BH26</f>
        <v>434.75406554470618</v>
      </c>
      <c r="BI33" s="50">
        <f>BI17-BI26</f>
        <v>434.42012789573414</v>
      </c>
      <c r="BJ33" s="50">
        <f>BJ17-BJ26</f>
        <v>453.43071338351922</v>
      </c>
      <c r="BK33" s="51">
        <f>BK17-BK26</f>
        <v>466.86097696512093</v>
      </c>
      <c r="BL33" s="128"/>
      <c r="BM33" s="50">
        <f t="shared" ref="BM33:BS33" si="122">BM17-BM26</f>
        <v>1280.538</v>
      </c>
      <c r="BN33" s="50">
        <f t="shared" si="122"/>
        <v>1307.8159999999998</v>
      </c>
      <c r="BO33" s="50">
        <f t="shared" si="122"/>
        <v>1317.3</v>
      </c>
      <c r="BP33" s="50">
        <f t="shared" si="122"/>
        <v>996.10500000000036</v>
      </c>
      <c r="BQ33" s="50">
        <f t="shared" si="122"/>
        <v>1223.915</v>
      </c>
      <c r="BR33" s="50">
        <f t="shared" si="122"/>
        <v>1579.8059999999996</v>
      </c>
      <c r="BS33" s="50">
        <f t="shared" si="122"/>
        <v>1502.4850000000001</v>
      </c>
      <c r="BT33" s="50">
        <f t="shared" ref="BT33:CA33" si="123">BT17-BT26</f>
        <v>1543.165</v>
      </c>
      <c r="BU33" s="50">
        <f t="shared" si="123"/>
        <v>1480.4500000000003</v>
      </c>
      <c r="BV33" s="50">
        <f t="shared" si="123"/>
        <v>1409.5229999999997</v>
      </c>
      <c r="BW33" s="50">
        <f t="shared" si="123"/>
        <v>1362.2050000000002</v>
      </c>
      <c r="BX33" s="50">
        <f t="shared" si="123"/>
        <v>1496.4240000000002</v>
      </c>
      <c r="BY33" s="50">
        <f t="shared" si="123"/>
        <v>1663.7812356295003</v>
      </c>
      <c r="BZ33" s="50">
        <f t="shared" si="123"/>
        <v>1703.1090039729227</v>
      </c>
      <c r="CA33" s="51">
        <f t="shared" si="123"/>
        <v>1789.4658837890802</v>
      </c>
      <c r="CB33" s="49"/>
      <c r="CC33" s="50"/>
      <c r="CD33" s="50"/>
      <c r="CE33" s="260"/>
      <c r="CF33" s="49">
        <f t="shared" ref="CF33:CL33" si="124">CF17-CF26</f>
        <v>1331.0469999999998</v>
      </c>
      <c r="CG33" s="50">
        <f t="shared" si="124"/>
        <v>1331.9120000000003</v>
      </c>
      <c r="CH33" s="50">
        <f t="shared" si="124"/>
        <v>1222.7759999999998</v>
      </c>
      <c r="CI33" s="50">
        <f t="shared" si="124"/>
        <v>965.89</v>
      </c>
      <c r="CJ33" s="50">
        <f t="shared" si="124"/>
        <v>1459.1500000000003</v>
      </c>
      <c r="CK33" s="50">
        <f t="shared" si="124"/>
        <v>1555.4259999999995</v>
      </c>
      <c r="CL33" s="50">
        <f t="shared" si="124"/>
        <v>1506.9649999999999</v>
      </c>
      <c r="CM33" s="50">
        <f t="shared" ref="CM33:CR33" si="125">CM17-CM26</f>
        <v>1491.2199999999998</v>
      </c>
      <c r="CN33" s="50">
        <f t="shared" si="125"/>
        <v>1463.2449999999999</v>
      </c>
      <c r="CO33" s="50">
        <f t="shared" si="125"/>
        <v>1362.8880000000004</v>
      </c>
      <c r="CP33" s="50">
        <f t="shared" si="125"/>
        <v>1416.4360000000001</v>
      </c>
      <c r="CQ33" s="50">
        <f t="shared" si="125"/>
        <v>1589.5109999999995</v>
      </c>
      <c r="CR33" s="50">
        <f t="shared" si="125"/>
        <v>1682.7567981134202</v>
      </c>
      <c r="CS33" s="51">
        <f>CS17-CS26</f>
        <v>1747.5976349294431</v>
      </c>
      <c r="CT33" s="50"/>
    </row>
    <row r="34" spans="1:104" ht="14.25" hidden="1" customHeight="1" outlineLevel="1">
      <c r="A34" s="8"/>
      <c r="B34" s="35" t="s">
        <v>307</v>
      </c>
      <c r="C34" s="36"/>
      <c r="D34" s="37">
        <f t="shared" ref="D34:AK34" si="126">D33/D17</f>
        <v>0.70610830120609758</v>
      </c>
      <c r="E34" s="37">
        <f t="shared" si="126"/>
        <v>0.69473648769976659</v>
      </c>
      <c r="F34" s="37">
        <f t="shared" si="126"/>
        <v>0.68784532697576184</v>
      </c>
      <c r="G34" s="38">
        <f t="shared" si="126"/>
        <v>0.67298098829444564</v>
      </c>
      <c r="H34" s="37">
        <f t="shared" si="126"/>
        <v>0.66756904593780142</v>
      </c>
      <c r="I34" s="37">
        <f t="shared" si="126"/>
        <v>0.65105246123754401</v>
      </c>
      <c r="J34" s="37">
        <f t="shared" si="126"/>
        <v>0.63172848521474911</v>
      </c>
      <c r="K34" s="38">
        <f t="shared" si="126"/>
        <v>0.65232263275541436</v>
      </c>
      <c r="L34" s="37">
        <f t="shared" si="126"/>
        <v>0.64151915448184538</v>
      </c>
      <c r="M34" s="37">
        <f t="shared" si="126"/>
        <v>0.64325355307624643</v>
      </c>
      <c r="N34" s="37">
        <f t="shared" si="126"/>
        <v>0.63848095032929153</v>
      </c>
      <c r="O34" s="38">
        <f t="shared" si="126"/>
        <v>0.64340361523898437</v>
      </c>
      <c r="P34" s="37">
        <f t="shared" si="126"/>
        <v>0.6081336142568694</v>
      </c>
      <c r="Q34" s="37">
        <f t="shared" si="126"/>
        <v>0.69217264260059663</v>
      </c>
      <c r="R34" s="37">
        <f t="shared" si="126"/>
        <v>0.55245904052522343</v>
      </c>
      <c r="S34" s="38">
        <f t="shared" si="126"/>
        <v>0.55618030222754045</v>
      </c>
      <c r="T34" s="37">
        <f t="shared" si="126"/>
        <v>0.57750096828908881</v>
      </c>
      <c r="U34" s="37">
        <f t="shared" si="126"/>
        <v>0.63229675934236496</v>
      </c>
      <c r="V34" s="37">
        <f t="shared" si="126"/>
        <v>0.61335481842477602</v>
      </c>
      <c r="W34" s="38">
        <f t="shared" si="126"/>
        <v>0.6236266745823924</v>
      </c>
      <c r="X34" s="37">
        <f t="shared" si="126"/>
        <v>0.64013741357749632</v>
      </c>
      <c r="Y34" s="37">
        <f t="shared" si="126"/>
        <v>0.64160369108683457</v>
      </c>
      <c r="Z34" s="37">
        <f t="shared" si="126"/>
        <v>0.63269745787153386</v>
      </c>
      <c r="AA34" s="38">
        <f t="shared" si="126"/>
        <v>0.64138830406183001</v>
      </c>
      <c r="AB34" s="37">
        <f t="shared" si="126"/>
        <v>0.64176527746768097</v>
      </c>
      <c r="AC34" s="37">
        <f t="shared" si="126"/>
        <v>0.61135959713135335</v>
      </c>
      <c r="AD34" s="37">
        <f t="shared" si="126"/>
        <v>0.60978410817699902</v>
      </c>
      <c r="AE34" s="38">
        <f t="shared" si="126"/>
        <v>0.63553712997308887</v>
      </c>
      <c r="AF34" s="37">
        <f t="shared" si="126"/>
        <v>0.63898086105204033</v>
      </c>
      <c r="AG34" s="37">
        <f t="shared" si="126"/>
        <v>0.6212461135359636</v>
      </c>
      <c r="AH34" s="37">
        <f>AH33/AH17</f>
        <v>0.63968298053841721</v>
      </c>
      <c r="AI34" s="38">
        <f t="shared" si="126"/>
        <v>0.6281778511461803</v>
      </c>
      <c r="AJ34" s="39">
        <f t="shared" si="126"/>
        <v>0.61176506772423667</v>
      </c>
      <c r="AK34" s="37">
        <f t="shared" si="126"/>
        <v>0.5871630924397927</v>
      </c>
      <c r="AL34" s="37">
        <f t="shared" ref="AL34:AQ34" si="127">AL33/AL17</f>
        <v>0.60617717907611424</v>
      </c>
      <c r="AM34" s="38">
        <f t="shared" si="127"/>
        <v>0.60869741169585367</v>
      </c>
      <c r="AN34" s="39">
        <f t="shared" si="127"/>
        <v>0.62094179483865408</v>
      </c>
      <c r="AO34" s="37">
        <f t="shared" si="127"/>
        <v>0.60815900947232671</v>
      </c>
      <c r="AP34" s="37">
        <f t="shared" si="127"/>
        <v>0.60098603236306503</v>
      </c>
      <c r="AQ34" s="38">
        <f t="shared" si="127"/>
        <v>0.6138344460333347</v>
      </c>
      <c r="AR34" s="39">
        <f t="shared" ref="AR34:BC34" si="128">AR33/AR17</f>
        <v>0.62124584451831966</v>
      </c>
      <c r="AS34" s="37">
        <f t="shared" si="128"/>
        <v>0.60476948344951653</v>
      </c>
      <c r="AT34" s="37">
        <f t="shared" si="128"/>
        <v>0.61388162491985609</v>
      </c>
      <c r="AU34" s="37">
        <f t="shared" si="128"/>
        <v>0.64111876154778258</v>
      </c>
      <c r="AV34" s="39">
        <f t="shared" ref="AV34:BA34" si="129">AV33/AV17</f>
        <v>0.64038931520709086</v>
      </c>
      <c r="AW34" s="37">
        <f t="shared" si="129"/>
        <v>0.64085713559758839</v>
      </c>
      <c r="AX34" s="37">
        <f t="shared" si="129"/>
        <v>0.65220331167758638</v>
      </c>
      <c r="AY34" s="37">
        <f t="shared" si="129"/>
        <v>0.67230338618450014</v>
      </c>
      <c r="AZ34" s="39">
        <f t="shared" si="129"/>
        <v>0.66859657168268261</v>
      </c>
      <c r="BA34" s="37">
        <f t="shared" si="129"/>
        <v>0.67585928879909152</v>
      </c>
      <c r="BB34" s="37">
        <f t="shared" ref="BB34" si="130">BB33/BB17</f>
        <v>0.67229058324172564</v>
      </c>
      <c r="BC34" s="38">
        <f t="shared" si="128"/>
        <v>0.67</v>
      </c>
      <c r="BD34" s="39">
        <f t="shared" ref="BD34:BK34" si="131">BD33/BD17</f>
        <v>0.67</v>
      </c>
      <c r="BE34" s="37">
        <f t="shared" si="131"/>
        <v>0.67100000000000004</v>
      </c>
      <c r="BF34" s="37">
        <f t="shared" si="131"/>
        <v>0.67300000000000004</v>
      </c>
      <c r="BG34" s="38">
        <f t="shared" si="131"/>
        <v>0.67600000000000005</v>
      </c>
      <c r="BH34" s="39">
        <f t="shared" si="131"/>
        <v>0.67500000000000004</v>
      </c>
      <c r="BI34" s="37">
        <f t="shared" si="131"/>
        <v>0.67500000000000004</v>
      </c>
      <c r="BJ34" s="37">
        <f t="shared" si="131"/>
        <v>0.67700000000000005</v>
      </c>
      <c r="BK34" s="38">
        <f t="shared" si="131"/>
        <v>0.67900000000000005</v>
      </c>
      <c r="BL34" s="20"/>
      <c r="BM34" s="37">
        <f t="shared" ref="BM34:BW34" si="132">BM33/BM17</f>
        <v>0.68959392981483025</v>
      </c>
      <c r="BN34" s="37">
        <f t="shared" si="132"/>
        <v>0.65093841893282844</v>
      </c>
      <c r="BO34" s="37">
        <f t="shared" si="132"/>
        <v>0.64171419969865295</v>
      </c>
      <c r="BP34" s="37">
        <f t="shared" si="132"/>
        <v>0.60516155685094009</v>
      </c>
      <c r="BQ34" s="37">
        <f t="shared" si="132"/>
        <v>0.61269181113564608</v>
      </c>
      <c r="BR34" s="37">
        <f t="shared" si="132"/>
        <v>0.63899195135298892</v>
      </c>
      <c r="BS34" s="37">
        <f t="shared" si="132"/>
        <v>0.62511623533562533</v>
      </c>
      <c r="BT34" s="37">
        <f t="shared" si="132"/>
        <v>0.63206672731346303</v>
      </c>
      <c r="BU34" s="37">
        <f t="shared" si="132"/>
        <v>0.60336321654603764</v>
      </c>
      <c r="BV34" s="37">
        <f t="shared" si="132"/>
        <v>0.6110126127938188</v>
      </c>
      <c r="BW34" s="37">
        <f t="shared" si="132"/>
        <v>0.62067399061109874</v>
      </c>
      <c r="BX34" s="37">
        <f>BX33/BX17</f>
        <v>0.65186191935494409</v>
      </c>
      <c r="BY34" s="37">
        <f>BY33/BY17</f>
        <v>0.67174659313966778</v>
      </c>
      <c r="BZ34" s="37">
        <f>BZ33/BZ17</f>
        <v>0.67256143689758452</v>
      </c>
      <c r="CA34" s="38">
        <f>CA33/CA17</f>
        <v>0.67654624293543764</v>
      </c>
      <c r="CB34" s="39"/>
      <c r="CC34" s="37"/>
      <c r="CD34" s="37"/>
      <c r="CE34" s="260"/>
      <c r="CF34" s="39">
        <f t="shared" ref="CF34:CN34" si="133">CF33/CF17</f>
        <v>0.66969974762619688</v>
      </c>
      <c r="CG34" s="37">
        <f t="shared" si="133"/>
        <v>0.64249466481945294</v>
      </c>
      <c r="CH34" s="37">
        <f t="shared" si="133"/>
        <v>0.64337804305687385</v>
      </c>
      <c r="CI34" s="37">
        <f t="shared" si="133"/>
        <v>0.58295114301009665</v>
      </c>
      <c r="CJ34" s="37">
        <f t="shared" si="133"/>
        <v>0.63059738097779661</v>
      </c>
      <c r="CK34" s="37">
        <f t="shared" si="133"/>
        <v>0.6321258768598409</v>
      </c>
      <c r="CL34" s="37">
        <f t="shared" si="133"/>
        <v>0.62671419879569934</v>
      </c>
      <c r="CM34" s="37">
        <f t="shared" si="133"/>
        <v>0.61656508556834488</v>
      </c>
      <c r="CN34" s="37">
        <f t="shared" si="133"/>
        <v>0.61089906948470962</v>
      </c>
      <c r="CO34" s="37">
        <f>CO33/CO17</f>
        <v>0.61030638286057959</v>
      </c>
      <c r="CP34" s="37">
        <f>CP33/CP17</f>
        <v>0.63410052592654942</v>
      </c>
      <c r="CQ34" s="37">
        <f>CQ33/CQ17</f>
        <v>0.66743157981368295</v>
      </c>
      <c r="CR34" s="37">
        <f>CR33/CR17</f>
        <v>0.67083766085799978</v>
      </c>
      <c r="CS34" s="38">
        <f>CS33/CS17</f>
        <v>0.6747525529341919</v>
      </c>
      <c r="CT34" s="37"/>
    </row>
    <row r="35" spans="1:104" ht="14.25" customHeight="1" collapsed="1">
      <c r="A35" s="8"/>
      <c r="B35" s="47" t="s">
        <v>308</v>
      </c>
      <c r="C35" s="48"/>
      <c r="D35" s="50">
        <f>D17-D28</f>
        <v>282.06400000000002</v>
      </c>
      <c r="E35" s="50">
        <f>E17-E28</f>
        <v>293.20499999999998</v>
      </c>
      <c r="F35" s="50">
        <f>F17-F28</f>
        <v>314.35700000000003</v>
      </c>
      <c r="G35" s="51">
        <f>G17-G28</f>
        <v>328.77199999999982</v>
      </c>
      <c r="H35" s="50">
        <f t="shared" ref="H35:W35" si="134">H17-H28</f>
        <v>299.05799999999999</v>
      </c>
      <c r="I35" s="50">
        <f t="shared" si="134"/>
        <v>308.18299999999999</v>
      </c>
      <c r="J35" s="50">
        <f t="shared" si="134"/>
        <v>286.27</v>
      </c>
      <c r="K35" s="51">
        <f t="shared" si="134"/>
        <v>333.11899999999991</v>
      </c>
      <c r="L35" s="50">
        <f t="shared" si="134"/>
        <v>320.54600000000005</v>
      </c>
      <c r="M35" s="50">
        <f t="shared" si="134"/>
        <v>335.70499999999998</v>
      </c>
      <c r="N35" s="50">
        <f t="shared" si="134"/>
        <v>300.66700000000003</v>
      </c>
      <c r="O35" s="51">
        <f t="shared" si="134"/>
        <v>314.39199999999994</v>
      </c>
      <c r="P35" s="50">
        <f t="shared" si="134"/>
        <v>292.87900000000002</v>
      </c>
      <c r="Q35" s="50">
        <f t="shared" si="134"/>
        <v>253.42400000000001</v>
      </c>
      <c r="R35" s="50">
        <f t="shared" si="134"/>
        <v>180.077</v>
      </c>
      <c r="S35" s="51">
        <f t="shared" si="134"/>
        <v>212.6250000000002</v>
      </c>
      <c r="T35" s="50">
        <f t="shared" si="134"/>
        <v>253.97899999999998</v>
      </c>
      <c r="U35" s="50">
        <f t="shared" si="134"/>
        <v>294.13699999999994</v>
      </c>
      <c r="V35" s="50">
        <f t="shared" si="134"/>
        <v>311.053</v>
      </c>
      <c r="W35" s="51">
        <f t="shared" si="134"/>
        <v>349.52599999999995</v>
      </c>
      <c r="X35" s="50">
        <f t="shared" ref="X35:AF35" si="135">X17-X28</f>
        <v>396.91999999999996</v>
      </c>
      <c r="Y35" s="50">
        <f t="shared" si="135"/>
        <v>389.51400000000001</v>
      </c>
      <c r="Z35" s="50">
        <f t="shared" si="135"/>
        <v>380.56899999999996</v>
      </c>
      <c r="AA35" s="51">
        <f t="shared" si="135"/>
        <v>398.80199999999968</v>
      </c>
      <c r="AB35" s="50">
        <f t="shared" si="135"/>
        <v>404.90699999999993</v>
      </c>
      <c r="AC35" s="50">
        <f>AC17-AC28</f>
        <v>357.84100000000001</v>
      </c>
      <c r="AD35" s="50">
        <f>AD17-AD28</f>
        <v>345.21699999999998</v>
      </c>
      <c r="AE35" s="51">
        <f>AE17-AE28</f>
        <v>381.38099999999997</v>
      </c>
      <c r="AF35" s="50">
        <f t="shared" si="135"/>
        <v>395.1450000000001</v>
      </c>
      <c r="AG35" s="50">
        <f>AG17-AG28</f>
        <v>372.36099999999999</v>
      </c>
      <c r="AH35" s="50">
        <f t="shared" ref="AH35:AM35" si="136">AH17-AH28</f>
        <v>383.87900000000002</v>
      </c>
      <c r="AI35" s="51">
        <f t="shared" si="136"/>
        <v>379.17599999999993</v>
      </c>
      <c r="AJ35" s="49">
        <f t="shared" si="136"/>
        <v>355.28800000000001</v>
      </c>
      <c r="AK35" s="50">
        <f t="shared" si="136"/>
        <v>360.83600000000001</v>
      </c>
      <c r="AL35" s="50">
        <f t="shared" si="136"/>
        <v>363.99700000000001</v>
      </c>
      <c r="AM35" s="51">
        <f t="shared" si="136"/>
        <v>388.08100000000002</v>
      </c>
      <c r="AN35" s="49">
        <f t="shared" ref="AN35:AS35" si="137">AN17-AN28</f>
        <v>357.48</v>
      </c>
      <c r="AO35" s="50">
        <f t="shared" si="137"/>
        <v>341.72199999999998</v>
      </c>
      <c r="AP35" s="50">
        <f t="shared" si="137"/>
        <v>343.85200000000003</v>
      </c>
      <c r="AQ35" s="51">
        <f t="shared" si="137"/>
        <v>354.58200000000011</v>
      </c>
      <c r="AR35" s="49">
        <f t="shared" si="137"/>
        <v>346.62</v>
      </c>
      <c r="AS35" s="50">
        <f t="shared" si="137"/>
        <v>308.935</v>
      </c>
      <c r="AT35" s="50">
        <f t="shared" ref="AT35:BC35" si="138">AT17-AT28</f>
        <v>340.85899999999992</v>
      </c>
      <c r="AU35" s="529">
        <f t="shared" si="138"/>
        <v>362.95399999999995</v>
      </c>
      <c r="AV35" s="49">
        <f t="shared" si="138"/>
        <v>359.51199999999994</v>
      </c>
      <c r="AW35" s="50">
        <f t="shared" si="138"/>
        <v>353.11100000000005</v>
      </c>
      <c r="AX35" s="50">
        <f>AX17-AX28</f>
        <v>379.07100000000003</v>
      </c>
      <c r="AY35" s="529">
        <f>AY17-AY28</f>
        <v>404.73</v>
      </c>
      <c r="AZ35" s="49">
        <f>AZ17-AZ28</f>
        <v>384.89500000000004</v>
      </c>
      <c r="BA35" s="50">
        <f>BA17-BA28</f>
        <v>420.81499999999994</v>
      </c>
      <c r="BB35" s="50">
        <f>BB17-BB28</f>
        <v>436.04700000000003</v>
      </c>
      <c r="BC35" s="51">
        <f t="shared" si="138"/>
        <v>422.02423562950003</v>
      </c>
      <c r="BD35" s="49">
        <f t="shared" ref="BD35:BK35" si="139">BD17-BD28</f>
        <v>411.64951843708002</v>
      </c>
      <c r="BE35" s="50">
        <f t="shared" si="139"/>
        <v>413.03604404684017</v>
      </c>
      <c r="BF35" s="50">
        <f t="shared" si="139"/>
        <v>435.92480484182857</v>
      </c>
      <c r="BG35" s="51">
        <f t="shared" si="139"/>
        <v>442.49863664717407</v>
      </c>
      <c r="BH35" s="49">
        <f t="shared" si="139"/>
        <v>434.75406554470618</v>
      </c>
      <c r="BI35" s="50">
        <f t="shared" si="139"/>
        <v>434.42012789573414</v>
      </c>
      <c r="BJ35" s="50">
        <f t="shared" si="139"/>
        <v>453.43071338351922</v>
      </c>
      <c r="BK35" s="51">
        <f t="shared" si="139"/>
        <v>466.86097696512093</v>
      </c>
      <c r="BL35" s="20"/>
      <c r="BM35" s="50">
        <f t="shared" ref="BM35:BS35" si="140">BM17-BM28</f>
        <v>1218.3979999999999</v>
      </c>
      <c r="BN35" s="50">
        <f t="shared" si="140"/>
        <v>1226.6299999999997</v>
      </c>
      <c r="BO35" s="50">
        <f t="shared" si="140"/>
        <v>1271.31</v>
      </c>
      <c r="BP35" s="50">
        <f t="shared" si="140"/>
        <v>939.00500000000034</v>
      </c>
      <c r="BQ35" s="50">
        <f t="shared" si="140"/>
        <v>1208.6950000000002</v>
      </c>
      <c r="BR35" s="50">
        <f t="shared" si="140"/>
        <v>1565.8049999999994</v>
      </c>
      <c r="BS35" s="50">
        <f t="shared" si="140"/>
        <v>1489.346</v>
      </c>
      <c r="BT35" s="50">
        <f t="shared" ref="BT35:CA35" si="141">BT17-BT28</f>
        <v>1530.5609999999999</v>
      </c>
      <c r="BU35" s="50">
        <f t="shared" si="141"/>
        <v>1468.2020000000002</v>
      </c>
      <c r="BV35" s="50">
        <f t="shared" si="141"/>
        <v>1397.6359999999995</v>
      </c>
      <c r="BW35" s="50">
        <f t="shared" si="141"/>
        <v>1359.3680000000002</v>
      </c>
      <c r="BX35" s="50">
        <f t="shared" si="141"/>
        <v>1496.4240000000002</v>
      </c>
      <c r="BY35" s="50">
        <f t="shared" si="141"/>
        <v>1663.7812356295003</v>
      </c>
      <c r="BZ35" s="50">
        <f t="shared" si="141"/>
        <v>1703.1090039729227</v>
      </c>
      <c r="CA35" s="51">
        <f t="shared" si="141"/>
        <v>1789.4658837890802</v>
      </c>
      <c r="CB35" s="49"/>
      <c r="CC35" s="50"/>
      <c r="CD35" s="50"/>
      <c r="CE35" s="260"/>
      <c r="CF35" s="49">
        <f t="shared" ref="CF35:CL35" si="142">CF17-CF28</f>
        <v>1250.3699999999999</v>
      </c>
      <c r="CG35" s="50">
        <f t="shared" si="142"/>
        <v>1275.6400000000001</v>
      </c>
      <c r="CH35" s="50">
        <f t="shared" si="142"/>
        <v>1161.3619999999999</v>
      </c>
      <c r="CI35" s="50">
        <f t="shared" si="142"/>
        <v>940.81799999999998</v>
      </c>
      <c r="CJ35" s="50">
        <f t="shared" si="142"/>
        <v>1447.0130000000004</v>
      </c>
      <c r="CK35" s="50">
        <f t="shared" si="142"/>
        <v>1542.1189999999997</v>
      </c>
      <c r="CL35" s="50">
        <f t="shared" si="142"/>
        <v>1494.1039999999998</v>
      </c>
      <c r="CM35" s="50">
        <f t="shared" ref="CM35:CR35" si="143">CM17-CM28</f>
        <v>1479.1789999999999</v>
      </c>
      <c r="CN35" s="50">
        <f t="shared" si="143"/>
        <v>1451.28</v>
      </c>
      <c r="CO35" s="50">
        <f t="shared" si="143"/>
        <v>1353.9890000000003</v>
      </c>
      <c r="CP35" s="50">
        <f t="shared" si="143"/>
        <v>1416.4360000000001</v>
      </c>
      <c r="CQ35" s="50">
        <f t="shared" si="143"/>
        <v>1589.5109999999995</v>
      </c>
      <c r="CR35" s="50">
        <f t="shared" si="143"/>
        <v>1682.7567981134202</v>
      </c>
      <c r="CS35" s="51">
        <f>CS17-CS28</f>
        <v>1747.5976349294431</v>
      </c>
      <c r="CT35" s="50"/>
    </row>
    <row r="36" spans="1:104" s="396" customFormat="1" ht="14.25" customHeight="1">
      <c r="A36" s="11"/>
      <c r="B36" s="35" t="s">
        <v>309</v>
      </c>
      <c r="C36" s="36"/>
      <c r="D36" s="37">
        <f t="shared" ref="D36:AE36" si="144">D35/D17</f>
        <v>0.66509626380881648</v>
      </c>
      <c r="E36" s="37">
        <f t="shared" si="144"/>
        <v>0.6581186029807865</v>
      </c>
      <c r="F36" s="37">
        <f t="shared" si="144"/>
        <v>0.65741681828638354</v>
      </c>
      <c r="G36" s="38">
        <f t="shared" si="144"/>
        <v>0.64571451017361914</v>
      </c>
      <c r="H36" s="37">
        <f t="shared" si="144"/>
        <v>0.59485027200668328</v>
      </c>
      <c r="I36" s="37">
        <f t="shared" si="144"/>
        <v>0.61952184427473556</v>
      </c>
      <c r="J36" s="37">
        <f t="shared" si="144"/>
        <v>0.60070589815257802</v>
      </c>
      <c r="K36" s="38">
        <f t="shared" si="144"/>
        <v>0.62572834682645517</v>
      </c>
      <c r="L36" s="37">
        <f t="shared" si="144"/>
        <v>0.61163446108521402</v>
      </c>
      <c r="M36" s="37">
        <f t="shared" si="144"/>
        <v>0.62164714596546455</v>
      </c>
      <c r="N36" s="37">
        <f t="shared" si="144"/>
        <v>0.61686670359656148</v>
      </c>
      <c r="O36" s="38">
        <f t="shared" si="144"/>
        <v>0.62719468865893824</v>
      </c>
      <c r="P36" s="37">
        <f t="shared" si="144"/>
        <v>0.58435088307355887</v>
      </c>
      <c r="Q36" s="37">
        <f t="shared" si="144"/>
        <v>0.61709137395750902</v>
      </c>
      <c r="R36" s="37">
        <f t="shared" si="144"/>
        <v>0.53016059941412863</v>
      </c>
      <c r="S36" s="38">
        <f t="shared" si="144"/>
        <v>0.53901300729331203</v>
      </c>
      <c r="T36" s="37">
        <f t="shared" si="144"/>
        <v>0.5653450448084123</v>
      </c>
      <c r="U36" s="37">
        <f t="shared" si="144"/>
        <v>0.62117778739849838</v>
      </c>
      <c r="V36" s="37">
        <f t="shared" si="144"/>
        <v>0.61125019650998269</v>
      </c>
      <c r="W36" s="38">
        <f t="shared" si="144"/>
        <v>0.61757856534537647</v>
      </c>
      <c r="X36" s="37">
        <f t="shared" si="144"/>
        <v>0.63391675011459114</v>
      </c>
      <c r="Y36" s="37">
        <f t="shared" si="144"/>
        <v>0.63548886017463491</v>
      </c>
      <c r="Z36" s="37">
        <f t="shared" si="144"/>
        <v>0.62719953854394128</v>
      </c>
      <c r="AA36" s="38">
        <f t="shared" si="144"/>
        <v>0.636564611462894</v>
      </c>
      <c r="AB36" s="37">
        <f t="shared" si="144"/>
        <v>0.63664422438923141</v>
      </c>
      <c r="AC36" s="37">
        <f t="shared" si="144"/>
        <v>0.60511635064317948</v>
      </c>
      <c r="AD36" s="37">
        <f t="shared" si="144"/>
        <v>0.60435880198595271</v>
      </c>
      <c r="AE36" s="38">
        <f t="shared" si="144"/>
        <v>0.63042766746672474</v>
      </c>
      <c r="AF36" s="37">
        <f t="shared" ref="AF36:AK36" si="145">AF35/AF17</f>
        <v>0.6341852906953418</v>
      </c>
      <c r="AG36" s="37">
        <f t="shared" si="145"/>
        <v>0.61516158769283624</v>
      </c>
      <c r="AH36" s="37">
        <f t="shared" si="145"/>
        <v>0.63463242539065345</v>
      </c>
      <c r="AI36" s="38">
        <f t="shared" si="145"/>
        <v>0.62344580840981656</v>
      </c>
      <c r="AJ36" s="39">
        <f t="shared" si="145"/>
        <v>0.60707981839959957</v>
      </c>
      <c r="AK36" s="37">
        <f t="shared" si="145"/>
        <v>0.58173645840386667</v>
      </c>
      <c r="AL36" s="37">
        <f t="shared" ref="AL36:AQ36" si="146">AL35/AL17</f>
        <v>0.60097146847928196</v>
      </c>
      <c r="AM36" s="38">
        <f t="shared" si="146"/>
        <v>0.60404814566351273</v>
      </c>
      <c r="AN36" s="39">
        <f t="shared" si="146"/>
        <v>0.61605273361768131</v>
      </c>
      <c r="AO36" s="37">
        <f t="shared" si="146"/>
        <v>0.60288739240202605</v>
      </c>
      <c r="AP36" s="37">
        <f t="shared" si="146"/>
        <v>0.59565917094980969</v>
      </c>
      <c r="AQ36" s="38">
        <f t="shared" si="146"/>
        <v>0.60870669868862204</v>
      </c>
      <c r="AR36" s="39">
        <f t="shared" ref="AR36:AW36" si="147">AR35/AR17</f>
        <v>0.61620237862437999</v>
      </c>
      <c r="AS36" s="37">
        <f t="shared" si="147"/>
        <v>0.60476948344951653</v>
      </c>
      <c r="AT36" s="37">
        <f t="shared" si="147"/>
        <v>0.61388162491985609</v>
      </c>
      <c r="AU36" s="37">
        <f t="shared" si="147"/>
        <v>0.64111876154778258</v>
      </c>
      <c r="AV36" s="39">
        <f t="shared" si="147"/>
        <v>0.64038931520709086</v>
      </c>
      <c r="AW36" s="37">
        <f t="shared" si="147"/>
        <v>0.64085713559758839</v>
      </c>
      <c r="AX36" s="37">
        <f>AX35/AX17</f>
        <v>0.65220331167758638</v>
      </c>
      <c r="AY36" s="37">
        <f>AY35/AY17</f>
        <v>0.67230338618450014</v>
      </c>
      <c r="AZ36" s="39">
        <f>AZ35/AZ17</f>
        <v>0.66859657168268261</v>
      </c>
      <c r="BA36" s="37">
        <f>BA35/BA17</f>
        <v>0.67585928879909152</v>
      </c>
      <c r="BB36" s="37">
        <f>BB35/BB17</f>
        <v>0.67229058324172564</v>
      </c>
      <c r="BC36" s="1333">
        <v>0.67</v>
      </c>
      <c r="BD36" s="1361">
        <f>BC36+0%</f>
        <v>0.67</v>
      </c>
      <c r="BE36" s="1332">
        <f>BD36+0.1%</f>
        <v>0.67100000000000004</v>
      </c>
      <c r="BF36" s="1332">
        <f>BE36+0.2%</f>
        <v>0.67300000000000004</v>
      </c>
      <c r="BG36" s="1333">
        <f>BF36+0.3%</f>
        <v>0.67600000000000005</v>
      </c>
      <c r="BH36" s="1361">
        <f>BG36-0.1%</f>
        <v>0.67500000000000004</v>
      </c>
      <c r="BI36" s="1332">
        <f>BH36</f>
        <v>0.67500000000000004</v>
      </c>
      <c r="BJ36" s="1332">
        <f>BI36+0.2%</f>
        <v>0.67700000000000005</v>
      </c>
      <c r="BK36" s="1333">
        <f>BJ36+0.2%</f>
        <v>0.67900000000000005</v>
      </c>
      <c r="BL36" s="185"/>
      <c r="BM36" s="37">
        <f t="shared" ref="BM36:BW36" si="148">BM35/BM17</f>
        <v>0.65613036465808083</v>
      </c>
      <c r="BN36" s="37">
        <f t="shared" si="148"/>
        <v>0.61052976322018937</v>
      </c>
      <c r="BO36" s="37">
        <f t="shared" si="148"/>
        <v>0.61931046778933774</v>
      </c>
      <c r="BP36" s="37">
        <f t="shared" si="148"/>
        <v>0.57047171502082306</v>
      </c>
      <c r="BQ36" s="37">
        <f t="shared" si="148"/>
        <v>0.60507267960650846</v>
      </c>
      <c r="BR36" s="37">
        <f t="shared" si="148"/>
        <v>0.63332889759139199</v>
      </c>
      <c r="BS36" s="37">
        <f t="shared" si="148"/>
        <v>0.61964969010151327</v>
      </c>
      <c r="BT36" s="37">
        <f t="shared" si="148"/>
        <v>0.62690424045621906</v>
      </c>
      <c r="BU36" s="37">
        <f t="shared" si="148"/>
        <v>0.59837149600413753</v>
      </c>
      <c r="BV36" s="37">
        <f t="shared" si="148"/>
        <v>0.6058597299190589</v>
      </c>
      <c r="BW36" s="37">
        <f t="shared" si="148"/>
        <v>0.61938134221283003</v>
      </c>
      <c r="BX36" s="37">
        <f>BX35/BX17</f>
        <v>0.65186191935494409</v>
      </c>
      <c r="BY36" s="37">
        <f>BY35/BY17</f>
        <v>0.67174659313966778</v>
      </c>
      <c r="BZ36" s="37">
        <f>BZ35/BZ17</f>
        <v>0.67256143689758452</v>
      </c>
      <c r="CA36" s="38">
        <f>CA35/CA17</f>
        <v>0.67654624293543764</v>
      </c>
      <c r="CB36" s="39"/>
      <c r="CC36" s="37"/>
      <c r="CD36" s="37"/>
      <c r="CE36" s="24"/>
      <c r="CF36" s="39">
        <f t="shared" ref="CF36:CN36" si="149">CF35/CF17</f>
        <v>0.6291081182252527</v>
      </c>
      <c r="CG36" s="37">
        <f t="shared" si="149"/>
        <v>0.61534988364868459</v>
      </c>
      <c r="CH36" s="37">
        <f t="shared" si="149"/>
        <v>0.61106434117174135</v>
      </c>
      <c r="CI36" s="37">
        <f t="shared" si="149"/>
        <v>0.56781924283766583</v>
      </c>
      <c r="CJ36" s="37">
        <f t="shared" si="149"/>
        <v>0.6253521625883729</v>
      </c>
      <c r="CK36" s="37">
        <f t="shared" si="149"/>
        <v>0.62671790563949759</v>
      </c>
      <c r="CL36" s="37">
        <f t="shared" si="149"/>
        <v>0.62136558664431452</v>
      </c>
      <c r="CM36" s="37">
        <f t="shared" si="149"/>
        <v>0.61158657120069393</v>
      </c>
      <c r="CN36" s="37">
        <f t="shared" si="149"/>
        <v>0.60590372874109899</v>
      </c>
      <c r="CO36" s="37">
        <f>CO35/CO17</f>
        <v>0.6063213771219742</v>
      </c>
      <c r="CP36" s="37">
        <f>CP35/CP17</f>
        <v>0.63410052592654942</v>
      </c>
      <c r="CQ36" s="37">
        <f>CQ35/CQ17</f>
        <v>0.66743157981368295</v>
      </c>
      <c r="CR36" s="37">
        <f>CR35/CR17</f>
        <v>0.67083766085799978</v>
      </c>
      <c r="CS36" s="38">
        <f>CS35/CS17</f>
        <v>0.6747525529341919</v>
      </c>
      <c r="CT36" s="37"/>
      <c r="CU36"/>
      <c r="CV36"/>
      <c r="CW36"/>
      <c r="CX36"/>
      <c r="CY36"/>
      <c r="CZ36"/>
    </row>
    <row r="37" spans="1:104" ht="14.25" customHeight="1">
      <c r="A37" s="8"/>
      <c r="B37" s="23"/>
      <c r="C37" s="24"/>
      <c r="D37" s="42"/>
      <c r="E37" s="42"/>
      <c r="F37" s="42"/>
      <c r="G37" s="43"/>
      <c r="H37" s="42"/>
      <c r="I37" s="42"/>
      <c r="J37" s="42"/>
      <c r="K37" s="43"/>
      <c r="L37" s="42"/>
      <c r="M37" s="42"/>
      <c r="N37" s="42"/>
      <c r="O37" s="43"/>
      <c r="P37" s="42"/>
      <c r="Q37" s="42"/>
      <c r="R37" s="42"/>
      <c r="S37" s="43"/>
      <c r="T37" s="42"/>
      <c r="U37" s="42"/>
      <c r="V37" s="42"/>
      <c r="W37" s="43"/>
      <c r="X37" s="42"/>
      <c r="Y37" s="42"/>
      <c r="Z37" s="42"/>
      <c r="AA37" s="43"/>
      <c r="AB37" s="42"/>
      <c r="AC37" s="42"/>
      <c r="AD37" s="42"/>
      <c r="AE37" s="43"/>
      <c r="AF37" s="1261" t="s">
        <v>97</v>
      </c>
      <c r="AG37" s="397"/>
      <c r="AH37" s="397"/>
      <c r="AI37" s="1213"/>
      <c r="AJ37" s="1262" t="s">
        <v>97</v>
      </c>
      <c r="AK37" s="397"/>
      <c r="AL37" s="397"/>
      <c r="AM37" s="1213"/>
      <c r="AN37" s="1262" t="s">
        <v>97</v>
      </c>
      <c r="AO37" s="397"/>
      <c r="AP37" s="397"/>
      <c r="AQ37" s="1213"/>
      <c r="AR37" s="1262" t="s">
        <v>97</v>
      </c>
      <c r="AS37" s="397"/>
      <c r="AT37" s="397"/>
      <c r="AU37" s="1346"/>
      <c r="AV37" s="1262" t="s">
        <v>97</v>
      </c>
      <c r="AW37" s="397"/>
      <c r="AX37" s="397"/>
      <c r="AY37" s="1346"/>
      <c r="AZ37" s="1262" t="s">
        <v>97</v>
      </c>
      <c r="BA37" s="397"/>
      <c r="BB37" s="397"/>
      <c r="BC37" s="1348"/>
      <c r="BD37" s="1345"/>
      <c r="BE37" s="1346"/>
      <c r="BF37" s="1346"/>
      <c r="BG37" s="1348"/>
      <c r="BH37" s="1345"/>
      <c r="BI37" s="1346"/>
      <c r="BJ37" s="1346"/>
      <c r="BK37" s="1348"/>
      <c r="BL37" s="20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5"/>
      <c r="CB37" s="54"/>
      <c r="CC37" s="44"/>
      <c r="CD37" s="44"/>
      <c r="CE37" s="260"/>
      <c r="CF37" s="111"/>
      <c r="CG37" s="112"/>
      <c r="CH37" s="112"/>
      <c r="CI37" s="112"/>
      <c r="CJ37" s="112"/>
      <c r="CK37" s="112"/>
      <c r="CL37" s="112"/>
      <c r="CM37" s="112"/>
      <c r="CN37" s="112"/>
      <c r="CO37" s="112"/>
      <c r="CP37" s="112"/>
      <c r="CQ37" s="112"/>
      <c r="CR37" s="112"/>
      <c r="CS37" s="113"/>
      <c r="CT37" s="112"/>
    </row>
    <row r="38" spans="1:104" ht="14.25" hidden="1" customHeight="1" outlineLevel="1">
      <c r="A38" s="8"/>
      <c r="B38" s="23" t="s">
        <v>310</v>
      </c>
      <c r="C38" s="24"/>
      <c r="D38" s="30">
        <v>129.46199999999999</v>
      </c>
      <c r="E38" s="30">
        <v>123.411</v>
      </c>
      <c r="F38" s="30">
        <v>127.437</v>
      </c>
      <c r="G38" s="509">
        <f>514.138-F38-E38-D38</f>
        <v>133.82800000000003</v>
      </c>
      <c r="H38" s="30">
        <v>213.23699999999999</v>
      </c>
      <c r="I38" s="30">
        <v>138.34399999999999</v>
      </c>
      <c r="J38" s="30">
        <v>159.434</v>
      </c>
      <c r="K38" s="509">
        <f>641.047-J38-I38-H38</f>
        <v>130.03200000000007</v>
      </c>
      <c r="L38" s="30">
        <v>159.98500000000001</v>
      </c>
      <c r="M38" s="30">
        <v>138.34700000000001</v>
      </c>
      <c r="N38" s="30">
        <v>138.73599999999999</v>
      </c>
      <c r="O38" s="509">
        <f>579.269-N38-M38-L38</f>
        <v>142.20100000000002</v>
      </c>
      <c r="P38" s="30">
        <v>138.91499999999999</v>
      </c>
      <c r="Q38" s="30">
        <v>144.28299999999999</v>
      </c>
      <c r="R38" s="30">
        <v>120.974</v>
      </c>
      <c r="S38" s="31">
        <v>117.10599999999999</v>
      </c>
      <c r="T38" s="30">
        <v>116.343</v>
      </c>
      <c r="U38" s="30">
        <v>118.017</v>
      </c>
      <c r="V38" s="30">
        <v>116.75</v>
      </c>
      <c r="W38" s="509">
        <f>474.652-V38-U38-T38</f>
        <v>123.54199999999999</v>
      </c>
      <c r="X38" s="30">
        <v>127.779</v>
      </c>
      <c r="Y38" s="30">
        <v>130.001</v>
      </c>
      <c r="Z38" s="30">
        <v>130.95500000000001</v>
      </c>
      <c r="AA38" s="509">
        <f>525.308-Z38-Y38-X38</f>
        <v>136.57299999999998</v>
      </c>
      <c r="AB38" s="30">
        <v>140.21299999999999</v>
      </c>
      <c r="AC38" s="30">
        <v>142.084</v>
      </c>
      <c r="AD38" s="30">
        <v>136.07499999999999</v>
      </c>
      <c r="AE38" s="31">
        <v>134.00700000000001</v>
      </c>
      <c r="AF38" s="30">
        <v>132.93</v>
      </c>
      <c r="AG38" s="30">
        <v>135.74199999999999</v>
      </c>
      <c r="AH38" s="30">
        <v>134.13800000000001</v>
      </c>
      <c r="AI38" s="31">
        <v>132.00899999999999</v>
      </c>
      <c r="AJ38" s="30">
        <v>129.90199999999999</v>
      </c>
      <c r="AK38" s="30">
        <v>142.971</v>
      </c>
      <c r="AL38" s="30">
        <v>141.49299999999999</v>
      </c>
      <c r="AM38" s="31">
        <v>143.80199999999999</v>
      </c>
      <c r="AN38" s="1255">
        <v>140.36199999999999</v>
      </c>
      <c r="AO38" s="30">
        <v>135.94499999999999</v>
      </c>
      <c r="AP38" s="30">
        <v>123.913</v>
      </c>
      <c r="AQ38" s="31">
        <v>121.55200000000001</v>
      </c>
      <c r="AR38" s="1255">
        <v>121.392</v>
      </c>
      <c r="AS38" s="30">
        <v>113.1</v>
      </c>
      <c r="AT38" s="30">
        <v>119.178</v>
      </c>
      <c r="AU38" s="30">
        <v>113.491</v>
      </c>
      <c r="AV38" s="1255">
        <v>112.746</v>
      </c>
      <c r="AW38" s="30">
        <v>114.057</v>
      </c>
      <c r="AX38" s="30">
        <v>113.163</v>
      </c>
      <c r="AY38" s="30">
        <v>114.011</v>
      </c>
      <c r="AZ38" s="1255">
        <v>108.601</v>
      </c>
      <c r="BA38" s="30">
        <v>115.896</v>
      </c>
      <c r="BB38" s="30">
        <v>114.39</v>
      </c>
      <c r="BC38" s="375">
        <f t="shared" ref="BC38:BG38" si="150">BB38*(1+BC12*BC40)</f>
        <v>111.0898485</v>
      </c>
      <c r="BD38" s="1248">
        <f t="shared" si="150"/>
        <v>109.72437506999999</v>
      </c>
      <c r="BE38" s="374">
        <f t="shared" si="150"/>
        <v>109.79630050775557</v>
      </c>
      <c r="BF38" s="374">
        <f t="shared" si="150"/>
        <v>112.66634509181422</v>
      </c>
      <c r="BG38" s="375">
        <f t="shared" si="150"/>
        <v>113.08336729049384</v>
      </c>
      <c r="BH38" s="1248">
        <f>BG38*(1+BH12*BH40)</f>
        <v>112.35753686680128</v>
      </c>
      <c r="BI38" s="374">
        <f>BH38*(1+BI12*BI40)</f>
        <v>112.32733095238274</v>
      </c>
      <c r="BJ38" s="374">
        <f>BI38*(1+BJ12*BJ40)</f>
        <v>114.38346071106744</v>
      </c>
      <c r="BK38" s="375">
        <f>BJ38*(1+BK12*BK40)</f>
        <v>115.4478289556194</v>
      </c>
      <c r="BL38" s="20"/>
      <c r="BM38" s="32">
        <f>SUM(D38:G38)</f>
        <v>514.13800000000003</v>
      </c>
      <c r="BN38" s="32">
        <f>SUM(H38:K38)</f>
        <v>641.04700000000003</v>
      </c>
      <c r="BO38" s="32">
        <f>SUM(L38:O38)</f>
        <v>579.26900000000001</v>
      </c>
      <c r="BP38" s="32">
        <f>SUM(P38:S38)</f>
        <v>521.27800000000002</v>
      </c>
      <c r="BQ38" s="32">
        <f>SUM(T38:W38)</f>
        <v>474.65199999999999</v>
      </c>
      <c r="BR38" s="32">
        <f>SUM(X38:AA38)</f>
        <v>525.30799999999999</v>
      </c>
      <c r="BS38" s="32">
        <f>SUM(AB38:AE38)</f>
        <v>552.37900000000002</v>
      </c>
      <c r="BT38" s="32">
        <f>SUM(AF38:AI38)</f>
        <v>534.81900000000007</v>
      </c>
      <c r="BU38" s="32">
        <f>SUM(AJ38:AM38)</f>
        <v>558.16800000000001</v>
      </c>
      <c r="BV38" s="32">
        <f>SUM(AN38:AQ38)</f>
        <v>521.77200000000005</v>
      </c>
      <c r="BW38" s="32">
        <f>SUM(AR38:AU38)</f>
        <v>467.16099999999994</v>
      </c>
      <c r="BX38" s="32">
        <f>SUM(AV38:AY38)</f>
        <v>453.97699999999998</v>
      </c>
      <c r="BY38" s="32">
        <f>SUM(AZ38:BC38)</f>
        <v>449.97684850000002</v>
      </c>
      <c r="BZ38" s="32">
        <f>SUM(BD38:BG38)</f>
        <v>445.27038796006366</v>
      </c>
      <c r="CA38" s="33">
        <f>SUM(BH38:BK38)</f>
        <v>454.51615748587091</v>
      </c>
      <c r="CB38" s="34"/>
      <c r="CC38" s="32"/>
      <c r="CD38" s="32"/>
      <c r="CE38" s="260"/>
      <c r="CF38" s="34">
        <f>SUM(F38:I38)</f>
        <v>612.846</v>
      </c>
      <c r="CG38" s="32">
        <f>SUM(J38:M38)</f>
        <v>587.79800000000012</v>
      </c>
      <c r="CH38" s="32">
        <f>SUM(N38:Q38)</f>
        <v>564.13499999999999</v>
      </c>
      <c r="CI38" s="32">
        <f>SUM(R38:U38)</f>
        <v>472.44</v>
      </c>
      <c r="CJ38" s="32">
        <f>SUM(V38:Y38)</f>
        <v>498.072</v>
      </c>
      <c r="CK38" s="32">
        <f>SUM(Z38:AC38)</f>
        <v>549.82500000000005</v>
      </c>
      <c r="CL38" s="32">
        <f>SUM(AD38:AG38)</f>
        <v>538.75400000000002</v>
      </c>
      <c r="CM38" s="32">
        <f>SUM(AH38:AK38)</f>
        <v>539.02</v>
      </c>
      <c r="CN38" s="32">
        <f>SUM(AL38:AO38)</f>
        <v>561.60199999999986</v>
      </c>
      <c r="CO38" s="32">
        <f>SUM(AP38:AS38)</f>
        <v>479.95699999999999</v>
      </c>
      <c r="CP38" s="32">
        <f>SUM(AT38:AW38)</f>
        <v>459.47199999999998</v>
      </c>
      <c r="CQ38" s="32">
        <f>SUM(AX38:BA38)</f>
        <v>451.67099999999999</v>
      </c>
      <c r="CR38" s="32">
        <f>SUM(BB38:BE38)</f>
        <v>445.00052407775559</v>
      </c>
      <c r="CS38" s="33">
        <f>SUM(BF38:BI38)</f>
        <v>450.43458020149211</v>
      </c>
      <c r="CT38" s="32"/>
    </row>
    <row r="39" spans="1:104" ht="14.25" hidden="1" customHeight="1" outlineLevel="1">
      <c r="A39" s="8"/>
      <c r="B39" s="35" t="s">
        <v>298</v>
      </c>
      <c r="C39" s="36"/>
      <c r="D39" s="37">
        <f t="shared" ref="D39:AE39" si="151">D38/D10</f>
        <v>0.30526650868319594</v>
      </c>
      <c r="E39" s="37">
        <f t="shared" si="151"/>
        <v>0.27700439935356441</v>
      </c>
      <c r="F39" s="37">
        <f t="shared" si="151"/>
        <v>0.26650981868373169</v>
      </c>
      <c r="G39" s="38">
        <f t="shared" si="151"/>
        <v>0.26284075732579165</v>
      </c>
      <c r="H39" s="37">
        <f t="shared" si="151"/>
        <v>0.42414544152602213</v>
      </c>
      <c r="I39" s="37">
        <f t="shared" si="151"/>
        <v>0.27810466516434718</v>
      </c>
      <c r="J39" s="37">
        <f t="shared" si="151"/>
        <v>0.33455459589219316</v>
      </c>
      <c r="K39" s="38">
        <f t="shared" si="151"/>
        <v>0.24425117869151167</v>
      </c>
      <c r="L39" s="37">
        <f t="shared" si="151"/>
        <v>0.30526769716894908</v>
      </c>
      <c r="M39" s="37">
        <f t="shared" si="151"/>
        <v>0.25618628767186707</v>
      </c>
      <c r="N39" s="37">
        <f t="shared" si="151"/>
        <v>0.28463921544490262</v>
      </c>
      <c r="O39" s="38">
        <f t="shared" si="151"/>
        <v>0.28368314690574092</v>
      </c>
      <c r="P39" s="37">
        <f t="shared" si="151"/>
        <v>0.27716259247731462</v>
      </c>
      <c r="Q39" s="37">
        <f t="shared" si="151"/>
        <v>0.35133134473732264</v>
      </c>
      <c r="R39" s="37">
        <f t="shared" si="151"/>
        <v>0.35615680155447277</v>
      </c>
      <c r="S39" s="38">
        <f t="shared" si="151"/>
        <v>0.29686846434845637</v>
      </c>
      <c r="T39" s="37">
        <f t="shared" si="151"/>
        <v>0.25897392519911144</v>
      </c>
      <c r="U39" s="37">
        <f t="shared" si="151"/>
        <v>0.24923603264944089</v>
      </c>
      <c r="V39" s="37">
        <f t="shared" si="151"/>
        <v>0.22942540481056437</v>
      </c>
      <c r="W39" s="38">
        <f t="shared" si="151"/>
        <v>0.21828674009915858</v>
      </c>
      <c r="X39" s="37">
        <f t="shared" si="151"/>
        <v>0.2040744946409663</v>
      </c>
      <c r="Y39" s="37">
        <f t="shared" si="151"/>
        <v>0.21209555320620749</v>
      </c>
      <c r="Z39" s="37">
        <f t="shared" si="151"/>
        <v>0.21582135058300031</v>
      </c>
      <c r="AA39" s="38">
        <f t="shared" si="151"/>
        <v>0.21799674696045124</v>
      </c>
      <c r="AB39" s="37">
        <f t="shared" si="151"/>
        <v>0.22045999855346368</v>
      </c>
      <c r="AC39" s="37">
        <f t="shared" si="151"/>
        <v>0.24026691062451064</v>
      </c>
      <c r="AD39" s="37">
        <f t="shared" si="151"/>
        <v>0.23822153596212964</v>
      </c>
      <c r="AE39" s="38">
        <f t="shared" si="151"/>
        <v>0.22151528375617399</v>
      </c>
      <c r="AF39" s="37">
        <f t="shared" ref="AF39:AK39" si="152">AF38/AF10</f>
        <v>0.2133451029169843</v>
      </c>
      <c r="AG39" s="37">
        <f t="shared" si="152"/>
        <v>0.22425351805533067</v>
      </c>
      <c r="AH39" s="37">
        <f t="shared" si="152"/>
        <v>0.22175822141104742</v>
      </c>
      <c r="AI39" s="38">
        <f t="shared" si="152"/>
        <v>0.21705080944567029</v>
      </c>
      <c r="AJ39" s="39">
        <f t="shared" si="152"/>
        <v>0.2219632595802413</v>
      </c>
      <c r="AK39" s="37">
        <f t="shared" si="152"/>
        <v>0.23049652250457056</v>
      </c>
      <c r="AL39" s="37">
        <f t="shared" ref="AL39:AQ39" si="153">AL38/AL10</f>
        <v>0.23360977148036671</v>
      </c>
      <c r="AM39" s="38">
        <f t="shared" si="153"/>
        <v>0.22382783862828751</v>
      </c>
      <c r="AN39" s="39">
        <f t="shared" si="153"/>
        <v>0.24188875963982595</v>
      </c>
      <c r="AO39" s="37">
        <f t="shared" si="153"/>
        <v>0.2398426983340067</v>
      </c>
      <c r="AP39" s="37">
        <f t="shared" si="153"/>
        <v>0.21465605798396917</v>
      </c>
      <c r="AQ39" s="38">
        <f t="shared" si="153"/>
        <v>0.20866687152477953</v>
      </c>
      <c r="AR39" s="39">
        <f t="shared" ref="AR39:BC39" si="154">AR38/AR10</f>
        <v>0.21580416348153811</v>
      </c>
      <c r="AS39" s="37">
        <f t="shared" si="154"/>
        <v>0.22140394768524227</v>
      </c>
      <c r="AT39" s="37">
        <f t="shared" si="154"/>
        <v>0.21463767802727413</v>
      </c>
      <c r="AU39" s="37">
        <f t="shared" si="154"/>
        <v>0.20046950678824149</v>
      </c>
      <c r="AV39" s="39">
        <f t="shared" ref="AV39:BA39" si="155">AV38/AV10</f>
        <v>0.20083149862129407</v>
      </c>
      <c r="AW39" s="37">
        <f t="shared" si="155"/>
        <v>0.20700075136388879</v>
      </c>
      <c r="AX39" s="37">
        <f t="shared" si="155"/>
        <v>0.19470042118592742</v>
      </c>
      <c r="AY39" s="37">
        <f t="shared" si="155"/>
        <v>0.18938547022034699</v>
      </c>
      <c r="AZ39" s="39">
        <f t="shared" si="155"/>
        <v>0.18864951813172687</v>
      </c>
      <c r="BA39" s="37">
        <f t="shared" si="155"/>
        <v>0.18613734808564222</v>
      </c>
      <c r="BB39" s="37">
        <f t="shared" ref="BB39" si="156">BB38/BB10</f>
        <v>0.17636474925184897</v>
      </c>
      <c r="BC39" s="38">
        <f t="shared" si="154"/>
        <v>0.17636474925184897</v>
      </c>
      <c r="BD39" s="39">
        <f t="shared" ref="BD39:BK39" si="157">BD38/BD10</f>
        <v>0.17858719129811565</v>
      </c>
      <c r="BE39" s="37">
        <f t="shared" si="157"/>
        <v>0.17837018996906021</v>
      </c>
      <c r="BF39" s="37">
        <f t="shared" si="157"/>
        <v>0.17393928816301976</v>
      </c>
      <c r="BG39" s="38">
        <f t="shared" si="157"/>
        <v>0.17275613969705106</v>
      </c>
      <c r="BH39" s="39">
        <f t="shared" si="157"/>
        <v>0.17444652826896229</v>
      </c>
      <c r="BI39" s="37">
        <f t="shared" si="157"/>
        <v>0.17453369106105568</v>
      </c>
      <c r="BJ39" s="37">
        <f t="shared" si="157"/>
        <v>0.1707815562901551</v>
      </c>
      <c r="BK39" s="38">
        <f t="shared" si="157"/>
        <v>0.16790667828020675</v>
      </c>
      <c r="BL39" s="20"/>
      <c r="BM39" s="37">
        <f t="shared" ref="BM39:BW39" si="158">BM38/BM10</f>
        <v>0.27687303608884489</v>
      </c>
      <c r="BN39" s="37">
        <f t="shared" si="158"/>
        <v>0.31906791218461383</v>
      </c>
      <c r="BO39" s="37">
        <f t="shared" si="158"/>
        <v>0.28218715762942309</v>
      </c>
      <c r="BP39" s="37">
        <f t="shared" si="158"/>
        <v>0.31669091715446085</v>
      </c>
      <c r="BQ39" s="37">
        <f t="shared" si="158"/>
        <v>0.23761077651565399</v>
      </c>
      <c r="BR39" s="37">
        <f t="shared" si="158"/>
        <v>0.21247392653359715</v>
      </c>
      <c r="BS39" s="37">
        <f>BS38/BS10</f>
        <v>0.22981998552961083</v>
      </c>
      <c r="BT39" s="37">
        <f t="shared" si="158"/>
        <v>0.21905712936404015</v>
      </c>
      <c r="BU39" s="37">
        <f t="shared" si="158"/>
        <v>0.22748356233109437</v>
      </c>
      <c r="BV39" s="37">
        <f t="shared" si="158"/>
        <v>0.22618238439717303</v>
      </c>
      <c r="BW39" s="37">
        <f t="shared" si="158"/>
        <v>0.21285686231358089</v>
      </c>
      <c r="BX39" s="37">
        <f>BX38/BX10</f>
        <v>0.19775833491243083</v>
      </c>
      <c r="BY39" s="37">
        <f>BY38/BY10</f>
        <v>0.18167677847216124</v>
      </c>
      <c r="BZ39" s="37">
        <f>BZ38/BZ10</f>
        <v>0.17583824126099598</v>
      </c>
      <c r="CA39" s="38">
        <f>CA38/CA10</f>
        <v>0.17183965421537037</v>
      </c>
      <c r="CB39" s="1471"/>
      <c r="CC39" s="1419"/>
      <c r="CD39" s="1419"/>
      <c r="CE39" s="260"/>
      <c r="CF39" s="39">
        <f t="shared" ref="CF39:CN39" si="159">CF38/CF10</f>
        <v>0.30834584468747112</v>
      </c>
      <c r="CG39" s="37">
        <f t="shared" si="159"/>
        <v>0.28354506828645193</v>
      </c>
      <c r="CH39" s="37">
        <f t="shared" si="159"/>
        <v>0.2968262971467297</v>
      </c>
      <c r="CI39" s="37">
        <f t="shared" si="159"/>
        <v>0.28513540672715326</v>
      </c>
      <c r="CJ39" s="37">
        <f t="shared" si="159"/>
        <v>0.21525059023292534</v>
      </c>
      <c r="CK39" s="37">
        <f t="shared" si="159"/>
        <v>0.22344914527882534</v>
      </c>
      <c r="CL39" s="37">
        <f t="shared" si="159"/>
        <v>0.22405615356559588</v>
      </c>
      <c r="CM39" s="37">
        <f t="shared" si="159"/>
        <v>0.2228651120713572</v>
      </c>
      <c r="CN39" s="37">
        <f t="shared" si="159"/>
        <v>0.23446664039224588</v>
      </c>
      <c r="CO39" s="37">
        <f>CO38/CO10</f>
        <v>0.21492655346485925</v>
      </c>
      <c r="CP39" s="37">
        <f>CP38/CP10</f>
        <v>0.20569332948931224</v>
      </c>
      <c r="CQ39" s="37">
        <f>CQ38/CQ10</f>
        <v>0.18965549095666914</v>
      </c>
      <c r="CR39" s="37">
        <f>CR38/CR10</f>
        <v>0.17740122101279704</v>
      </c>
      <c r="CS39" s="38">
        <f>CS38/CS10</f>
        <v>0.17391410748451183</v>
      </c>
      <c r="CT39" s="37"/>
    </row>
    <row r="40" spans="1:104" ht="14.25" hidden="1" customHeight="1" outlineLevel="1">
      <c r="A40" s="8"/>
      <c r="B40" s="35" t="s">
        <v>542</v>
      </c>
      <c r="C40" s="36"/>
      <c r="D40" s="37"/>
      <c r="E40" s="37">
        <f t="shared" ref="E40:BB40" si="160">(E38/D38-1)/E18</f>
        <v>-0.92518197425853721</v>
      </c>
      <c r="F40" s="37">
        <f t="shared" si="160"/>
        <v>0.44514747922760917</v>
      </c>
      <c r="G40" s="38">
        <f t="shared" si="160"/>
        <v>0.77380944703228249</v>
      </c>
      <c r="H40" s="37">
        <f t="shared" si="160"/>
        <v>-47.095602407819612</v>
      </c>
      <c r="I40" s="37">
        <f t="shared" si="160"/>
        <v>33.366187671848678</v>
      </c>
      <c r="J40" s="37">
        <f t="shared" si="160"/>
        <v>-3.6289782297386139</v>
      </c>
      <c r="K40" s="38">
        <f t="shared" si="160"/>
        <v>-1.5745872297484584</v>
      </c>
      <c r="L40" s="37">
        <f t="shared" si="160"/>
        <v>-14.794541781398504</v>
      </c>
      <c r="M40" s="37">
        <f t="shared" si="160"/>
        <v>-4.4456879973428531</v>
      </c>
      <c r="N40" s="37">
        <f t="shared" si="160"/>
        <v>-2.8859190574916836E-2</v>
      </c>
      <c r="O40" s="38">
        <f t="shared" si="160"/>
        <v>0.87849498839603946</v>
      </c>
      <c r="P40" s="37">
        <f t="shared" si="160"/>
        <v>183.86263240420266</v>
      </c>
      <c r="Q40" s="37">
        <f t="shared" si="160"/>
        <v>-0.21393910230000812</v>
      </c>
      <c r="R40" s="37">
        <f t="shared" si="160"/>
        <v>0.93430189829320021</v>
      </c>
      <c r="S40" s="38">
        <f t="shared" si="160"/>
        <v>-0.19816051237845975</v>
      </c>
      <c r="T40" s="37">
        <f t="shared" si="160"/>
        <v>-4.6922169690996156E-2</v>
      </c>
      <c r="U40" s="37">
        <f t="shared" si="160"/>
        <v>0.26634683023699124</v>
      </c>
      <c r="V40" s="37">
        <f t="shared" si="160"/>
        <v>-0.14374479338029128</v>
      </c>
      <c r="W40" s="38">
        <f t="shared" si="160"/>
        <v>0.51862922920833587</v>
      </c>
      <c r="X40" s="37">
        <f t="shared" si="160"/>
        <v>0.32255262139144403</v>
      </c>
      <c r="Y40" s="37">
        <f t="shared" si="160"/>
        <v>-0.82467475784561761</v>
      </c>
      <c r="Z40" s="37">
        <f t="shared" si="160"/>
        <v>-0.73007184900968702</v>
      </c>
      <c r="AA40" s="38">
        <f t="shared" si="160"/>
        <v>1.3202875238683096</v>
      </c>
      <c r="AB40" s="37">
        <f t="shared" si="160"/>
        <v>1.7555984512464904</v>
      </c>
      <c r="AC40" s="37">
        <f t="shared" si="160"/>
        <v>-0.19010372023106956</v>
      </c>
      <c r="AD40" s="37">
        <f t="shared" si="160"/>
        <v>1.241360303659941</v>
      </c>
      <c r="AE40" s="38">
        <f t="shared" si="160"/>
        <v>-0.25726040650433823</v>
      </c>
      <c r="AF40" s="37">
        <f t="shared" si="160"/>
        <v>-0.2683352834992993</v>
      </c>
      <c r="AG40" s="37">
        <f t="shared" si="160"/>
        <v>-0.7417706585382069</v>
      </c>
      <c r="AH40" s="37">
        <f t="shared" si="160"/>
        <v>16.949334397334891</v>
      </c>
      <c r="AI40" s="38">
        <f t="shared" si="160"/>
        <v>-2.9004670619458444</v>
      </c>
      <c r="AJ40" s="39">
        <f t="shared" si="160"/>
        <v>0.42292530301039472</v>
      </c>
      <c r="AK40" s="37">
        <f t="shared" si="160"/>
        <v>1.6806757545398847</v>
      </c>
      <c r="AL40" s="37">
        <f t="shared" si="160"/>
        <v>0.43940548518718164</v>
      </c>
      <c r="AM40" s="38">
        <f t="shared" si="160"/>
        <v>0.26868929377044809</v>
      </c>
      <c r="AN40" s="39">
        <f t="shared" si="160"/>
        <v>0.24712109420870773</v>
      </c>
      <c r="AO40" s="37">
        <f t="shared" si="160"/>
        <v>1.3560418771666785</v>
      </c>
      <c r="AP40" s="37">
        <f t="shared" si="160"/>
        <v>-4.7987577438272622</v>
      </c>
      <c r="AQ40" s="38">
        <f t="shared" si="160"/>
        <v>-2.0934508503456315</v>
      </c>
      <c r="AR40" s="39">
        <f t="shared" si="160"/>
        <v>3.8325206685756279E-2</v>
      </c>
      <c r="AS40" s="37">
        <f t="shared" si="160"/>
        <v>0.74350753267170588</v>
      </c>
      <c r="AT40" s="37">
        <f t="shared" si="160"/>
        <v>0.61799790729132442</v>
      </c>
      <c r="AU40" s="37">
        <f t="shared" si="160"/>
        <v>-2.4366207491335765</v>
      </c>
      <c r="AV40" s="39">
        <f t="shared" si="160"/>
        <v>0.78568201187145603</v>
      </c>
      <c r="AW40" s="37">
        <f t="shared" si="160"/>
        <v>-0.62779962157302949</v>
      </c>
      <c r="AX40" s="37">
        <f t="shared" si="160"/>
        <v>-0.14292226167641317</v>
      </c>
      <c r="AY40" s="37">
        <f t="shared" si="160"/>
        <v>0.20950546783597676</v>
      </c>
      <c r="AZ40" s="39">
        <f t="shared" si="160"/>
        <v>1.084966287972986</v>
      </c>
      <c r="BA40" s="37">
        <f t="shared" si="160"/>
        <v>0.82344056866737103</v>
      </c>
      <c r="BB40" s="37">
        <f t="shared" si="160"/>
        <v>-0.31164007779565406</v>
      </c>
      <c r="BC40" s="1333">
        <v>1</v>
      </c>
      <c r="BD40" s="1361">
        <v>0.5</v>
      </c>
      <c r="BE40" s="1332">
        <v>0.35</v>
      </c>
      <c r="BF40" s="1332">
        <v>0.5</v>
      </c>
      <c r="BG40" s="1333">
        <v>0.35</v>
      </c>
      <c r="BH40" s="1361">
        <v>0.4</v>
      </c>
      <c r="BI40" s="1332">
        <v>0.35</v>
      </c>
      <c r="BJ40" s="1332">
        <v>0.45</v>
      </c>
      <c r="BK40" s="1333">
        <v>0.35</v>
      </c>
      <c r="BL40" s="20"/>
      <c r="BM40" s="37"/>
      <c r="BN40" s="37">
        <f t="shared" ref="BN40:CA40" si="161">(BN38/BM38-1)/BN19</f>
        <v>3.0120143252064797</v>
      </c>
      <c r="BO40" s="37">
        <f t="shared" si="161"/>
        <v>-4.4348295203857475</v>
      </c>
      <c r="BP40" s="37">
        <f t="shared" si="161"/>
        <v>0.50521539109993996</v>
      </c>
      <c r="BQ40" s="37">
        <f t="shared" si="161"/>
        <v>-0.41875355573118017</v>
      </c>
      <c r="BR40" s="37">
        <f t="shared" si="161"/>
        <v>0.44906660908092666</v>
      </c>
      <c r="BS40" s="37">
        <f>(BS38/BR38-1)/BS19</f>
        <v>-1.8515458646525316</v>
      </c>
      <c r="BT40" s="37">
        <f t="shared" si="161"/>
        <v>-2.0144378636525317</v>
      </c>
      <c r="BU40" s="37">
        <f t="shared" si="161"/>
        <v>8.7339096318348037</v>
      </c>
      <c r="BV40" s="37">
        <f t="shared" si="161"/>
        <v>1.0898846566096234</v>
      </c>
      <c r="BW40" s="37">
        <f t="shared" si="161"/>
        <v>2.1529871402012533</v>
      </c>
      <c r="BX40" s="37">
        <f t="shared" si="161"/>
        <v>-0.61388297521862201</v>
      </c>
      <c r="BY40" s="37">
        <f t="shared" si="161"/>
        <v>-0.11164055692888583</v>
      </c>
      <c r="BZ40" s="37">
        <f t="shared" si="161"/>
        <v>-0.46698914698343214</v>
      </c>
      <c r="CA40" s="38">
        <f t="shared" si="161"/>
        <v>0.46643888228495906</v>
      </c>
      <c r="CB40" s="39"/>
      <c r="CC40" s="37"/>
      <c r="CD40" s="37"/>
      <c r="CE40" s="260"/>
      <c r="CF40" s="39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8"/>
      <c r="CT40" s="37"/>
    </row>
    <row r="41" spans="1:104" ht="14.25" hidden="1" customHeight="1" outlineLevel="1">
      <c r="A41" s="8"/>
      <c r="B41" s="28" t="s">
        <v>299</v>
      </c>
      <c r="C41" s="29"/>
      <c r="D41" s="30">
        <v>35.558</v>
      </c>
      <c r="E41" s="30">
        <v>31.637</v>
      </c>
      <c r="F41" s="30">
        <v>32.218000000000004</v>
      </c>
      <c r="G41" s="509">
        <f>138.327-F41-E41-D41</f>
        <v>38.913999999999994</v>
      </c>
      <c r="H41" s="30">
        <v>115.126</v>
      </c>
      <c r="I41" s="30">
        <v>34.808</v>
      </c>
      <c r="J41" s="30">
        <v>32.826999999999998</v>
      </c>
      <c r="K41" s="509">
        <f>216.729-J41-I41-H41</f>
        <v>33.968000000000018</v>
      </c>
      <c r="L41" s="30">
        <v>43.804000000000002</v>
      </c>
      <c r="M41" s="30">
        <v>22.798999999999999</v>
      </c>
      <c r="N41" s="30">
        <v>19.170000000000002</v>
      </c>
      <c r="O41" s="509">
        <f>109.9-N41-M41-L41</f>
        <v>24.12700000000001</v>
      </c>
      <c r="P41" s="30">
        <v>19.419</v>
      </c>
      <c r="Q41" s="30">
        <v>33.432000000000002</v>
      </c>
      <c r="R41" s="30">
        <v>25.193999999999999</v>
      </c>
      <c r="S41" s="509">
        <f>100.83-R41-Q41-P41</f>
        <v>22.784999999999993</v>
      </c>
      <c r="T41" s="30">
        <v>16.741</v>
      </c>
      <c r="U41" s="30">
        <v>14.65</v>
      </c>
      <c r="V41" s="30">
        <v>8.6910000000000007</v>
      </c>
      <c r="W41" s="509">
        <f>54.065-V41-U41-T41</f>
        <v>13.982999999999997</v>
      </c>
      <c r="X41" s="30">
        <v>16.105</v>
      </c>
      <c r="Y41" s="30">
        <v>13.916</v>
      </c>
      <c r="Z41" s="30">
        <v>11.743</v>
      </c>
      <c r="AA41" s="509">
        <f>53.686-Z41-Y41-X41</f>
        <v>11.921999999999997</v>
      </c>
      <c r="AB41" s="30">
        <v>13.260999999999999</v>
      </c>
      <c r="AC41" s="30">
        <v>12.909000000000001</v>
      </c>
      <c r="AD41" s="30">
        <v>11.547000000000001</v>
      </c>
      <c r="AE41" s="31">
        <v>11.351000000000001</v>
      </c>
      <c r="AF41" s="30">
        <v>13.323</v>
      </c>
      <c r="AG41" s="30">
        <v>12.14</v>
      </c>
      <c r="AH41" s="30">
        <v>10.036</v>
      </c>
      <c r="AI41" s="31">
        <v>9.6470000000000002</v>
      </c>
      <c r="AJ41" s="30">
        <v>9.5980000000000008</v>
      </c>
      <c r="AK41" s="30">
        <v>12.497</v>
      </c>
      <c r="AL41" s="30">
        <v>11.664</v>
      </c>
      <c r="AM41" s="31">
        <v>11.917</v>
      </c>
      <c r="AN41" s="1255">
        <v>12.321999999999999</v>
      </c>
      <c r="AO41" s="30">
        <v>11.221</v>
      </c>
      <c r="AP41" s="30">
        <v>9.4649999999999999</v>
      </c>
      <c r="AQ41" s="31">
        <v>11.917</v>
      </c>
      <c r="AR41" s="1255">
        <v>12.321999999999999</v>
      </c>
      <c r="AS41" s="30">
        <v>0</v>
      </c>
      <c r="AT41" s="30">
        <v>0</v>
      </c>
      <c r="AU41" s="30">
        <v>0</v>
      </c>
      <c r="AV41" s="1255"/>
      <c r="AW41" s="30">
        <v>0</v>
      </c>
      <c r="AX41" s="30">
        <v>0</v>
      </c>
      <c r="AY41" s="30">
        <v>0</v>
      </c>
      <c r="AZ41" s="1255"/>
      <c r="BA41" s="30">
        <v>0</v>
      </c>
      <c r="BB41" s="30">
        <v>0</v>
      </c>
      <c r="BC41" s="33">
        <f t="shared" ref="BC41:BC43" si="162">BB41</f>
        <v>0</v>
      </c>
      <c r="BD41" s="34">
        <f t="shared" ref="BD41:BG43" si="163">BC41</f>
        <v>0</v>
      </c>
      <c r="BE41" s="32">
        <f t="shared" si="163"/>
        <v>0</v>
      </c>
      <c r="BF41" s="32">
        <f t="shared" si="163"/>
        <v>0</v>
      </c>
      <c r="BG41" s="33">
        <f t="shared" si="163"/>
        <v>0</v>
      </c>
      <c r="BH41" s="34">
        <f t="shared" ref="BH41:BK43" si="164">BG41</f>
        <v>0</v>
      </c>
      <c r="BI41" s="32">
        <f t="shared" si="164"/>
        <v>0</v>
      </c>
      <c r="BJ41" s="32">
        <f t="shared" si="164"/>
        <v>0</v>
      </c>
      <c r="BK41" s="33">
        <f t="shared" si="164"/>
        <v>0</v>
      </c>
      <c r="BL41" s="20"/>
      <c r="BM41" s="32">
        <f>SUM(D41:G41)</f>
        <v>138.327</v>
      </c>
      <c r="BN41" s="32">
        <f>SUM(H41:K41)</f>
        <v>216.72900000000001</v>
      </c>
      <c r="BO41" s="32">
        <f>SUM(L41:O41)</f>
        <v>109.90000000000002</v>
      </c>
      <c r="BP41" s="32">
        <f>SUM(P41:S41)</f>
        <v>100.83</v>
      </c>
      <c r="BQ41" s="32">
        <f>SUM(T41:W41)</f>
        <v>54.064999999999998</v>
      </c>
      <c r="BR41" s="32">
        <f>SUM(X41:AA41)</f>
        <v>53.686</v>
      </c>
      <c r="BS41" s="32">
        <f>SUM(AB41:AE41)</f>
        <v>49.067999999999998</v>
      </c>
      <c r="BT41" s="32">
        <f>SUM(AF41:AI41)</f>
        <v>45.146000000000001</v>
      </c>
      <c r="BU41" s="32">
        <f>SUM(AJ41:AM41)</f>
        <v>45.676000000000002</v>
      </c>
      <c r="BV41" s="32">
        <f>SUM(AN41:AQ41)</f>
        <v>44.924999999999997</v>
      </c>
      <c r="BW41" s="32">
        <f>SUM(AR41:AU41)</f>
        <v>12.321999999999999</v>
      </c>
      <c r="BX41" s="32">
        <f>SUM(AV41:AY41)</f>
        <v>0</v>
      </c>
      <c r="BY41" s="32">
        <f>SUM(AZ41:BC41)</f>
        <v>0</v>
      </c>
      <c r="BZ41" s="32">
        <f>SUM(BD41:BG41)</f>
        <v>0</v>
      </c>
      <c r="CA41" s="33">
        <f>SUM(BH41:BK41)</f>
        <v>0</v>
      </c>
      <c r="CB41" s="34"/>
      <c r="CC41" s="32"/>
      <c r="CD41" s="32"/>
      <c r="CE41" s="260"/>
      <c r="CF41" s="34">
        <f>SUM(F41:I41)</f>
        <v>221.066</v>
      </c>
      <c r="CG41" s="32">
        <f>SUM(J41:M41)</f>
        <v>133.39800000000002</v>
      </c>
      <c r="CH41" s="32">
        <f>SUM(N41:Q41)</f>
        <v>96.14800000000001</v>
      </c>
      <c r="CI41" s="32">
        <f>SUM(R41:U41)</f>
        <v>79.37</v>
      </c>
      <c r="CJ41" s="32">
        <f>SUM(V41:Y41)</f>
        <v>52.694999999999993</v>
      </c>
      <c r="CK41" s="32">
        <f>SUM(Z41:AC41)</f>
        <v>49.835000000000001</v>
      </c>
      <c r="CL41" s="32">
        <f>SUM(AD41:AG41)</f>
        <v>48.361000000000004</v>
      </c>
      <c r="CM41" s="32">
        <f>SUM(AH41:AK41)</f>
        <v>41.777999999999999</v>
      </c>
      <c r="CN41" s="32">
        <f>SUM(AL41:AO41)</f>
        <v>47.123999999999995</v>
      </c>
      <c r="CO41" s="32">
        <f>SUM(AP41:AS41)</f>
        <v>33.703999999999994</v>
      </c>
      <c r="CP41" s="32">
        <f>SUM(AT41:AW41)</f>
        <v>0</v>
      </c>
      <c r="CQ41" s="32">
        <f>SUM(AX41:BA41)</f>
        <v>0</v>
      </c>
      <c r="CR41" s="32">
        <f>SUM(BB41:BE41)</f>
        <v>0</v>
      </c>
      <c r="CS41" s="33">
        <f>SUM(BF41:BI41)</f>
        <v>0</v>
      </c>
      <c r="CT41" s="32"/>
    </row>
    <row r="42" spans="1:104" ht="14.25" hidden="1" customHeight="1" outlineLevel="1">
      <c r="A42" s="8"/>
      <c r="B42" s="28" t="s">
        <v>300</v>
      </c>
      <c r="C42" s="29"/>
      <c r="D42" s="30">
        <v>0</v>
      </c>
      <c r="E42" s="30">
        <v>0</v>
      </c>
      <c r="F42" s="30">
        <v>0</v>
      </c>
      <c r="G42" s="31">
        <v>0</v>
      </c>
      <c r="H42" s="30">
        <v>0</v>
      </c>
      <c r="I42" s="30">
        <v>0</v>
      </c>
      <c r="J42" s="30">
        <v>0</v>
      </c>
      <c r="K42" s="31">
        <v>0</v>
      </c>
      <c r="L42" s="30">
        <v>0</v>
      </c>
      <c r="M42" s="30">
        <v>0</v>
      </c>
      <c r="N42" s="30">
        <v>0</v>
      </c>
      <c r="O42" s="31">
        <v>0</v>
      </c>
      <c r="P42" s="30">
        <v>0</v>
      </c>
      <c r="Q42" s="30">
        <v>0</v>
      </c>
      <c r="R42" s="30">
        <v>0</v>
      </c>
      <c r="S42" s="31">
        <v>0</v>
      </c>
      <c r="T42" s="30">
        <v>0</v>
      </c>
      <c r="U42" s="30">
        <v>0</v>
      </c>
      <c r="V42" s="30">
        <v>0</v>
      </c>
      <c r="W42" s="31">
        <v>0</v>
      </c>
      <c r="X42" s="30">
        <v>0</v>
      </c>
      <c r="Y42" s="30">
        <v>0</v>
      </c>
      <c r="Z42" s="30">
        <v>0</v>
      </c>
      <c r="AA42" s="31">
        <v>0</v>
      </c>
      <c r="AB42" s="30">
        <f>AA42</f>
        <v>0</v>
      </c>
      <c r="AC42" s="30">
        <v>0</v>
      </c>
      <c r="AD42" s="30">
        <v>0</v>
      </c>
      <c r="AE42" s="33">
        <v>0</v>
      </c>
      <c r="AF42" s="374">
        <v>0</v>
      </c>
      <c r="AG42" s="374">
        <v>0</v>
      </c>
      <c r="AH42" s="374">
        <v>0</v>
      </c>
      <c r="AI42" s="375">
        <v>0</v>
      </c>
      <c r="AJ42" s="1248">
        <v>0</v>
      </c>
      <c r="AK42" s="374">
        <v>0</v>
      </c>
      <c r="AL42" s="374">
        <v>0</v>
      </c>
      <c r="AM42" s="375">
        <v>0</v>
      </c>
      <c r="AN42" s="1248">
        <v>0</v>
      </c>
      <c r="AO42" s="374">
        <v>0</v>
      </c>
      <c r="AP42" s="374">
        <v>0</v>
      </c>
      <c r="AQ42" s="375">
        <v>0</v>
      </c>
      <c r="AR42" s="1248">
        <v>0</v>
      </c>
      <c r="AS42" s="374">
        <v>0</v>
      </c>
      <c r="AT42" s="374">
        <v>0</v>
      </c>
      <c r="AU42" s="30">
        <v>0</v>
      </c>
      <c r="AV42" s="1248">
        <v>0</v>
      </c>
      <c r="AW42" s="374">
        <v>0</v>
      </c>
      <c r="AX42" s="374">
        <v>0</v>
      </c>
      <c r="AY42" s="30">
        <v>0</v>
      </c>
      <c r="AZ42" s="1248">
        <v>0</v>
      </c>
      <c r="BA42" s="374">
        <v>0</v>
      </c>
      <c r="BB42" s="374">
        <v>0</v>
      </c>
      <c r="BC42" s="33">
        <f t="shared" si="162"/>
        <v>0</v>
      </c>
      <c r="BD42" s="34">
        <f t="shared" si="163"/>
        <v>0</v>
      </c>
      <c r="BE42" s="32">
        <f t="shared" si="163"/>
        <v>0</v>
      </c>
      <c r="BF42" s="32">
        <f t="shared" si="163"/>
        <v>0</v>
      </c>
      <c r="BG42" s="33">
        <f t="shared" si="163"/>
        <v>0</v>
      </c>
      <c r="BH42" s="34">
        <f t="shared" si="164"/>
        <v>0</v>
      </c>
      <c r="BI42" s="32">
        <f t="shared" si="164"/>
        <v>0</v>
      </c>
      <c r="BJ42" s="32">
        <f t="shared" si="164"/>
        <v>0</v>
      </c>
      <c r="BK42" s="33">
        <f t="shared" si="164"/>
        <v>0</v>
      </c>
      <c r="BL42" s="20"/>
      <c r="BM42" s="32">
        <f>SUM(D42:G42)</f>
        <v>0</v>
      </c>
      <c r="BN42" s="32">
        <f>SUM(H42:K42)</f>
        <v>0</v>
      </c>
      <c r="BO42" s="32">
        <f>SUM(L42:O42)</f>
        <v>0</v>
      </c>
      <c r="BP42" s="32">
        <f>SUM(P42:S42)</f>
        <v>0</v>
      </c>
      <c r="BQ42" s="32">
        <f>SUM(T42:W42)</f>
        <v>0</v>
      </c>
      <c r="BR42" s="32">
        <f>SUM(X42:AA42)</f>
        <v>0</v>
      </c>
      <c r="BS42" s="32">
        <f>SUM(AB42:AE42)</f>
        <v>0</v>
      </c>
      <c r="BT42" s="32">
        <f>SUM(AF42:AI42)</f>
        <v>0</v>
      </c>
      <c r="BU42" s="32">
        <f>SUM(AJ42:AM42)</f>
        <v>0</v>
      </c>
      <c r="BV42" s="32">
        <f>SUM(AN42:AQ42)</f>
        <v>0</v>
      </c>
      <c r="BW42" s="32">
        <f>SUM(AR42:AU42)</f>
        <v>0</v>
      </c>
      <c r="BX42" s="32">
        <f>SUM(AV42:AY42)</f>
        <v>0</v>
      </c>
      <c r="BY42" s="32">
        <f>SUM(AZ42:BC42)</f>
        <v>0</v>
      </c>
      <c r="BZ42" s="32">
        <f>SUM(BD42:BG42)</f>
        <v>0</v>
      </c>
      <c r="CA42" s="33">
        <f>SUM(BH42:BK42)</f>
        <v>0</v>
      </c>
      <c r="CB42" s="34"/>
      <c r="CC42" s="32"/>
      <c r="CD42" s="32"/>
      <c r="CE42" s="260"/>
      <c r="CF42" s="34">
        <f>SUM(F42:I42)</f>
        <v>0</v>
      </c>
      <c r="CG42" s="32">
        <f>SUM(J42:M42)</f>
        <v>0</v>
      </c>
      <c r="CH42" s="32">
        <f>SUM(N42:Q42)</f>
        <v>0</v>
      </c>
      <c r="CI42" s="32">
        <f>SUM(R42:U42)</f>
        <v>0</v>
      </c>
      <c r="CJ42" s="32">
        <f>SUM(V42:Y42)</f>
        <v>0</v>
      </c>
      <c r="CK42" s="32">
        <f>SUM(Z42:AC42)</f>
        <v>0</v>
      </c>
      <c r="CL42" s="32">
        <f>SUM(AD42:AG42)</f>
        <v>0</v>
      </c>
      <c r="CM42" s="32">
        <f>SUM(AH42:AK42)</f>
        <v>0</v>
      </c>
      <c r="CN42" s="32">
        <f>SUM(AL42:AO42)</f>
        <v>0</v>
      </c>
      <c r="CO42" s="32">
        <f>SUM(AP42:AS42)</f>
        <v>0</v>
      </c>
      <c r="CP42" s="32">
        <f>SUM(AT42:AW42)</f>
        <v>0</v>
      </c>
      <c r="CQ42" s="32">
        <f>SUM(AX42:BA42)</f>
        <v>0</v>
      </c>
      <c r="CR42" s="32">
        <f>SUM(BB42:BE42)</f>
        <v>0</v>
      </c>
      <c r="CS42" s="33">
        <f>SUM(BF42:BI42)</f>
        <v>0</v>
      </c>
      <c r="CT42" s="32"/>
    </row>
    <row r="43" spans="1:104" ht="14.25" hidden="1" customHeight="1" outlineLevel="1">
      <c r="A43" s="8"/>
      <c r="B43" s="28" t="s">
        <v>301</v>
      </c>
      <c r="C43" s="29"/>
      <c r="D43" s="30">
        <v>0</v>
      </c>
      <c r="E43" s="30">
        <v>0</v>
      </c>
      <c r="F43" s="30">
        <v>0</v>
      </c>
      <c r="G43" s="31">
        <v>0</v>
      </c>
      <c r="H43" s="30">
        <v>0</v>
      </c>
      <c r="I43" s="30">
        <v>0</v>
      </c>
      <c r="J43" s="30">
        <v>0</v>
      </c>
      <c r="K43" s="31">
        <v>0</v>
      </c>
      <c r="L43" s="30">
        <v>0</v>
      </c>
      <c r="M43" s="30">
        <v>0</v>
      </c>
      <c r="N43" s="30">
        <v>0</v>
      </c>
      <c r="O43" s="31">
        <v>0</v>
      </c>
      <c r="P43" s="30">
        <v>0</v>
      </c>
      <c r="Q43" s="30">
        <v>0</v>
      </c>
      <c r="R43" s="30">
        <v>0</v>
      </c>
      <c r="S43" s="31">
        <v>0</v>
      </c>
      <c r="T43" s="30">
        <v>0</v>
      </c>
      <c r="U43" s="30">
        <v>0</v>
      </c>
      <c r="V43" s="30">
        <v>0</v>
      </c>
      <c r="W43" s="31">
        <v>0</v>
      </c>
      <c r="X43" s="30">
        <v>0</v>
      </c>
      <c r="Y43" s="30">
        <v>0</v>
      </c>
      <c r="Z43" s="30">
        <v>0</v>
      </c>
      <c r="AA43" s="31">
        <v>0</v>
      </c>
      <c r="AB43" s="30">
        <f>AA43</f>
        <v>0</v>
      </c>
      <c r="AC43" s="30">
        <v>0</v>
      </c>
      <c r="AD43" s="30">
        <v>0</v>
      </c>
      <c r="AE43" s="33">
        <v>0</v>
      </c>
      <c r="AF43" s="374">
        <v>0</v>
      </c>
      <c r="AG43" s="374">
        <v>0</v>
      </c>
      <c r="AH43" s="374">
        <v>0</v>
      </c>
      <c r="AI43" s="375">
        <v>0</v>
      </c>
      <c r="AJ43" s="1248">
        <v>0</v>
      </c>
      <c r="AK43" s="374">
        <v>0</v>
      </c>
      <c r="AL43" s="374">
        <v>0</v>
      </c>
      <c r="AM43" s="375">
        <v>0</v>
      </c>
      <c r="AN43" s="1248">
        <v>0</v>
      </c>
      <c r="AO43" s="374">
        <v>0</v>
      </c>
      <c r="AP43" s="374">
        <v>0</v>
      </c>
      <c r="AQ43" s="375">
        <v>0</v>
      </c>
      <c r="AR43" s="1248">
        <v>0</v>
      </c>
      <c r="AS43" s="374">
        <v>0</v>
      </c>
      <c r="AT43" s="374">
        <v>0</v>
      </c>
      <c r="AU43" s="30">
        <v>0</v>
      </c>
      <c r="AV43" s="1248">
        <v>0</v>
      </c>
      <c r="AW43" s="374">
        <v>0</v>
      </c>
      <c r="AX43" s="374">
        <v>0</v>
      </c>
      <c r="AY43" s="30">
        <v>0</v>
      </c>
      <c r="AZ43" s="1248">
        <v>0</v>
      </c>
      <c r="BA43" s="374">
        <v>0</v>
      </c>
      <c r="BB43" s="374">
        <v>0</v>
      </c>
      <c r="BC43" s="33">
        <f t="shared" si="162"/>
        <v>0</v>
      </c>
      <c r="BD43" s="34">
        <f t="shared" si="163"/>
        <v>0</v>
      </c>
      <c r="BE43" s="32">
        <f t="shared" si="163"/>
        <v>0</v>
      </c>
      <c r="BF43" s="32">
        <f t="shared" si="163"/>
        <v>0</v>
      </c>
      <c r="BG43" s="33">
        <f t="shared" si="163"/>
        <v>0</v>
      </c>
      <c r="BH43" s="34">
        <f t="shared" si="164"/>
        <v>0</v>
      </c>
      <c r="BI43" s="32">
        <f t="shared" si="164"/>
        <v>0</v>
      </c>
      <c r="BJ43" s="32">
        <f t="shared" si="164"/>
        <v>0</v>
      </c>
      <c r="BK43" s="33">
        <f t="shared" si="164"/>
        <v>0</v>
      </c>
      <c r="BL43" s="20"/>
      <c r="BM43" s="32">
        <f>SUM(D43:G43)</f>
        <v>0</v>
      </c>
      <c r="BN43" s="32">
        <f>SUM(H43:K43)</f>
        <v>0</v>
      </c>
      <c r="BO43" s="32">
        <f>SUM(L43:O43)</f>
        <v>0</v>
      </c>
      <c r="BP43" s="32">
        <f>SUM(P43:S43)</f>
        <v>0</v>
      </c>
      <c r="BQ43" s="32">
        <f>SUM(T43:W43)</f>
        <v>0</v>
      </c>
      <c r="BR43" s="32">
        <f>SUM(X43:AA43)</f>
        <v>0</v>
      </c>
      <c r="BS43" s="32">
        <f>SUM(AB43:AE43)</f>
        <v>0</v>
      </c>
      <c r="BT43" s="32">
        <f>SUM(AF43:AI43)</f>
        <v>0</v>
      </c>
      <c r="BU43" s="32">
        <f>SUM(AJ43:AM43)</f>
        <v>0</v>
      </c>
      <c r="BV43" s="32">
        <f>SUM(AN43:AQ43)</f>
        <v>0</v>
      </c>
      <c r="BW43" s="32">
        <f>SUM(AR43:AU43)</f>
        <v>0</v>
      </c>
      <c r="BX43" s="32">
        <f>SUM(AV43:AY43)</f>
        <v>0</v>
      </c>
      <c r="BY43" s="32">
        <f>SUM(AZ43:BC43)</f>
        <v>0</v>
      </c>
      <c r="BZ43" s="32">
        <f>SUM(BD43:BG43)</f>
        <v>0</v>
      </c>
      <c r="CA43" s="33">
        <f>SUM(BH43:BK43)</f>
        <v>0</v>
      </c>
      <c r="CB43" s="34"/>
      <c r="CC43" s="32"/>
      <c r="CD43" s="32"/>
      <c r="CE43" s="260"/>
      <c r="CF43" s="34">
        <f>SUM(F43:I43)</f>
        <v>0</v>
      </c>
      <c r="CG43" s="32">
        <f>SUM(J43:M43)</f>
        <v>0</v>
      </c>
      <c r="CH43" s="32">
        <f>SUM(N43:Q43)</f>
        <v>0</v>
      </c>
      <c r="CI43" s="32">
        <f>SUM(R43:U43)</f>
        <v>0</v>
      </c>
      <c r="CJ43" s="32">
        <f>SUM(V43:Y43)</f>
        <v>0</v>
      </c>
      <c r="CK43" s="32">
        <f>SUM(Z43:AC43)</f>
        <v>0</v>
      </c>
      <c r="CL43" s="32">
        <f>SUM(AD43:AG43)</f>
        <v>0</v>
      </c>
      <c r="CM43" s="32">
        <f>SUM(AH43:AK43)</f>
        <v>0</v>
      </c>
      <c r="CN43" s="32">
        <f>SUM(AL43:AO43)</f>
        <v>0</v>
      </c>
      <c r="CO43" s="32">
        <f>SUM(AP43:AS43)</f>
        <v>0</v>
      </c>
      <c r="CP43" s="32">
        <f>SUM(AT43:AW43)</f>
        <v>0</v>
      </c>
      <c r="CQ43" s="32">
        <f>SUM(AX43:BA43)</f>
        <v>0</v>
      </c>
      <c r="CR43" s="32">
        <f>SUM(BB43:BE43)</f>
        <v>0</v>
      </c>
      <c r="CS43" s="33">
        <f>SUM(BF43:BI43)</f>
        <v>0</v>
      </c>
      <c r="CT43" s="32"/>
    </row>
    <row r="44" spans="1:104" ht="14.25" hidden="1" customHeight="1" outlineLevel="1">
      <c r="A44" s="8"/>
      <c r="B44" s="23" t="s">
        <v>311</v>
      </c>
      <c r="C44" s="24"/>
      <c r="D44" s="32">
        <f t="shared" ref="D44:W44" si="165">D38-D42-D41-D43</f>
        <v>93.903999999999996</v>
      </c>
      <c r="E44" s="32">
        <f t="shared" si="165"/>
        <v>91.774000000000001</v>
      </c>
      <c r="F44" s="32">
        <f t="shared" si="165"/>
        <v>95.218999999999994</v>
      </c>
      <c r="G44" s="33">
        <f t="shared" si="165"/>
        <v>94.914000000000044</v>
      </c>
      <c r="H44" s="32">
        <f t="shared" si="165"/>
        <v>98.11099999999999</v>
      </c>
      <c r="I44" s="32">
        <f t="shared" si="165"/>
        <v>103.536</v>
      </c>
      <c r="J44" s="32">
        <f t="shared" si="165"/>
        <v>126.607</v>
      </c>
      <c r="K44" s="33">
        <f t="shared" si="165"/>
        <v>96.06400000000005</v>
      </c>
      <c r="L44" s="32">
        <f t="shared" si="165"/>
        <v>116.18100000000001</v>
      </c>
      <c r="M44" s="32">
        <f t="shared" si="165"/>
        <v>115.548</v>
      </c>
      <c r="N44" s="32">
        <f t="shared" si="165"/>
        <v>119.56599999999999</v>
      </c>
      <c r="O44" s="33">
        <f t="shared" si="165"/>
        <v>118.07400000000001</v>
      </c>
      <c r="P44" s="32">
        <f t="shared" si="165"/>
        <v>119.496</v>
      </c>
      <c r="Q44" s="32">
        <f t="shared" si="165"/>
        <v>110.85099999999998</v>
      </c>
      <c r="R44" s="32">
        <f t="shared" si="165"/>
        <v>95.78</v>
      </c>
      <c r="S44" s="33">
        <f t="shared" si="165"/>
        <v>94.320999999999998</v>
      </c>
      <c r="T44" s="32">
        <f t="shared" si="165"/>
        <v>99.602000000000004</v>
      </c>
      <c r="U44" s="32">
        <f t="shared" si="165"/>
        <v>103.36699999999999</v>
      </c>
      <c r="V44" s="32">
        <f t="shared" si="165"/>
        <v>108.059</v>
      </c>
      <c r="W44" s="33">
        <f t="shared" si="165"/>
        <v>109.559</v>
      </c>
      <c r="X44" s="32">
        <f t="shared" ref="X44:AP44" si="166">X38-X42-X41-X43</f>
        <v>111.67399999999999</v>
      </c>
      <c r="Y44" s="32">
        <f t="shared" si="166"/>
        <v>116.08500000000001</v>
      </c>
      <c r="Z44" s="32">
        <f t="shared" si="166"/>
        <v>119.21200000000002</v>
      </c>
      <c r="AA44" s="33">
        <f t="shared" si="166"/>
        <v>124.65099999999998</v>
      </c>
      <c r="AB44" s="32">
        <f t="shared" si="166"/>
        <v>126.952</v>
      </c>
      <c r="AC44" s="32">
        <f t="shared" si="166"/>
        <v>129.17500000000001</v>
      </c>
      <c r="AD44" s="32">
        <f t="shared" si="166"/>
        <v>124.52799999999999</v>
      </c>
      <c r="AE44" s="33">
        <f t="shared" si="166"/>
        <v>122.65600000000001</v>
      </c>
      <c r="AF44" s="32">
        <f t="shared" si="166"/>
        <v>119.607</v>
      </c>
      <c r="AG44" s="32">
        <f t="shared" si="166"/>
        <v>123.60199999999999</v>
      </c>
      <c r="AH44" s="32">
        <f t="shared" si="166"/>
        <v>124.102</v>
      </c>
      <c r="AI44" s="33">
        <f t="shared" si="166"/>
        <v>122.36199999999998</v>
      </c>
      <c r="AJ44" s="34">
        <f t="shared" si="166"/>
        <v>120.30399999999999</v>
      </c>
      <c r="AK44" s="32">
        <f t="shared" si="166"/>
        <v>130.47399999999999</v>
      </c>
      <c r="AL44" s="32">
        <f t="shared" si="166"/>
        <v>129.82900000000001</v>
      </c>
      <c r="AM44" s="33">
        <f t="shared" si="166"/>
        <v>131.88499999999999</v>
      </c>
      <c r="AN44" s="34">
        <f t="shared" si="166"/>
        <v>128.04</v>
      </c>
      <c r="AO44" s="32">
        <f t="shared" si="166"/>
        <v>124.72399999999999</v>
      </c>
      <c r="AP44" s="32">
        <f t="shared" si="166"/>
        <v>114.44799999999999</v>
      </c>
      <c r="AQ44" s="33">
        <f t="shared" ref="AQ44:BC44" si="167">AQ38-AQ42-AQ41-AQ43</f>
        <v>109.63500000000001</v>
      </c>
      <c r="AR44" s="34">
        <f t="shared" si="167"/>
        <v>109.07</v>
      </c>
      <c r="AS44" s="32">
        <f t="shared" si="167"/>
        <v>113.1</v>
      </c>
      <c r="AT44" s="32">
        <f t="shared" si="167"/>
        <v>119.178</v>
      </c>
      <c r="AU44" s="32">
        <f t="shared" si="167"/>
        <v>113.491</v>
      </c>
      <c r="AV44" s="34">
        <f t="shared" ref="AV44:BA44" si="168">AV38-AV42-AV41-AV43</f>
        <v>112.746</v>
      </c>
      <c r="AW44" s="32">
        <f t="shared" si="168"/>
        <v>114.057</v>
      </c>
      <c r="AX44" s="32">
        <f t="shared" si="168"/>
        <v>113.163</v>
      </c>
      <c r="AY44" s="32">
        <f t="shared" si="168"/>
        <v>114.011</v>
      </c>
      <c r="AZ44" s="34">
        <f t="shared" si="168"/>
        <v>108.601</v>
      </c>
      <c r="BA44" s="32">
        <f t="shared" si="168"/>
        <v>115.896</v>
      </c>
      <c r="BB44" s="32">
        <f t="shared" ref="BB44" si="169">BB38-BB42-BB41-BB43</f>
        <v>114.39</v>
      </c>
      <c r="BC44" s="33">
        <f t="shared" si="167"/>
        <v>111.0898485</v>
      </c>
      <c r="BD44" s="34">
        <f t="shared" ref="BD44:BK44" si="170">BD38-BD42-BD41-BD43</f>
        <v>109.72437506999999</v>
      </c>
      <c r="BE44" s="32">
        <f t="shared" si="170"/>
        <v>109.79630050775557</v>
      </c>
      <c r="BF44" s="32">
        <f t="shared" si="170"/>
        <v>112.66634509181422</v>
      </c>
      <c r="BG44" s="33">
        <f t="shared" si="170"/>
        <v>113.08336729049384</v>
      </c>
      <c r="BH44" s="34">
        <f t="shared" si="170"/>
        <v>112.35753686680128</v>
      </c>
      <c r="BI44" s="32">
        <f t="shared" si="170"/>
        <v>112.32733095238274</v>
      </c>
      <c r="BJ44" s="32">
        <f t="shared" si="170"/>
        <v>114.38346071106744</v>
      </c>
      <c r="BK44" s="33">
        <f t="shared" si="170"/>
        <v>115.4478289556194</v>
      </c>
      <c r="BL44" s="20"/>
      <c r="BM44" s="32">
        <f t="shared" ref="BM44:BR44" si="171">BM38-BM42-BM41-BM43</f>
        <v>375.81100000000004</v>
      </c>
      <c r="BN44" s="32">
        <f t="shared" si="171"/>
        <v>424.31799999999998</v>
      </c>
      <c r="BO44" s="32">
        <f t="shared" si="171"/>
        <v>469.36899999999997</v>
      </c>
      <c r="BP44" s="32">
        <f t="shared" si="171"/>
        <v>420.44800000000004</v>
      </c>
      <c r="BQ44" s="32">
        <f t="shared" si="171"/>
        <v>420.58699999999999</v>
      </c>
      <c r="BR44" s="32">
        <f t="shared" si="171"/>
        <v>471.62200000000001</v>
      </c>
      <c r="BS44" s="32">
        <f t="shared" ref="BS44:CA44" si="172">BS38-BS42-BS41-BS43</f>
        <v>503.31100000000004</v>
      </c>
      <c r="BT44" s="32">
        <f t="shared" si="172"/>
        <v>489.67300000000006</v>
      </c>
      <c r="BU44" s="32">
        <f t="shared" si="172"/>
        <v>512.49199999999996</v>
      </c>
      <c r="BV44" s="32">
        <f t="shared" si="172"/>
        <v>476.84700000000004</v>
      </c>
      <c r="BW44" s="32">
        <f t="shared" si="172"/>
        <v>454.83899999999994</v>
      </c>
      <c r="BX44" s="32">
        <f t="shared" si="172"/>
        <v>453.97699999999998</v>
      </c>
      <c r="BY44" s="32">
        <f t="shared" si="172"/>
        <v>449.97684850000002</v>
      </c>
      <c r="BZ44" s="32">
        <f t="shared" si="172"/>
        <v>445.27038796006366</v>
      </c>
      <c r="CA44" s="33">
        <f t="shared" si="172"/>
        <v>454.51615748587091</v>
      </c>
      <c r="CB44" s="34"/>
      <c r="CC44" s="32"/>
      <c r="CD44" s="32"/>
      <c r="CE44" s="260"/>
      <c r="CF44" s="34">
        <f t="shared" ref="CF44:CL44" si="173">CF38-CF42-CF41-CF43</f>
        <v>391.78</v>
      </c>
      <c r="CG44" s="32">
        <f t="shared" si="173"/>
        <v>454.40000000000009</v>
      </c>
      <c r="CH44" s="32">
        <f t="shared" si="173"/>
        <v>467.98699999999997</v>
      </c>
      <c r="CI44" s="32">
        <f t="shared" si="173"/>
        <v>393.07</v>
      </c>
      <c r="CJ44" s="32">
        <f t="shared" si="173"/>
        <v>445.37700000000001</v>
      </c>
      <c r="CK44" s="32">
        <f t="shared" si="173"/>
        <v>499.99000000000007</v>
      </c>
      <c r="CL44" s="32">
        <f t="shared" si="173"/>
        <v>490.39300000000003</v>
      </c>
      <c r="CM44" s="32">
        <f t="shared" ref="CM44:CR44" si="174">CM38-CM42-CM41-CM43</f>
        <v>497.24199999999996</v>
      </c>
      <c r="CN44" s="32">
        <f t="shared" si="174"/>
        <v>514.47799999999984</v>
      </c>
      <c r="CO44" s="32">
        <f t="shared" si="174"/>
        <v>446.25299999999999</v>
      </c>
      <c r="CP44" s="32">
        <f t="shared" si="174"/>
        <v>459.47199999999998</v>
      </c>
      <c r="CQ44" s="32">
        <f t="shared" si="174"/>
        <v>451.67099999999999</v>
      </c>
      <c r="CR44" s="32">
        <f t="shared" si="174"/>
        <v>445.00052407775559</v>
      </c>
      <c r="CS44" s="33">
        <f>CS38-CS42-CS41-CS43</f>
        <v>450.43458020149211</v>
      </c>
      <c r="CT44" s="32"/>
    </row>
    <row r="45" spans="1:104" ht="14.25" hidden="1" customHeight="1" outlineLevel="1">
      <c r="A45" s="8"/>
      <c r="B45" s="35" t="s">
        <v>298</v>
      </c>
      <c r="C45" s="36"/>
      <c r="D45" s="37">
        <f t="shared" ref="D45:AK45" si="175">D44/D17</f>
        <v>0.22142208703238658</v>
      </c>
      <c r="E45" s="37">
        <f t="shared" si="175"/>
        <v>0.20599299694738735</v>
      </c>
      <c r="F45" s="37">
        <f t="shared" si="175"/>
        <v>0.19913210782775997</v>
      </c>
      <c r="G45" s="38">
        <f t="shared" si="175"/>
        <v>0.18641291539005433</v>
      </c>
      <c r="H45" s="37">
        <f t="shared" si="175"/>
        <v>0.19515062307929465</v>
      </c>
      <c r="I45" s="37">
        <f t="shared" si="175"/>
        <v>0.20813222555698729</v>
      </c>
      <c r="J45" s="37">
        <f t="shared" si="175"/>
        <v>0.26567077111609128</v>
      </c>
      <c r="K45" s="38">
        <f t="shared" si="175"/>
        <v>0.18044593046189689</v>
      </c>
      <c r="L45" s="37">
        <f t="shared" si="175"/>
        <v>0.22168519751717769</v>
      </c>
      <c r="M45" s="37">
        <f t="shared" si="175"/>
        <v>0.21396787185778438</v>
      </c>
      <c r="N45" s="37">
        <f t="shared" si="175"/>
        <v>0.24530887753636565</v>
      </c>
      <c r="O45" s="38">
        <f t="shared" si="175"/>
        <v>0.23555111347844568</v>
      </c>
      <c r="P45" s="37">
        <f t="shared" si="175"/>
        <v>0.23841788972155048</v>
      </c>
      <c r="Q45" s="37">
        <f t="shared" si="175"/>
        <v>0.26992390576489922</v>
      </c>
      <c r="R45" s="37">
        <f t="shared" si="175"/>
        <v>0.2819837192527932</v>
      </c>
      <c r="S45" s="38">
        <f t="shared" si="175"/>
        <v>0.23910756430764227</v>
      </c>
      <c r="T45" s="37">
        <f t="shared" si="175"/>
        <v>0.2217092639667354</v>
      </c>
      <c r="U45" s="37">
        <f t="shared" si="175"/>
        <v>0.21829720283412352</v>
      </c>
      <c r="V45" s="37">
        <f t="shared" si="175"/>
        <v>0.21234672221348844</v>
      </c>
      <c r="W45" s="38">
        <f t="shared" si="175"/>
        <v>0.19358013435531007</v>
      </c>
      <c r="X45" s="37">
        <f t="shared" si="175"/>
        <v>0.17835336882066122</v>
      </c>
      <c r="Y45" s="37">
        <f t="shared" si="175"/>
        <v>0.1893917146325228</v>
      </c>
      <c r="Z45" s="37">
        <f t="shared" si="175"/>
        <v>0.19646821309381571</v>
      </c>
      <c r="AA45" s="38">
        <f t="shared" si="175"/>
        <v>0.19896694445730273</v>
      </c>
      <c r="AB45" s="37">
        <f t="shared" si="175"/>
        <v>0.19960943519045538</v>
      </c>
      <c r="AC45" s="37">
        <f t="shared" si="175"/>
        <v>0.21843753117818449</v>
      </c>
      <c r="AD45" s="37">
        <f t="shared" si="175"/>
        <v>0.21800662451068953</v>
      </c>
      <c r="AE45" s="38">
        <f t="shared" si="175"/>
        <v>0.20275193567796668</v>
      </c>
      <c r="AF45" s="37">
        <f t="shared" si="175"/>
        <v>0.19196244432853185</v>
      </c>
      <c r="AG45" s="37">
        <f t="shared" si="175"/>
        <v>0.204197546364979</v>
      </c>
      <c r="AH45" s="37">
        <f t="shared" si="175"/>
        <v>0.20516661045754228</v>
      </c>
      <c r="AI45" s="38">
        <f t="shared" si="175"/>
        <v>0.20118909426926274</v>
      </c>
      <c r="AJ45" s="39">
        <f t="shared" si="175"/>
        <v>0.20556317824622675</v>
      </c>
      <c r="AK45" s="37">
        <f t="shared" si="175"/>
        <v>0.21034897480790746</v>
      </c>
      <c r="AL45" s="37">
        <f t="shared" ref="AL45:AQ45" si="176">AL44/AL17</f>
        <v>0.21435210944375011</v>
      </c>
      <c r="AM45" s="38">
        <f t="shared" si="176"/>
        <v>0.20527902600444847</v>
      </c>
      <c r="AN45" s="39">
        <f t="shared" si="176"/>
        <v>0.22065400025849813</v>
      </c>
      <c r="AO45" s="37">
        <f t="shared" si="176"/>
        <v>0.2200459061165225</v>
      </c>
      <c r="AP45" s="37">
        <f t="shared" si="176"/>
        <v>0.1982597187070711</v>
      </c>
      <c r="AQ45" s="38">
        <f t="shared" si="176"/>
        <v>0.18820909947692513</v>
      </c>
      <c r="AR45" s="39">
        <f t="shared" ref="AR45:BC45" si="177">AR44/AR17</f>
        <v>0.19389877513288653</v>
      </c>
      <c r="AS45" s="37">
        <f t="shared" si="177"/>
        <v>0.22140394768524227</v>
      </c>
      <c r="AT45" s="37">
        <f t="shared" si="177"/>
        <v>0.21463767802727413</v>
      </c>
      <c r="AU45" s="37">
        <f t="shared" si="177"/>
        <v>0.20046950678824149</v>
      </c>
      <c r="AV45" s="39">
        <f t="shared" ref="AV45:BA45" si="178">AV44/AV17</f>
        <v>0.20083149862129407</v>
      </c>
      <c r="AW45" s="37">
        <f t="shared" si="178"/>
        <v>0.20700075136388879</v>
      </c>
      <c r="AX45" s="37">
        <f t="shared" si="178"/>
        <v>0.19470042118592742</v>
      </c>
      <c r="AY45" s="37">
        <f t="shared" si="178"/>
        <v>0.18938547022034699</v>
      </c>
      <c r="AZ45" s="39">
        <f t="shared" si="178"/>
        <v>0.18864951813172687</v>
      </c>
      <c r="BA45" s="37">
        <f t="shared" si="178"/>
        <v>0.18613734808564222</v>
      </c>
      <c r="BB45" s="37">
        <f t="shared" ref="BB45" si="179">BB44/BB17</f>
        <v>0.17636474925184897</v>
      </c>
      <c r="BC45" s="38">
        <f t="shared" si="177"/>
        <v>0.17636474925184897</v>
      </c>
      <c r="BD45" s="39">
        <f t="shared" ref="BD45:BK45" si="180">BD44/BD17</f>
        <v>0.17858719129811565</v>
      </c>
      <c r="BE45" s="37">
        <f t="shared" si="180"/>
        <v>0.17837018996906021</v>
      </c>
      <c r="BF45" s="37">
        <f t="shared" si="180"/>
        <v>0.17393928816301976</v>
      </c>
      <c r="BG45" s="38">
        <f t="shared" si="180"/>
        <v>0.17275613969705106</v>
      </c>
      <c r="BH45" s="39">
        <f t="shared" si="180"/>
        <v>0.17444652826896229</v>
      </c>
      <c r="BI45" s="37">
        <f t="shared" si="180"/>
        <v>0.17453369106105568</v>
      </c>
      <c r="BJ45" s="37">
        <f t="shared" si="180"/>
        <v>0.1707815562901551</v>
      </c>
      <c r="BK45" s="38">
        <f t="shared" si="180"/>
        <v>0.16790667828020675</v>
      </c>
      <c r="BL45" s="20"/>
      <c r="BM45" s="37">
        <f t="shared" ref="BM45:BW45" si="181">BM44/BM17</f>
        <v>0.20238133062637831</v>
      </c>
      <c r="BN45" s="37">
        <f t="shared" si="181"/>
        <v>0.21119552601034083</v>
      </c>
      <c r="BO45" s="37">
        <f t="shared" si="181"/>
        <v>0.2286500813773302</v>
      </c>
      <c r="BP45" s="37">
        <f t="shared" si="181"/>
        <v>0.25543388122222455</v>
      </c>
      <c r="BQ45" s="37">
        <f t="shared" si="181"/>
        <v>0.21054583918826714</v>
      </c>
      <c r="BR45" s="37">
        <f t="shared" si="181"/>
        <v>0.1907592844190992</v>
      </c>
      <c r="BS45" s="37">
        <f>BS44/BS17</f>
        <v>0.20940500405861548</v>
      </c>
      <c r="BT45" s="37">
        <f t="shared" si="181"/>
        <v>0.20056572729666977</v>
      </c>
      <c r="BU45" s="37">
        <f t="shared" si="181"/>
        <v>0.20886812899733989</v>
      </c>
      <c r="BV45" s="37">
        <f t="shared" si="181"/>
        <v>0.2067078943535467</v>
      </c>
      <c r="BW45" s="37">
        <f t="shared" si="181"/>
        <v>0.20724247614387079</v>
      </c>
      <c r="BX45" s="37">
        <f>BX44/BX17</f>
        <v>0.19775833491243083</v>
      </c>
      <c r="BY45" s="37">
        <f>BY44/BY17</f>
        <v>0.18167677847216124</v>
      </c>
      <c r="BZ45" s="37">
        <f>BZ44/BZ17</f>
        <v>0.17583824126099598</v>
      </c>
      <c r="CA45" s="38">
        <f>CA44/CA17</f>
        <v>0.17183965421537037</v>
      </c>
      <c r="CB45" s="39"/>
      <c r="CC45" s="37"/>
      <c r="CD45" s="37"/>
      <c r="CE45" s="260"/>
      <c r="CF45" s="39">
        <f t="shared" ref="CF45:CN45" si="182">CF44/CF17</f>
        <v>0.19711923555290795</v>
      </c>
      <c r="CG45" s="37">
        <f t="shared" si="182"/>
        <v>0.21919584454075</v>
      </c>
      <c r="CH45" s="37">
        <f t="shared" si="182"/>
        <v>0.24623689067830679</v>
      </c>
      <c r="CI45" s="37">
        <f t="shared" si="182"/>
        <v>0.23723261011396604</v>
      </c>
      <c r="CJ45" s="37">
        <f t="shared" si="182"/>
        <v>0.19247751756005074</v>
      </c>
      <c r="CK45" s="37">
        <f t="shared" si="182"/>
        <v>0.20319617723450167</v>
      </c>
      <c r="CL45" s="37">
        <f t="shared" si="182"/>
        <v>0.20394385807899945</v>
      </c>
      <c r="CM45" s="37">
        <f t="shared" si="182"/>
        <v>0.20559143270488256</v>
      </c>
      <c r="CN45" s="37">
        <f t="shared" si="182"/>
        <v>0.21479255454168941</v>
      </c>
      <c r="CO45" s="37">
        <f>CO44/CO17</f>
        <v>0.19983377524101917</v>
      </c>
      <c r="CP45" s="37">
        <f>CP44/CP17</f>
        <v>0.20569332948931224</v>
      </c>
      <c r="CQ45" s="37">
        <f>CQ44/CQ17</f>
        <v>0.18965549095666914</v>
      </c>
      <c r="CR45" s="37">
        <f>CR44/CR17</f>
        <v>0.17740122101279704</v>
      </c>
      <c r="CS45" s="38">
        <f>CS44/CS17</f>
        <v>0.17391410748451183</v>
      </c>
      <c r="CT45" s="37"/>
    </row>
    <row r="46" spans="1:104" s="396" customFormat="1" ht="14.25" customHeight="1" collapsed="1">
      <c r="A46" s="11"/>
      <c r="B46" s="23" t="s">
        <v>312</v>
      </c>
      <c r="C46" s="24"/>
      <c r="D46" s="32">
        <f>D38-D42-D43</f>
        <v>129.46199999999999</v>
      </c>
      <c r="E46" s="32">
        <f>E38-E42-E43</f>
        <v>123.411</v>
      </c>
      <c r="F46" s="32">
        <f>F38-F42-F43</f>
        <v>127.437</v>
      </c>
      <c r="G46" s="33">
        <f>G38-G42-G43</f>
        <v>133.82800000000003</v>
      </c>
      <c r="H46" s="32">
        <f t="shared" ref="H46:W46" si="183">H38-H42-H43</f>
        <v>213.23699999999999</v>
      </c>
      <c r="I46" s="32">
        <f t="shared" si="183"/>
        <v>138.34399999999999</v>
      </c>
      <c r="J46" s="32">
        <f t="shared" si="183"/>
        <v>159.434</v>
      </c>
      <c r="K46" s="33">
        <f t="shared" si="183"/>
        <v>130.03200000000007</v>
      </c>
      <c r="L46" s="32">
        <f t="shared" si="183"/>
        <v>159.98500000000001</v>
      </c>
      <c r="M46" s="32">
        <f t="shared" si="183"/>
        <v>138.34700000000001</v>
      </c>
      <c r="N46" s="32">
        <f t="shared" si="183"/>
        <v>138.73599999999999</v>
      </c>
      <c r="O46" s="33">
        <f t="shared" si="183"/>
        <v>142.20100000000002</v>
      </c>
      <c r="P46" s="32">
        <f t="shared" si="183"/>
        <v>138.91499999999999</v>
      </c>
      <c r="Q46" s="32">
        <f t="shared" si="183"/>
        <v>144.28299999999999</v>
      </c>
      <c r="R46" s="32">
        <f t="shared" si="183"/>
        <v>120.974</v>
      </c>
      <c r="S46" s="33">
        <f t="shared" si="183"/>
        <v>117.10599999999999</v>
      </c>
      <c r="T46" s="32">
        <f t="shared" si="183"/>
        <v>116.343</v>
      </c>
      <c r="U46" s="32">
        <f t="shared" si="183"/>
        <v>118.017</v>
      </c>
      <c r="V46" s="32">
        <f t="shared" si="183"/>
        <v>116.75</v>
      </c>
      <c r="W46" s="33">
        <f t="shared" si="183"/>
        <v>123.54199999999999</v>
      </c>
      <c r="X46" s="32">
        <f t="shared" ref="X46:AF46" si="184">X38-X42-X43</f>
        <v>127.779</v>
      </c>
      <c r="Y46" s="32">
        <f t="shared" si="184"/>
        <v>130.001</v>
      </c>
      <c r="Z46" s="32">
        <f t="shared" si="184"/>
        <v>130.95500000000001</v>
      </c>
      <c r="AA46" s="33">
        <f t="shared" si="184"/>
        <v>136.57299999999998</v>
      </c>
      <c r="AB46" s="32">
        <f t="shared" si="184"/>
        <v>140.21299999999999</v>
      </c>
      <c r="AC46" s="32">
        <f t="shared" si="184"/>
        <v>142.084</v>
      </c>
      <c r="AD46" s="32">
        <f t="shared" si="184"/>
        <v>136.07499999999999</v>
      </c>
      <c r="AE46" s="33">
        <f t="shared" si="184"/>
        <v>134.00700000000001</v>
      </c>
      <c r="AF46" s="32">
        <f t="shared" si="184"/>
        <v>132.93</v>
      </c>
      <c r="AG46" s="32">
        <f t="shared" ref="AG46:AL46" si="185">AG38-AG42-AG43</f>
        <v>135.74199999999999</v>
      </c>
      <c r="AH46" s="32">
        <f t="shared" si="185"/>
        <v>134.13800000000001</v>
      </c>
      <c r="AI46" s="33">
        <f t="shared" si="185"/>
        <v>132.00899999999999</v>
      </c>
      <c r="AJ46" s="34">
        <f t="shared" si="185"/>
        <v>129.90199999999999</v>
      </c>
      <c r="AK46" s="32">
        <f t="shared" si="185"/>
        <v>142.971</v>
      </c>
      <c r="AL46" s="32">
        <f t="shared" si="185"/>
        <v>141.49299999999999</v>
      </c>
      <c r="AM46" s="375">
        <f t="shared" ref="AM46:AR46" si="186">AM38-AM42-AM43</f>
        <v>143.80199999999999</v>
      </c>
      <c r="AN46" s="34">
        <f t="shared" si="186"/>
        <v>140.36199999999999</v>
      </c>
      <c r="AO46" s="32">
        <f t="shared" si="186"/>
        <v>135.94499999999999</v>
      </c>
      <c r="AP46" s="32">
        <f t="shared" si="186"/>
        <v>123.913</v>
      </c>
      <c r="AQ46" s="375">
        <f t="shared" si="186"/>
        <v>121.55200000000001</v>
      </c>
      <c r="AR46" s="34">
        <f t="shared" si="186"/>
        <v>121.392</v>
      </c>
      <c r="AS46" s="32">
        <f>AS38-AS42-AS43</f>
        <v>113.1</v>
      </c>
      <c r="AT46" s="32">
        <f>AT38-AT42-AT43</f>
        <v>119.178</v>
      </c>
      <c r="AU46" s="32">
        <f>AU38</f>
        <v>113.491</v>
      </c>
      <c r="AV46" s="34">
        <f>AV38-AV42-AV43</f>
        <v>112.746</v>
      </c>
      <c r="AW46" s="32">
        <f>AW38-AW42-AW43</f>
        <v>114.057</v>
      </c>
      <c r="AX46" s="32">
        <f>AX38-AX42-AX43</f>
        <v>113.163</v>
      </c>
      <c r="AY46" s="32">
        <f>AY38</f>
        <v>114.011</v>
      </c>
      <c r="AZ46" s="34">
        <f>AZ38-AZ42-AZ43</f>
        <v>108.601</v>
      </c>
      <c r="BA46" s="32">
        <f>BA38-BA42-BA43</f>
        <v>115.896</v>
      </c>
      <c r="BB46" s="32">
        <f>BB38-BB42-BB43</f>
        <v>114.39</v>
      </c>
      <c r="BC46" s="33">
        <f>BC38</f>
        <v>111.0898485</v>
      </c>
      <c r="BD46" s="34">
        <f t="shared" ref="BD46:BK46" si="187">BD38</f>
        <v>109.72437506999999</v>
      </c>
      <c r="BE46" s="32">
        <f t="shared" si="187"/>
        <v>109.79630050775557</v>
      </c>
      <c r="BF46" s="32">
        <f t="shared" si="187"/>
        <v>112.66634509181422</v>
      </c>
      <c r="BG46" s="33">
        <f t="shared" si="187"/>
        <v>113.08336729049384</v>
      </c>
      <c r="BH46" s="34">
        <f t="shared" si="187"/>
        <v>112.35753686680128</v>
      </c>
      <c r="BI46" s="32">
        <f t="shared" si="187"/>
        <v>112.32733095238274</v>
      </c>
      <c r="BJ46" s="32">
        <f t="shared" si="187"/>
        <v>114.38346071106744</v>
      </c>
      <c r="BK46" s="33">
        <f t="shared" si="187"/>
        <v>115.4478289556194</v>
      </c>
      <c r="BL46" s="185"/>
      <c r="BM46" s="32">
        <f t="shared" ref="BM46:BR46" si="188">BM38-BM42-BM43</f>
        <v>514.13800000000003</v>
      </c>
      <c r="BN46" s="32">
        <f t="shared" si="188"/>
        <v>641.04700000000003</v>
      </c>
      <c r="BO46" s="32">
        <f t="shared" si="188"/>
        <v>579.26900000000001</v>
      </c>
      <c r="BP46" s="32">
        <f t="shared" si="188"/>
        <v>521.27800000000002</v>
      </c>
      <c r="BQ46" s="32">
        <f t="shared" si="188"/>
        <v>474.65199999999999</v>
      </c>
      <c r="BR46" s="32">
        <f t="shared" si="188"/>
        <v>525.30799999999999</v>
      </c>
      <c r="BS46" s="32">
        <f t="shared" ref="BS46:CA46" si="189">BS38-BS42-BS43</f>
        <v>552.37900000000002</v>
      </c>
      <c r="BT46" s="32">
        <f t="shared" si="189"/>
        <v>534.81900000000007</v>
      </c>
      <c r="BU46" s="32">
        <f t="shared" si="189"/>
        <v>558.16800000000001</v>
      </c>
      <c r="BV46" s="32">
        <f t="shared" si="189"/>
        <v>521.77200000000005</v>
      </c>
      <c r="BW46" s="32">
        <f t="shared" si="189"/>
        <v>467.16099999999994</v>
      </c>
      <c r="BX46" s="32">
        <f t="shared" si="189"/>
        <v>453.97699999999998</v>
      </c>
      <c r="BY46" s="32">
        <f t="shared" si="189"/>
        <v>449.97684850000002</v>
      </c>
      <c r="BZ46" s="32">
        <f t="shared" si="189"/>
        <v>445.27038796006366</v>
      </c>
      <c r="CA46" s="33">
        <f t="shared" si="189"/>
        <v>454.51615748587091</v>
      </c>
      <c r="CB46" s="34"/>
      <c r="CC46" s="32"/>
      <c r="CD46" s="32"/>
      <c r="CE46" s="24"/>
      <c r="CF46" s="34">
        <f t="shared" ref="CF46:CL46" si="190">CF38-CF42-CF43</f>
        <v>612.846</v>
      </c>
      <c r="CG46" s="32">
        <f t="shared" si="190"/>
        <v>587.79800000000012</v>
      </c>
      <c r="CH46" s="32">
        <f t="shared" si="190"/>
        <v>564.13499999999999</v>
      </c>
      <c r="CI46" s="32">
        <f t="shared" si="190"/>
        <v>472.44</v>
      </c>
      <c r="CJ46" s="32">
        <f t="shared" si="190"/>
        <v>498.072</v>
      </c>
      <c r="CK46" s="32">
        <f t="shared" si="190"/>
        <v>549.82500000000005</v>
      </c>
      <c r="CL46" s="32">
        <f t="shared" si="190"/>
        <v>538.75400000000002</v>
      </c>
      <c r="CM46" s="32">
        <f t="shared" ref="CM46:CR46" si="191">CM38-CM42-CM43</f>
        <v>539.02</v>
      </c>
      <c r="CN46" s="32">
        <f t="shared" si="191"/>
        <v>561.60199999999986</v>
      </c>
      <c r="CO46" s="32">
        <f t="shared" si="191"/>
        <v>479.95699999999999</v>
      </c>
      <c r="CP46" s="32">
        <f t="shared" si="191"/>
        <v>459.47199999999998</v>
      </c>
      <c r="CQ46" s="32">
        <f t="shared" si="191"/>
        <v>451.67099999999999</v>
      </c>
      <c r="CR46" s="32">
        <f t="shared" si="191"/>
        <v>445.00052407775559</v>
      </c>
      <c r="CS46" s="33">
        <f>CS38-CS42-CS43</f>
        <v>450.43458020149211</v>
      </c>
      <c r="CT46" s="32"/>
      <c r="CU46"/>
      <c r="CV46"/>
      <c r="CW46"/>
      <c r="CX46"/>
      <c r="CY46"/>
      <c r="CZ46"/>
    </row>
    <row r="47" spans="1:104" s="396" customFormat="1" ht="14.25" customHeight="1">
      <c r="A47" s="11"/>
      <c r="B47" s="35" t="s">
        <v>206</v>
      </c>
      <c r="C47" s="36"/>
      <c r="D47" s="37">
        <f t="shared" ref="D47:AJ47" si="192">D46/D17</f>
        <v>0.30526650868319594</v>
      </c>
      <c r="E47" s="37">
        <f t="shared" si="192"/>
        <v>0.27700439935356441</v>
      </c>
      <c r="F47" s="37">
        <f t="shared" si="192"/>
        <v>0.26650981868373169</v>
      </c>
      <c r="G47" s="38">
        <f t="shared" si="192"/>
        <v>0.26284075732579165</v>
      </c>
      <c r="H47" s="37">
        <f t="shared" si="192"/>
        <v>0.42414544152602213</v>
      </c>
      <c r="I47" s="37">
        <f t="shared" si="192"/>
        <v>0.27810466516434718</v>
      </c>
      <c r="J47" s="37">
        <f t="shared" si="192"/>
        <v>0.33455459589219316</v>
      </c>
      <c r="K47" s="38">
        <f t="shared" si="192"/>
        <v>0.24425117869151167</v>
      </c>
      <c r="L47" s="37">
        <f t="shared" si="192"/>
        <v>0.30526769716894908</v>
      </c>
      <c r="M47" s="37">
        <f t="shared" si="192"/>
        <v>0.25618628767186707</v>
      </c>
      <c r="N47" s="37">
        <f t="shared" si="192"/>
        <v>0.28463921544490262</v>
      </c>
      <c r="O47" s="38">
        <f t="shared" si="192"/>
        <v>0.28368314690574092</v>
      </c>
      <c r="P47" s="37">
        <f t="shared" si="192"/>
        <v>0.27716259247731462</v>
      </c>
      <c r="Q47" s="37">
        <f t="shared" si="192"/>
        <v>0.35133134473732264</v>
      </c>
      <c r="R47" s="37">
        <f t="shared" si="192"/>
        <v>0.35615680155447277</v>
      </c>
      <c r="S47" s="38">
        <f t="shared" si="192"/>
        <v>0.29686846434845637</v>
      </c>
      <c r="T47" s="37">
        <f t="shared" si="192"/>
        <v>0.25897392519911144</v>
      </c>
      <c r="U47" s="37">
        <f t="shared" si="192"/>
        <v>0.24923603264944089</v>
      </c>
      <c r="V47" s="37">
        <f t="shared" si="192"/>
        <v>0.22942540481056437</v>
      </c>
      <c r="W47" s="38">
        <f t="shared" si="192"/>
        <v>0.21828674009915858</v>
      </c>
      <c r="X47" s="37">
        <f t="shared" si="192"/>
        <v>0.2040744946409663</v>
      </c>
      <c r="Y47" s="37">
        <f t="shared" si="192"/>
        <v>0.21209555320620749</v>
      </c>
      <c r="Z47" s="37">
        <f t="shared" si="192"/>
        <v>0.21582135058300031</v>
      </c>
      <c r="AA47" s="38">
        <f t="shared" si="192"/>
        <v>0.21799674696045124</v>
      </c>
      <c r="AB47" s="37">
        <f t="shared" si="192"/>
        <v>0.22045999855346368</v>
      </c>
      <c r="AC47" s="37">
        <f t="shared" si="192"/>
        <v>0.24026691062451064</v>
      </c>
      <c r="AD47" s="37">
        <f t="shared" si="192"/>
        <v>0.23822153596212964</v>
      </c>
      <c r="AE47" s="38">
        <f t="shared" si="192"/>
        <v>0.22151528375617399</v>
      </c>
      <c r="AF47" s="37">
        <f t="shared" si="192"/>
        <v>0.2133451029169843</v>
      </c>
      <c r="AG47" s="37">
        <f>AG46/AG17</f>
        <v>0.22425351805533067</v>
      </c>
      <c r="AH47" s="37">
        <f t="shared" si="192"/>
        <v>0.22175822141104742</v>
      </c>
      <c r="AI47" s="38">
        <f t="shared" si="192"/>
        <v>0.21705080944567029</v>
      </c>
      <c r="AJ47" s="39">
        <f t="shared" si="192"/>
        <v>0.2219632595802413</v>
      </c>
      <c r="AK47" s="37">
        <f t="shared" ref="AK47:AP47" si="193">AK46/AK17</f>
        <v>0.23049652250457056</v>
      </c>
      <c r="AL47" s="37">
        <f t="shared" si="193"/>
        <v>0.23360977148036671</v>
      </c>
      <c r="AM47" s="38">
        <f t="shared" si="193"/>
        <v>0.22382783862828751</v>
      </c>
      <c r="AN47" s="39">
        <f t="shared" si="193"/>
        <v>0.24188875963982595</v>
      </c>
      <c r="AO47" s="37">
        <f t="shared" si="193"/>
        <v>0.2398426983340067</v>
      </c>
      <c r="AP47" s="37">
        <f t="shared" si="193"/>
        <v>0.21465605798396917</v>
      </c>
      <c r="AQ47" s="38">
        <f t="shared" ref="AQ47:BC47" si="194">AQ46/AQ17</f>
        <v>0.20866687152477953</v>
      </c>
      <c r="AR47" s="39">
        <f t="shared" si="194"/>
        <v>0.21580416348153811</v>
      </c>
      <c r="AS47" s="37">
        <f t="shared" si="194"/>
        <v>0.22140394768524227</v>
      </c>
      <c r="AT47" s="37">
        <f t="shared" si="194"/>
        <v>0.21463767802727413</v>
      </c>
      <c r="AU47" s="37">
        <f t="shared" si="194"/>
        <v>0.20046950678824149</v>
      </c>
      <c r="AV47" s="39">
        <f t="shared" ref="AV47:BA47" si="195">AV46/AV17</f>
        <v>0.20083149862129407</v>
      </c>
      <c r="AW47" s="37">
        <f t="shared" si="195"/>
        <v>0.20700075136388879</v>
      </c>
      <c r="AX47" s="37">
        <f t="shared" si="195"/>
        <v>0.19470042118592742</v>
      </c>
      <c r="AY47" s="37">
        <f t="shared" si="195"/>
        <v>0.18938547022034699</v>
      </c>
      <c r="AZ47" s="39">
        <f t="shared" si="195"/>
        <v>0.18864951813172687</v>
      </c>
      <c r="BA47" s="37">
        <f t="shared" si="195"/>
        <v>0.18613734808564222</v>
      </c>
      <c r="BB47" s="37">
        <f t="shared" ref="BB47" si="196">BB46/BB17</f>
        <v>0.17636474925184897</v>
      </c>
      <c r="BC47" s="38">
        <f t="shared" si="194"/>
        <v>0.17636474925184897</v>
      </c>
      <c r="BD47" s="39">
        <f t="shared" ref="BD47:BK47" si="197">BD46/BD17</f>
        <v>0.17858719129811565</v>
      </c>
      <c r="BE47" s="37">
        <f t="shared" si="197"/>
        <v>0.17837018996906021</v>
      </c>
      <c r="BF47" s="37">
        <f t="shared" si="197"/>
        <v>0.17393928816301976</v>
      </c>
      <c r="BG47" s="38">
        <f t="shared" si="197"/>
        <v>0.17275613969705106</v>
      </c>
      <c r="BH47" s="39">
        <f t="shared" si="197"/>
        <v>0.17444652826896229</v>
      </c>
      <c r="BI47" s="37">
        <f t="shared" si="197"/>
        <v>0.17453369106105568</v>
      </c>
      <c r="BJ47" s="37">
        <f t="shared" si="197"/>
        <v>0.1707815562901551</v>
      </c>
      <c r="BK47" s="38">
        <f t="shared" si="197"/>
        <v>0.16790667828020675</v>
      </c>
      <c r="BL47" s="185"/>
      <c r="BM47" s="37">
        <f t="shared" ref="BM47:BW47" si="198">BM46/BM17</f>
        <v>0.27687303608884489</v>
      </c>
      <c r="BN47" s="37">
        <f t="shared" si="198"/>
        <v>0.31906791218461383</v>
      </c>
      <c r="BO47" s="37">
        <f t="shared" si="198"/>
        <v>0.28218715762942309</v>
      </c>
      <c r="BP47" s="37">
        <f t="shared" si="198"/>
        <v>0.31669091715446085</v>
      </c>
      <c r="BQ47" s="37">
        <f t="shared" si="198"/>
        <v>0.23761077651565399</v>
      </c>
      <c r="BR47" s="37">
        <f t="shared" si="198"/>
        <v>0.21247392653359715</v>
      </c>
      <c r="BS47" s="37">
        <f>BS46/BS17</f>
        <v>0.22981998552961083</v>
      </c>
      <c r="BT47" s="37">
        <f t="shared" si="198"/>
        <v>0.21905712936404015</v>
      </c>
      <c r="BU47" s="37">
        <f t="shared" si="198"/>
        <v>0.22748356233109437</v>
      </c>
      <c r="BV47" s="37">
        <f t="shared" si="198"/>
        <v>0.22618238439717303</v>
      </c>
      <c r="BW47" s="37">
        <f t="shared" si="198"/>
        <v>0.21285686231358089</v>
      </c>
      <c r="BX47" s="37">
        <f>BX46/BX17</f>
        <v>0.19775833491243083</v>
      </c>
      <c r="BY47" s="37">
        <f>BY46/BY17</f>
        <v>0.18167677847216124</v>
      </c>
      <c r="BZ47" s="37">
        <f>BZ46/BZ17</f>
        <v>0.17583824126099598</v>
      </c>
      <c r="CA47" s="38">
        <f>CA46/CA17</f>
        <v>0.17183965421537037</v>
      </c>
      <c r="CB47" s="39"/>
      <c r="CC47" s="37"/>
      <c r="CD47" s="37"/>
      <c r="CE47" s="24"/>
      <c r="CF47" s="39">
        <f t="shared" ref="CF47:CN47" si="199">CF46/CF17</f>
        <v>0.30834584468747112</v>
      </c>
      <c r="CG47" s="37">
        <f t="shared" si="199"/>
        <v>0.28354506828645193</v>
      </c>
      <c r="CH47" s="37">
        <f t="shared" si="199"/>
        <v>0.2968262971467297</v>
      </c>
      <c r="CI47" s="37">
        <f t="shared" si="199"/>
        <v>0.28513540672715326</v>
      </c>
      <c r="CJ47" s="37">
        <f t="shared" si="199"/>
        <v>0.21525059023292534</v>
      </c>
      <c r="CK47" s="37">
        <f t="shared" si="199"/>
        <v>0.22344914527882534</v>
      </c>
      <c r="CL47" s="37">
        <f t="shared" si="199"/>
        <v>0.22405615356559588</v>
      </c>
      <c r="CM47" s="37">
        <f t="shared" si="199"/>
        <v>0.2228651120713572</v>
      </c>
      <c r="CN47" s="37">
        <f t="shared" si="199"/>
        <v>0.23446664039224588</v>
      </c>
      <c r="CO47" s="37">
        <f>CO46/CO17</f>
        <v>0.21492655346485925</v>
      </c>
      <c r="CP47" s="37">
        <f>CP46/CP17</f>
        <v>0.20569332948931224</v>
      </c>
      <c r="CQ47" s="37">
        <f>CQ46/CQ17</f>
        <v>0.18965549095666914</v>
      </c>
      <c r="CR47" s="37">
        <f>CR46/CR17</f>
        <v>0.17740122101279704</v>
      </c>
      <c r="CS47" s="38">
        <f>CS46/CS17</f>
        <v>0.17391410748451183</v>
      </c>
      <c r="CT47" s="37"/>
      <c r="CU47"/>
      <c r="CV47"/>
      <c r="CW47"/>
      <c r="CX47"/>
      <c r="CY47"/>
      <c r="CZ47"/>
    </row>
    <row r="48" spans="1:104" s="396" customFormat="1" ht="14.25" customHeight="1">
      <c r="A48" s="11"/>
      <c r="B48" s="35" t="s">
        <v>145</v>
      </c>
      <c r="C48" s="53"/>
      <c r="D48" s="1282"/>
      <c r="E48" s="1282"/>
      <c r="F48" s="1282"/>
      <c r="G48" s="1283"/>
      <c r="H48" s="1282">
        <f t="shared" ref="H48:BB48" si="200">H46/D46-1</f>
        <v>0.64710107985354792</v>
      </c>
      <c r="I48" s="1282">
        <f t="shared" si="200"/>
        <v>0.12100217970845373</v>
      </c>
      <c r="J48" s="1282">
        <f t="shared" si="200"/>
        <v>0.25108092626160383</v>
      </c>
      <c r="K48" s="1283">
        <f t="shared" si="200"/>
        <v>-2.8364766715485268E-2</v>
      </c>
      <c r="L48" s="1282">
        <f t="shared" si="200"/>
        <v>-0.24973151938922411</v>
      </c>
      <c r="M48" s="1282">
        <f t="shared" si="200"/>
        <v>2.1685074885979816E-5</v>
      </c>
      <c r="N48" s="1282">
        <f t="shared" si="200"/>
        <v>-0.1298217444208889</v>
      </c>
      <c r="O48" s="1283">
        <f t="shared" si="200"/>
        <v>9.3584656084655604E-2</v>
      </c>
      <c r="P48" s="1282">
        <f t="shared" si="200"/>
        <v>-0.13169984686064329</v>
      </c>
      <c r="Q48" s="1282">
        <f t="shared" si="200"/>
        <v>4.2906604407757065E-2</v>
      </c>
      <c r="R48" s="1282">
        <f t="shared" si="200"/>
        <v>-0.12802733248760223</v>
      </c>
      <c r="S48" s="1283">
        <f t="shared" si="200"/>
        <v>-0.17647555221130673</v>
      </c>
      <c r="T48" s="1282">
        <f t="shared" si="200"/>
        <v>-0.16248785228377061</v>
      </c>
      <c r="U48" s="1282">
        <f t="shared" si="200"/>
        <v>-0.18204500876749163</v>
      </c>
      <c r="V48" s="1282">
        <f t="shared" si="200"/>
        <v>-3.4916593648221972E-2</v>
      </c>
      <c r="W48" s="1283">
        <f t="shared" si="200"/>
        <v>5.4958755315696939E-2</v>
      </c>
      <c r="X48" s="1282">
        <f t="shared" si="200"/>
        <v>9.8295557102704878E-2</v>
      </c>
      <c r="Y48" s="1282">
        <f t="shared" si="200"/>
        <v>0.10154469271376176</v>
      </c>
      <c r="Z48" s="1282">
        <f t="shared" si="200"/>
        <v>0.12167023554603862</v>
      </c>
      <c r="AA48" s="1283">
        <f t="shared" si="200"/>
        <v>0.10547829887811422</v>
      </c>
      <c r="AB48" s="1282">
        <f t="shared" si="200"/>
        <v>9.7308634439148722E-2</v>
      </c>
      <c r="AC48" s="1282">
        <f t="shared" si="200"/>
        <v>9.2945438881239406E-2</v>
      </c>
      <c r="AD48" s="1282">
        <f t="shared" si="200"/>
        <v>3.9097399870184235E-2</v>
      </c>
      <c r="AE48" s="1283">
        <f t="shared" si="200"/>
        <v>-1.8788486743353205E-2</v>
      </c>
      <c r="AF48" s="1282">
        <f t="shared" si="200"/>
        <v>-5.1942401917083214E-2</v>
      </c>
      <c r="AG48" s="1282">
        <f t="shared" si="200"/>
        <v>-4.4635567692351108E-2</v>
      </c>
      <c r="AH48" s="1282">
        <f t="shared" si="200"/>
        <v>-1.4234796986955622E-2</v>
      </c>
      <c r="AI48" s="1283">
        <f t="shared" si="200"/>
        <v>-1.490966889789358E-2</v>
      </c>
      <c r="AJ48" s="1284">
        <f t="shared" si="200"/>
        <v>-2.2778906191228576E-2</v>
      </c>
      <c r="AK48" s="1282">
        <f t="shared" si="200"/>
        <v>5.3255440467946613E-2</v>
      </c>
      <c r="AL48" s="37">
        <f t="shared" si="200"/>
        <v>5.4831591346225395E-2</v>
      </c>
      <c r="AM48" s="38">
        <f t="shared" si="200"/>
        <v>8.9334818080585521E-2</v>
      </c>
      <c r="AN48" s="1284">
        <f t="shared" si="200"/>
        <v>8.0522239842342858E-2</v>
      </c>
      <c r="AO48" s="1282">
        <f t="shared" si="200"/>
        <v>-4.914283316196999E-2</v>
      </c>
      <c r="AP48" s="37">
        <f t="shared" si="200"/>
        <v>-0.12424642915197215</v>
      </c>
      <c r="AQ48" s="38">
        <f t="shared" si="200"/>
        <v>-0.15472663801616104</v>
      </c>
      <c r="AR48" s="1284">
        <f t="shared" si="200"/>
        <v>-0.13515053931975896</v>
      </c>
      <c r="AS48" s="1282">
        <f t="shared" si="200"/>
        <v>-0.16804590091581151</v>
      </c>
      <c r="AT48" s="37">
        <f t="shared" si="200"/>
        <v>-3.8212294109576828E-2</v>
      </c>
      <c r="AU48" s="1281">
        <f t="shared" ref="AU48:BC48" si="201">AU46/AQ46-1</f>
        <v>-6.6317296301171558E-2</v>
      </c>
      <c r="AV48" s="1284">
        <f t="shared" si="200"/>
        <v>-7.1223803875049452E-2</v>
      </c>
      <c r="AW48" s="1282">
        <f t="shared" si="200"/>
        <v>8.4615384615385203E-3</v>
      </c>
      <c r="AX48" s="37">
        <f t="shared" si="200"/>
        <v>-5.0470724462568617E-2</v>
      </c>
      <c r="AY48" s="1281">
        <f t="shared" si="201"/>
        <v>4.5818611167405265E-3</v>
      </c>
      <c r="AZ48" s="1284">
        <f t="shared" si="200"/>
        <v>-3.6764053713657208E-2</v>
      </c>
      <c r="BA48" s="1282">
        <f t="shared" si="200"/>
        <v>1.6123517188773917E-2</v>
      </c>
      <c r="BB48" s="37">
        <f t="shared" si="200"/>
        <v>1.0842766628668343E-2</v>
      </c>
      <c r="BC48" s="1283">
        <f t="shared" si="201"/>
        <v>-2.562166369911667E-2</v>
      </c>
      <c r="BD48" s="1284">
        <f t="shared" ref="BD48:BK48" si="202">BD46/AZ46-1</f>
        <v>1.0344058249923904E-2</v>
      </c>
      <c r="BE48" s="1282">
        <f t="shared" si="202"/>
        <v>-5.2630802549220257E-2</v>
      </c>
      <c r="BF48" s="1282">
        <f t="shared" si="202"/>
        <v>-1.5068230686124506E-2</v>
      </c>
      <c r="BG48" s="1283">
        <f t="shared" si="202"/>
        <v>1.7945103152191555E-2</v>
      </c>
      <c r="BH48" s="1284">
        <f t="shared" si="202"/>
        <v>2.3997965767601048E-2</v>
      </c>
      <c r="BI48" s="1282">
        <f t="shared" si="202"/>
        <v>2.3052055788058023E-2</v>
      </c>
      <c r="BJ48" s="1282">
        <f t="shared" si="202"/>
        <v>1.5240714677074996E-2</v>
      </c>
      <c r="BK48" s="1283">
        <f t="shared" si="202"/>
        <v>2.0909013604552662E-2</v>
      </c>
      <c r="BL48" s="185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113"/>
      <c r="CB48" s="54"/>
      <c r="CC48" s="44"/>
      <c r="CD48" s="44"/>
      <c r="CE48" s="24"/>
      <c r="CF48" s="111"/>
      <c r="CG48" s="112"/>
      <c r="CH48" s="112"/>
      <c r="CI48" s="112"/>
      <c r="CJ48" s="112"/>
      <c r="CK48" s="112"/>
      <c r="CL48" s="112"/>
      <c r="CM48" s="112"/>
      <c r="CN48" s="112"/>
      <c r="CO48" s="728"/>
      <c r="CP48" s="112"/>
      <c r="CQ48" s="112"/>
      <c r="CR48" s="112"/>
      <c r="CS48" s="113"/>
      <c r="CT48" s="112"/>
      <c r="CU48"/>
      <c r="CV48"/>
      <c r="CW48"/>
      <c r="CX48"/>
      <c r="CY48"/>
      <c r="CZ48"/>
    </row>
    <row r="49" spans="1:104" s="1301" customFormat="1" ht="14.25" customHeight="1">
      <c r="A49" s="1290"/>
      <c r="B49" s="704"/>
      <c r="C49" s="1291"/>
      <c r="D49" s="1292"/>
      <c r="E49" s="1292"/>
      <c r="F49" s="1292"/>
      <c r="G49" s="1293"/>
      <c r="H49" s="1292"/>
      <c r="I49" s="1292"/>
      <c r="J49" s="1292"/>
      <c r="K49" s="1293"/>
      <c r="L49" s="1292"/>
      <c r="M49" s="1292"/>
      <c r="N49" s="1292"/>
      <c r="O49" s="1293"/>
      <c r="P49" s="1292"/>
      <c r="Q49" s="1292"/>
      <c r="R49" s="1292"/>
      <c r="S49" s="1293"/>
      <c r="T49" s="1292"/>
      <c r="U49" s="1292"/>
      <c r="V49" s="1292"/>
      <c r="W49" s="1293"/>
      <c r="X49" s="1292"/>
      <c r="Y49" s="1292"/>
      <c r="Z49" s="1292"/>
      <c r="AA49" s="1293"/>
      <c r="AB49" s="1292"/>
      <c r="AC49" s="1292"/>
      <c r="AD49" s="1292"/>
      <c r="AE49" s="1293"/>
      <c r="AF49" s="1292"/>
      <c r="AG49" s="1292"/>
      <c r="AH49" s="1292"/>
      <c r="AI49" s="1293"/>
      <c r="AJ49" s="1294"/>
      <c r="AK49" s="1292"/>
      <c r="AL49" s="1287"/>
      <c r="AM49" s="1288"/>
      <c r="AN49" s="1294"/>
      <c r="AO49" s="1292"/>
      <c r="AP49" s="1287"/>
      <c r="AQ49" s="1288"/>
      <c r="AR49" s="1294"/>
      <c r="AS49" s="1292"/>
      <c r="AT49" s="1287"/>
      <c r="AU49" s="1289"/>
      <c r="AV49" s="1294"/>
      <c r="AW49" s="1292"/>
      <c r="AX49" s="1287"/>
      <c r="AY49" s="1289"/>
      <c r="AZ49" s="1294"/>
      <c r="BA49" s="1292"/>
      <c r="BB49" s="1287"/>
      <c r="BC49" s="1293"/>
      <c r="BD49" s="1294"/>
      <c r="BE49" s="1292"/>
      <c r="BF49" s="1292"/>
      <c r="BG49" s="1293"/>
      <c r="BH49" s="1294"/>
      <c r="BI49" s="1292"/>
      <c r="BJ49" s="1292"/>
      <c r="BK49" s="1293"/>
      <c r="BL49" s="1295"/>
      <c r="BM49" s="1296"/>
      <c r="BN49" s="1296"/>
      <c r="BO49" s="1296"/>
      <c r="BP49" s="1296"/>
      <c r="BQ49" s="1296"/>
      <c r="BR49" s="1296"/>
      <c r="BS49" s="1296"/>
      <c r="BT49" s="1296"/>
      <c r="BU49" s="1296"/>
      <c r="BV49" s="1296"/>
      <c r="BW49" s="1296"/>
      <c r="BX49" s="1296"/>
      <c r="BY49" s="1296"/>
      <c r="BZ49" s="1296"/>
      <c r="CA49" s="1298"/>
      <c r="CB49" s="1472"/>
      <c r="CC49" s="1296"/>
      <c r="CD49" s="1296"/>
      <c r="CE49" s="1298"/>
      <c r="CF49" s="1299"/>
      <c r="CG49" s="1297"/>
      <c r="CH49" s="1297"/>
      <c r="CI49" s="1297"/>
      <c r="CJ49" s="1297"/>
      <c r="CK49" s="1297"/>
      <c r="CL49" s="1297"/>
      <c r="CM49" s="1297"/>
      <c r="CN49" s="1297"/>
      <c r="CO49" s="1300"/>
      <c r="CP49" s="1297"/>
      <c r="CQ49" s="1297"/>
      <c r="CR49" s="1297"/>
      <c r="CS49" s="1298"/>
      <c r="CT49" s="1297"/>
      <c r="CU49"/>
      <c r="CV49"/>
      <c r="CW49"/>
      <c r="CX49"/>
      <c r="CY49"/>
      <c r="CZ49"/>
    </row>
    <row r="50" spans="1:104" s="396" customFormat="1" ht="14.25" hidden="1" customHeight="1" outlineLevel="1">
      <c r="A50" s="11"/>
      <c r="B50" s="23" t="s">
        <v>313</v>
      </c>
      <c r="C50" s="24"/>
      <c r="D50" s="30">
        <v>37.451999999999998</v>
      </c>
      <c r="E50" s="30">
        <v>36.850999999999999</v>
      </c>
      <c r="F50" s="30">
        <v>39.890999999999998</v>
      </c>
      <c r="G50" s="509">
        <f>178.761-F50-E50-D50</f>
        <v>64.567000000000007</v>
      </c>
      <c r="H50" s="30">
        <v>69.691000000000003</v>
      </c>
      <c r="I50" s="30">
        <v>42.993000000000002</v>
      </c>
      <c r="J50" s="30">
        <v>40.567</v>
      </c>
      <c r="K50" s="509">
        <f>171.274-J50-I50-H50</f>
        <v>18.022999999999996</v>
      </c>
      <c r="L50" s="30">
        <v>43.462000000000003</v>
      </c>
      <c r="M50" s="30">
        <v>41.636000000000003</v>
      </c>
      <c r="N50" s="30">
        <v>39.084000000000003</v>
      </c>
      <c r="O50" s="509">
        <f>164.086-N50-M50-L50</f>
        <v>39.904000000000011</v>
      </c>
      <c r="P50" s="30">
        <v>40.243000000000002</v>
      </c>
      <c r="Q50" s="30">
        <v>64.123999999999995</v>
      </c>
      <c r="R50" s="30">
        <v>48.76</v>
      </c>
      <c r="S50" s="31">
        <v>48.54</v>
      </c>
      <c r="T50" s="30">
        <v>53.496000000000002</v>
      </c>
      <c r="U50" s="30">
        <v>59.811999999999998</v>
      </c>
      <c r="V50" s="30">
        <v>61.494</v>
      </c>
      <c r="W50" s="31">
        <v>67.346999999999994</v>
      </c>
      <c r="X50" s="30">
        <v>72.099999999999994</v>
      </c>
      <c r="Y50" s="30">
        <v>72.239999999999995</v>
      </c>
      <c r="Z50" s="30">
        <v>73.617000000000004</v>
      </c>
      <c r="AA50" s="509">
        <f>292.494-Z50-Y50-X50</f>
        <v>74.537000000000006</v>
      </c>
      <c r="AB50" s="30">
        <v>82.456000000000003</v>
      </c>
      <c r="AC50" s="30">
        <v>80.825999999999993</v>
      </c>
      <c r="AD50" s="30">
        <v>78.010999999999996</v>
      </c>
      <c r="AE50" s="31">
        <v>79.98</v>
      </c>
      <c r="AF50" s="30">
        <v>80.186999999999998</v>
      </c>
      <c r="AG50" s="30">
        <v>80.058000000000007</v>
      </c>
      <c r="AH50" s="30">
        <v>81.953999999999994</v>
      </c>
      <c r="AI50" s="31">
        <v>82.082999999999998</v>
      </c>
      <c r="AJ50" s="1255">
        <v>77.430000000000007</v>
      </c>
      <c r="AK50" s="30">
        <v>83.471000000000004</v>
      </c>
      <c r="AL50" s="30">
        <v>80.680000000000007</v>
      </c>
      <c r="AM50" s="31">
        <v>83.153000000000006</v>
      </c>
      <c r="AN50" s="1255">
        <v>79.897999999999996</v>
      </c>
      <c r="AO50" s="30">
        <v>79.778000000000006</v>
      </c>
      <c r="AP50" s="30">
        <v>75.766000000000005</v>
      </c>
      <c r="AQ50" s="31">
        <v>72.531999999999996</v>
      </c>
      <c r="AR50" s="1255">
        <v>71.995000000000005</v>
      </c>
      <c r="AS50" s="30">
        <v>73.643000000000001</v>
      </c>
      <c r="AT50" s="30">
        <v>71.778000000000006</v>
      </c>
      <c r="AU50" s="30">
        <v>71.483000000000004</v>
      </c>
      <c r="AV50" s="1255">
        <v>70.852000000000004</v>
      </c>
      <c r="AW50" s="30">
        <v>71.543000000000006</v>
      </c>
      <c r="AX50" s="30">
        <v>73.986999999999995</v>
      </c>
      <c r="AY50" s="30">
        <v>75.129000000000005</v>
      </c>
      <c r="AZ50" s="1255">
        <v>73.680999999999997</v>
      </c>
      <c r="BA50" s="30">
        <v>85.322999999999993</v>
      </c>
      <c r="BB50" s="30">
        <v>81.304000000000002</v>
      </c>
      <c r="BC50" s="375">
        <f t="shared" ref="BC50:BG50" si="203">BB50*(1+BC12*BC52)</f>
        <v>80.834875920000002</v>
      </c>
      <c r="BD50" s="1248">
        <f t="shared" si="203"/>
        <v>82.822057949258181</v>
      </c>
      <c r="BE50" s="374">
        <f t="shared" si="203"/>
        <v>82.876348646015558</v>
      </c>
      <c r="BF50" s="374">
        <f t="shared" si="203"/>
        <v>82.876348646015558</v>
      </c>
      <c r="BG50" s="375">
        <f t="shared" si="203"/>
        <v>82.876348646015558</v>
      </c>
      <c r="BH50" s="1248">
        <f>BG50*(1+BH12*BH52)</f>
        <v>82.410896434903549</v>
      </c>
      <c r="BI50" s="374">
        <f>BH50*(1+BI12*BI52)</f>
        <v>82.388741299126409</v>
      </c>
      <c r="BJ50" s="374">
        <f>BI50*(1+BJ12*BJ52)</f>
        <v>83.561715547498835</v>
      </c>
      <c r="BK50" s="375">
        <f>BJ50*(1+BK12*BK52)</f>
        <v>84.339279331075076</v>
      </c>
      <c r="BL50" s="185"/>
      <c r="BM50" s="32">
        <f>SUM(D50:G50)</f>
        <v>178.761</v>
      </c>
      <c r="BN50" s="32">
        <f>SUM(H50:K50)</f>
        <v>171.274</v>
      </c>
      <c r="BO50" s="32">
        <f>SUM(L50:O50)</f>
        <v>164.08600000000001</v>
      </c>
      <c r="BP50" s="32">
        <f>SUM(P50:S50)</f>
        <v>201.66699999999997</v>
      </c>
      <c r="BQ50" s="32">
        <f>SUM(T50:W50)</f>
        <v>242.149</v>
      </c>
      <c r="BR50" s="32">
        <f>SUM(X50:AA50)</f>
        <v>292.49400000000003</v>
      </c>
      <c r="BS50" s="32">
        <f>SUM(AB50:AE50)</f>
        <v>321.27299999999997</v>
      </c>
      <c r="BT50" s="32">
        <f>SUM(AF50:AI50)</f>
        <v>324.28200000000004</v>
      </c>
      <c r="BU50" s="32">
        <f>SUM(AJ50:AM50)</f>
        <v>324.73400000000004</v>
      </c>
      <c r="BV50" s="32">
        <f>SUM(AN50:AQ50)</f>
        <v>307.97399999999999</v>
      </c>
      <c r="BW50" s="32">
        <f>SUM(AR50:AU50)</f>
        <v>288.899</v>
      </c>
      <c r="BX50" s="32">
        <f>SUM(AV50:AY50)</f>
        <v>291.51100000000002</v>
      </c>
      <c r="BY50" s="32">
        <f>SUM(AZ50:BC50)</f>
        <v>321.14287591999999</v>
      </c>
      <c r="BZ50" s="32">
        <f>SUM(BD50:BG50)</f>
        <v>331.4511038873049</v>
      </c>
      <c r="CA50" s="33">
        <f>SUM(BH50:BK50)</f>
        <v>332.70063261260384</v>
      </c>
      <c r="CB50" s="34"/>
      <c r="CC50" s="32"/>
      <c r="CD50" s="32"/>
      <c r="CE50" s="24"/>
      <c r="CF50" s="34">
        <f>SUM(F50:I50)</f>
        <v>217.142</v>
      </c>
      <c r="CG50" s="32">
        <f>SUM(J50:M50)</f>
        <v>143.68799999999999</v>
      </c>
      <c r="CH50" s="32">
        <f>SUM(N50:Q50)</f>
        <v>183.35500000000002</v>
      </c>
      <c r="CI50" s="32">
        <f>SUM(R50:U50)</f>
        <v>210.608</v>
      </c>
      <c r="CJ50" s="32">
        <f>SUM(V50:Y50)</f>
        <v>273.18099999999998</v>
      </c>
      <c r="CK50" s="32">
        <f>SUM(Z50:AC50)</f>
        <v>311.43600000000004</v>
      </c>
      <c r="CL50" s="32">
        <f>SUM(AD50:AG50)</f>
        <v>318.23599999999999</v>
      </c>
      <c r="CM50" s="32">
        <f>SUM(AH50:AK50)</f>
        <v>324.93799999999999</v>
      </c>
      <c r="CN50" s="32">
        <f>SUM(AL50:AO50)</f>
        <v>323.50900000000001</v>
      </c>
      <c r="CO50" s="32">
        <f>SUM(AP50:AS50)</f>
        <v>293.93600000000004</v>
      </c>
      <c r="CP50" s="32">
        <f>SUM(AT50:AW50)</f>
        <v>285.65600000000006</v>
      </c>
      <c r="CQ50" s="32">
        <f>SUM(AX50:BA50)</f>
        <v>308.11999999999995</v>
      </c>
      <c r="CR50" s="32">
        <f>SUM(BB50:BE50)</f>
        <v>327.83728251527373</v>
      </c>
      <c r="CS50" s="33">
        <f>SUM(BF50:BI50)</f>
        <v>330.55233502606109</v>
      </c>
      <c r="CT50" s="32"/>
      <c r="CU50"/>
      <c r="CV50"/>
      <c r="CW50"/>
      <c r="CX50"/>
      <c r="CY50"/>
      <c r="CZ50"/>
    </row>
    <row r="51" spans="1:104" s="396" customFormat="1" ht="14.25" hidden="1" customHeight="1" outlineLevel="1">
      <c r="A51" s="11"/>
      <c r="B51" s="35" t="s">
        <v>298</v>
      </c>
      <c r="C51" s="36"/>
      <c r="D51" s="37">
        <f t="shared" ref="D51:AQ51" si="204">D50/D10</f>
        <v>8.8310402150461556E-2</v>
      </c>
      <c r="E51" s="37">
        <f t="shared" si="204"/>
        <v>8.2714580714670499E-2</v>
      </c>
      <c r="F51" s="37">
        <f t="shared" si="204"/>
        <v>8.3424305163435589E-2</v>
      </c>
      <c r="G51" s="38">
        <f t="shared" si="204"/>
        <v>0.12681082567365862</v>
      </c>
      <c r="H51" s="37">
        <f t="shared" si="204"/>
        <v>0.13862097086992411</v>
      </c>
      <c r="I51" s="37">
        <f t="shared" si="204"/>
        <v>8.6426255344726047E-2</v>
      </c>
      <c r="J51" s="37">
        <f t="shared" si="204"/>
        <v>8.5125357775371627E-2</v>
      </c>
      <c r="K51" s="38">
        <f t="shared" si="204"/>
        <v>3.3854274282923522E-2</v>
      </c>
      <c r="L51" s="37">
        <f t="shared" si="204"/>
        <v>8.2929928770552649E-2</v>
      </c>
      <c r="M51" s="37">
        <f t="shared" si="204"/>
        <v>7.710013425304385E-2</v>
      </c>
      <c r="N51" s="37">
        <f t="shared" si="204"/>
        <v>8.0187111466732325E-2</v>
      </c>
      <c r="O51" s="38">
        <f t="shared" si="204"/>
        <v>7.960627769232767E-2</v>
      </c>
      <c r="P51" s="37">
        <f t="shared" si="204"/>
        <v>8.0292655286071143E-2</v>
      </c>
      <c r="Q51" s="37">
        <f t="shared" si="204"/>
        <v>0.15614293541121324</v>
      </c>
      <c r="R51" s="37">
        <f t="shared" si="204"/>
        <v>0.14355320683614736</v>
      </c>
      <c r="S51" s="38">
        <f t="shared" si="204"/>
        <v>0.12305087065969356</v>
      </c>
      <c r="T51" s="37">
        <f t="shared" si="204"/>
        <v>0.11907952435859197</v>
      </c>
      <c r="U51" s="37">
        <f t="shared" si="204"/>
        <v>0.12631490026715098</v>
      </c>
      <c r="V51" s="37">
        <f t="shared" si="204"/>
        <v>0.1208418487659173</v>
      </c>
      <c r="W51" s="38">
        <f t="shared" si="204"/>
        <v>0.11899562161417197</v>
      </c>
      <c r="X51" s="37">
        <f t="shared" si="204"/>
        <v>0.11515015036597304</v>
      </c>
      <c r="Y51" s="37">
        <f t="shared" si="204"/>
        <v>0.11785896080504325</v>
      </c>
      <c r="Z51" s="37">
        <f t="shared" si="204"/>
        <v>0.12132503811132629</v>
      </c>
      <c r="AA51" s="38">
        <f t="shared" si="204"/>
        <v>0.11897537235171782</v>
      </c>
      <c r="AB51" s="37">
        <f t="shared" si="204"/>
        <v>0.12964739104594011</v>
      </c>
      <c r="AC51" s="37">
        <f t="shared" si="204"/>
        <v>0.13667839670995113</v>
      </c>
      <c r="AD51" s="37">
        <f t="shared" si="204"/>
        <v>0.1365710104129465</v>
      </c>
      <c r="AE51" s="38">
        <f t="shared" si="204"/>
        <v>0.13220796223196399</v>
      </c>
      <c r="AF51" s="37">
        <f t="shared" si="204"/>
        <v>0.12869558239377279</v>
      </c>
      <c r="AG51" s="37">
        <f t="shared" si="204"/>
        <v>0.13226037739589563</v>
      </c>
      <c r="AH51" s="37">
        <f t="shared" si="204"/>
        <v>0.13548713472335192</v>
      </c>
      <c r="AI51" s="38">
        <f t="shared" si="204"/>
        <v>0.13496187071888247</v>
      </c>
      <c r="AJ51" s="39">
        <f t="shared" si="204"/>
        <v>0.13230446944079449</v>
      </c>
      <c r="AK51" s="37">
        <f t="shared" si="204"/>
        <v>0.13457117338466548</v>
      </c>
      <c r="AL51" s="37">
        <f t="shared" si="204"/>
        <v>0.1332054332230993</v>
      </c>
      <c r="AM51" s="38">
        <f t="shared" si="204"/>
        <v>0.12942765931946701</v>
      </c>
      <c r="AN51" s="39">
        <f t="shared" si="204"/>
        <v>0.13768988841497565</v>
      </c>
      <c r="AO51" s="37">
        <f t="shared" si="204"/>
        <v>0.14074935295663973</v>
      </c>
      <c r="AP51" s="37">
        <f t="shared" si="204"/>
        <v>0.13125040059730139</v>
      </c>
      <c r="AQ51" s="38">
        <f t="shared" si="204"/>
        <v>0.12451482102668246</v>
      </c>
      <c r="AR51" s="39">
        <f t="shared" ref="AR51:AW51" si="205">AR50/AR10</f>
        <v>0.12798883575403106</v>
      </c>
      <c r="AS51" s="37">
        <f t="shared" si="205"/>
        <v>0.14416313810242526</v>
      </c>
      <c r="AT51" s="37">
        <f t="shared" si="205"/>
        <v>0.12927103369280976</v>
      </c>
      <c r="AU51" s="37">
        <f t="shared" si="205"/>
        <v>0.12626694410784881</v>
      </c>
      <c r="AV51" s="39">
        <f t="shared" si="205"/>
        <v>0.1262068130161241</v>
      </c>
      <c r="AW51" s="37">
        <f t="shared" si="205"/>
        <v>0.12984257656107645</v>
      </c>
      <c r="AX51" s="37">
        <f>AX50/AX10</f>
        <v>0.12729690855034961</v>
      </c>
      <c r="AY51" s="37">
        <f>AY50/AY10</f>
        <v>0.12479796679429574</v>
      </c>
      <c r="AZ51" s="39">
        <f>AZ50/AZ10</f>
        <v>0.12799039737630194</v>
      </c>
      <c r="BA51" s="37">
        <f>BA50/BA10</f>
        <v>0.13703490155580217</v>
      </c>
      <c r="BB51" s="37">
        <f>BB50/BB10</f>
        <v>0.1253532614142174</v>
      </c>
      <c r="BC51" s="38">
        <f t="shared" ref="BC51:BG51" si="206">BC50/BC10</f>
        <v>0.12833236173182039</v>
      </c>
      <c r="BD51" s="39">
        <f t="shared" si="206"/>
        <v>0.13480102937247734</v>
      </c>
      <c r="BE51" s="37">
        <f t="shared" si="206"/>
        <v>0.13463723261684643</v>
      </c>
      <c r="BF51" s="37">
        <f t="shared" si="206"/>
        <v>0.12794817367414138</v>
      </c>
      <c r="BG51" s="38">
        <f t="shared" si="206"/>
        <v>0.12660923005143074</v>
      </c>
      <c r="BH51" s="39">
        <f>BH50/BH10</f>
        <v>0.12795131662279921</v>
      </c>
      <c r="BI51" s="37">
        <f>BI50/BI10</f>
        <v>0.12801524792667515</v>
      </c>
      <c r="BJ51" s="37">
        <f>BJ50/BJ10</f>
        <v>0.12476279121791158</v>
      </c>
      <c r="BK51" s="38">
        <f>BK50/BK10</f>
        <v>0.12266257727957061</v>
      </c>
      <c r="BL51" s="185"/>
      <c r="BM51" s="37">
        <f t="shared" ref="BM51:BX51" si="207">BM50/BM10</f>
        <v>9.6266179127545509E-2</v>
      </c>
      <c r="BN51" s="37">
        <f t="shared" si="207"/>
        <v>8.5248098176120543E-2</v>
      </c>
      <c r="BO51" s="37">
        <f t="shared" si="207"/>
        <v>7.9933436705194857E-2</v>
      </c>
      <c r="BP51" s="37">
        <f t="shared" si="207"/>
        <v>0.12251832455961818</v>
      </c>
      <c r="BQ51" s="37">
        <f t="shared" si="207"/>
        <v>0.12121978190861747</v>
      </c>
      <c r="BR51" s="37">
        <f t="shared" si="207"/>
        <v>0.11830649574633924</v>
      </c>
      <c r="BS51" s="37">
        <f t="shared" si="207"/>
        <v>0.1336672035161631</v>
      </c>
      <c r="BT51" s="37">
        <f t="shared" si="207"/>
        <v>0.13282303737232534</v>
      </c>
      <c r="BU51" s="37">
        <f t="shared" si="207"/>
        <v>0.13234661809710627</v>
      </c>
      <c r="BV51" s="37">
        <f t="shared" si="207"/>
        <v>0.13350331879122482</v>
      </c>
      <c r="BW51" s="37">
        <f t="shared" si="207"/>
        <v>0.13163370800544397</v>
      </c>
      <c r="BX51" s="37">
        <f t="shared" si="207"/>
        <v>0.12698601464095677</v>
      </c>
      <c r="BY51" s="37">
        <f>BY50/BY10</f>
        <v>0.1296604554677008</v>
      </c>
      <c r="BZ51" s="37">
        <f>BZ50/BZ10</f>
        <v>0.13089075929474711</v>
      </c>
      <c r="CA51" s="38">
        <f>CA50/CA10</f>
        <v>0.12578466292952861</v>
      </c>
      <c r="CB51" s="1471"/>
      <c r="CC51" s="1419"/>
      <c r="CD51" s="1419"/>
      <c r="CE51" s="24"/>
      <c r="CF51" s="39">
        <f t="shared" ref="CF51:CP51" si="208">CF50/CF10</f>
        <v>0.10925229732612574</v>
      </c>
      <c r="CG51" s="37">
        <f t="shared" si="208"/>
        <v>6.9312967672471998E-2</v>
      </c>
      <c r="CH51" s="37">
        <f t="shared" si="208"/>
        <v>9.6474400122911419E-2</v>
      </c>
      <c r="CI51" s="37">
        <f t="shared" si="208"/>
        <v>0.12710989276943588</v>
      </c>
      <c r="CJ51" s="37">
        <f t="shared" si="208"/>
        <v>0.11805998227248425</v>
      </c>
      <c r="CK51" s="37">
        <f t="shared" si="208"/>
        <v>0.12656774066122176</v>
      </c>
      <c r="CL51" s="37">
        <f t="shared" si="208"/>
        <v>0.13234747971449115</v>
      </c>
      <c r="CM51" s="37">
        <f t="shared" si="208"/>
        <v>0.13435001258996451</v>
      </c>
      <c r="CN51" s="37">
        <f t="shared" si="208"/>
        <v>0.13506374330336268</v>
      </c>
      <c r="CO51" s="37">
        <f t="shared" si="208"/>
        <v>0.13162564858778367</v>
      </c>
      <c r="CP51" s="37">
        <f t="shared" si="208"/>
        <v>0.12788055361066397</v>
      </c>
      <c r="CQ51" s="37">
        <f>CQ50/CQ10</f>
        <v>0.12937879534787242</v>
      </c>
      <c r="CR51" s="37">
        <f>CR50/CR10</f>
        <v>0.13069363082719582</v>
      </c>
      <c r="CS51" s="38">
        <f>CS50/CS10</f>
        <v>0.12762722235327242</v>
      </c>
      <c r="CT51" s="37"/>
      <c r="CU51"/>
      <c r="CV51"/>
      <c r="CW51"/>
      <c r="CX51"/>
      <c r="CY51"/>
      <c r="CZ51"/>
    </row>
    <row r="52" spans="1:104" s="396" customFormat="1" ht="14.25" hidden="1" customHeight="1" outlineLevel="1">
      <c r="A52" s="11"/>
      <c r="B52" s="35" t="s">
        <v>542</v>
      </c>
      <c r="C52" s="36"/>
      <c r="D52" s="37"/>
      <c r="E52" s="37">
        <f t="shared" ref="E52:BB52" si="209">(E50/D50-1)/E18</f>
        <v>-0.31764482107693059</v>
      </c>
      <c r="F52" s="37">
        <f t="shared" si="209"/>
        <v>1.1256628291996471</v>
      </c>
      <c r="G52" s="38">
        <f t="shared" si="209"/>
        <v>9.5446627393626926</v>
      </c>
      <c r="H52" s="37">
        <f t="shared" si="209"/>
        <v>-6.2987755074844545</v>
      </c>
      <c r="I52" s="37">
        <f t="shared" si="209"/>
        <v>36.394013931034422</v>
      </c>
      <c r="J52" s="37">
        <f t="shared" si="209"/>
        <v>1.3432633250081722</v>
      </c>
      <c r="K52" s="38">
        <f t="shared" si="209"/>
        <v>-4.7449198134945059</v>
      </c>
      <c r="L52" s="37">
        <f t="shared" si="209"/>
        <v>-90.653460541468633</v>
      </c>
      <c r="M52" s="37">
        <f t="shared" si="209"/>
        <v>-1.3809952828780534</v>
      </c>
      <c r="N52" s="37">
        <f t="shared" si="209"/>
        <v>0.62909460538096285</v>
      </c>
      <c r="O52" s="38">
        <f t="shared" si="209"/>
        <v>0.73797230889159948</v>
      </c>
      <c r="P52" s="37">
        <f t="shared" si="209"/>
        <v>-67.594573404827813</v>
      </c>
      <c r="Q52" s="37">
        <f t="shared" si="209"/>
        <v>-3.2854053891934547</v>
      </c>
      <c r="R52" s="37">
        <f t="shared" si="209"/>
        <v>1.3856783967824773</v>
      </c>
      <c r="S52" s="38">
        <f t="shared" si="209"/>
        <v>-2.7962865631167431E-2</v>
      </c>
      <c r="T52" s="37">
        <f t="shared" si="209"/>
        <v>0.73529941512616026</v>
      </c>
      <c r="U52" s="37">
        <f t="shared" si="209"/>
        <v>2.1855117633933525</v>
      </c>
      <c r="V52" s="37">
        <f t="shared" si="209"/>
        <v>0.37652840581056679</v>
      </c>
      <c r="W52" s="38">
        <f t="shared" si="209"/>
        <v>0.84851980199189148</v>
      </c>
      <c r="X52" s="37">
        <f t="shared" si="209"/>
        <v>0.66375269765334499</v>
      </c>
      <c r="Y52" s="37">
        <f t="shared" si="209"/>
        <v>-9.2085426304264625E-2</v>
      </c>
      <c r="Z52" s="37">
        <f t="shared" si="209"/>
        <v>-1.8963571086153836</v>
      </c>
      <c r="AA52" s="38">
        <f t="shared" si="209"/>
        <v>0.38460823730113064</v>
      </c>
      <c r="AB52" s="37">
        <f t="shared" si="209"/>
        <v>6.998211903339814</v>
      </c>
      <c r="AC52" s="37">
        <f t="shared" si="209"/>
        <v>0.28162451143375677</v>
      </c>
      <c r="AD52" s="37">
        <f t="shared" si="209"/>
        <v>1.0222759342444243</v>
      </c>
      <c r="AE52" s="38">
        <f t="shared" si="209"/>
        <v>0.42725842106412093</v>
      </c>
      <c r="AF52" s="37">
        <f t="shared" si="209"/>
        <v>8.6412885852949525E-2</v>
      </c>
      <c r="AG52" s="37">
        <f t="shared" si="209"/>
        <v>5.6410907105514357E-2</v>
      </c>
      <c r="AH52" s="37">
        <f t="shared" si="209"/>
        <v>-33.970045176962408</v>
      </c>
      <c r="AI52" s="38">
        <f t="shared" si="209"/>
        <v>0.28764952293995116</v>
      </c>
      <c r="AJ52" s="39">
        <f t="shared" si="209"/>
        <v>1.5020434867727548</v>
      </c>
      <c r="AK52" s="37">
        <f t="shared" si="209"/>
        <v>1.3033378001462823</v>
      </c>
      <c r="AL52" s="37">
        <f t="shared" si="209"/>
        <v>1.4212262319828557</v>
      </c>
      <c r="AM52" s="38">
        <f t="shared" si="209"/>
        <v>0.5046840860056454</v>
      </c>
      <c r="AN52" s="39">
        <f t="shared" si="209"/>
        <v>0.40437972494629199</v>
      </c>
      <c r="AO52" s="37">
        <f t="shared" si="209"/>
        <v>6.4720309869905762E-2</v>
      </c>
      <c r="AP52" s="37">
        <f t="shared" si="209"/>
        <v>-2.7266664947400336</v>
      </c>
      <c r="AQ52" s="38">
        <f t="shared" si="209"/>
        <v>-4.6897458688166624</v>
      </c>
      <c r="AR52" s="39">
        <f t="shared" si="209"/>
        <v>0.21556153369262074</v>
      </c>
      <c r="AS52" s="37">
        <f t="shared" si="209"/>
        <v>-0.24915580920880209</v>
      </c>
      <c r="AT52" s="37">
        <f t="shared" si="209"/>
        <v>-0.29123011231491785</v>
      </c>
      <c r="AU52" s="37">
        <f t="shared" si="209"/>
        <v>-0.20986086844836155</v>
      </c>
      <c r="AV52" s="39">
        <f t="shared" si="209"/>
        <v>1.05652200929868</v>
      </c>
      <c r="AW52" s="37">
        <f t="shared" si="209"/>
        <v>-0.52655705289334442</v>
      </c>
      <c r="AX52" s="37">
        <f t="shared" si="209"/>
        <v>0.62290004146165823</v>
      </c>
      <c r="AY52" s="37">
        <f t="shared" si="209"/>
        <v>0.43153363134129519</v>
      </c>
      <c r="AZ52" s="39">
        <f t="shared" si="209"/>
        <v>0.44068339592392186</v>
      </c>
      <c r="BA52" s="37">
        <f t="shared" si="209"/>
        <v>1.9369252967489823</v>
      </c>
      <c r="BB52" s="37">
        <f t="shared" si="209"/>
        <v>-1.1296623860926629</v>
      </c>
      <c r="BC52" s="1333">
        <v>0.2</v>
      </c>
      <c r="BD52" s="1361">
        <v>-1</v>
      </c>
      <c r="BE52" s="1332">
        <v>0.35</v>
      </c>
      <c r="BF52" s="1332">
        <v>0</v>
      </c>
      <c r="BG52" s="1333">
        <v>0</v>
      </c>
      <c r="BH52" s="1361">
        <v>0.35</v>
      </c>
      <c r="BI52" s="1332">
        <v>0.35</v>
      </c>
      <c r="BJ52" s="1332">
        <v>0.35</v>
      </c>
      <c r="BK52" s="1333">
        <v>0.35</v>
      </c>
      <c r="BL52" s="185"/>
      <c r="BM52" s="37"/>
      <c r="BN52" s="37">
        <f t="shared" ref="BN52:CA52" si="210">(BN50/BM50-1)/BN19</f>
        <v>-0.5110688044324877</v>
      </c>
      <c r="BO52" s="37">
        <f t="shared" si="210"/>
        <v>-1.9312993102893536</v>
      </c>
      <c r="BP52" s="37">
        <f t="shared" si="210"/>
        <v>-1.1558276148347117</v>
      </c>
      <c r="BQ52" s="37">
        <f t="shared" si="210"/>
        <v>0.93978144814935327</v>
      </c>
      <c r="BR52" s="37">
        <f t="shared" si="210"/>
        <v>0.87484044139302164</v>
      </c>
      <c r="BS52" s="37">
        <f t="shared" si="210"/>
        <v>-3.5351099657594012</v>
      </c>
      <c r="BT52" s="37">
        <f t="shared" si="210"/>
        <v>0.59349147200093932</v>
      </c>
      <c r="BU52" s="37">
        <f t="shared" si="210"/>
        <v>0.27884497877589109</v>
      </c>
      <c r="BV52" s="37">
        <f t="shared" si="210"/>
        <v>0.86265683773487389</v>
      </c>
      <c r="BW52" s="37">
        <f t="shared" si="210"/>
        <v>1.2740678866275861</v>
      </c>
      <c r="BX52" s="37">
        <f t="shared" si="210"/>
        <v>0.19666727866127667</v>
      </c>
      <c r="BY52" s="37">
        <f t="shared" si="210"/>
        <v>1.287904332626584</v>
      </c>
      <c r="BZ52" s="37">
        <f t="shared" si="210"/>
        <v>1.4331388117617219</v>
      </c>
      <c r="CA52" s="38">
        <f t="shared" si="210"/>
        <v>8.4684177037823855E-2</v>
      </c>
      <c r="CB52" s="39"/>
      <c r="CC52" s="37"/>
      <c r="CD52" s="37"/>
      <c r="CE52" s="24"/>
      <c r="CF52" s="39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8"/>
      <c r="CT52" s="37"/>
      <c r="CU52"/>
      <c r="CV52"/>
      <c r="CW52"/>
      <c r="CX52"/>
      <c r="CY52"/>
      <c r="CZ52"/>
    </row>
    <row r="53" spans="1:104" s="396" customFormat="1" ht="14.25" hidden="1" customHeight="1" outlineLevel="1">
      <c r="A53" s="11"/>
      <c r="B53" s="28" t="s">
        <v>299</v>
      </c>
      <c r="C53" s="29"/>
      <c r="D53" s="30">
        <v>12.000999999999999</v>
      </c>
      <c r="E53" s="30">
        <v>12.617000000000001</v>
      </c>
      <c r="F53" s="30">
        <v>13.551</v>
      </c>
      <c r="G53" s="509">
        <f>50.947-F53-E53-D53</f>
        <v>12.778</v>
      </c>
      <c r="H53" s="30">
        <v>38.200000000000003</v>
      </c>
      <c r="I53" s="30">
        <v>11.68</v>
      </c>
      <c r="J53" s="30">
        <v>-3.4049999999999998</v>
      </c>
      <c r="K53" s="509">
        <f>55.846-J53-I53-H53</f>
        <v>9.3709999999999951</v>
      </c>
      <c r="L53" s="30">
        <v>13.186999999999999</v>
      </c>
      <c r="M53" s="30">
        <v>7.2489999999999997</v>
      </c>
      <c r="N53" s="30">
        <v>5.9480000000000004</v>
      </c>
      <c r="O53" s="509">
        <f>33.819-N53-M53-L53</f>
        <v>7.4350000000000041</v>
      </c>
      <c r="P53" s="30">
        <v>6.2220000000000004</v>
      </c>
      <c r="Q53" s="30">
        <v>19.672000000000001</v>
      </c>
      <c r="R53" s="30">
        <v>6.8449999999999998</v>
      </c>
      <c r="S53" s="509">
        <f>38.178-R53-Q53-P53</f>
        <v>5.4389999999999974</v>
      </c>
      <c r="T53" s="30">
        <v>4.2629999999999999</v>
      </c>
      <c r="U53" s="30">
        <v>7.0179999999999998</v>
      </c>
      <c r="V53" s="30">
        <v>5.5170000000000003</v>
      </c>
      <c r="W53" s="509">
        <f>24.24-V53-U53-T53</f>
        <v>7.4419999999999984</v>
      </c>
      <c r="X53" s="30">
        <v>7.1390000000000002</v>
      </c>
      <c r="Y53" s="30">
        <v>6.8579999999999997</v>
      </c>
      <c r="Z53" s="30">
        <v>6.149</v>
      </c>
      <c r="AA53" s="509">
        <f>26.61-Z53-Y53-X53</f>
        <v>6.4639999999999977</v>
      </c>
      <c r="AB53" s="30">
        <v>6.9470000000000001</v>
      </c>
      <c r="AC53" s="30">
        <v>6.8730000000000002</v>
      </c>
      <c r="AD53" s="30">
        <v>7.3920000000000003</v>
      </c>
      <c r="AE53" s="31">
        <v>6.4480000000000004</v>
      </c>
      <c r="AF53" s="30">
        <v>7.1859999999999999</v>
      </c>
      <c r="AG53" s="30">
        <v>7.0220000000000002</v>
      </c>
      <c r="AH53" s="30">
        <v>6.5220000000000002</v>
      </c>
      <c r="AI53" s="31">
        <v>6.3280000000000003</v>
      </c>
      <c r="AJ53" s="1255">
        <v>6.4</v>
      </c>
      <c r="AK53" s="30">
        <v>7.0060000000000002</v>
      </c>
      <c r="AL53" s="30">
        <v>7.24</v>
      </c>
      <c r="AM53" s="31">
        <v>6.8840000000000003</v>
      </c>
      <c r="AN53" s="1255">
        <v>7.2610000000000001</v>
      </c>
      <c r="AO53" s="30">
        <v>6.5670000000000002</v>
      </c>
      <c r="AP53" s="30">
        <v>6.0469999999999997</v>
      </c>
      <c r="AQ53" s="31">
        <v>6.8840000000000003</v>
      </c>
      <c r="AR53" s="1255">
        <v>7.2610000000000001</v>
      </c>
      <c r="AS53" s="30">
        <v>0</v>
      </c>
      <c r="AT53" s="30">
        <v>0</v>
      </c>
      <c r="AU53" s="374">
        <v>0</v>
      </c>
      <c r="AV53" s="1255"/>
      <c r="AW53" s="30">
        <v>0</v>
      </c>
      <c r="AX53" s="30">
        <v>0</v>
      </c>
      <c r="AY53" s="374">
        <v>0</v>
      </c>
      <c r="AZ53" s="1255"/>
      <c r="BA53" s="30">
        <v>0</v>
      </c>
      <c r="BB53" s="30">
        <v>0</v>
      </c>
      <c r="BC53" s="33">
        <f t="shared" ref="BC53:BG53" si="211">BB53</f>
        <v>0</v>
      </c>
      <c r="BD53" s="34">
        <f t="shared" si="211"/>
        <v>0</v>
      </c>
      <c r="BE53" s="32">
        <f t="shared" si="211"/>
        <v>0</v>
      </c>
      <c r="BF53" s="32">
        <f t="shared" si="211"/>
        <v>0</v>
      </c>
      <c r="BG53" s="33">
        <f t="shared" si="211"/>
        <v>0</v>
      </c>
      <c r="BH53" s="34">
        <f>BG53</f>
        <v>0</v>
      </c>
      <c r="BI53" s="32">
        <f>BH53</f>
        <v>0</v>
      </c>
      <c r="BJ53" s="32">
        <f>BI53</f>
        <v>0</v>
      </c>
      <c r="BK53" s="33">
        <f>BJ53</f>
        <v>0</v>
      </c>
      <c r="BL53" s="185"/>
      <c r="BM53" s="32">
        <f>SUM(D53:G53)</f>
        <v>50.947000000000003</v>
      </c>
      <c r="BN53" s="32">
        <f>SUM(H53:K53)</f>
        <v>55.845999999999997</v>
      </c>
      <c r="BO53" s="32">
        <f>SUM(L53:O53)</f>
        <v>33.819000000000003</v>
      </c>
      <c r="BP53" s="32">
        <f>SUM(P53:S53)</f>
        <v>38.178000000000004</v>
      </c>
      <c r="BQ53" s="32">
        <f>SUM(T53:W53)</f>
        <v>24.239999999999995</v>
      </c>
      <c r="BR53" s="32">
        <f>SUM(X53:AA53)</f>
        <v>26.61</v>
      </c>
      <c r="BS53" s="32">
        <f>SUM(AB53:AE53)</f>
        <v>27.66</v>
      </c>
      <c r="BT53" s="32">
        <f>SUM(AF53:AI53)</f>
        <v>27.058</v>
      </c>
      <c r="BU53" s="32">
        <f>SUM(AJ53:AM53)</f>
        <v>27.53</v>
      </c>
      <c r="BV53" s="32">
        <f>SUM(AN53:AQ53)</f>
        <v>26.759</v>
      </c>
      <c r="BW53" s="32">
        <f>SUM(AR53:AU53)</f>
        <v>7.2610000000000001</v>
      </c>
      <c r="BX53" s="32">
        <f>SUM(AV53:AY53)</f>
        <v>0</v>
      </c>
      <c r="BY53" s="32">
        <f>SUM(AZ53:BC53)</f>
        <v>0</v>
      </c>
      <c r="BZ53" s="32">
        <f>SUM(BD53:BG53)</f>
        <v>0</v>
      </c>
      <c r="CA53" s="33">
        <f>SUM(BH53:BK53)</f>
        <v>0</v>
      </c>
      <c r="CB53" s="34"/>
      <c r="CC53" s="32"/>
      <c r="CD53" s="32"/>
      <c r="CE53" s="24"/>
      <c r="CF53" s="34">
        <f>SUM(F53:I53)</f>
        <v>76.209000000000003</v>
      </c>
      <c r="CG53" s="32">
        <f>SUM(J53:M53)</f>
        <v>26.401999999999994</v>
      </c>
      <c r="CH53" s="32">
        <f>SUM(N53:Q53)</f>
        <v>39.277000000000001</v>
      </c>
      <c r="CI53" s="32">
        <f>SUM(R53:U53)</f>
        <v>23.564999999999998</v>
      </c>
      <c r="CJ53" s="32">
        <f>SUM(V53:Y53)</f>
        <v>26.956</v>
      </c>
      <c r="CK53" s="32">
        <f>SUM(Z53:AC53)</f>
        <v>26.433</v>
      </c>
      <c r="CL53" s="32">
        <f>SUM(AD53:AG53)</f>
        <v>28.048000000000002</v>
      </c>
      <c r="CM53" s="32">
        <f>SUM(AH53:AK53)</f>
        <v>26.256</v>
      </c>
      <c r="CN53" s="32">
        <f>SUM(AL53:AO53)</f>
        <v>27.952000000000002</v>
      </c>
      <c r="CO53" s="32">
        <f>SUM(AP53:AS53)</f>
        <v>20.192</v>
      </c>
      <c r="CP53" s="32">
        <f>SUM(AT53:AW53)</f>
        <v>0</v>
      </c>
      <c r="CQ53" s="32">
        <f>SUM(AX53:BA53)</f>
        <v>0</v>
      </c>
      <c r="CR53" s="32">
        <f>SUM(BB53:BE53)</f>
        <v>0</v>
      </c>
      <c r="CS53" s="33">
        <f>SUM(BF53:BI53)</f>
        <v>0</v>
      </c>
      <c r="CT53" s="32"/>
      <c r="CU53"/>
      <c r="CV53"/>
      <c r="CW53"/>
      <c r="CX53"/>
      <c r="CY53"/>
      <c r="CZ53"/>
    </row>
    <row r="54" spans="1:104" s="396" customFormat="1" ht="14.25" hidden="1" customHeight="1" outlineLevel="1">
      <c r="A54" s="11"/>
      <c r="B54" s="28" t="s">
        <v>300</v>
      </c>
      <c r="C54" s="29"/>
      <c r="D54" s="30">
        <v>0</v>
      </c>
      <c r="E54" s="30">
        <v>0</v>
      </c>
      <c r="F54" s="30">
        <v>0</v>
      </c>
      <c r="G54" s="31">
        <v>0</v>
      </c>
      <c r="H54" s="30">
        <v>0</v>
      </c>
      <c r="I54" s="30">
        <v>0</v>
      </c>
      <c r="J54" s="30">
        <v>0</v>
      </c>
      <c r="K54" s="31">
        <v>0</v>
      </c>
      <c r="L54" s="30">
        <v>0</v>
      </c>
      <c r="M54" s="30">
        <v>0</v>
      </c>
      <c r="N54" s="30">
        <v>0</v>
      </c>
      <c r="O54" s="31">
        <v>0</v>
      </c>
      <c r="P54" s="30">
        <v>0</v>
      </c>
      <c r="Q54" s="30">
        <v>0</v>
      </c>
      <c r="R54" s="30">
        <v>0</v>
      </c>
      <c r="S54" s="31">
        <v>0</v>
      </c>
      <c r="T54" s="30">
        <v>0</v>
      </c>
      <c r="U54" s="30">
        <v>0</v>
      </c>
      <c r="V54" s="30">
        <v>0</v>
      </c>
      <c r="W54" s="31">
        <v>0</v>
      </c>
      <c r="X54" s="30">
        <v>0</v>
      </c>
      <c r="Y54" s="30">
        <v>0</v>
      </c>
      <c r="Z54" s="30">
        <v>0</v>
      </c>
      <c r="AA54" s="31">
        <v>0</v>
      </c>
      <c r="AB54" s="30">
        <v>0</v>
      </c>
      <c r="AC54" s="30">
        <v>0</v>
      </c>
      <c r="AD54" s="30">
        <v>0</v>
      </c>
      <c r="AE54" s="31">
        <v>0</v>
      </c>
      <c r="AF54" s="30">
        <v>0</v>
      </c>
      <c r="AG54" s="30">
        <v>0</v>
      </c>
      <c r="AH54" s="30">
        <v>0</v>
      </c>
      <c r="AI54" s="31">
        <v>0</v>
      </c>
      <c r="AJ54" s="1255">
        <v>0</v>
      </c>
      <c r="AK54" s="30">
        <v>0</v>
      </c>
      <c r="AL54" s="30">
        <v>0</v>
      </c>
      <c r="AM54" s="375">
        <v>0</v>
      </c>
      <c r="AN54" s="1255">
        <v>0</v>
      </c>
      <c r="AO54" s="30">
        <v>0</v>
      </c>
      <c r="AP54" s="30">
        <v>0</v>
      </c>
      <c r="AQ54" s="375">
        <v>0</v>
      </c>
      <c r="AR54" s="1255">
        <v>0</v>
      </c>
      <c r="AS54" s="30">
        <v>0</v>
      </c>
      <c r="AT54" s="30">
        <v>0</v>
      </c>
      <c r="AU54" s="374">
        <v>0</v>
      </c>
      <c r="AV54" s="1255">
        <v>0</v>
      </c>
      <c r="AW54" s="30">
        <v>0</v>
      </c>
      <c r="AX54" s="30">
        <v>0</v>
      </c>
      <c r="AY54" s="374">
        <v>0</v>
      </c>
      <c r="AZ54" s="1255">
        <v>0</v>
      </c>
      <c r="BA54" s="30">
        <v>0</v>
      </c>
      <c r="BB54" s="30">
        <v>0</v>
      </c>
      <c r="BC54" s="33">
        <v>0</v>
      </c>
      <c r="BD54" s="34">
        <v>0</v>
      </c>
      <c r="BE54" s="32">
        <v>0</v>
      </c>
      <c r="BF54" s="32">
        <v>0</v>
      </c>
      <c r="BG54" s="33">
        <v>0</v>
      </c>
      <c r="BH54" s="34">
        <v>0</v>
      </c>
      <c r="BI54" s="32">
        <v>0</v>
      </c>
      <c r="BJ54" s="32">
        <v>0</v>
      </c>
      <c r="BK54" s="33">
        <v>0</v>
      </c>
      <c r="BL54" s="185"/>
      <c r="BM54" s="32">
        <f>SUM(D54:G54)</f>
        <v>0</v>
      </c>
      <c r="BN54" s="32">
        <f>SUM(H54:K54)</f>
        <v>0</v>
      </c>
      <c r="BO54" s="32">
        <f>SUM(L54:O54)</f>
        <v>0</v>
      </c>
      <c r="BP54" s="32">
        <f>SUM(P54:S54)</f>
        <v>0</v>
      </c>
      <c r="BQ54" s="32">
        <f>SUM(T54:W54)</f>
        <v>0</v>
      </c>
      <c r="BR54" s="32">
        <f>SUM(X54:AA54)</f>
        <v>0</v>
      </c>
      <c r="BS54" s="32">
        <f>SUM(AB54:AE54)</f>
        <v>0</v>
      </c>
      <c r="BT54" s="32">
        <f>SUM(AF54:AI54)</f>
        <v>0</v>
      </c>
      <c r="BU54" s="32">
        <f>SUM(AJ54:AM54)</f>
        <v>0</v>
      </c>
      <c r="BV54" s="32">
        <f>SUM(AN54:AQ54)</f>
        <v>0</v>
      </c>
      <c r="BW54" s="32">
        <f>SUM(AR54:AU54)</f>
        <v>0</v>
      </c>
      <c r="BX54" s="32">
        <f>SUM(AV54:AY54)</f>
        <v>0</v>
      </c>
      <c r="BY54" s="32">
        <f>SUM(AZ54:BC54)</f>
        <v>0</v>
      </c>
      <c r="BZ54" s="32">
        <f>SUM(BD54:BG54)</f>
        <v>0</v>
      </c>
      <c r="CA54" s="33">
        <f>SUM(BH54:BK54)</f>
        <v>0</v>
      </c>
      <c r="CB54" s="34"/>
      <c r="CC54" s="32"/>
      <c r="CD54" s="32"/>
      <c r="CE54" s="24"/>
      <c r="CF54" s="34">
        <f>SUM(F54:I54)</f>
        <v>0</v>
      </c>
      <c r="CG54" s="32">
        <f>SUM(J54:M54)</f>
        <v>0</v>
      </c>
      <c r="CH54" s="32">
        <f>SUM(N54:Q54)</f>
        <v>0</v>
      </c>
      <c r="CI54" s="32">
        <f>SUM(R54:U54)</f>
        <v>0</v>
      </c>
      <c r="CJ54" s="32">
        <f>SUM(V54:Y54)</f>
        <v>0</v>
      </c>
      <c r="CK54" s="32">
        <f>SUM(Z54:AC54)</f>
        <v>0</v>
      </c>
      <c r="CL54" s="32">
        <f>SUM(AD54:AG54)</f>
        <v>0</v>
      </c>
      <c r="CM54" s="32">
        <f>SUM(AH54:AK54)</f>
        <v>0</v>
      </c>
      <c r="CN54" s="32">
        <f>SUM(AL54:AO54)</f>
        <v>0</v>
      </c>
      <c r="CO54" s="32">
        <f>SUM(AP54:AS54)</f>
        <v>0</v>
      </c>
      <c r="CP54" s="32">
        <f>SUM(AT54:AW54)</f>
        <v>0</v>
      </c>
      <c r="CQ54" s="32">
        <f>SUM(AX54:BA54)</f>
        <v>0</v>
      </c>
      <c r="CR54" s="32">
        <f>SUM(BB54:BE54)</f>
        <v>0</v>
      </c>
      <c r="CS54" s="33">
        <f>SUM(BF54:BI54)</f>
        <v>0</v>
      </c>
      <c r="CT54" s="32"/>
      <c r="CU54"/>
      <c r="CV54"/>
      <c r="CW54"/>
      <c r="CX54"/>
      <c r="CY54"/>
      <c r="CZ54"/>
    </row>
    <row r="55" spans="1:104" s="396" customFormat="1" ht="14.25" hidden="1" customHeight="1" outlineLevel="1">
      <c r="A55" s="11"/>
      <c r="B55" s="28" t="s">
        <v>301</v>
      </c>
      <c r="C55" s="29"/>
      <c r="D55" s="30">
        <v>0</v>
      </c>
      <c r="E55" s="30">
        <v>0</v>
      </c>
      <c r="F55" s="30">
        <v>0</v>
      </c>
      <c r="G55" s="31">
        <v>0</v>
      </c>
      <c r="H55" s="30">
        <v>0</v>
      </c>
      <c r="I55" s="30">
        <v>0</v>
      </c>
      <c r="J55" s="30">
        <v>0</v>
      </c>
      <c r="K55" s="31">
        <v>0</v>
      </c>
      <c r="L55" s="30">
        <v>0</v>
      </c>
      <c r="M55" s="30">
        <v>0</v>
      </c>
      <c r="N55" s="30">
        <v>0</v>
      </c>
      <c r="O55" s="31">
        <v>0</v>
      </c>
      <c r="P55" s="30">
        <v>0</v>
      </c>
      <c r="Q55" s="30">
        <v>0</v>
      </c>
      <c r="R55" s="30">
        <v>0</v>
      </c>
      <c r="S55" s="31">
        <v>0</v>
      </c>
      <c r="T55" s="30">
        <v>0</v>
      </c>
      <c r="U55" s="30">
        <v>0</v>
      </c>
      <c r="V55" s="30">
        <v>0</v>
      </c>
      <c r="W55" s="31">
        <v>0</v>
      </c>
      <c r="X55" s="30">
        <v>0</v>
      </c>
      <c r="Y55" s="30">
        <v>0</v>
      </c>
      <c r="Z55" s="30">
        <v>0</v>
      </c>
      <c r="AA55" s="31">
        <v>0</v>
      </c>
      <c r="AB55" s="30">
        <f>AA55</f>
        <v>0</v>
      </c>
      <c r="AC55" s="30">
        <v>0</v>
      </c>
      <c r="AD55" s="30">
        <v>0</v>
      </c>
      <c r="AE55" s="33">
        <f>AD55</f>
        <v>0</v>
      </c>
      <c r="AF55" s="32">
        <f>AE55</f>
        <v>0</v>
      </c>
      <c r="AG55" s="32">
        <v>0</v>
      </c>
      <c r="AH55" s="32">
        <v>0</v>
      </c>
      <c r="AI55" s="33">
        <f>AH55</f>
        <v>0</v>
      </c>
      <c r="AJ55" s="34">
        <f>AI55</f>
        <v>0</v>
      </c>
      <c r="AK55" s="32">
        <v>0</v>
      </c>
      <c r="AL55" s="32">
        <v>0</v>
      </c>
      <c r="AM55" s="375">
        <f>AL55</f>
        <v>0</v>
      </c>
      <c r="AN55" s="34">
        <f>AM55</f>
        <v>0</v>
      </c>
      <c r="AO55" s="32">
        <v>0</v>
      </c>
      <c r="AP55" s="32">
        <v>0</v>
      </c>
      <c r="AQ55" s="375">
        <f>AP55</f>
        <v>0</v>
      </c>
      <c r="AR55" s="34">
        <f>AQ55</f>
        <v>0</v>
      </c>
      <c r="AS55" s="32">
        <v>0</v>
      </c>
      <c r="AT55" s="32">
        <v>0</v>
      </c>
      <c r="AU55" s="374">
        <v>0</v>
      </c>
      <c r="AV55" s="34">
        <f>AU55</f>
        <v>0</v>
      </c>
      <c r="AW55" s="32">
        <v>0</v>
      </c>
      <c r="AX55" s="32">
        <v>0</v>
      </c>
      <c r="AY55" s="374">
        <v>0</v>
      </c>
      <c r="AZ55" s="34">
        <f>AY55</f>
        <v>0</v>
      </c>
      <c r="BA55" s="32">
        <v>0</v>
      </c>
      <c r="BB55" s="32">
        <v>0</v>
      </c>
      <c r="BC55" s="33">
        <f t="shared" ref="BC55:BG55" si="212">BB55</f>
        <v>0</v>
      </c>
      <c r="BD55" s="34">
        <f t="shared" si="212"/>
        <v>0</v>
      </c>
      <c r="BE55" s="32">
        <f t="shared" si="212"/>
        <v>0</v>
      </c>
      <c r="BF55" s="32">
        <f t="shared" si="212"/>
        <v>0</v>
      </c>
      <c r="BG55" s="33">
        <f t="shared" si="212"/>
        <v>0</v>
      </c>
      <c r="BH55" s="34">
        <f>BG55</f>
        <v>0</v>
      </c>
      <c r="BI55" s="32">
        <f>BH55</f>
        <v>0</v>
      </c>
      <c r="BJ55" s="32">
        <f>BI55</f>
        <v>0</v>
      </c>
      <c r="BK55" s="33">
        <f>BJ55</f>
        <v>0</v>
      </c>
      <c r="BL55" s="185"/>
      <c r="BM55" s="32">
        <f>SUM(D55:G55)</f>
        <v>0</v>
      </c>
      <c r="BN55" s="32">
        <f>SUM(H55:K55)</f>
        <v>0</v>
      </c>
      <c r="BO55" s="32">
        <f>SUM(L55:O55)</f>
        <v>0</v>
      </c>
      <c r="BP55" s="32">
        <f>SUM(P55:S55)</f>
        <v>0</v>
      </c>
      <c r="BQ55" s="32">
        <f>SUM(T55:W55)</f>
        <v>0</v>
      </c>
      <c r="BR55" s="32">
        <f>SUM(X55:AA55)</f>
        <v>0</v>
      </c>
      <c r="BS55" s="32">
        <f>SUM(AB55:AE55)</f>
        <v>0</v>
      </c>
      <c r="BT55" s="32">
        <f>SUM(AF55:AI55)</f>
        <v>0</v>
      </c>
      <c r="BU55" s="32">
        <f>SUM(AJ55:AM55)</f>
        <v>0</v>
      </c>
      <c r="BV55" s="32">
        <f>SUM(AN55:AQ55)</f>
        <v>0</v>
      </c>
      <c r="BW55" s="32">
        <f>SUM(AR55:AU55)</f>
        <v>0</v>
      </c>
      <c r="BX55" s="32">
        <f>SUM(AV55:AY55)</f>
        <v>0</v>
      </c>
      <c r="BY55" s="32">
        <f>SUM(AZ55:BC55)</f>
        <v>0</v>
      </c>
      <c r="BZ55" s="32">
        <f>SUM(BD55:BG55)</f>
        <v>0</v>
      </c>
      <c r="CA55" s="33">
        <f>SUM(BH55:BK55)</f>
        <v>0</v>
      </c>
      <c r="CB55" s="34"/>
      <c r="CC55" s="32"/>
      <c r="CD55" s="32"/>
      <c r="CE55" s="24"/>
      <c r="CF55" s="34">
        <f>SUM(F55:I55)</f>
        <v>0</v>
      </c>
      <c r="CG55" s="32">
        <f>SUM(J55:M55)</f>
        <v>0</v>
      </c>
      <c r="CH55" s="32">
        <f>SUM(N55:Q55)</f>
        <v>0</v>
      </c>
      <c r="CI55" s="32">
        <f>SUM(R55:U55)</f>
        <v>0</v>
      </c>
      <c r="CJ55" s="32">
        <f>SUM(V55:Y55)</f>
        <v>0</v>
      </c>
      <c r="CK55" s="32">
        <f>SUM(Z55:AC55)</f>
        <v>0</v>
      </c>
      <c r="CL55" s="32">
        <f>SUM(AD55:AG55)</f>
        <v>0</v>
      </c>
      <c r="CM55" s="32">
        <f>SUM(AH55:AK55)</f>
        <v>0</v>
      </c>
      <c r="CN55" s="32">
        <f>SUM(AL55:AO55)</f>
        <v>0</v>
      </c>
      <c r="CO55" s="32">
        <f>SUM(AP55:AS55)</f>
        <v>0</v>
      </c>
      <c r="CP55" s="32">
        <f>SUM(AT55:AW55)</f>
        <v>0</v>
      </c>
      <c r="CQ55" s="32">
        <f>SUM(AX55:BA55)</f>
        <v>0</v>
      </c>
      <c r="CR55" s="32">
        <f>SUM(BB55:BE55)</f>
        <v>0</v>
      </c>
      <c r="CS55" s="33">
        <f>SUM(BF55:BI55)</f>
        <v>0</v>
      </c>
      <c r="CT55" s="32"/>
      <c r="CU55"/>
      <c r="CV55"/>
      <c r="CW55"/>
      <c r="CX55"/>
      <c r="CY55"/>
      <c r="CZ55"/>
    </row>
    <row r="56" spans="1:104" s="396" customFormat="1" ht="14.25" hidden="1" customHeight="1" outlineLevel="1">
      <c r="A56" s="11"/>
      <c r="B56" s="23" t="s">
        <v>314</v>
      </c>
      <c r="C56" s="24"/>
      <c r="D56" s="32">
        <f t="shared" ref="D56:W56" si="213">D50-D53-D54-D55</f>
        <v>25.451000000000001</v>
      </c>
      <c r="E56" s="32">
        <f t="shared" si="213"/>
        <v>24.233999999999998</v>
      </c>
      <c r="F56" s="32">
        <f t="shared" si="213"/>
        <v>26.339999999999996</v>
      </c>
      <c r="G56" s="33">
        <f t="shared" si="213"/>
        <v>51.789000000000009</v>
      </c>
      <c r="H56" s="32">
        <f t="shared" si="213"/>
        <v>31.491</v>
      </c>
      <c r="I56" s="32">
        <f t="shared" si="213"/>
        <v>31.313000000000002</v>
      </c>
      <c r="J56" s="32">
        <f t="shared" si="213"/>
        <v>43.972000000000001</v>
      </c>
      <c r="K56" s="33">
        <f t="shared" si="213"/>
        <v>8.652000000000001</v>
      </c>
      <c r="L56" s="32">
        <f t="shared" si="213"/>
        <v>30.275000000000006</v>
      </c>
      <c r="M56" s="32">
        <f t="shared" si="213"/>
        <v>34.387</v>
      </c>
      <c r="N56" s="32">
        <f t="shared" si="213"/>
        <v>33.136000000000003</v>
      </c>
      <c r="O56" s="33">
        <f t="shared" si="213"/>
        <v>32.469000000000008</v>
      </c>
      <c r="P56" s="32">
        <f t="shared" si="213"/>
        <v>34.021000000000001</v>
      </c>
      <c r="Q56" s="32">
        <f t="shared" si="213"/>
        <v>44.451999999999998</v>
      </c>
      <c r="R56" s="32">
        <f t="shared" si="213"/>
        <v>41.914999999999999</v>
      </c>
      <c r="S56" s="33">
        <f t="shared" si="213"/>
        <v>43.100999999999999</v>
      </c>
      <c r="T56" s="32">
        <f t="shared" si="213"/>
        <v>49.233000000000004</v>
      </c>
      <c r="U56" s="32">
        <f t="shared" si="213"/>
        <v>52.793999999999997</v>
      </c>
      <c r="V56" s="32">
        <f t="shared" si="213"/>
        <v>55.976999999999997</v>
      </c>
      <c r="W56" s="33">
        <f t="shared" si="213"/>
        <v>59.904999999999994</v>
      </c>
      <c r="X56" s="32">
        <f t="shared" ref="X56:AE56" si="214">X50-X53-X54-X55</f>
        <v>64.960999999999999</v>
      </c>
      <c r="Y56" s="32">
        <f t="shared" si="214"/>
        <v>65.381999999999991</v>
      </c>
      <c r="Z56" s="32">
        <f t="shared" si="214"/>
        <v>67.468000000000004</v>
      </c>
      <c r="AA56" s="33">
        <f t="shared" si="214"/>
        <v>68.073000000000008</v>
      </c>
      <c r="AB56" s="32">
        <f t="shared" si="214"/>
        <v>75.509</v>
      </c>
      <c r="AC56" s="32">
        <f t="shared" si="214"/>
        <v>73.952999999999989</v>
      </c>
      <c r="AD56" s="32">
        <f t="shared" si="214"/>
        <v>70.619</v>
      </c>
      <c r="AE56" s="33">
        <f t="shared" si="214"/>
        <v>73.532000000000011</v>
      </c>
      <c r="AF56" s="32">
        <f>AE56*1.025</f>
        <v>75.3703</v>
      </c>
      <c r="AG56" s="32">
        <f>AG50-AG53-AG54-AG55</f>
        <v>73.036000000000001</v>
      </c>
      <c r="AH56" s="32">
        <f>AH50-AH53-AH54-AH55</f>
        <v>75.431999999999988</v>
      </c>
      <c r="AI56" s="33">
        <f>AI50-AI53-AI54-AI55</f>
        <v>75.754999999999995</v>
      </c>
      <c r="AJ56" s="34">
        <f>AI56*1.025</f>
        <v>77.64887499999999</v>
      </c>
      <c r="AK56" s="32">
        <f>AK50-AK53-AK54-AK55</f>
        <v>76.465000000000003</v>
      </c>
      <c r="AL56" s="32">
        <f>AL50-AL53-AL54-AL55</f>
        <v>73.440000000000012</v>
      </c>
      <c r="AM56" s="375">
        <f>AM50-AM53-AM54-AM55</f>
        <v>76.269000000000005</v>
      </c>
      <c r="AN56" s="34">
        <f>AM56*1.025</f>
        <v>78.175725</v>
      </c>
      <c r="AO56" s="32">
        <f>AO50-AO53-AO54-AO55</f>
        <v>73.211000000000013</v>
      </c>
      <c r="AP56" s="32">
        <f>AP50-AP53-AP54-AP55</f>
        <v>69.719000000000008</v>
      </c>
      <c r="AQ56" s="375">
        <f>AQ50-AQ53-AQ54-AQ55</f>
        <v>65.647999999999996</v>
      </c>
      <c r="AR56" s="34">
        <f>AQ56*1.025</f>
        <v>67.289199999999994</v>
      </c>
      <c r="AS56" s="32">
        <f t="shared" ref="AS56:BC56" si="215">AS50-AS53-AS54-AS55</f>
        <v>73.643000000000001</v>
      </c>
      <c r="AT56" s="32">
        <f t="shared" si="215"/>
        <v>71.778000000000006</v>
      </c>
      <c r="AU56" s="374">
        <f t="shared" si="215"/>
        <v>71.483000000000004</v>
      </c>
      <c r="AV56" s="34">
        <f>AU56*1.025</f>
        <v>73.270074999999991</v>
      </c>
      <c r="AW56" s="32">
        <f t="shared" ref="AW56:BB56" si="216">AW50-AW53-AW54-AW55</f>
        <v>71.543000000000006</v>
      </c>
      <c r="AX56" s="32">
        <f t="shared" si="216"/>
        <v>73.986999999999995</v>
      </c>
      <c r="AY56" s="374">
        <f t="shared" si="216"/>
        <v>75.129000000000005</v>
      </c>
      <c r="AZ56" s="34">
        <f t="shared" si="216"/>
        <v>73.680999999999997</v>
      </c>
      <c r="BA56" s="32">
        <f t="shared" si="216"/>
        <v>85.322999999999993</v>
      </c>
      <c r="BB56" s="32">
        <f t="shared" si="216"/>
        <v>81.304000000000002</v>
      </c>
      <c r="BC56" s="33">
        <f t="shared" si="215"/>
        <v>80.834875920000002</v>
      </c>
      <c r="BD56" s="34">
        <f t="shared" ref="BD56:BK56" si="217">BD50-BD53-BD54-BD55</f>
        <v>82.822057949258181</v>
      </c>
      <c r="BE56" s="32">
        <f t="shared" si="217"/>
        <v>82.876348646015558</v>
      </c>
      <c r="BF56" s="32">
        <f t="shared" si="217"/>
        <v>82.876348646015558</v>
      </c>
      <c r="BG56" s="33">
        <f t="shared" si="217"/>
        <v>82.876348646015558</v>
      </c>
      <c r="BH56" s="34">
        <f t="shared" si="217"/>
        <v>82.410896434903549</v>
      </c>
      <c r="BI56" s="32">
        <f t="shared" si="217"/>
        <v>82.388741299126409</v>
      </c>
      <c r="BJ56" s="32">
        <f t="shared" si="217"/>
        <v>83.561715547498835</v>
      </c>
      <c r="BK56" s="33">
        <f t="shared" si="217"/>
        <v>84.339279331075076</v>
      </c>
      <c r="BL56" s="185"/>
      <c r="BM56" s="32">
        <f t="shared" ref="BM56:BR56" si="218">BM50-BM53-BM54-BM55</f>
        <v>127.81399999999999</v>
      </c>
      <c r="BN56" s="32">
        <f t="shared" si="218"/>
        <v>115.428</v>
      </c>
      <c r="BO56" s="32">
        <f t="shared" si="218"/>
        <v>130.267</v>
      </c>
      <c r="BP56" s="32">
        <f t="shared" si="218"/>
        <v>163.48899999999998</v>
      </c>
      <c r="BQ56" s="32">
        <f t="shared" si="218"/>
        <v>217.90899999999999</v>
      </c>
      <c r="BR56" s="32">
        <f t="shared" si="218"/>
        <v>265.88400000000001</v>
      </c>
      <c r="BS56" s="32">
        <f t="shared" ref="BS56:CA56" si="219">BS50-BS53-BS54-BS55</f>
        <v>293.61299999999994</v>
      </c>
      <c r="BT56" s="32">
        <f t="shared" si="219"/>
        <v>297.22400000000005</v>
      </c>
      <c r="BU56" s="32">
        <f t="shared" si="219"/>
        <v>297.20400000000006</v>
      </c>
      <c r="BV56" s="32">
        <f t="shared" si="219"/>
        <v>281.21499999999997</v>
      </c>
      <c r="BW56" s="32">
        <f t="shared" si="219"/>
        <v>281.63799999999998</v>
      </c>
      <c r="BX56" s="32">
        <f t="shared" si="219"/>
        <v>291.51100000000002</v>
      </c>
      <c r="BY56" s="32">
        <f t="shared" si="219"/>
        <v>321.14287591999999</v>
      </c>
      <c r="BZ56" s="32">
        <f t="shared" si="219"/>
        <v>331.4511038873049</v>
      </c>
      <c r="CA56" s="33">
        <f t="shared" si="219"/>
        <v>332.70063261260384</v>
      </c>
      <c r="CB56" s="34"/>
      <c r="CC56" s="32"/>
      <c r="CD56" s="32"/>
      <c r="CE56" s="24"/>
      <c r="CF56" s="34">
        <f t="shared" ref="CF56:CL56" si="220">CF50-CF53-CF54-CF55</f>
        <v>140.93299999999999</v>
      </c>
      <c r="CG56" s="32">
        <f t="shared" si="220"/>
        <v>117.286</v>
      </c>
      <c r="CH56" s="32">
        <f t="shared" si="220"/>
        <v>144.07800000000003</v>
      </c>
      <c r="CI56" s="32">
        <f t="shared" si="220"/>
        <v>187.04300000000001</v>
      </c>
      <c r="CJ56" s="32">
        <f t="shared" si="220"/>
        <v>246.22499999999999</v>
      </c>
      <c r="CK56" s="32">
        <f t="shared" si="220"/>
        <v>285.00300000000004</v>
      </c>
      <c r="CL56" s="32">
        <f t="shared" si="220"/>
        <v>290.18799999999999</v>
      </c>
      <c r="CM56" s="32">
        <f t="shared" ref="CM56:CR56" si="221">CM50-CM53-CM54-CM55</f>
        <v>298.68200000000002</v>
      </c>
      <c r="CN56" s="32">
        <f t="shared" si="221"/>
        <v>295.55700000000002</v>
      </c>
      <c r="CO56" s="32">
        <f t="shared" si="221"/>
        <v>273.74400000000003</v>
      </c>
      <c r="CP56" s="32">
        <f t="shared" si="221"/>
        <v>285.65600000000006</v>
      </c>
      <c r="CQ56" s="32">
        <f t="shared" si="221"/>
        <v>308.11999999999995</v>
      </c>
      <c r="CR56" s="32">
        <f t="shared" si="221"/>
        <v>327.83728251527373</v>
      </c>
      <c r="CS56" s="33">
        <f>CS50-CS53-CS54-CS55</f>
        <v>330.55233502606109</v>
      </c>
      <c r="CT56" s="32"/>
      <c r="CU56"/>
      <c r="CV56"/>
      <c r="CW56"/>
      <c r="CX56"/>
      <c r="CY56"/>
      <c r="CZ56"/>
    </row>
    <row r="57" spans="1:104" s="396" customFormat="1" ht="14.25" hidden="1" customHeight="1" outlineLevel="1">
      <c r="A57" s="11"/>
      <c r="B57" s="35" t="s">
        <v>298</v>
      </c>
      <c r="C57" s="36"/>
      <c r="D57" s="37">
        <f t="shared" ref="D57:AU57" si="222">D56/D17</f>
        <v>6.0012497199919829E-2</v>
      </c>
      <c r="E57" s="37">
        <f t="shared" si="222"/>
        <v>5.4394864428084035E-2</v>
      </c>
      <c r="F57" s="37">
        <f t="shared" si="222"/>
        <v>5.5085011606750729E-2</v>
      </c>
      <c r="G57" s="38">
        <f t="shared" si="222"/>
        <v>0.10171458873438609</v>
      </c>
      <c r="H57" s="37">
        <f t="shared" si="222"/>
        <v>6.2638116739102329E-2</v>
      </c>
      <c r="I57" s="37">
        <f t="shared" si="222"/>
        <v>6.2946650236303733E-2</v>
      </c>
      <c r="J57" s="37">
        <f t="shared" si="222"/>
        <v>9.227037326148449E-2</v>
      </c>
      <c r="K57" s="38">
        <f t="shared" si="222"/>
        <v>1.6251854912936493E-2</v>
      </c>
      <c r="L57" s="37">
        <f t="shared" si="222"/>
        <v>5.7767787803793699E-2</v>
      </c>
      <c r="M57" s="37">
        <f t="shared" si="222"/>
        <v>6.3676681635109492E-2</v>
      </c>
      <c r="N57" s="37">
        <f t="shared" si="222"/>
        <v>6.7983832912742861E-2</v>
      </c>
      <c r="O57" s="38">
        <f t="shared" si="222"/>
        <v>6.4773863031079265E-2</v>
      </c>
      <c r="P57" s="37">
        <f t="shared" si="222"/>
        <v>6.7878548455319584E-2</v>
      </c>
      <c r="Q57" s="37">
        <f t="shared" si="222"/>
        <v>0.10824131003835148</v>
      </c>
      <c r="R57" s="37">
        <f t="shared" si="222"/>
        <v>0.12340099804218861</v>
      </c>
      <c r="S57" s="38">
        <f t="shared" si="222"/>
        <v>0.10926278484349922</v>
      </c>
      <c r="T57" s="37">
        <f t="shared" si="222"/>
        <v>0.10959029128806935</v>
      </c>
      <c r="U57" s="37">
        <f t="shared" si="222"/>
        <v>0.11149382807302831</v>
      </c>
      <c r="V57" s="37">
        <f t="shared" si="222"/>
        <v>0.11000039301996541</v>
      </c>
      <c r="W57" s="38">
        <f t="shared" si="222"/>
        <v>0.10584632890547421</v>
      </c>
      <c r="X57" s="37">
        <f t="shared" si="222"/>
        <v>0.10374852868133114</v>
      </c>
      <c r="Y57" s="37">
        <f t="shared" si="222"/>
        <v>0.10667019068875051</v>
      </c>
      <c r="Z57" s="37">
        <f t="shared" si="222"/>
        <v>0.11119113345144412</v>
      </c>
      <c r="AA57" s="38">
        <f t="shared" si="222"/>
        <v>0.10865758646173695</v>
      </c>
      <c r="AB57" s="37">
        <f t="shared" si="222"/>
        <v>0.1187244694199075</v>
      </c>
      <c r="AC57" s="37">
        <f t="shared" si="222"/>
        <v>0.12505601504331545</v>
      </c>
      <c r="AD57" s="37">
        <f t="shared" si="222"/>
        <v>0.12363010581010203</v>
      </c>
      <c r="AE57" s="38">
        <f t="shared" si="222"/>
        <v>0.12154933581946457</v>
      </c>
      <c r="AF57" s="37">
        <f t="shared" si="222"/>
        <v>0.12096505236127271</v>
      </c>
      <c r="AG57" s="37">
        <f t="shared" si="222"/>
        <v>0.12065963330943356</v>
      </c>
      <c r="AH57" s="37">
        <f t="shared" si="222"/>
        <v>0.12470490209693096</v>
      </c>
      <c r="AI57" s="38">
        <f t="shared" si="222"/>
        <v>0.12455729586283325</v>
      </c>
      <c r="AJ57" s="39">
        <f t="shared" si="222"/>
        <v>0.13267846066834005</v>
      </c>
      <c r="AK57" s="37">
        <f t="shared" si="222"/>
        <v>0.12327616504963936</v>
      </c>
      <c r="AL57" s="37">
        <f t="shared" si="222"/>
        <v>0.12125194615647512</v>
      </c>
      <c r="AM57" s="38">
        <f t="shared" si="222"/>
        <v>0.11871271209260555</v>
      </c>
      <c r="AN57" s="39">
        <f t="shared" si="222"/>
        <v>0.13472185601654388</v>
      </c>
      <c r="AO57" s="37">
        <f t="shared" si="222"/>
        <v>0.12916343953606949</v>
      </c>
      <c r="AP57" s="37">
        <f t="shared" si="222"/>
        <v>0.12077510597422667</v>
      </c>
      <c r="AQ57" s="38">
        <f t="shared" si="222"/>
        <v>0.11269714016929977</v>
      </c>
      <c r="AR57" s="39">
        <f>AR56/AR17</f>
        <v>0.1196231178112389</v>
      </c>
      <c r="AS57" s="37">
        <f>AS56/AS17</f>
        <v>0.14416313810242526</v>
      </c>
      <c r="AT57" s="37">
        <f>AT56/AT17</f>
        <v>0.12927103369280976</v>
      </c>
      <c r="AU57" s="37">
        <f t="shared" si="222"/>
        <v>0.12626694410784881</v>
      </c>
      <c r="AV57" s="39">
        <f t="shared" ref="AV57:BA57" si="223">AV56/AV17</f>
        <v>0.13051406671939236</v>
      </c>
      <c r="AW57" s="37">
        <f t="shared" si="223"/>
        <v>0.12984257656107645</v>
      </c>
      <c r="AX57" s="37">
        <f t="shared" si="223"/>
        <v>0.12729690855034961</v>
      </c>
      <c r="AY57" s="37">
        <f t="shared" si="223"/>
        <v>0.12479796679429574</v>
      </c>
      <c r="AZ57" s="39">
        <f t="shared" si="223"/>
        <v>0.12799039737630194</v>
      </c>
      <c r="BA57" s="37">
        <f t="shared" si="223"/>
        <v>0.13703490155580217</v>
      </c>
      <c r="BB57" s="37">
        <f t="shared" ref="BB57" si="224">BB56/BB17</f>
        <v>0.1253532614142174</v>
      </c>
      <c r="BC57" s="38">
        <f t="shared" ref="BC57:BG57" si="225">BC56/BC17</f>
        <v>0.12833236173182039</v>
      </c>
      <c r="BD57" s="39">
        <f t="shared" si="225"/>
        <v>0.13480102937247734</v>
      </c>
      <c r="BE57" s="37">
        <f t="shared" si="225"/>
        <v>0.13463723261684643</v>
      </c>
      <c r="BF57" s="37">
        <f t="shared" si="225"/>
        <v>0.12794817367414138</v>
      </c>
      <c r="BG57" s="38">
        <f t="shared" si="225"/>
        <v>0.12660923005143074</v>
      </c>
      <c r="BH57" s="39">
        <f>BH56/BH17</f>
        <v>0.12795131662279921</v>
      </c>
      <c r="BI57" s="37">
        <f>BI56/BI17</f>
        <v>0.12801524792667515</v>
      </c>
      <c r="BJ57" s="37">
        <f>BJ56/BJ17</f>
        <v>0.12476279121791158</v>
      </c>
      <c r="BK57" s="38">
        <f>BK56/BK17</f>
        <v>0.12266257727957061</v>
      </c>
      <c r="BL57" s="185"/>
      <c r="BM57" s="37">
        <f t="shared" ref="BM57:BX57" si="226">BM56/BM17</f>
        <v>6.8830256146520219E-2</v>
      </c>
      <c r="BN57" s="37">
        <f t="shared" si="226"/>
        <v>5.7451904412072131E-2</v>
      </c>
      <c r="BO57" s="37">
        <f t="shared" si="226"/>
        <v>6.345872895478967E-2</v>
      </c>
      <c r="BP57" s="37">
        <f t="shared" si="226"/>
        <v>9.9324125235796729E-2</v>
      </c>
      <c r="BQ57" s="37">
        <f t="shared" si="226"/>
        <v>0.10908523865853224</v>
      </c>
      <c r="BR57" s="37">
        <f t="shared" si="226"/>
        <v>0.10754341735221803</v>
      </c>
      <c r="BS57" s="37">
        <f t="shared" si="226"/>
        <v>0.12215912518634056</v>
      </c>
      <c r="BT57" s="37">
        <f t="shared" si="226"/>
        <v>0.12174032002994933</v>
      </c>
      <c r="BU57" s="37">
        <f t="shared" si="226"/>
        <v>0.12112665838788785</v>
      </c>
      <c r="BV57" s="37">
        <f t="shared" si="226"/>
        <v>0.12190358859473295</v>
      </c>
      <c r="BW57" s="37">
        <f t="shared" si="226"/>
        <v>0.12832531180529261</v>
      </c>
      <c r="BX57" s="37">
        <f t="shared" si="226"/>
        <v>0.12698601464095677</v>
      </c>
      <c r="BY57" s="37">
        <f>BY56/BY17</f>
        <v>0.1296604554677008</v>
      </c>
      <c r="BZ57" s="37">
        <f>BZ56/BZ17</f>
        <v>0.13089075929474711</v>
      </c>
      <c r="CA57" s="38">
        <f>CA56/CA17</f>
        <v>0.12578466292952861</v>
      </c>
      <c r="CB57" s="39"/>
      <c r="CC57" s="37"/>
      <c r="CD57" s="37"/>
      <c r="CE57" s="24"/>
      <c r="CF57" s="39">
        <f t="shared" ref="CF57:CP57" si="227">CF56/CF17</f>
        <v>7.0908686569447071E-2</v>
      </c>
      <c r="CG57" s="37">
        <f t="shared" si="227"/>
        <v>5.6577033060753519E-2</v>
      </c>
      <c r="CH57" s="37">
        <f t="shared" si="227"/>
        <v>7.580834240085535E-2</v>
      </c>
      <c r="CI57" s="37">
        <f t="shared" si="227"/>
        <v>0.11288752408870317</v>
      </c>
      <c r="CJ57" s="37">
        <f t="shared" si="227"/>
        <v>0.10641047194000475</v>
      </c>
      <c r="CK57" s="37">
        <f t="shared" si="227"/>
        <v>0.11582535670786352</v>
      </c>
      <c r="CL57" s="37">
        <f t="shared" si="227"/>
        <v>0.12068292224446248</v>
      </c>
      <c r="CM57" s="37">
        <f t="shared" si="227"/>
        <v>0.12349411413991525</v>
      </c>
      <c r="CN57" s="37">
        <f t="shared" si="227"/>
        <v>0.12339389253316589</v>
      </c>
      <c r="CO57" s="37">
        <f t="shared" si="227"/>
        <v>0.1225835948880513</v>
      </c>
      <c r="CP57" s="37">
        <f t="shared" si="227"/>
        <v>0.12788055361066397</v>
      </c>
      <c r="CQ57" s="37">
        <f>CQ56/CQ17</f>
        <v>0.12937879534787242</v>
      </c>
      <c r="CR57" s="37">
        <f>CR56/CR17</f>
        <v>0.13069363082719582</v>
      </c>
      <c r="CS57" s="38">
        <f>CS56/CS17</f>
        <v>0.12762722235327242</v>
      </c>
      <c r="CT57" s="37"/>
      <c r="CU57"/>
      <c r="CV57"/>
      <c r="CW57"/>
      <c r="CX57"/>
      <c r="CY57"/>
      <c r="CZ57"/>
    </row>
    <row r="58" spans="1:104" s="396" customFormat="1" ht="14.25" customHeight="1" collapsed="1">
      <c r="A58" s="11"/>
      <c r="B58" s="23" t="s">
        <v>205</v>
      </c>
      <c r="C58" s="24"/>
      <c r="D58" s="32">
        <f>D50-D54-D55</f>
        <v>37.451999999999998</v>
      </c>
      <c r="E58" s="32">
        <f>E50-E54-E55</f>
        <v>36.850999999999999</v>
      </c>
      <c r="F58" s="32">
        <f>F50-F54-F55</f>
        <v>39.890999999999998</v>
      </c>
      <c r="G58" s="33">
        <f>G50-G54-G55</f>
        <v>64.567000000000007</v>
      </c>
      <c r="H58" s="32">
        <f t="shared" ref="H58:W58" si="228">H50-H54-H55</f>
        <v>69.691000000000003</v>
      </c>
      <c r="I58" s="32">
        <f t="shared" si="228"/>
        <v>42.993000000000002</v>
      </c>
      <c r="J58" s="32">
        <f t="shared" si="228"/>
        <v>40.567</v>
      </c>
      <c r="K58" s="33">
        <f t="shared" si="228"/>
        <v>18.022999999999996</v>
      </c>
      <c r="L58" s="32">
        <f t="shared" si="228"/>
        <v>43.462000000000003</v>
      </c>
      <c r="M58" s="32">
        <f t="shared" si="228"/>
        <v>41.636000000000003</v>
      </c>
      <c r="N58" s="32">
        <f t="shared" si="228"/>
        <v>39.084000000000003</v>
      </c>
      <c r="O58" s="33">
        <f t="shared" si="228"/>
        <v>39.904000000000011</v>
      </c>
      <c r="P58" s="32">
        <f t="shared" si="228"/>
        <v>40.243000000000002</v>
      </c>
      <c r="Q58" s="32">
        <f t="shared" si="228"/>
        <v>64.123999999999995</v>
      </c>
      <c r="R58" s="32">
        <f t="shared" si="228"/>
        <v>48.76</v>
      </c>
      <c r="S58" s="33">
        <f t="shared" si="228"/>
        <v>48.54</v>
      </c>
      <c r="T58" s="32">
        <f t="shared" si="228"/>
        <v>53.496000000000002</v>
      </c>
      <c r="U58" s="32">
        <f t="shared" si="228"/>
        <v>59.811999999999998</v>
      </c>
      <c r="V58" s="32">
        <f t="shared" si="228"/>
        <v>61.494</v>
      </c>
      <c r="W58" s="33">
        <f t="shared" si="228"/>
        <v>67.346999999999994</v>
      </c>
      <c r="X58" s="32">
        <f t="shared" ref="X58:AH58" si="229">X50-X54-X55</f>
        <v>72.099999999999994</v>
      </c>
      <c r="Y58" s="32">
        <f t="shared" si="229"/>
        <v>72.239999999999995</v>
      </c>
      <c r="Z58" s="32">
        <f t="shared" si="229"/>
        <v>73.617000000000004</v>
      </c>
      <c r="AA58" s="33">
        <f t="shared" si="229"/>
        <v>74.537000000000006</v>
      </c>
      <c r="AB58" s="32">
        <f t="shared" si="229"/>
        <v>82.456000000000003</v>
      </c>
      <c r="AC58" s="32">
        <f t="shared" si="229"/>
        <v>80.825999999999993</v>
      </c>
      <c r="AD58" s="32">
        <f t="shared" si="229"/>
        <v>78.010999999999996</v>
      </c>
      <c r="AE58" s="33">
        <f t="shared" si="229"/>
        <v>79.98</v>
      </c>
      <c r="AF58" s="32">
        <f t="shared" si="229"/>
        <v>80.186999999999998</v>
      </c>
      <c r="AG58" s="32">
        <f t="shared" si="229"/>
        <v>80.058000000000007</v>
      </c>
      <c r="AH58" s="32">
        <f t="shared" si="229"/>
        <v>81.953999999999994</v>
      </c>
      <c r="AI58" s="33">
        <f t="shared" ref="AI58:AN58" si="230">AI50-AI54-AI55</f>
        <v>82.082999999999998</v>
      </c>
      <c r="AJ58" s="34">
        <f t="shared" si="230"/>
        <v>77.430000000000007</v>
      </c>
      <c r="AK58" s="32">
        <f t="shared" si="230"/>
        <v>83.471000000000004</v>
      </c>
      <c r="AL58" s="32">
        <f t="shared" si="230"/>
        <v>80.680000000000007</v>
      </c>
      <c r="AM58" s="375">
        <f t="shared" si="230"/>
        <v>83.153000000000006</v>
      </c>
      <c r="AN58" s="34">
        <f t="shared" si="230"/>
        <v>79.897999999999996</v>
      </c>
      <c r="AO58" s="32">
        <f t="shared" ref="AO58:AU58" si="231">AO50-AO54-AO55</f>
        <v>79.778000000000006</v>
      </c>
      <c r="AP58" s="32">
        <f t="shared" si="231"/>
        <v>75.766000000000005</v>
      </c>
      <c r="AQ58" s="375">
        <f t="shared" si="231"/>
        <v>72.531999999999996</v>
      </c>
      <c r="AR58" s="34">
        <f t="shared" si="231"/>
        <v>71.995000000000005</v>
      </c>
      <c r="AS58" s="32">
        <f t="shared" si="231"/>
        <v>73.643000000000001</v>
      </c>
      <c r="AT58" s="32">
        <f t="shared" si="231"/>
        <v>71.778000000000006</v>
      </c>
      <c r="AU58" s="32">
        <f t="shared" si="231"/>
        <v>71.483000000000004</v>
      </c>
      <c r="AV58" s="34">
        <f t="shared" ref="AV58:BA58" si="232">AV50-AV54-AV55</f>
        <v>70.852000000000004</v>
      </c>
      <c r="AW58" s="32">
        <f t="shared" si="232"/>
        <v>71.543000000000006</v>
      </c>
      <c r="AX58" s="32">
        <f t="shared" si="232"/>
        <v>73.986999999999995</v>
      </c>
      <c r="AY58" s="32">
        <f t="shared" si="232"/>
        <v>75.129000000000005</v>
      </c>
      <c r="AZ58" s="34">
        <f t="shared" si="232"/>
        <v>73.680999999999997</v>
      </c>
      <c r="BA58" s="32">
        <f t="shared" si="232"/>
        <v>85.322999999999993</v>
      </c>
      <c r="BB58" s="32">
        <f t="shared" ref="BB58" si="233">BB50-BB54-BB55</f>
        <v>81.304000000000002</v>
      </c>
      <c r="BC58" s="33">
        <f t="shared" ref="BC58:BG58" si="234">BC50</f>
        <v>80.834875920000002</v>
      </c>
      <c r="BD58" s="34">
        <f t="shared" si="234"/>
        <v>82.822057949258181</v>
      </c>
      <c r="BE58" s="32">
        <f t="shared" si="234"/>
        <v>82.876348646015558</v>
      </c>
      <c r="BF58" s="32">
        <f t="shared" si="234"/>
        <v>82.876348646015558</v>
      </c>
      <c r="BG58" s="33">
        <f t="shared" si="234"/>
        <v>82.876348646015558</v>
      </c>
      <c r="BH58" s="34">
        <f>BH50</f>
        <v>82.410896434903549</v>
      </c>
      <c r="BI58" s="32">
        <f>BI50</f>
        <v>82.388741299126409</v>
      </c>
      <c r="BJ58" s="32">
        <f>BJ50</f>
        <v>83.561715547498835</v>
      </c>
      <c r="BK58" s="33">
        <f>BK50</f>
        <v>84.339279331075076</v>
      </c>
      <c r="BL58" s="185"/>
      <c r="BM58" s="32">
        <f t="shared" ref="BM58:BR58" si="235">BM50-BM54-BM55</f>
        <v>178.761</v>
      </c>
      <c r="BN58" s="32">
        <f t="shared" si="235"/>
        <v>171.274</v>
      </c>
      <c r="BO58" s="32">
        <f t="shared" si="235"/>
        <v>164.08600000000001</v>
      </c>
      <c r="BP58" s="32">
        <f t="shared" si="235"/>
        <v>201.66699999999997</v>
      </c>
      <c r="BQ58" s="32">
        <f t="shared" si="235"/>
        <v>242.149</v>
      </c>
      <c r="BR58" s="32">
        <f t="shared" si="235"/>
        <v>292.49400000000003</v>
      </c>
      <c r="BS58" s="32">
        <f t="shared" ref="BS58:CA58" si="236">BS50-BS54-BS55</f>
        <v>321.27299999999997</v>
      </c>
      <c r="BT58" s="32">
        <f t="shared" si="236"/>
        <v>324.28200000000004</v>
      </c>
      <c r="BU58" s="32">
        <f t="shared" si="236"/>
        <v>324.73400000000004</v>
      </c>
      <c r="BV58" s="32">
        <f t="shared" si="236"/>
        <v>307.97399999999999</v>
      </c>
      <c r="BW58" s="32">
        <f t="shared" si="236"/>
        <v>288.899</v>
      </c>
      <c r="BX58" s="32">
        <f t="shared" si="236"/>
        <v>291.51100000000002</v>
      </c>
      <c r="BY58" s="32">
        <f t="shared" si="236"/>
        <v>321.14287591999999</v>
      </c>
      <c r="BZ58" s="32">
        <f t="shared" si="236"/>
        <v>331.4511038873049</v>
      </c>
      <c r="CA58" s="33">
        <f t="shared" si="236"/>
        <v>332.70063261260384</v>
      </c>
      <c r="CB58" s="34"/>
      <c r="CC58" s="32"/>
      <c r="CD58" s="32"/>
      <c r="CE58" s="24"/>
      <c r="CF58" s="34">
        <f t="shared" ref="CF58:CL58" si="237">CF50-CF54-CF55</f>
        <v>217.142</v>
      </c>
      <c r="CG58" s="32">
        <f t="shared" si="237"/>
        <v>143.68799999999999</v>
      </c>
      <c r="CH58" s="32">
        <f t="shared" si="237"/>
        <v>183.35500000000002</v>
      </c>
      <c r="CI58" s="32">
        <f t="shared" si="237"/>
        <v>210.608</v>
      </c>
      <c r="CJ58" s="32">
        <f t="shared" si="237"/>
        <v>273.18099999999998</v>
      </c>
      <c r="CK58" s="32">
        <f t="shared" si="237"/>
        <v>311.43600000000004</v>
      </c>
      <c r="CL58" s="32">
        <f t="shared" si="237"/>
        <v>318.23599999999999</v>
      </c>
      <c r="CM58" s="32">
        <f t="shared" ref="CM58:CR58" si="238">CM50-CM54-CM55</f>
        <v>324.93799999999999</v>
      </c>
      <c r="CN58" s="32">
        <f t="shared" si="238"/>
        <v>323.50900000000001</v>
      </c>
      <c r="CO58" s="32">
        <f t="shared" si="238"/>
        <v>293.93600000000004</v>
      </c>
      <c r="CP58" s="32">
        <f t="shared" si="238"/>
        <v>285.65600000000006</v>
      </c>
      <c r="CQ58" s="32">
        <f t="shared" si="238"/>
        <v>308.11999999999995</v>
      </c>
      <c r="CR58" s="32">
        <f t="shared" si="238"/>
        <v>327.83728251527373</v>
      </c>
      <c r="CS58" s="33">
        <f>CS50-CS54-CS55</f>
        <v>330.55233502606109</v>
      </c>
      <c r="CT58" s="32"/>
      <c r="CU58"/>
      <c r="CV58"/>
      <c r="CW58"/>
      <c r="CX58"/>
      <c r="CY58"/>
      <c r="CZ58"/>
    </row>
    <row r="59" spans="1:104" ht="14.25" customHeight="1">
      <c r="A59" s="8"/>
      <c r="B59" s="35" t="s">
        <v>206</v>
      </c>
      <c r="C59" s="36"/>
      <c r="D59" s="37">
        <f t="shared" ref="D59:AU59" si="239">D58/D17</f>
        <v>8.8310402150461556E-2</v>
      </c>
      <c r="E59" s="37">
        <f t="shared" si="239"/>
        <v>8.2714580714670499E-2</v>
      </c>
      <c r="F59" s="37">
        <f t="shared" si="239"/>
        <v>8.3424305163435589E-2</v>
      </c>
      <c r="G59" s="38">
        <f t="shared" si="239"/>
        <v>0.12681082567365862</v>
      </c>
      <c r="H59" s="37">
        <f t="shared" si="239"/>
        <v>0.13862097086992411</v>
      </c>
      <c r="I59" s="37">
        <f t="shared" si="239"/>
        <v>8.6426255344726047E-2</v>
      </c>
      <c r="J59" s="37">
        <f t="shared" si="239"/>
        <v>8.5125357775371627E-2</v>
      </c>
      <c r="K59" s="38">
        <f t="shared" si="239"/>
        <v>3.3854274282923522E-2</v>
      </c>
      <c r="L59" s="37">
        <f t="shared" si="239"/>
        <v>8.2929928770552649E-2</v>
      </c>
      <c r="M59" s="37">
        <f t="shared" si="239"/>
        <v>7.710013425304385E-2</v>
      </c>
      <c r="N59" s="37">
        <f t="shared" si="239"/>
        <v>8.0187111466732325E-2</v>
      </c>
      <c r="O59" s="38">
        <f t="shared" si="239"/>
        <v>7.960627769232767E-2</v>
      </c>
      <c r="P59" s="37">
        <f t="shared" si="239"/>
        <v>8.0292655286071143E-2</v>
      </c>
      <c r="Q59" s="37">
        <f t="shared" si="239"/>
        <v>0.15614293541121324</v>
      </c>
      <c r="R59" s="37">
        <f t="shared" si="239"/>
        <v>0.14355320683614736</v>
      </c>
      <c r="S59" s="38">
        <f t="shared" si="239"/>
        <v>0.12305087065969356</v>
      </c>
      <c r="T59" s="37">
        <f t="shared" si="239"/>
        <v>0.11907952435859197</v>
      </c>
      <c r="U59" s="37">
        <f t="shared" si="239"/>
        <v>0.12631490026715098</v>
      </c>
      <c r="V59" s="37">
        <f t="shared" si="239"/>
        <v>0.1208418487659173</v>
      </c>
      <c r="W59" s="38">
        <f t="shared" si="239"/>
        <v>0.11899562161417197</v>
      </c>
      <c r="X59" s="37">
        <f t="shared" si="239"/>
        <v>0.11515015036597304</v>
      </c>
      <c r="Y59" s="37">
        <f t="shared" si="239"/>
        <v>0.11785896080504325</v>
      </c>
      <c r="Z59" s="37">
        <f t="shared" si="239"/>
        <v>0.12132503811132629</v>
      </c>
      <c r="AA59" s="38">
        <f t="shared" si="239"/>
        <v>0.11897537235171782</v>
      </c>
      <c r="AB59" s="37">
        <f t="shared" si="239"/>
        <v>0.12964739104594011</v>
      </c>
      <c r="AC59" s="37">
        <f t="shared" si="239"/>
        <v>0.13667839670995113</v>
      </c>
      <c r="AD59" s="37">
        <f t="shared" si="239"/>
        <v>0.1365710104129465</v>
      </c>
      <c r="AE59" s="38">
        <f t="shared" si="239"/>
        <v>0.13220796223196399</v>
      </c>
      <c r="AF59" s="37">
        <f t="shared" si="239"/>
        <v>0.12869558239377279</v>
      </c>
      <c r="AG59" s="37">
        <f t="shared" si="239"/>
        <v>0.13226037739589563</v>
      </c>
      <c r="AH59" s="37">
        <f t="shared" si="239"/>
        <v>0.13548713472335192</v>
      </c>
      <c r="AI59" s="38">
        <f t="shared" si="239"/>
        <v>0.13496187071888247</v>
      </c>
      <c r="AJ59" s="39">
        <f t="shared" si="239"/>
        <v>0.13230446944079449</v>
      </c>
      <c r="AK59" s="37">
        <f t="shared" si="239"/>
        <v>0.13457117338466548</v>
      </c>
      <c r="AL59" s="37">
        <f t="shared" si="239"/>
        <v>0.1332054332230993</v>
      </c>
      <c r="AM59" s="38">
        <f t="shared" si="239"/>
        <v>0.12942765931946701</v>
      </c>
      <c r="AN59" s="39">
        <f t="shared" si="239"/>
        <v>0.13768988841497565</v>
      </c>
      <c r="AO59" s="37">
        <f t="shared" si="239"/>
        <v>0.14074935295663973</v>
      </c>
      <c r="AP59" s="37">
        <f t="shared" si="239"/>
        <v>0.13125040059730139</v>
      </c>
      <c r="AQ59" s="38">
        <f t="shared" si="239"/>
        <v>0.12451482102668246</v>
      </c>
      <c r="AR59" s="39">
        <f>AR58/AR17</f>
        <v>0.12798883575403106</v>
      </c>
      <c r="AS59" s="37">
        <f>AS58/AS17</f>
        <v>0.14416313810242526</v>
      </c>
      <c r="AT59" s="37">
        <f>AT58/AT17</f>
        <v>0.12927103369280976</v>
      </c>
      <c r="AU59" s="37">
        <f t="shared" si="239"/>
        <v>0.12626694410784881</v>
      </c>
      <c r="AV59" s="39">
        <f t="shared" ref="AV59:BA59" si="240">AV58/AV17</f>
        <v>0.1262068130161241</v>
      </c>
      <c r="AW59" s="37">
        <f t="shared" si="240"/>
        <v>0.12984257656107645</v>
      </c>
      <c r="AX59" s="37">
        <f t="shared" si="240"/>
        <v>0.12729690855034961</v>
      </c>
      <c r="AY59" s="37">
        <f t="shared" si="240"/>
        <v>0.12479796679429574</v>
      </c>
      <c r="AZ59" s="39">
        <f t="shared" si="240"/>
        <v>0.12799039737630194</v>
      </c>
      <c r="BA59" s="37">
        <f t="shared" si="240"/>
        <v>0.13703490155580217</v>
      </c>
      <c r="BB59" s="37">
        <f t="shared" ref="BB59" si="241">BB58/BB17</f>
        <v>0.1253532614142174</v>
      </c>
      <c r="BC59" s="38">
        <f t="shared" ref="BC59:BG59" si="242">BC58/BC17</f>
        <v>0.12833236173182039</v>
      </c>
      <c r="BD59" s="39">
        <f t="shared" si="242"/>
        <v>0.13480102937247734</v>
      </c>
      <c r="BE59" s="37">
        <f t="shared" si="242"/>
        <v>0.13463723261684643</v>
      </c>
      <c r="BF59" s="37">
        <f t="shared" si="242"/>
        <v>0.12794817367414138</v>
      </c>
      <c r="BG59" s="38">
        <f t="shared" si="242"/>
        <v>0.12660923005143074</v>
      </c>
      <c r="BH59" s="39">
        <f>BH58/BH17</f>
        <v>0.12795131662279921</v>
      </c>
      <c r="BI59" s="37">
        <f>BI58/BI17</f>
        <v>0.12801524792667515</v>
      </c>
      <c r="BJ59" s="37">
        <f>BJ58/BJ17</f>
        <v>0.12476279121791158</v>
      </c>
      <c r="BK59" s="38">
        <f>BK58/BK17</f>
        <v>0.12266257727957061</v>
      </c>
      <c r="BL59" s="20"/>
      <c r="BM59" s="37">
        <f t="shared" ref="BM59:BX59" si="243">BM58/BM17</f>
        <v>9.6266179127545509E-2</v>
      </c>
      <c r="BN59" s="37">
        <f t="shared" si="243"/>
        <v>8.5248098176120543E-2</v>
      </c>
      <c r="BO59" s="37">
        <f t="shared" si="243"/>
        <v>7.9933436705194857E-2</v>
      </c>
      <c r="BP59" s="37">
        <f t="shared" si="243"/>
        <v>0.12251832455961818</v>
      </c>
      <c r="BQ59" s="37">
        <f t="shared" si="243"/>
        <v>0.12121978190861747</v>
      </c>
      <c r="BR59" s="37">
        <f t="shared" si="243"/>
        <v>0.11830649574633924</v>
      </c>
      <c r="BS59" s="37">
        <f t="shared" si="243"/>
        <v>0.1336672035161631</v>
      </c>
      <c r="BT59" s="37">
        <f t="shared" si="243"/>
        <v>0.13282303737232534</v>
      </c>
      <c r="BU59" s="37">
        <f t="shared" si="243"/>
        <v>0.13234661809710627</v>
      </c>
      <c r="BV59" s="37">
        <f t="shared" si="243"/>
        <v>0.13350331879122482</v>
      </c>
      <c r="BW59" s="37">
        <f t="shared" si="243"/>
        <v>0.13163370800544397</v>
      </c>
      <c r="BX59" s="37">
        <f t="shared" si="243"/>
        <v>0.12698601464095677</v>
      </c>
      <c r="BY59" s="37">
        <f>BY58/BY17</f>
        <v>0.1296604554677008</v>
      </c>
      <c r="BZ59" s="37">
        <f>BZ58/BZ17</f>
        <v>0.13089075929474711</v>
      </c>
      <c r="CA59" s="38">
        <f>CA58/CA17</f>
        <v>0.12578466292952861</v>
      </c>
      <c r="CB59" s="39"/>
      <c r="CC59" s="37"/>
      <c r="CD59" s="37"/>
      <c r="CE59" s="260"/>
      <c r="CF59" s="39">
        <f t="shared" ref="CF59:CP59" si="244">CF58/CF17</f>
        <v>0.10925229732612574</v>
      </c>
      <c r="CG59" s="37">
        <f t="shared" si="244"/>
        <v>6.9312967672471998E-2</v>
      </c>
      <c r="CH59" s="37">
        <f t="shared" si="244"/>
        <v>9.6474400122911419E-2</v>
      </c>
      <c r="CI59" s="37">
        <f t="shared" si="244"/>
        <v>0.12710989276943588</v>
      </c>
      <c r="CJ59" s="37">
        <f t="shared" si="244"/>
        <v>0.11805998227248425</v>
      </c>
      <c r="CK59" s="37">
        <f t="shared" si="244"/>
        <v>0.12656774066122176</v>
      </c>
      <c r="CL59" s="37">
        <f t="shared" si="244"/>
        <v>0.13234747971449115</v>
      </c>
      <c r="CM59" s="37">
        <f t="shared" si="244"/>
        <v>0.13435001258996451</v>
      </c>
      <c r="CN59" s="37">
        <f t="shared" si="244"/>
        <v>0.13506374330336268</v>
      </c>
      <c r="CO59" s="37">
        <f t="shared" si="244"/>
        <v>0.13162564858778367</v>
      </c>
      <c r="CP59" s="37">
        <f t="shared" si="244"/>
        <v>0.12788055361066397</v>
      </c>
      <c r="CQ59" s="37">
        <f>CQ58/CQ17</f>
        <v>0.12937879534787242</v>
      </c>
      <c r="CR59" s="37">
        <f>CR58/CR17</f>
        <v>0.13069363082719582</v>
      </c>
      <c r="CS59" s="38">
        <f>CS58/CS17</f>
        <v>0.12762722235327242</v>
      </c>
      <c r="CT59" s="37"/>
    </row>
    <row r="60" spans="1:104" s="396" customFormat="1" ht="14.25" customHeight="1">
      <c r="A60" s="11"/>
      <c r="B60" s="35" t="s">
        <v>145</v>
      </c>
      <c r="C60" s="53"/>
      <c r="D60" s="1282"/>
      <c r="E60" s="1282"/>
      <c r="F60" s="1282"/>
      <c r="G60" s="1283"/>
      <c r="H60" s="1282">
        <f t="shared" ref="H60:BB60" si="245">H58/D58-1</f>
        <v>0.86080850154864907</v>
      </c>
      <c r="I60" s="1282">
        <f t="shared" si="245"/>
        <v>0.16667118938427739</v>
      </c>
      <c r="J60" s="1282">
        <f t="shared" si="245"/>
        <v>1.6946178335965456E-2</v>
      </c>
      <c r="K60" s="1283">
        <f t="shared" si="245"/>
        <v>-0.72086359905214747</v>
      </c>
      <c r="L60" s="1282">
        <f t="shared" si="245"/>
        <v>-0.3763613666040091</v>
      </c>
      <c r="M60" s="1282">
        <f t="shared" si="245"/>
        <v>-3.1563277742888363E-2</v>
      </c>
      <c r="N60" s="1282">
        <f t="shared" si="245"/>
        <v>-3.6556807257130064E-2</v>
      </c>
      <c r="O60" s="1283">
        <f t="shared" si="245"/>
        <v>1.2140598124618553</v>
      </c>
      <c r="P60" s="1282">
        <f t="shared" si="245"/>
        <v>-7.4064700197874034E-2</v>
      </c>
      <c r="Q60" s="1282">
        <f t="shared" si="245"/>
        <v>0.54010952060716666</v>
      </c>
      <c r="R60" s="1282">
        <f t="shared" si="245"/>
        <v>0.24756933783645474</v>
      </c>
      <c r="S60" s="1283">
        <f t="shared" si="245"/>
        <v>0.21641940657578163</v>
      </c>
      <c r="T60" s="1282">
        <f t="shared" si="245"/>
        <v>0.32932435454613218</v>
      </c>
      <c r="U60" s="1282">
        <f t="shared" si="245"/>
        <v>-6.7244713367849762E-2</v>
      </c>
      <c r="V60" s="1282">
        <f t="shared" si="245"/>
        <v>0.26115668580803941</v>
      </c>
      <c r="W60" s="1283">
        <f t="shared" si="245"/>
        <v>0.3874536464771321</v>
      </c>
      <c r="X60" s="1282">
        <f t="shared" si="245"/>
        <v>0.34776431882757564</v>
      </c>
      <c r="Y60" s="1282">
        <f t="shared" si="245"/>
        <v>0.20778439109208846</v>
      </c>
      <c r="Z60" s="1282">
        <f t="shared" si="245"/>
        <v>0.19714118450580553</v>
      </c>
      <c r="AA60" s="1283">
        <f t="shared" si="245"/>
        <v>0.10676050900559808</v>
      </c>
      <c r="AB60" s="1282">
        <f t="shared" si="245"/>
        <v>0.14363384188626926</v>
      </c>
      <c r="AC60" s="1282">
        <f t="shared" si="245"/>
        <v>0.11885382059800653</v>
      </c>
      <c r="AD60" s="1282">
        <f t="shared" si="245"/>
        <v>5.9687300487659023E-2</v>
      </c>
      <c r="AE60" s="1283">
        <f t="shared" si="245"/>
        <v>7.3024135664166767E-2</v>
      </c>
      <c r="AF60" s="1282">
        <f t="shared" si="245"/>
        <v>-2.7517706413117349E-2</v>
      </c>
      <c r="AG60" s="1282">
        <f t="shared" si="245"/>
        <v>-9.5018929552369569E-3</v>
      </c>
      <c r="AH60" s="1282">
        <f t="shared" si="245"/>
        <v>5.0544154029559918E-2</v>
      </c>
      <c r="AI60" s="1283">
        <f t="shared" si="245"/>
        <v>2.6294073518379424E-2</v>
      </c>
      <c r="AJ60" s="1284">
        <f t="shared" si="245"/>
        <v>-3.4382131766994561E-2</v>
      </c>
      <c r="AK60" s="1282">
        <f t="shared" si="245"/>
        <v>4.2631592095730531E-2</v>
      </c>
      <c r="AL60" s="37">
        <f t="shared" si="245"/>
        <v>-1.554530590331149E-2</v>
      </c>
      <c r="AM60" s="38">
        <f t="shared" si="245"/>
        <v>1.3035585931313598E-2</v>
      </c>
      <c r="AN60" s="1284">
        <f t="shared" si="245"/>
        <v>3.1873950665116668E-2</v>
      </c>
      <c r="AO60" s="1282">
        <f t="shared" si="245"/>
        <v>-4.4242910711504546E-2</v>
      </c>
      <c r="AP60" s="37">
        <f t="shared" si="245"/>
        <v>-6.0907288051561759E-2</v>
      </c>
      <c r="AQ60" s="38">
        <f t="shared" si="245"/>
        <v>-0.12772840426683352</v>
      </c>
      <c r="AR60" s="1284">
        <f t="shared" si="245"/>
        <v>-9.8913614858945009E-2</v>
      </c>
      <c r="AS60" s="1282">
        <f t="shared" si="245"/>
        <v>-7.6900899997493055E-2</v>
      </c>
      <c r="AT60" s="37">
        <f t="shared" si="245"/>
        <v>-5.2635746904944214E-2</v>
      </c>
      <c r="AU60" s="1281">
        <f t="shared" si="245"/>
        <v>-1.4462582032757854E-2</v>
      </c>
      <c r="AV60" s="1284">
        <f t="shared" si="245"/>
        <v>-1.5876102507118572E-2</v>
      </c>
      <c r="AW60" s="1282">
        <f t="shared" si="245"/>
        <v>-2.8515948562660376E-2</v>
      </c>
      <c r="AX60" s="37">
        <f t="shared" si="245"/>
        <v>3.0775446515645344E-2</v>
      </c>
      <c r="AY60" s="1281">
        <f t="shared" si="245"/>
        <v>5.1005134087825033E-2</v>
      </c>
      <c r="AZ60" s="1284">
        <f t="shared" si="245"/>
        <v>3.9928301247671216E-2</v>
      </c>
      <c r="BA60" s="1282">
        <f t="shared" si="245"/>
        <v>0.19261143647876078</v>
      </c>
      <c r="BB60" s="37">
        <f t="shared" si="245"/>
        <v>9.889575195642486E-2</v>
      </c>
      <c r="BC60" s="1283">
        <f t="shared" ref="BC60:BG60" si="246">BC58/AY58-1</f>
        <v>7.5947715529289583E-2</v>
      </c>
      <c r="BD60" s="1284">
        <f t="shared" si="246"/>
        <v>0.12406262061125917</v>
      </c>
      <c r="BE60" s="1282">
        <f t="shared" si="246"/>
        <v>-2.8675167938122637E-2</v>
      </c>
      <c r="BF60" s="1282">
        <f t="shared" si="246"/>
        <v>1.9339130252085557E-2</v>
      </c>
      <c r="BG60" s="1283">
        <f t="shared" si="246"/>
        <v>2.5254850740860313E-2</v>
      </c>
      <c r="BH60" s="1284">
        <f>BH58/BD58-1</f>
        <v>-4.964396255482284E-3</v>
      </c>
      <c r="BI60" s="1282">
        <f>BI58/BE58-1</f>
        <v>-5.8835524833730224E-3</v>
      </c>
      <c r="BJ60" s="1282">
        <f>BJ58/BF58-1</f>
        <v>8.269752621590909E-3</v>
      </c>
      <c r="BK60" s="1283">
        <f>BK58/BG58-1</f>
        <v>1.7651968371676707E-2</v>
      </c>
      <c r="BL60" s="185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113"/>
      <c r="CB60" s="54"/>
      <c r="CC60" s="44"/>
      <c r="CD60" s="44"/>
      <c r="CE60" s="24"/>
      <c r="CF60" s="111"/>
      <c r="CG60" s="112"/>
      <c r="CH60" s="112"/>
      <c r="CI60" s="112"/>
      <c r="CJ60" s="112"/>
      <c r="CK60" s="112"/>
      <c r="CL60" s="112"/>
      <c r="CM60" s="112"/>
      <c r="CN60" s="112"/>
      <c r="CO60" s="728"/>
      <c r="CP60" s="112"/>
      <c r="CQ60" s="112"/>
      <c r="CR60" s="112"/>
      <c r="CS60" s="113"/>
      <c r="CT60" s="112"/>
      <c r="CU60"/>
      <c r="CV60"/>
      <c r="CW60"/>
      <c r="CX60"/>
      <c r="CY60"/>
      <c r="CZ60"/>
    </row>
    <row r="61" spans="1:104" ht="14.25" customHeight="1">
      <c r="A61" s="8"/>
      <c r="B61" s="35"/>
      <c r="C61" s="53"/>
      <c r="D61" s="42"/>
      <c r="E61" s="42"/>
      <c r="F61" s="46"/>
      <c r="G61" s="43"/>
      <c r="H61" s="42"/>
      <c r="I61" s="42"/>
      <c r="J61" s="46"/>
      <c r="K61" s="43"/>
      <c r="L61" s="42"/>
      <c r="M61" s="42"/>
      <c r="N61" s="46"/>
      <c r="O61" s="43"/>
      <c r="P61" s="42"/>
      <c r="Q61" s="42"/>
      <c r="R61" s="46"/>
      <c r="S61" s="43"/>
      <c r="T61" s="42"/>
      <c r="U61" s="42"/>
      <c r="V61" s="46"/>
      <c r="W61" s="43"/>
      <c r="X61" s="42"/>
      <c r="Y61" s="42"/>
      <c r="Z61" s="46"/>
      <c r="AA61" s="43"/>
      <c r="AB61" s="42"/>
      <c r="AC61" s="42"/>
      <c r="AD61" s="46"/>
      <c r="AE61" s="43"/>
      <c r="AF61" s="42"/>
      <c r="AG61" s="42"/>
      <c r="AH61" s="42"/>
      <c r="AI61" s="43"/>
      <c r="AJ61" s="1257"/>
      <c r="AK61" s="42"/>
      <c r="AL61" s="42"/>
      <c r="AM61" s="43"/>
      <c r="AN61" s="1257"/>
      <c r="AO61" s="42"/>
      <c r="AP61" s="42"/>
      <c r="AQ61" s="43"/>
      <c r="AR61" s="1257"/>
      <c r="AS61" s="42"/>
      <c r="AT61" s="42"/>
      <c r="AU61" s="42"/>
      <c r="AV61" s="1257"/>
      <c r="AW61" s="42"/>
      <c r="AX61" s="42"/>
      <c r="AY61" s="42"/>
      <c r="AZ61" s="1257"/>
      <c r="BA61" s="42"/>
      <c r="BB61" s="42"/>
      <c r="BC61" s="1213"/>
      <c r="BD61" s="398"/>
      <c r="BE61" s="397"/>
      <c r="BF61" s="397"/>
      <c r="BG61" s="1213"/>
      <c r="BH61" s="398"/>
      <c r="BI61" s="397"/>
      <c r="BJ61" s="397"/>
      <c r="BK61" s="1213"/>
      <c r="BL61" s="20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5"/>
      <c r="CB61" s="54"/>
      <c r="CC61" s="44"/>
      <c r="CD61" s="44"/>
      <c r="CE61" s="260"/>
      <c r="CF61" s="111"/>
      <c r="CG61" s="112"/>
      <c r="CH61" s="112"/>
      <c r="CI61" s="112"/>
      <c r="CJ61" s="112"/>
      <c r="CK61" s="112"/>
      <c r="CL61" s="112"/>
      <c r="CM61" s="112"/>
      <c r="CN61" s="112"/>
      <c r="CO61" s="112"/>
      <c r="CP61" s="112"/>
      <c r="CQ61" s="112"/>
      <c r="CR61" s="112"/>
      <c r="CS61" s="113"/>
      <c r="CT61" s="112"/>
    </row>
    <row r="62" spans="1:104" ht="14.25" hidden="1" customHeight="1" outlineLevel="1">
      <c r="A62" s="8"/>
      <c r="B62" s="714" t="s">
        <v>315</v>
      </c>
      <c r="C62" s="715"/>
      <c r="D62" s="719">
        <f t="shared" ref="D62:AH62" si="247">SUM(D63:D65)</f>
        <v>0</v>
      </c>
      <c r="E62" s="719">
        <f t="shared" si="247"/>
        <v>0</v>
      </c>
      <c r="F62" s="719">
        <f t="shared" si="247"/>
        <v>0</v>
      </c>
      <c r="G62" s="718">
        <f t="shared" si="247"/>
        <v>0</v>
      </c>
      <c r="H62" s="719">
        <f t="shared" si="247"/>
        <v>0</v>
      </c>
      <c r="I62" s="719">
        <f t="shared" si="247"/>
        <v>0</v>
      </c>
      <c r="J62" s="719">
        <f t="shared" si="247"/>
        <v>0</v>
      </c>
      <c r="K62" s="718">
        <f t="shared" si="247"/>
        <v>61.896000000000001</v>
      </c>
      <c r="L62" s="719">
        <f t="shared" si="247"/>
        <v>7.5600000000000005</v>
      </c>
      <c r="M62" s="719">
        <f t="shared" si="247"/>
        <v>15.145</v>
      </c>
      <c r="N62" s="719">
        <f t="shared" si="247"/>
        <v>30.507999999999999</v>
      </c>
      <c r="O62" s="718">
        <f t="shared" si="247"/>
        <v>26.079000000000001</v>
      </c>
      <c r="P62" s="719">
        <f t="shared" si="247"/>
        <v>18.806999999999999</v>
      </c>
      <c r="Q62" s="719">
        <f t="shared" si="247"/>
        <v>71.518000000000001</v>
      </c>
      <c r="R62" s="719">
        <f t="shared" si="247"/>
        <v>14.924999999999999</v>
      </c>
      <c r="S62" s="718">
        <f t="shared" si="247"/>
        <v>3.3039999999999963</v>
      </c>
      <c r="T62" s="719">
        <f t="shared" si="247"/>
        <v>-8.3110000000000017</v>
      </c>
      <c r="U62" s="719">
        <f t="shared" si="247"/>
        <v>4.83</v>
      </c>
      <c r="V62" s="719">
        <f t="shared" si="247"/>
        <v>178.72</v>
      </c>
      <c r="W62" s="718">
        <f t="shared" si="247"/>
        <v>8.9760000000000204</v>
      </c>
      <c r="X62" s="719">
        <f t="shared" si="247"/>
        <v>7.2120000000000006</v>
      </c>
      <c r="Y62" s="719">
        <f t="shared" si="247"/>
        <v>26.035000000000004</v>
      </c>
      <c r="Z62" s="719">
        <f t="shared" si="247"/>
        <v>4.0829999999999993</v>
      </c>
      <c r="AA62" s="718">
        <f t="shared" si="247"/>
        <v>1.792999999999997</v>
      </c>
      <c r="AB62" s="719">
        <f t="shared" si="247"/>
        <v>0.42399999999999949</v>
      </c>
      <c r="AC62" s="719">
        <f t="shared" si="247"/>
        <v>10.54</v>
      </c>
      <c r="AD62" s="719">
        <f>SUM(AD63:AD65)</f>
        <v>9.4579999999999984</v>
      </c>
      <c r="AE62" s="718">
        <f t="shared" si="247"/>
        <v>21.980999999999998</v>
      </c>
      <c r="AF62" s="719">
        <f t="shared" si="247"/>
        <v>7.1710000000000003</v>
      </c>
      <c r="AG62" s="719">
        <f t="shared" si="247"/>
        <v>30.027000000000001</v>
      </c>
      <c r="AH62" s="719">
        <f t="shared" si="247"/>
        <v>5.7320000000000002</v>
      </c>
      <c r="AI62" s="718">
        <f t="shared" ref="AI62:AN62" si="248">SUM(AI63:AI65)</f>
        <v>6.2170000000000005</v>
      </c>
      <c r="AJ62" s="733">
        <f t="shared" si="248"/>
        <v>11.254999999999999</v>
      </c>
      <c r="AK62" s="719">
        <f t="shared" si="248"/>
        <v>31.835999999999999</v>
      </c>
      <c r="AL62" s="719">
        <f t="shared" si="248"/>
        <v>11.026</v>
      </c>
      <c r="AM62" s="718">
        <f t="shared" si="248"/>
        <v>25.455000000000002</v>
      </c>
      <c r="AN62" s="733">
        <f t="shared" si="248"/>
        <v>17.512</v>
      </c>
      <c r="AO62" s="719">
        <f t="shared" ref="AO62:AT62" si="249">SUM(AO63:AO65)</f>
        <v>162.42999999999998</v>
      </c>
      <c r="AP62" s="719">
        <f t="shared" si="249"/>
        <v>10.138999999999999</v>
      </c>
      <c r="AQ62" s="718">
        <f t="shared" si="249"/>
        <v>14.669</v>
      </c>
      <c r="AR62" s="733">
        <f t="shared" si="249"/>
        <v>168.72900000000001</v>
      </c>
      <c r="AS62" s="719">
        <f t="shared" si="249"/>
        <v>15.892999999999999</v>
      </c>
      <c r="AT62" s="719">
        <f t="shared" si="249"/>
        <v>-49.823</v>
      </c>
      <c r="AU62" s="719">
        <f t="shared" ref="AU62:BC62" si="250">SUM(AU63:AU65)</f>
        <v>39.68</v>
      </c>
      <c r="AV62" s="733">
        <f t="shared" si="250"/>
        <v>-9.9390000000000018</v>
      </c>
      <c r="AW62" s="719">
        <f t="shared" si="250"/>
        <v>5.5039999999999996</v>
      </c>
      <c r="AX62" s="719">
        <f t="shared" si="250"/>
        <v>5.5019999999999998</v>
      </c>
      <c r="AY62" s="719">
        <f>SUM(AY63:AY65)</f>
        <v>5.1479999999999997</v>
      </c>
      <c r="AZ62" s="733">
        <f>SUM(AZ63:AZ65)</f>
        <v>6.383</v>
      </c>
      <c r="BA62" s="719">
        <f>SUM(BA63:BA65)</f>
        <v>7.4089999999999998</v>
      </c>
      <c r="BB62" s="719">
        <f t="shared" ref="BB62" si="251">SUM(BB63:BB65)</f>
        <v>3.4139999999999997</v>
      </c>
      <c r="BC62" s="718">
        <f t="shared" si="250"/>
        <v>0.876</v>
      </c>
      <c r="BD62" s="733">
        <f t="shared" ref="BD62:BK62" si="252">SUM(BD63:BD65)</f>
        <v>0.876</v>
      </c>
      <c r="BE62" s="719">
        <f t="shared" si="252"/>
        <v>0.876</v>
      </c>
      <c r="BF62" s="719">
        <f t="shared" si="252"/>
        <v>0.876</v>
      </c>
      <c r="BG62" s="718">
        <f t="shared" si="252"/>
        <v>0.876</v>
      </c>
      <c r="BH62" s="733">
        <f t="shared" si="252"/>
        <v>0.876</v>
      </c>
      <c r="BI62" s="719">
        <f t="shared" si="252"/>
        <v>0.876</v>
      </c>
      <c r="BJ62" s="719">
        <f t="shared" si="252"/>
        <v>0.876</v>
      </c>
      <c r="BK62" s="718">
        <f t="shared" si="252"/>
        <v>0.876</v>
      </c>
      <c r="BL62" s="720"/>
      <c r="BM62" s="719">
        <f t="shared" ref="BM62:BM67" si="253">SUM(D62:G62)</f>
        <v>0</v>
      </c>
      <c r="BN62" s="719">
        <f t="shared" ref="BN62:BN67" si="254">SUM(H62:K62)</f>
        <v>61.896000000000001</v>
      </c>
      <c r="BO62" s="719">
        <f t="shared" ref="BO62:BO67" si="255">SUM(L62:O62)</f>
        <v>79.292000000000002</v>
      </c>
      <c r="BP62" s="719">
        <f t="shared" ref="BP62:BP67" si="256">SUM(P62:S62)</f>
        <v>108.554</v>
      </c>
      <c r="BQ62" s="719">
        <f t="shared" ref="BQ62:BQ67" si="257">SUM(T62:W62)</f>
        <v>184.21500000000003</v>
      </c>
      <c r="BR62" s="719">
        <f t="shared" ref="BR62:BR67" si="258">SUM(X62:AA62)</f>
        <v>39.123000000000005</v>
      </c>
      <c r="BS62" s="719">
        <f t="shared" ref="BS62:BS67" si="259">SUM(AB62:AE62)</f>
        <v>42.402999999999992</v>
      </c>
      <c r="BT62" s="719">
        <f t="shared" ref="BT62:BT67" si="260">SUM(AF62:AI62)</f>
        <v>49.146999999999998</v>
      </c>
      <c r="BU62" s="719">
        <f t="shared" ref="BU62:BU67" si="261">SUM(AJ62:AM62)</f>
        <v>79.571999999999989</v>
      </c>
      <c r="BV62" s="719">
        <f t="shared" ref="BV62:BV67" si="262">SUM(AN62:AQ62)</f>
        <v>204.75</v>
      </c>
      <c r="BW62" s="719">
        <f t="shared" ref="BW62:BW67" si="263">SUM(AR62:AU62)</f>
        <v>174.47900000000001</v>
      </c>
      <c r="BX62" s="719">
        <f t="shared" ref="BX62:BX67" si="264">SUM(AV62:AY62)</f>
        <v>6.2149999999999972</v>
      </c>
      <c r="BY62" s="719">
        <f t="shared" ref="BY62:BY67" si="265">SUM(AZ62:BC62)</f>
        <v>18.082000000000001</v>
      </c>
      <c r="BZ62" s="719">
        <f t="shared" ref="BZ62:BZ67" si="266">SUM(BD62:BG62)</f>
        <v>3.504</v>
      </c>
      <c r="CA62" s="718">
        <f t="shared" ref="CA62:CA67" si="267">SUM(BH62:BK62)</f>
        <v>3.504</v>
      </c>
      <c r="CB62" s="1473"/>
      <c r="CC62" s="1279"/>
      <c r="CD62" s="1279"/>
      <c r="CE62" s="260"/>
      <c r="CF62" s="34">
        <f t="shared" ref="CF62:CF67" si="268">SUM(F62:I62)</f>
        <v>0</v>
      </c>
      <c r="CG62" s="32">
        <f t="shared" ref="CG62:CG67" si="269">SUM(J62:M62)</f>
        <v>84.600999999999999</v>
      </c>
      <c r="CH62" s="32">
        <f t="shared" ref="CH62:CH67" si="270">SUM(N62:Q62)</f>
        <v>146.91200000000001</v>
      </c>
      <c r="CI62" s="32">
        <f t="shared" ref="CI62:CI67" si="271">SUM(R62:U62)</f>
        <v>14.747999999999994</v>
      </c>
      <c r="CJ62" s="32">
        <f t="shared" ref="CJ62:CJ67" si="272">SUM(V62:Y62)</f>
        <v>220.94300000000001</v>
      </c>
      <c r="CK62" s="32">
        <f t="shared" ref="CK62:CK67" si="273">SUM(Z62:AC62)</f>
        <v>16.839999999999996</v>
      </c>
      <c r="CL62" s="32">
        <f t="shared" ref="CL62:CL67" si="274">SUM(AD62:AG62)</f>
        <v>68.637</v>
      </c>
      <c r="CM62" s="32">
        <f t="shared" ref="CM62:CM67" si="275">SUM(AH62:AK62)</f>
        <v>55.04</v>
      </c>
      <c r="CN62" s="32">
        <f t="shared" ref="CN62:CN67" si="276">SUM(AL62:AO62)</f>
        <v>216.42299999999997</v>
      </c>
      <c r="CO62" s="32">
        <f t="shared" ref="CO62:CO67" si="277">SUM(AP62:AS62)</f>
        <v>209.43</v>
      </c>
      <c r="CP62" s="32">
        <f t="shared" ref="CP62:CP67" si="278">SUM(AT62:AW62)</f>
        <v>-14.578000000000001</v>
      </c>
      <c r="CQ62" s="32">
        <f t="shared" ref="CQ62:CQ67" si="279">SUM(AX62:BA62)</f>
        <v>24.441999999999997</v>
      </c>
      <c r="CR62" s="32">
        <f t="shared" ref="CR62:CR67" si="280">SUM(BB62:BE62)</f>
        <v>6.0420000000000007</v>
      </c>
      <c r="CS62" s="33">
        <f t="shared" ref="CS62:CS67" si="281">SUM(BF62:BI62)</f>
        <v>3.504</v>
      </c>
      <c r="CT62" s="32"/>
    </row>
    <row r="63" spans="1:104" ht="14.25" hidden="1" customHeight="1" outlineLevel="1">
      <c r="A63" s="8"/>
      <c r="B63" s="28" t="s">
        <v>27</v>
      </c>
      <c r="C63" s="29"/>
      <c r="D63" s="30">
        <v>0</v>
      </c>
      <c r="E63" s="30">
        <v>0</v>
      </c>
      <c r="F63" s="30">
        <v>0</v>
      </c>
      <c r="G63" s="31">
        <v>0</v>
      </c>
      <c r="H63" s="30">
        <v>0</v>
      </c>
      <c r="I63" s="30">
        <v>0</v>
      </c>
      <c r="J63" s="30">
        <v>0</v>
      </c>
      <c r="K63" s="509">
        <f>10.204-J63-I63-H63</f>
        <v>10.204000000000001</v>
      </c>
      <c r="L63" s="30">
        <v>0</v>
      </c>
      <c r="M63" s="30">
        <v>0</v>
      </c>
      <c r="N63" s="30">
        <v>0</v>
      </c>
      <c r="O63" s="509">
        <f>2.882-N63-M63-L63</f>
        <v>2.8820000000000001</v>
      </c>
      <c r="P63" s="30">
        <v>7.343</v>
      </c>
      <c r="Q63" s="30">
        <v>43.768999999999998</v>
      </c>
      <c r="R63" s="30">
        <v>0</v>
      </c>
      <c r="S63" s="31">
        <v>2.4529999999999998</v>
      </c>
      <c r="T63" s="30">
        <f>1.844+8.291</f>
        <v>10.135</v>
      </c>
      <c r="U63" s="30">
        <v>1.8460000000000001</v>
      </c>
      <c r="V63" s="30">
        <v>1.7989999999999999</v>
      </c>
      <c r="W63" s="31">
        <v>4.9829999999999997</v>
      </c>
      <c r="X63" s="30">
        <v>6.0129999999999999</v>
      </c>
      <c r="Y63" s="30">
        <v>4.4470000000000001</v>
      </c>
      <c r="Z63" s="30">
        <v>4.0919999999999996</v>
      </c>
      <c r="AA63" s="509">
        <f>18.752-Z63-Y63-X63</f>
        <v>4.2000000000000011</v>
      </c>
      <c r="AB63" s="30">
        <v>4.3209999999999997</v>
      </c>
      <c r="AC63" s="30">
        <v>4.3380000000000001</v>
      </c>
      <c r="AD63" s="30">
        <v>4.0289999999999999</v>
      </c>
      <c r="AE63" s="31">
        <v>4.0490000000000004</v>
      </c>
      <c r="AF63" s="30">
        <v>4.0490000000000004</v>
      </c>
      <c r="AG63" s="30">
        <v>3.903</v>
      </c>
      <c r="AH63" s="30">
        <v>3.903</v>
      </c>
      <c r="AI63" s="31">
        <v>3.67</v>
      </c>
      <c r="AJ63" s="1255">
        <v>3.4359999999999999</v>
      </c>
      <c r="AK63" s="30">
        <v>4.968</v>
      </c>
      <c r="AL63" s="30">
        <v>4.8630000000000004</v>
      </c>
      <c r="AM63" s="31">
        <v>4.423</v>
      </c>
      <c r="AN63" s="1255">
        <v>4.327</v>
      </c>
      <c r="AO63" s="30">
        <v>4.1550000000000002</v>
      </c>
      <c r="AP63" s="30">
        <v>3.9769999999999999</v>
      </c>
      <c r="AQ63" s="31">
        <v>3.6179999999999999</v>
      </c>
      <c r="AR63" s="1255">
        <v>3.5910000000000002</v>
      </c>
      <c r="AS63" s="30">
        <v>3.5379999999999998</v>
      </c>
      <c r="AT63" s="30">
        <v>2.5379999999999998</v>
      </c>
      <c r="AU63" s="30">
        <v>2.5379999999999998</v>
      </c>
      <c r="AV63" s="1255">
        <v>2.4430000000000001</v>
      </c>
      <c r="AW63" s="30">
        <v>2.3479999999999999</v>
      </c>
      <c r="AX63" s="30">
        <v>2.3479999999999999</v>
      </c>
      <c r="AY63" s="30">
        <v>2.0499999999999998</v>
      </c>
      <c r="AZ63" s="1255">
        <v>1.752</v>
      </c>
      <c r="BA63" s="30">
        <v>0.995</v>
      </c>
      <c r="BB63" s="30">
        <v>0.876</v>
      </c>
      <c r="BC63" s="33">
        <f t="shared" ref="BC63:BG63" si="282">+BB63</f>
        <v>0.876</v>
      </c>
      <c r="BD63" s="34">
        <f t="shared" si="282"/>
        <v>0.876</v>
      </c>
      <c r="BE63" s="32">
        <f t="shared" si="282"/>
        <v>0.876</v>
      </c>
      <c r="BF63" s="32">
        <f t="shared" si="282"/>
        <v>0.876</v>
      </c>
      <c r="BG63" s="33">
        <f t="shared" si="282"/>
        <v>0.876</v>
      </c>
      <c r="BH63" s="34">
        <f>+BG63</f>
        <v>0.876</v>
      </c>
      <c r="BI63" s="32">
        <f>+BH63</f>
        <v>0.876</v>
      </c>
      <c r="BJ63" s="32">
        <f>+BI63</f>
        <v>0.876</v>
      </c>
      <c r="BK63" s="33">
        <f>+BJ63</f>
        <v>0.876</v>
      </c>
      <c r="BL63" s="20"/>
      <c r="BM63" s="32">
        <f t="shared" si="253"/>
        <v>0</v>
      </c>
      <c r="BN63" s="32">
        <f t="shared" si="254"/>
        <v>10.204000000000001</v>
      </c>
      <c r="BO63" s="32">
        <f t="shared" si="255"/>
        <v>2.8820000000000001</v>
      </c>
      <c r="BP63" s="32">
        <f t="shared" si="256"/>
        <v>53.564999999999998</v>
      </c>
      <c r="BQ63" s="32">
        <f t="shared" si="257"/>
        <v>18.762999999999998</v>
      </c>
      <c r="BR63" s="32">
        <f t="shared" si="258"/>
        <v>18.752000000000002</v>
      </c>
      <c r="BS63" s="32">
        <f t="shared" si="259"/>
        <v>16.736999999999998</v>
      </c>
      <c r="BT63" s="32">
        <f t="shared" si="260"/>
        <v>15.525</v>
      </c>
      <c r="BU63" s="32">
        <f t="shared" si="261"/>
        <v>17.689999999999998</v>
      </c>
      <c r="BV63" s="32">
        <f t="shared" si="262"/>
        <v>16.076999999999998</v>
      </c>
      <c r="BW63" s="32">
        <f t="shared" si="263"/>
        <v>12.205</v>
      </c>
      <c r="BX63" s="32">
        <f t="shared" si="264"/>
        <v>9.1890000000000001</v>
      </c>
      <c r="BY63" s="32">
        <f t="shared" si="265"/>
        <v>4.4989999999999997</v>
      </c>
      <c r="BZ63" s="32">
        <f t="shared" si="266"/>
        <v>3.504</v>
      </c>
      <c r="CA63" s="33">
        <f t="shared" si="267"/>
        <v>3.504</v>
      </c>
      <c r="CB63" s="34"/>
      <c r="CC63" s="32"/>
      <c r="CD63" s="32"/>
      <c r="CE63" s="260"/>
      <c r="CF63" s="34">
        <f t="shared" si="268"/>
        <v>0</v>
      </c>
      <c r="CG63" s="32">
        <f t="shared" si="269"/>
        <v>10.204000000000001</v>
      </c>
      <c r="CH63" s="32">
        <f t="shared" si="270"/>
        <v>53.994</v>
      </c>
      <c r="CI63" s="32">
        <f t="shared" si="271"/>
        <v>14.433999999999999</v>
      </c>
      <c r="CJ63" s="32">
        <f t="shared" si="272"/>
        <v>17.242000000000001</v>
      </c>
      <c r="CK63" s="32">
        <f t="shared" si="273"/>
        <v>16.951000000000001</v>
      </c>
      <c r="CL63" s="32">
        <f t="shared" si="274"/>
        <v>16.029999999999998</v>
      </c>
      <c r="CM63" s="32">
        <f t="shared" si="275"/>
        <v>15.977</v>
      </c>
      <c r="CN63" s="32">
        <f t="shared" si="276"/>
        <v>17.768000000000001</v>
      </c>
      <c r="CO63" s="32">
        <f t="shared" si="277"/>
        <v>14.724</v>
      </c>
      <c r="CP63" s="32">
        <f t="shared" si="278"/>
        <v>9.8670000000000009</v>
      </c>
      <c r="CQ63" s="32">
        <f>SUM(AX63:BA63)</f>
        <v>7.1449999999999996</v>
      </c>
      <c r="CR63" s="32">
        <f t="shared" si="280"/>
        <v>3.504</v>
      </c>
      <c r="CS63" s="33">
        <f t="shared" si="281"/>
        <v>3.504</v>
      </c>
      <c r="CT63" s="32"/>
    </row>
    <row r="64" spans="1:104" ht="14.25" hidden="1" customHeight="1" outlineLevel="1">
      <c r="A64" s="8"/>
      <c r="B64" s="28" t="s">
        <v>49</v>
      </c>
      <c r="C64" s="29"/>
      <c r="D64" s="30">
        <v>0</v>
      </c>
      <c r="E64" s="30">
        <v>0</v>
      </c>
      <c r="F64" s="30">
        <v>0</v>
      </c>
      <c r="G64" s="31">
        <v>0</v>
      </c>
      <c r="H64" s="30">
        <v>0</v>
      </c>
      <c r="I64" s="30">
        <v>0</v>
      </c>
      <c r="J64" s="30">
        <v>0</v>
      </c>
      <c r="K64" s="509">
        <f>0-J64-I64-H64</f>
        <v>0</v>
      </c>
      <c r="L64" s="30">
        <v>2.35</v>
      </c>
      <c r="M64" s="30">
        <v>0</v>
      </c>
      <c r="N64" s="30">
        <v>8.1449999999999996</v>
      </c>
      <c r="O64" s="509">
        <f>13.676-N64-M64-L64</f>
        <v>3.1810000000000005</v>
      </c>
      <c r="P64" s="30">
        <v>4.1059999999999999</v>
      </c>
      <c r="Q64" s="30">
        <v>13.597</v>
      </c>
      <c r="R64" s="30">
        <v>10.956</v>
      </c>
      <c r="S64" s="509">
        <f>28.124-R64-Q64-P64</f>
        <v>-0.53500000000000014</v>
      </c>
      <c r="T64" s="30">
        <v>-1.5609999999999999</v>
      </c>
      <c r="U64" s="30">
        <v>2.0630000000000002</v>
      </c>
      <c r="V64" s="30">
        <v>-0.625</v>
      </c>
      <c r="W64" s="509">
        <f>-0.699-V64-U64-T64</f>
        <v>-0.57600000000000007</v>
      </c>
      <c r="X64" s="30">
        <v>1.1659999999999999</v>
      </c>
      <c r="Y64" s="30">
        <v>0.48799999999999999</v>
      </c>
      <c r="Z64" s="30">
        <v>1.6E-2</v>
      </c>
      <c r="AA64" s="509">
        <f>1.247-Z64-Y64-X64</f>
        <v>-0.42299999999999982</v>
      </c>
      <c r="AB64" s="30">
        <v>0.49199999999999999</v>
      </c>
      <c r="AC64" s="30">
        <v>6.0469999999999997</v>
      </c>
      <c r="AD64" s="30">
        <v>0.22800000000000001</v>
      </c>
      <c r="AE64" s="31">
        <v>1.7999999999999999E-2</v>
      </c>
      <c r="AF64" s="30">
        <v>0</v>
      </c>
      <c r="AG64" s="30">
        <v>0</v>
      </c>
      <c r="AH64" s="30">
        <v>0.151</v>
      </c>
      <c r="AI64" s="31">
        <v>0.442</v>
      </c>
      <c r="AJ64" s="1255">
        <v>0</v>
      </c>
      <c r="AK64" s="30">
        <v>0</v>
      </c>
      <c r="AL64" s="30">
        <v>3.3380000000000001</v>
      </c>
      <c r="AM64" s="31">
        <v>5.79</v>
      </c>
      <c r="AN64" s="1255">
        <v>1.385</v>
      </c>
      <c r="AO64" s="30">
        <v>13.635</v>
      </c>
      <c r="AP64" s="30">
        <v>2.8239999999999998</v>
      </c>
      <c r="AQ64" s="31">
        <v>12.798</v>
      </c>
      <c r="AR64" s="1255">
        <v>7.1260000000000003</v>
      </c>
      <c r="AS64" s="30">
        <v>1.95</v>
      </c>
      <c r="AT64" s="30">
        <v>0.50600000000000001</v>
      </c>
      <c r="AU64" s="30">
        <v>0.42899999999999999</v>
      </c>
      <c r="AV64" s="1255">
        <v>9.9649999999999999</v>
      </c>
      <c r="AW64" s="30">
        <v>0.38300000000000001</v>
      </c>
      <c r="AX64" s="30">
        <v>1</v>
      </c>
      <c r="AY64" s="30">
        <v>1.175</v>
      </c>
      <c r="AZ64" s="1255">
        <v>5.4329999999999998</v>
      </c>
      <c r="BA64" s="30">
        <v>6.5229999999999997</v>
      </c>
      <c r="BB64" s="30">
        <v>2.2719999999999998</v>
      </c>
      <c r="BC64" s="33">
        <v>0</v>
      </c>
      <c r="BD64" s="34">
        <v>0</v>
      </c>
      <c r="BE64" s="32">
        <v>0</v>
      </c>
      <c r="BF64" s="32">
        <v>0</v>
      </c>
      <c r="BG64" s="33">
        <v>0</v>
      </c>
      <c r="BH64" s="34">
        <v>0</v>
      </c>
      <c r="BI64" s="32">
        <v>0</v>
      </c>
      <c r="BJ64" s="32">
        <v>0</v>
      </c>
      <c r="BK64" s="33">
        <v>0</v>
      </c>
      <c r="BL64" s="20"/>
      <c r="BM64" s="32">
        <f t="shared" si="253"/>
        <v>0</v>
      </c>
      <c r="BN64" s="32">
        <f t="shared" si="254"/>
        <v>0</v>
      </c>
      <c r="BO64" s="32">
        <f t="shared" si="255"/>
        <v>13.676</v>
      </c>
      <c r="BP64" s="32">
        <f t="shared" si="256"/>
        <v>28.123999999999999</v>
      </c>
      <c r="BQ64" s="32">
        <f t="shared" si="257"/>
        <v>-0.69899999999999984</v>
      </c>
      <c r="BR64" s="32">
        <f t="shared" si="258"/>
        <v>1.2470000000000001</v>
      </c>
      <c r="BS64" s="32">
        <f t="shared" si="259"/>
        <v>6.7849999999999993</v>
      </c>
      <c r="BT64" s="32">
        <f t="shared" si="260"/>
        <v>0.59299999999999997</v>
      </c>
      <c r="BU64" s="32">
        <f t="shared" si="261"/>
        <v>9.1280000000000001</v>
      </c>
      <c r="BV64" s="32">
        <f t="shared" si="262"/>
        <v>30.642000000000003</v>
      </c>
      <c r="BW64" s="32">
        <f t="shared" si="263"/>
        <v>10.011000000000001</v>
      </c>
      <c r="BX64" s="32">
        <f t="shared" si="264"/>
        <v>12.523</v>
      </c>
      <c r="BY64" s="32">
        <f t="shared" si="265"/>
        <v>14.228</v>
      </c>
      <c r="BZ64" s="32">
        <f t="shared" si="266"/>
        <v>0</v>
      </c>
      <c r="CA64" s="33">
        <f t="shared" si="267"/>
        <v>0</v>
      </c>
      <c r="CB64" s="34"/>
      <c r="CC64" s="32"/>
      <c r="CD64" s="32"/>
      <c r="CE64" s="260"/>
      <c r="CF64" s="34">
        <f t="shared" si="268"/>
        <v>0</v>
      </c>
      <c r="CG64" s="32">
        <f t="shared" si="269"/>
        <v>2.35</v>
      </c>
      <c r="CH64" s="32">
        <f t="shared" si="270"/>
        <v>29.029</v>
      </c>
      <c r="CI64" s="32">
        <f t="shared" si="271"/>
        <v>10.923</v>
      </c>
      <c r="CJ64" s="32">
        <f t="shared" si="272"/>
        <v>0.45299999999999985</v>
      </c>
      <c r="CK64" s="32">
        <f t="shared" si="273"/>
        <v>6.1319999999999997</v>
      </c>
      <c r="CL64" s="32">
        <f t="shared" si="274"/>
        <v>0.246</v>
      </c>
      <c r="CM64" s="32">
        <f t="shared" si="275"/>
        <v>0.59299999999999997</v>
      </c>
      <c r="CN64" s="32">
        <f t="shared" si="276"/>
        <v>24.148</v>
      </c>
      <c r="CO64" s="32">
        <f t="shared" si="277"/>
        <v>24.698</v>
      </c>
      <c r="CP64" s="32">
        <f t="shared" si="278"/>
        <v>11.283000000000001</v>
      </c>
      <c r="CQ64" s="32">
        <f t="shared" si="279"/>
        <v>14.131</v>
      </c>
      <c r="CR64" s="32">
        <f t="shared" si="280"/>
        <v>2.2719999999999998</v>
      </c>
      <c r="CS64" s="33">
        <f t="shared" si="281"/>
        <v>0</v>
      </c>
      <c r="CT64" s="32"/>
    </row>
    <row r="65" spans="1:104" ht="14.25" hidden="1" customHeight="1" outlineLevel="1">
      <c r="A65" s="8"/>
      <c r="B65" s="28" t="s">
        <v>555</v>
      </c>
      <c r="C65" s="29"/>
      <c r="D65" s="30">
        <v>0</v>
      </c>
      <c r="E65" s="30">
        <v>0</v>
      </c>
      <c r="F65" s="30">
        <v>0</v>
      </c>
      <c r="G65" s="31">
        <v>0</v>
      </c>
      <c r="H65" s="30">
        <v>0</v>
      </c>
      <c r="I65" s="30">
        <v>0</v>
      </c>
      <c r="J65" s="30">
        <v>0</v>
      </c>
      <c r="K65" s="509">
        <f>51.692-J65-I65-H65</f>
        <v>51.692</v>
      </c>
      <c r="L65" s="30">
        <v>5.21</v>
      </c>
      <c r="M65" s="30">
        <v>15.145</v>
      </c>
      <c r="N65" s="30">
        <v>22.363</v>
      </c>
      <c r="O65" s="509">
        <f>62.734-N65-M65-L65</f>
        <v>20.016000000000002</v>
      </c>
      <c r="P65" s="30">
        <v>7.3579999999999997</v>
      </c>
      <c r="Q65" s="30">
        <f>3.9+10.252</f>
        <v>14.152000000000001</v>
      </c>
      <c r="R65" s="30">
        <v>3.9689999999999999</v>
      </c>
      <c r="S65" s="509">
        <f>22.965+3.9-R65-Q65-P65</f>
        <v>1.3859999999999966</v>
      </c>
      <c r="T65" s="30">
        <f>-16.885</f>
        <v>-16.885000000000002</v>
      </c>
      <c r="U65" s="30">
        <v>0.92100000000000004</v>
      </c>
      <c r="V65" s="30">
        <v>177.54599999999999</v>
      </c>
      <c r="W65" s="509">
        <f>166.151-V65-U65-T65</f>
        <v>4.5690000000000204</v>
      </c>
      <c r="X65" s="30">
        <v>3.3000000000000002E-2</v>
      </c>
      <c r="Y65" s="30">
        <v>21.1</v>
      </c>
      <c r="Z65" s="30">
        <v>-2.5000000000000001E-2</v>
      </c>
      <c r="AA65" s="509">
        <f>19.124-Z65-Y65-X65</f>
        <v>-1.984000000000004</v>
      </c>
      <c r="AB65" s="30">
        <v>-4.3890000000000002</v>
      </c>
      <c r="AC65" s="30">
        <v>0.155</v>
      </c>
      <c r="AD65" s="30">
        <f>7.712-2.511</f>
        <v>5.2009999999999996</v>
      </c>
      <c r="AE65" s="31">
        <f>22.383-4.469</f>
        <v>17.913999999999998</v>
      </c>
      <c r="AF65" s="30">
        <f>2.707+0.415</f>
        <v>3.1219999999999999</v>
      </c>
      <c r="AG65" s="30">
        <f>2.236+1.666+22.222</f>
        <v>26.124000000000002</v>
      </c>
      <c r="AH65" s="30">
        <v>1.6779999999999999</v>
      </c>
      <c r="AI65" s="31">
        <v>2.105</v>
      </c>
      <c r="AJ65" s="1255">
        <f>5.547+2.272</f>
        <v>7.8189999999999991</v>
      </c>
      <c r="AK65" s="30">
        <f>10.227+4.137+7.307+5.197</f>
        <v>26.867999999999999</v>
      </c>
      <c r="AL65" s="30">
        <f>2.913-0.088</f>
        <v>2.8249999999999997</v>
      </c>
      <c r="AM65" s="31">
        <f>8.795+6.447</f>
        <v>15.242000000000001</v>
      </c>
      <c r="AN65" s="1255">
        <f>10.226+1.574</f>
        <v>11.8</v>
      </c>
      <c r="AO65" s="30">
        <f>50.745+93.01+0.885</f>
        <v>144.63999999999999</v>
      </c>
      <c r="AP65" s="30">
        <f>5.522-2.184</f>
        <v>3.3380000000000001</v>
      </c>
      <c r="AQ65" s="31">
        <f>-2.296+0.549</f>
        <v>-1.7469999999999999</v>
      </c>
      <c r="AR65" s="1255">
        <f>157.697+0.315</f>
        <v>158.012</v>
      </c>
      <c r="AS65" s="30">
        <f>10.652-0.247</f>
        <v>10.404999999999999</v>
      </c>
      <c r="AT65" s="30">
        <f>2.552-55.419</f>
        <v>-52.866999999999997</v>
      </c>
      <c r="AU65" s="30">
        <f>4.149+4.962+27.602</f>
        <v>36.713000000000001</v>
      </c>
      <c r="AV65" s="1255">
        <f>6.134-28.481</f>
        <v>-22.347000000000001</v>
      </c>
      <c r="AW65" s="30">
        <f>0.864+1.909</f>
        <v>2.7730000000000001</v>
      </c>
      <c r="AX65" s="30">
        <v>2.1539999999999999</v>
      </c>
      <c r="AY65" s="30">
        <v>1.923</v>
      </c>
      <c r="AZ65" s="1255">
        <f>0.042-0.844</f>
        <v>-0.80199999999999994</v>
      </c>
      <c r="BA65" s="30">
        <f>0.85-0.959</f>
        <v>-0.10899999999999999</v>
      </c>
      <c r="BB65" s="30">
        <v>0.26600000000000001</v>
      </c>
      <c r="BC65" s="33">
        <v>0</v>
      </c>
      <c r="BD65" s="34">
        <v>0</v>
      </c>
      <c r="BE65" s="32">
        <v>0</v>
      </c>
      <c r="BF65" s="32">
        <v>0</v>
      </c>
      <c r="BG65" s="33">
        <v>0</v>
      </c>
      <c r="BH65" s="34">
        <v>0</v>
      </c>
      <c r="BI65" s="32">
        <v>0</v>
      </c>
      <c r="BJ65" s="32">
        <v>0</v>
      </c>
      <c r="BK65" s="33">
        <v>0</v>
      </c>
      <c r="BL65" s="20"/>
      <c r="BM65" s="32">
        <f t="shared" si="253"/>
        <v>0</v>
      </c>
      <c r="BN65" s="32">
        <f t="shared" si="254"/>
        <v>51.692</v>
      </c>
      <c r="BO65" s="32">
        <f t="shared" si="255"/>
        <v>62.734000000000009</v>
      </c>
      <c r="BP65" s="32">
        <f t="shared" si="256"/>
        <v>26.864999999999998</v>
      </c>
      <c r="BQ65" s="32">
        <f t="shared" si="257"/>
        <v>166.15100000000001</v>
      </c>
      <c r="BR65" s="32">
        <f t="shared" si="258"/>
        <v>19.123999999999999</v>
      </c>
      <c r="BS65" s="32">
        <f t="shared" si="259"/>
        <v>18.880999999999997</v>
      </c>
      <c r="BT65" s="32">
        <f t="shared" si="260"/>
        <v>33.029000000000003</v>
      </c>
      <c r="BU65" s="32">
        <f t="shared" si="261"/>
        <v>52.754000000000005</v>
      </c>
      <c r="BV65" s="32">
        <f t="shared" si="262"/>
        <v>158.03100000000001</v>
      </c>
      <c r="BW65" s="32">
        <f t="shared" si="263"/>
        <v>152.26300000000001</v>
      </c>
      <c r="BX65" s="32">
        <f t="shared" si="264"/>
        <v>-15.497000000000002</v>
      </c>
      <c r="BY65" s="32">
        <f t="shared" si="265"/>
        <v>-0.64499999999999991</v>
      </c>
      <c r="BZ65" s="32">
        <f t="shared" si="266"/>
        <v>0</v>
      </c>
      <c r="CA65" s="33">
        <f t="shared" si="267"/>
        <v>0</v>
      </c>
      <c r="CB65" s="34"/>
      <c r="CC65" s="32"/>
      <c r="CD65" s="32"/>
      <c r="CE65" s="260"/>
      <c r="CF65" s="34">
        <f t="shared" si="268"/>
        <v>0</v>
      </c>
      <c r="CG65" s="32">
        <f t="shared" si="269"/>
        <v>72.046999999999997</v>
      </c>
      <c r="CH65" s="32">
        <f t="shared" si="270"/>
        <v>63.889000000000003</v>
      </c>
      <c r="CI65" s="32">
        <f t="shared" si="271"/>
        <v>-10.609000000000005</v>
      </c>
      <c r="CJ65" s="32">
        <f t="shared" si="272"/>
        <v>203.24799999999999</v>
      </c>
      <c r="CK65" s="32">
        <f t="shared" si="273"/>
        <v>-6.2430000000000039</v>
      </c>
      <c r="CL65" s="32">
        <f t="shared" si="274"/>
        <v>52.361000000000004</v>
      </c>
      <c r="CM65" s="32">
        <f t="shared" si="275"/>
        <v>38.47</v>
      </c>
      <c r="CN65" s="32">
        <f t="shared" si="276"/>
        <v>174.50699999999998</v>
      </c>
      <c r="CO65" s="32">
        <f t="shared" si="277"/>
        <v>170.00800000000001</v>
      </c>
      <c r="CP65" s="32">
        <f t="shared" si="278"/>
        <v>-35.727999999999994</v>
      </c>
      <c r="CQ65" s="32">
        <f t="shared" si="279"/>
        <v>3.1659999999999999</v>
      </c>
      <c r="CR65" s="32">
        <f t="shared" si="280"/>
        <v>0.26600000000000001</v>
      </c>
      <c r="CS65" s="33">
        <f t="shared" si="281"/>
        <v>0</v>
      </c>
      <c r="CT65" s="32"/>
    </row>
    <row r="66" spans="1:104" ht="14.25" hidden="1" customHeight="1" outlineLevel="1">
      <c r="A66" s="8"/>
      <c r="B66" s="28" t="s">
        <v>299</v>
      </c>
      <c r="C66" s="29"/>
      <c r="D66" s="30">
        <v>0</v>
      </c>
      <c r="E66" s="30">
        <v>0</v>
      </c>
      <c r="F66" s="30">
        <v>0</v>
      </c>
      <c r="G66" s="31">
        <v>0</v>
      </c>
      <c r="H66" s="30">
        <v>0</v>
      </c>
      <c r="I66" s="30">
        <v>0</v>
      </c>
      <c r="J66" s="30">
        <v>0</v>
      </c>
      <c r="K66" s="31">
        <v>0</v>
      </c>
      <c r="L66" s="30">
        <v>0</v>
      </c>
      <c r="M66" s="30">
        <v>0</v>
      </c>
      <c r="N66" s="30">
        <v>0</v>
      </c>
      <c r="O66" s="31">
        <v>0</v>
      </c>
      <c r="P66" s="30">
        <v>0</v>
      </c>
      <c r="Q66" s="30">
        <v>0</v>
      </c>
      <c r="R66" s="30">
        <v>0</v>
      </c>
      <c r="S66" s="31">
        <v>0</v>
      </c>
      <c r="T66" s="30">
        <v>0</v>
      </c>
      <c r="U66" s="30">
        <v>0</v>
      </c>
      <c r="V66" s="30">
        <v>0</v>
      </c>
      <c r="W66" s="31">
        <v>0</v>
      </c>
      <c r="X66" s="30">
        <v>0</v>
      </c>
      <c r="Y66" s="30">
        <v>0</v>
      </c>
      <c r="Z66" s="30">
        <v>0</v>
      </c>
      <c r="AA66" s="31">
        <v>0</v>
      </c>
      <c r="AB66" s="30">
        <v>0</v>
      </c>
      <c r="AC66" s="30">
        <v>0</v>
      </c>
      <c r="AD66" s="30">
        <v>0</v>
      </c>
      <c r="AE66" s="31">
        <v>0</v>
      </c>
      <c r="AF66" s="30">
        <v>0</v>
      </c>
      <c r="AG66" s="30">
        <v>0</v>
      </c>
      <c r="AH66" s="30">
        <v>0</v>
      </c>
      <c r="AI66" s="31">
        <v>0</v>
      </c>
      <c r="AJ66" s="1255">
        <v>0</v>
      </c>
      <c r="AK66" s="30">
        <v>0</v>
      </c>
      <c r="AL66" s="30">
        <v>0</v>
      </c>
      <c r="AM66" s="31">
        <v>0</v>
      </c>
      <c r="AN66" s="1255">
        <v>0</v>
      </c>
      <c r="AO66" s="30">
        <v>0</v>
      </c>
      <c r="AP66" s="30">
        <v>0</v>
      </c>
      <c r="AQ66" s="31">
        <v>0</v>
      </c>
      <c r="AR66" s="1255">
        <v>0</v>
      </c>
      <c r="AS66" s="30">
        <v>0</v>
      </c>
      <c r="AT66" s="30">
        <v>0</v>
      </c>
      <c r="AU66" s="30">
        <v>0</v>
      </c>
      <c r="AV66" s="1255">
        <v>0</v>
      </c>
      <c r="AW66" s="30">
        <v>0</v>
      </c>
      <c r="AX66" s="30">
        <v>0</v>
      </c>
      <c r="AY66" s="30">
        <v>0</v>
      </c>
      <c r="AZ66" s="1255">
        <v>0</v>
      </c>
      <c r="BA66" s="30">
        <v>0</v>
      </c>
      <c r="BB66" s="30">
        <v>0</v>
      </c>
      <c r="BC66" s="33">
        <v>0</v>
      </c>
      <c r="BD66" s="34">
        <v>0</v>
      </c>
      <c r="BE66" s="32">
        <v>0</v>
      </c>
      <c r="BF66" s="32">
        <v>0</v>
      </c>
      <c r="BG66" s="33">
        <v>0</v>
      </c>
      <c r="BH66" s="34">
        <v>0</v>
      </c>
      <c r="BI66" s="32">
        <v>0</v>
      </c>
      <c r="BJ66" s="32">
        <v>0</v>
      </c>
      <c r="BK66" s="33">
        <v>0</v>
      </c>
      <c r="BL66" s="20"/>
      <c r="BM66" s="32">
        <f t="shared" si="253"/>
        <v>0</v>
      </c>
      <c r="BN66" s="32">
        <f t="shared" si="254"/>
        <v>0</v>
      </c>
      <c r="BO66" s="32">
        <f t="shared" si="255"/>
        <v>0</v>
      </c>
      <c r="BP66" s="32">
        <f t="shared" si="256"/>
        <v>0</v>
      </c>
      <c r="BQ66" s="32">
        <f t="shared" si="257"/>
        <v>0</v>
      </c>
      <c r="BR66" s="32">
        <f t="shared" si="258"/>
        <v>0</v>
      </c>
      <c r="BS66" s="32">
        <f t="shared" si="259"/>
        <v>0</v>
      </c>
      <c r="BT66" s="32">
        <f t="shared" si="260"/>
        <v>0</v>
      </c>
      <c r="BU66" s="32">
        <f t="shared" si="261"/>
        <v>0</v>
      </c>
      <c r="BV66" s="32">
        <f t="shared" si="262"/>
        <v>0</v>
      </c>
      <c r="BW66" s="32">
        <f t="shared" si="263"/>
        <v>0</v>
      </c>
      <c r="BX66" s="32">
        <f t="shared" si="264"/>
        <v>0</v>
      </c>
      <c r="BY66" s="32">
        <f t="shared" si="265"/>
        <v>0</v>
      </c>
      <c r="BZ66" s="32">
        <f t="shared" si="266"/>
        <v>0</v>
      </c>
      <c r="CA66" s="33">
        <f t="shared" si="267"/>
        <v>0</v>
      </c>
      <c r="CB66" s="34"/>
      <c r="CC66" s="32"/>
      <c r="CD66" s="32"/>
      <c r="CE66" s="260"/>
      <c r="CF66" s="34">
        <f t="shared" si="268"/>
        <v>0</v>
      </c>
      <c r="CG66" s="32">
        <f t="shared" si="269"/>
        <v>0</v>
      </c>
      <c r="CH66" s="32">
        <f t="shared" si="270"/>
        <v>0</v>
      </c>
      <c r="CI66" s="32">
        <f t="shared" si="271"/>
        <v>0</v>
      </c>
      <c r="CJ66" s="32">
        <f t="shared" si="272"/>
        <v>0</v>
      </c>
      <c r="CK66" s="32">
        <f t="shared" si="273"/>
        <v>0</v>
      </c>
      <c r="CL66" s="32">
        <f t="shared" si="274"/>
        <v>0</v>
      </c>
      <c r="CM66" s="32">
        <f t="shared" si="275"/>
        <v>0</v>
      </c>
      <c r="CN66" s="32">
        <f t="shared" si="276"/>
        <v>0</v>
      </c>
      <c r="CO66" s="32">
        <f t="shared" si="277"/>
        <v>0</v>
      </c>
      <c r="CP66" s="32">
        <f t="shared" si="278"/>
        <v>0</v>
      </c>
      <c r="CQ66" s="32">
        <f t="shared" si="279"/>
        <v>0</v>
      </c>
      <c r="CR66" s="32">
        <f t="shared" si="280"/>
        <v>0</v>
      </c>
      <c r="CS66" s="33">
        <f t="shared" si="281"/>
        <v>0</v>
      </c>
      <c r="CT66" s="32"/>
    </row>
    <row r="67" spans="1:104" ht="14.25" hidden="1" customHeight="1" outlineLevel="1">
      <c r="A67" s="8"/>
      <c r="B67" s="28" t="s">
        <v>300</v>
      </c>
      <c r="C67" s="29"/>
      <c r="D67" s="32">
        <f t="shared" ref="D67:K67" si="283">D62</f>
        <v>0</v>
      </c>
      <c r="E67" s="32">
        <f t="shared" si="283"/>
        <v>0</v>
      </c>
      <c r="F67" s="32">
        <f t="shared" si="283"/>
        <v>0</v>
      </c>
      <c r="G67" s="33">
        <f t="shared" si="283"/>
        <v>0</v>
      </c>
      <c r="H67" s="32">
        <f t="shared" si="283"/>
        <v>0</v>
      </c>
      <c r="I67" s="32">
        <f t="shared" si="283"/>
        <v>0</v>
      </c>
      <c r="J67" s="32">
        <f t="shared" si="283"/>
        <v>0</v>
      </c>
      <c r="K67" s="33">
        <f t="shared" si="283"/>
        <v>61.896000000000001</v>
      </c>
      <c r="L67" s="32">
        <f t="shared" ref="L67:W67" si="284">L62</f>
        <v>7.5600000000000005</v>
      </c>
      <c r="M67" s="32">
        <f t="shared" si="284"/>
        <v>15.145</v>
      </c>
      <c r="N67" s="32">
        <f t="shared" si="284"/>
        <v>30.507999999999999</v>
      </c>
      <c r="O67" s="33">
        <f t="shared" si="284"/>
        <v>26.079000000000001</v>
      </c>
      <c r="P67" s="32">
        <f t="shared" si="284"/>
        <v>18.806999999999999</v>
      </c>
      <c r="Q67" s="32">
        <f t="shared" si="284"/>
        <v>71.518000000000001</v>
      </c>
      <c r="R67" s="32">
        <f t="shared" si="284"/>
        <v>14.924999999999999</v>
      </c>
      <c r="S67" s="33">
        <f>S62</f>
        <v>3.3039999999999963</v>
      </c>
      <c r="T67" s="32">
        <f t="shared" si="284"/>
        <v>-8.3110000000000017</v>
      </c>
      <c r="U67" s="32">
        <f t="shared" si="284"/>
        <v>4.83</v>
      </c>
      <c r="V67" s="32">
        <f t="shared" si="284"/>
        <v>178.72</v>
      </c>
      <c r="W67" s="33">
        <f t="shared" si="284"/>
        <v>8.9760000000000204</v>
      </c>
      <c r="X67" s="32">
        <f t="shared" ref="X67:AE67" si="285">X62</f>
        <v>7.2120000000000006</v>
      </c>
      <c r="Y67" s="32">
        <f t="shared" si="285"/>
        <v>26.035000000000004</v>
      </c>
      <c r="Z67" s="32">
        <f t="shared" si="285"/>
        <v>4.0829999999999993</v>
      </c>
      <c r="AA67" s="33">
        <f t="shared" si="285"/>
        <v>1.792999999999997</v>
      </c>
      <c r="AB67" s="32">
        <f t="shared" si="285"/>
        <v>0.42399999999999949</v>
      </c>
      <c r="AC67" s="32">
        <f t="shared" si="285"/>
        <v>10.54</v>
      </c>
      <c r="AD67" s="32">
        <f t="shared" si="285"/>
        <v>9.4579999999999984</v>
      </c>
      <c r="AE67" s="33">
        <f t="shared" si="285"/>
        <v>21.980999999999998</v>
      </c>
      <c r="AF67" s="32">
        <f>AF62</f>
        <v>7.1710000000000003</v>
      </c>
      <c r="AG67" s="32">
        <f>AG62</f>
        <v>30.027000000000001</v>
      </c>
      <c r="AH67" s="32">
        <f>AH62</f>
        <v>5.7320000000000002</v>
      </c>
      <c r="AI67" s="33">
        <f>AI62</f>
        <v>6.2170000000000005</v>
      </c>
      <c r="AJ67" s="34">
        <f t="shared" ref="AJ67:AO67" si="286">AJ62</f>
        <v>11.254999999999999</v>
      </c>
      <c r="AK67" s="32">
        <f t="shared" si="286"/>
        <v>31.835999999999999</v>
      </c>
      <c r="AL67" s="32">
        <f t="shared" si="286"/>
        <v>11.026</v>
      </c>
      <c r="AM67" s="33">
        <f t="shared" si="286"/>
        <v>25.455000000000002</v>
      </c>
      <c r="AN67" s="34">
        <f t="shared" si="286"/>
        <v>17.512</v>
      </c>
      <c r="AO67" s="32">
        <f t="shared" si="286"/>
        <v>162.42999999999998</v>
      </c>
      <c r="AP67" s="32">
        <f t="shared" ref="AP67:BC67" si="287">AP62</f>
        <v>10.138999999999999</v>
      </c>
      <c r="AQ67" s="33">
        <f t="shared" si="287"/>
        <v>14.669</v>
      </c>
      <c r="AR67" s="34">
        <f t="shared" si="287"/>
        <v>168.72900000000001</v>
      </c>
      <c r="AS67" s="32">
        <f t="shared" si="287"/>
        <v>15.892999999999999</v>
      </c>
      <c r="AT67" s="32">
        <f t="shared" si="287"/>
        <v>-49.823</v>
      </c>
      <c r="AU67" s="32">
        <f t="shared" ref="AU67:AZ67" si="288">AU62</f>
        <v>39.68</v>
      </c>
      <c r="AV67" s="34">
        <f t="shared" si="288"/>
        <v>-9.9390000000000018</v>
      </c>
      <c r="AW67" s="32">
        <f t="shared" si="288"/>
        <v>5.5039999999999996</v>
      </c>
      <c r="AX67" s="32">
        <f t="shared" si="288"/>
        <v>5.5019999999999998</v>
      </c>
      <c r="AY67" s="32">
        <f t="shared" si="288"/>
        <v>5.1479999999999997</v>
      </c>
      <c r="AZ67" s="34">
        <f t="shared" si="288"/>
        <v>6.383</v>
      </c>
      <c r="BA67" s="32">
        <f>BA62</f>
        <v>7.4089999999999998</v>
      </c>
      <c r="BB67" s="32">
        <f t="shared" ref="BB67" si="289">BB62</f>
        <v>3.4139999999999997</v>
      </c>
      <c r="BC67" s="33">
        <f t="shared" si="287"/>
        <v>0.876</v>
      </c>
      <c r="BD67" s="34">
        <f t="shared" ref="BD67:BK67" si="290">BD62</f>
        <v>0.876</v>
      </c>
      <c r="BE67" s="32">
        <f t="shared" si="290"/>
        <v>0.876</v>
      </c>
      <c r="BF67" s="32">
        <f t="shared" si="290"/>
        <v>0.876</v>
      </c>
      <c r="BG67" s="33">
        <f t="shared" si="290"/>
        <v>0.876</v>
      </c>
      <c r="BH67" s="34">
        <f t="shared" si="290"/>
        <v>0.876</v>
      </c>
      <c r="BI67" s="32">
        <f t="shared" si="290"/>
        <v>0.876</v>
      </c>
      <c r="BJ67" s="32">
        <f t="shared" si="290"/>
        <v>0.876</v>
      </c>
      <c r="BK67" s="33">
        <f t="shared" si="290"/>
        <v>0.876</v>
      </c>
      <c r="BL67" s="20"/>
      <c r="BM67" s="32">
        <f t="shared" si="253"/>
        <v>0</v>
      </c>
      <c r="BN67" s="32">
        <f t="shared" si="254"/>
        <v>61.896000000000001</v>
      </c>
      <c r="BO67" s="32">
        <f t="shared" si="255"/>
        <v>79.292000000000002</v>
      </c>
      <c r="BP67" s="32">
        <f t="shared" si="256"/>
        <v>108.554</v>
      </c>
      <c r="BQ67" s="32">
        <f t="shared" si="257"/>
        <v>184.21500000000003</v>
      </c>
      <c r="BR67" s="32">
        <f t="shared" si="258"/>
        <v>39.123000000000005</v>
      </c>
      <c r="BS67" s="32">
        <f t="shared" si="259"/>
        <v>42.402999999999992</v>
      </c>
      <c r="BT67" s="32">
        <f t="shared" si="260"/>
        <v>49.146999999999998</v>
      </c>
      <c r="BU67" s="32">
        <f t="shared" si="261"/>
        <v>79.571999999999989</v>
      </c>
      <c r="BV67" s="32">
        <f t="shared" si="262"/>
        <v>204.75</v>
      </c>
      <c r="BW67" s="32">
        <f t="shared" si="263"/>
        <v>174.47900000000001</v>
      </c>
      <c r="BX67" s="32">
        <f t="shared" si="264"/>
        <v>6.2149999999999972</v>
      </c>
      <c r="BY67" s="32">
        <f t="shared" si="265"/>
        <v>18.082000000000001</v>
      </c>
      <c r="BZ67" s="32">
        <f t="shared" si="266"/>
        <v>3.504</v>
      </c>
      <c r="CA67" s="33">
        <f t="shared" si="267"/>
        <v>3.504</v>
      </c>
      <c r="CB67" s="34"/>
      <c r="CC67" s="32"/>
      <c r="CD67" s="32"/>
      <c r="CE67" s="260"/>
      <c r="CF67" s="34">
        <f t="shared" si="268"/>
        <v>0</v>
      </c>
      <c r="CG67" s="32">
        <f t="shared" si="269"/>
        <v>84.600999999999999</v>
      </c>
      <c r="CH67" s="32">
        <f t="shared" si="270"/>
        <v>146.91200000000001</v>
      </c>
      <c r="CI67" s="32">
        <f t="shared" si="271"/>
        <v>14.747999999999994</v>
      </c>
      <c r="CJ67" s="32">
        <f t="shared" si="272"/>
        <v>220.94300000000001</v>
      </c>
      <c r="CK67" s="32">
        <f t="shared" si="273"/>
        <v>16.839999999999996</v>
      </c>
      <c r="CL67" s="32">
        <f t="shared" si="274"/>
        <v>68.637</v>
      </c>
      <c r="CM67" s="32">
        <f t="shared" si="275"/>
        <v>55.04</v>
      </c>
      <c r="CN67" s="32">
        <f t="shared" si="276"/>
        <v>216.42299999999997</v>
      </c>
      <c r="CO67" s="32">
        <f t="shared" si="277"/>
        <v>209.43</v>
      </c>
      <c r="CP67" s="32">
        <f t="shared" si="278"/>
        <v>-14.578000000000001</v>
      </c>
      <c r="CQ67" s="32">
        <f t="shared" si="279"/>
        <v>24.441999999999997</v>
      </c>
      <c r="CR67" s="32">
        <f t="shared" si="280"/>
        <v>6.0420000000000007</v>
      </c>
      <c r="CS67" s="33">
        <f t="shared" si="281"/>
        <v>3.504</v>
      </c>
      <c r="CT67" s="32"/>
    </row>
    <row r="68" spans="1:104" ht="14.25" hidden="1" customHeight="1" outlineLevel="1">
      <c r="A68" s="8"/>
      <c r="B68" s="23" t="s">
        <v>316</v>
      </c>
      <c r="C68" s="24"/>
      <c r="D68" s="34">
        <f t="shared" ref="D68:W68" si="291">D62-D66-D67</f>
        <v>0</v>
      </c>
      <c r="E68" s="32">
        <f t="shared" si="291"/>
        <v>0</v>
      </c>
      <c r="F68" s="32">
        <f t="shared" si="291"/>
        <v>0</v>
      </c>
      <c r="G68" s="33">
        <f t="shared" si="291"/>
        <v>0</v>
      </c>
      <c r="H68" s="34">
        <f t="shared" si="291"/>
        <v>0</v>
      </c>
      <c r="I68" s="32">
        <f t="shared" si="291"/>
        <v>0</v>
      </c>
      <c r="J68" s="32">
        <f t="shared" si="291"/>
        <v>0</v>
      </c>
      <c r="K68" s="33">
        <f t="shared" si="291"/>
        <v>0</v>
      </c>
      <c r="L68" s="34">
        <f t="shared" si="291"/>
        <v>0</v>
      </c>
      <c r="M68" s="32">
        <f t="shared" si="291"/>
        <v>0</v>
      </c>
      <c r="N68" s="32">
        <f t="shared" si="291"/>
        <v>0</v>
      </c>
      <c r="O68" s="33">
        <f t="shared" si="291"/>
        <v>0</v>
      </c>
      <c r="P68" s="34">
        <f t="shared" si="291"/>
        <v>0</v>
      </c>
      <c r="Q68" s="32">
        <f t="shared" si="291"/>
        <v>0</v>
      </c>
      <c r="R68" s="32">
        <f t="shared" si="291"/>
        <v>0</v>
      </c>
      <c r="S68" s="33">
        <f t="shared" si="291"/>
        <v>0</v>
      </c>
      <c r="T68" s="34">
        <f t="shared" si="291"/>
        <v>0</v>
      </c>
      <c r="U68" s="32">
        <f t="shared" si="291"/>
        <v>0</v>
      </c>
      <c r="V68" s="32">
        <f t="shared" si="291"/>
        <v>0</v>
      </c>
      <c r="W68" s="33">
        <f t="shared" si="291"/>
        <v>0</v>
      </c>
      <c r="X68" s="34">
        <f t="shared" ref="X68:AK68" si="292">X62-X66-X67</f>
        <v>0</v>
      </c>
      <c r="Y68" s="32">
        <f t="shared" si="292"/>
        <v>0</v>
      </c>
      <c r="Z68" s="32">
        <f t="shared" si="292"/>
        <v>0</v>
      </c>
      <c r="AA68" s="33">
        <f t="shared" si="292"/>
        <v>0</v>
      </c>
      <c r="AB68" s="34">
        <f t="shared" si="292"/>
        <v>0</v>
      </c>
      <c r="AC68" s="32">
        <f t="shared" si="292"/>
        <v>0</v>
      </c>
      <c r="AD68" s="32">
        <f t="shared" si="292"/>
        <v>0</v>
      </c>
      <c r="AE68" s="33">
        <f t="shared" si="292"/>
        <v>0</v>
      </c>
      <c r="AF68" s="32">
        <f t="shared" si="292"/>
        <v>0</v>
      </c>
      <c r="AG68" s="32">
        <f t="shared" si="292"/>
        <v>0</v>
      </c>
      <c r="AH68" s="32">
        <f t="shared" si="292"/>
        <v>0</v>
      </c>
      <c r="AI68" s="33">
        <f t="shared" si="292"/>
        <v>0</v>
      </c>
      <c r="AJ68" s="34">
        <f t="shared" si="292"/>
        <v>0</v>
      </c>
      <c r="AK68" s="32">
        <f t="shared" si="292"/>
        <v>0</v>
      </c>
      <c r="AL68" s="32">
        <f t="shared" ref="AL68:AQ68" si="293">AL62-AL66-AL67</f>
        <v>0</v>
      </c>
      <c r="AM68" s="33">
        <f t="shared" si="293"/>
        <v>0</v>
      </c>
      <c r="AN68" s="34">
        <f t="shared" si="293"/>
        <v>0</v>
      </c>
      <c r="AO68" s="32">
        <f t="shared" si="293"/>
        <v>0</v>
      </c>
      <c r="AP68" s="32">
        <f t="shared" si="293"/>
        <v>0</v>
      </c>
      <c r="AQ68" s="33">
        <f t="shared" si="293"/>
        <v>0</v>
      </c>
      <c r="AR68" s="34">
        <f t="shared" ref="AR68:BC68" si="294">AR62-AR66-AR67</f>
        <v>0</v>
      </c>
      <c r="AS68" s="32">
        <f t="shared" si="294"/>
        <v>0</v>
      </c>
      <c r="AT68" s="32">
        <f t="shared" si="294"/>
        <v>0</v>
      </c>
      <c r="AU68" s="32">
        <f t="shared" si="294"/>
        <v>0</v>
      </c>
      <c r="AV68" s="34">
        <f t="shared" ref="AV68:BA68" si="295">AV62-AV66-AV67</f>
        <v>0</v>
      </c>
      <c r="AW68" s="32">
        <f t="shared" si="295"/>
        <v>0</v>
      </c>
      <c r="AX68" s="32">
        <f t="shared" si="295"/>
        <v>0</v>
      </c>
      <c r="AY68" s="32">
        <f t="shared" si="295"/>
        <v>0</v>
      </c>
      <c r="AZ68" s="34">
        <f t="shared" si="295"/>
        <v>0</v>
      </c>
      <c r="BA68" s="32">
        <f t="shared" si="295"/>
        <v>0</v>
      </c>
      <c r="BB68" s="32">
        <f t="shared" ref="BB68" si="296">BB62-BB66-BB67</f>
        <v>0</v>
      </c>
      <c r="BC68" s="33">
        <f t="shared" si="294"/>
        <v>0</v>
      </c>
      <c r="BD68" s="34">
        <f t="shared" ref="BD68:BK68" si="297">BD62-BD66-BD67</f>
        <v>0</v>
      </c>
      <c r="BE68" s="32">
        <f t="shared" si="297"/>
        <v>0</v>
      </c>
      <c r="BF68" s="32">
        <f t="shared" si="297"/>
        <v>0</v>
      </c>
      <c r="BG68" s="33">
        <f t="shared" si="297"/>
        <v>0</v>
      </c>
      <c r="BH68" s="34">
        <f t="shared" si="297"/>
        <v>0</v>
      </c>
      <c r="BI68" s="32">
        <f t="shared" si="297"/>
        <v>0</v>
      </c>
      <c r="BJ68" s="32">
        <f t="shared" si="297"/>
        <v>0</v>
      </c>
      <c r="BK68" s="33">
        <f t="shared" si="297"/>
        <v>0</v>
      </c>
      <c r="BL68" s="20"/>
      <c r="BM68" s="32">
        <f t="shared" ref="BM68:BW68" si="298">BM62-BM66-BM67</f>
        <v>0</v>
      </c>
      <c r="BN68" s="32">
        <f t="shared" si="298"/>
        <v>0</v>
      </c>
      <c r="BO68" s="32">
        <f t="shared" si="298"/>
        <v>0</v>
      </c>
      <c r="BP68" s="32">
        <f t="shared" si="298"/>
        <v>0</v>
      </c>
      <c r="BQ68" s="32">
        <f t="shared" si="298"/>
        <v>0</v>
      </c>
      <c r="BR68" s="32">
        <f t="shared" si="298"/>
        <v>0</v>
      </c>
      <c r="BS68" s="32">
        <f>BS62-BS66-BS67</f>
        <v>0</v>
      </c>
      <c r="BT68" s="32">
        <f t="shared" si="298"/>
        <v>0</v>
      </c>
      <c r="BU68" s="32">
        <f t="shared" si="298"/>
        <v>0</v>
      </c>
      <c r="BV68" s="32">
        <f t="shared" si="298"/>
        <v>0</v>
      </c>
      <c r="BW68" s="32">
        <f t="shared" si="298"/>
        <v>0</v>
      </c>
      <c r="BX68" s="32">
        <f>BX62-BX66-BX67</f>
        <v>0</v>
      </c>
      <c r="BY68" s="32">
        <f>BY62-BY66-BY67</f>
        <v>0</v>
      </c>
      <c r="BZ68" s="32">
        <f>BZ62-BZ66-BZ67</f>
        <v>0</v>
      </c>
      <c r="CA68" s="33">
        <f>CA62-CA66-CA67</f>
        <v>0</v>
      </c>
      <c r="CB68" s="34"/>
      <c r="CC68" s="32"/>
      <c r="CD68" s="32"/>
      <c r="CE68" s="260"/>
      <c r="CF68" s="34">
        <f t="shared" ref="CF68:CL68" si="299">CF62-CF66-CF67</f>
        <v>0</v>
      </c>
      <c r="CG68" s="32">
        <f t="shared" si="299"/>
        <v>0</v>
      </c>
      <c r="CH68" s="32">
        <f t="shared" si="299"/>
        <v>0</v>
      </c>
      <c r="CI68" s="32">
        <f t="shared" si="299"/>
        <v>0</v>
      </c>
      <c r="CJ68" s="32">
        <f t="shared" si="299"/>
        <v>0</v>
      </c>
      <c r="CK68" s="32">
        <f t="shared" si="299"/>
        <v>0</v>
      </c>
      <c r="CL68" s="32">
        <f t="shared" si="299"/>
        <v>0</v>
      </c>
      <c r="CM68" s="32">
        <f t="shared" ref="CM68:CR68" si="300">CM62-CM66-CM67</f>
        <v>0</v>
      </c>
      <c r="CN68" s="32">
        <f t="shared" si="300"/>
        <v>0</v>
      </c>
      <c r="CO68" s="32">
        <f t="shared" si="300"/>
        <v>0</v>
      </c>
      <c r="CP68" s="32">
        <f t="shared" si="300"/>
        <v>0</v>
      </c>
      <c r="CQ68" s="32">
        <f t="shared" si="300"/>
        <v>0</v>
      </c>
      <c r="CR68" s="32">
        <f t="shared" si="300"/>
        <v>0</v>
      </c>
      <c r="CS68" s="33">
        <f>CS62-CS66-CS67</f>
        <v>0</v>
      </c>
      <c r="CT68" s="32"/>
    </row>
    <row r="69" spans="1:104" ht="14.25" hidden="1" customHeight="1" outlineLevel="1">
      <c r="A69" s="8"/>
      <c r="B69" s="28" t="s">
        <v>301</v>
      </c>
      <c r="C69" s="29"/>
      <c r="D69" s="30">
        <v>0</v>
      </c>
      <c r="E69" s="30">
        <v>0</v>
      </c>
      <c r="F69" s="30">
        <v>0</v>
      </c>
      <c r="G69" s="31">
        <v>0</v>
      </c>
      <c r="H69" s="30">
        <v>0</v>
      </c>
      <c r="I69" s="30">
        <v>0</v>
      </c>
      <c r="J69" s="30">
        <v>0</v>
      </c>
      <c r="K69" s="31">
        <v>0</v>
      </c>
      <c r="L69" s="30">
        <v>0</v>
      </c>
      <c r="M69" s="30">
        <v>0</v>
      </c>
      <c r="N69" s="30">
        <v>0</v>
      </c>
      <c r="O69" s="31">
        <v>0</v>
      </c>
      <c r="P69" s="30">
        <v>0</v>
      </c>
      <c r="Q69" s="30">
        <v>0</v>
      </c>
      <c r="R69" s="30">
        <v>0</v>
      </c>
      <c r="S69" s="31">
        <v>0</v>
      </c>
      <c r="T69" s="30">
        <v>0</v>
      </c>
      <c r="U69" s="30">
        <v>0</v>
      </c>
      <c r="V69" s="30">
        <v>0</v>
      </c>
      <c r="W69" s="31">
        <v>0</v>
      </c>
      <c r="X69" s="30">
        <v>0</v>
      </c>
      <c r="Y69" s="30">
        <v>0</v>
      </c>
      <c r="Z69" s="30">
        <v>0</v>
      </c>
      <c r="AA69" s="31">
        <v>0</v>
      </c>
      <c r="AB69" s="30">
        <v>0</v>
      </c>
      <c r="AC69" s="30">
        <v>0</v>
      </c>
      <c r="AD69" s="30">
        <v>0</v>
      </c>
      <c r="AE69" s="31">
        <v>0</v>
      </c>
      <c r="AF69" s="32">
        <f>AE69</f>
        <v>0</v>
      </c>
      <c r="AG69" s="32">
        <f>AF69</f>
        <v>0</v>
      </c>
      <c r="AH69" s="32">
        <f>AG69</f>
        <v>0</v>
      </c>
      <c r="AI69" s="31">
        <v>0</v>
      </c>
      <c r="AJ69" s="34">
        <f>AI69</f>
        <v>0</v>
      </c>
      <c r="AK69" s="32">
        <f>AJ69</f>
        <v>0</v>
      </c>
      <c r="AL69" s="32">
        <f>AK69</f>
        <v>0</v>
      </c>
      <c r="AM69" s="31">
        <v>0</v>
      </c>
      <c r="AN69" s="34">
        <f>AM69</f>
        <v>0</v>
      </c>
      <c r="AO69" s="32">
        <f>AN69</f>
        <v>0</v>
      </c>
      <c r="AP69" s="32">
        <f>AO69</f>
        <v>0</v>
      </c>
      <c r="AQ69" s="31">
        <v>0</v>
      </c>
      <c r="AR69" s="34">
        <f t="shared" ref="AR69:BC69" si="301">AQ69</f>
        <v>0</v>
      </c>
      <c r="AS69" s="32">
        <f t="shared" si="301"/>
        <v>0</v>
      </c>
      <c r="AT69" s="32">
        <f t="shared" si="301"/>
        <v>0</v>
      </c>
      <c r="AU69" s="32">
        <f t="shared" si="301"/>
        <v>0</v>
      </c>
      <c r="AV69" s="34">
        <f t="shared" si="301"/>
        <v>0</v>
      </c>
      <c r="AW69" s="32">
        <f t="shared" si="301"/>
        <v>0</v>
      </c>
      <c r="AX69" s="32">
        <f t="shared" si="301"/>
        <v>0</v>
      </c>
      <c r="AY69" s="32">
        <f t="shared" si="301"/>
        <v>0</v>
      </c>
      <c r="AZ69" s="34">
        <f t="shared" si="301"/>
        <v>0</v>
      </c>
      <c r="BA69" s="32">
        <f t="shared" si="301"/>
        <v>0</v>
      </c>
      <c r="BB69" s="32">
        <f t="shared" si="301"/>
        <v>0</v>
      </c>
      <c r="BC69" s="33">
        <f t="shared" si="301"/>
        <v>0</v>
      </c>
      <c r="BD69" s="34">
        <f t="shared" ref="BD69:BK69" si="302">BC69</f>
        <v>0</v>
      </c>
      <c r="BE69" s="32">
        <f t="shared" si="302"/>
        <v>0</v>
      </c>
      <c r="BF69" s="32">
        <f t="shared" si="302"/>
        <v>0</v>
      </c>
      <c r="BG69" s="33">
        <f t="shared" si="302"/>
        <v>0</v>
      </c>
      <c r="BH69" s="34">
        <f t="shared" si="302"/>
        <v>0</v>
      </c>
      <c r="BI69" s="32">
        <f t="shared" si="302"/>
        <v>0</v>
      </c>
      <c r="BJ69" s="32">
        <f t="shared" si="302"/>
        <v>0</v>
      </c>
      <c r="BK69" s="33">
        <f t="shared" si="302"/>
        <v>0</v>
      </c>
      <c r="BL69" s="20"/>
      <c r="BM69" s="32">
        <f>SUM(D69:G69)</f>
        <v>0</v>
      </c>
      <c r="BN69" s="32">
        <f>SUM(H69:K69)</f>
        <v>0</v>
      </c>
      <c r="BO69" s="32">
        <f>SUM(L69:O69)</f>
        <v>0</v>
      </c>
      <c r="BP69" s="32">
        <f>SUM(P69:S69)</f>
        <v>0</v>
      </c>
      <c r="BQ69" s="32">
        <f>SUM(T69:W69)</f>
        <v>0</v>
      </c>
      <c r="BR69" s="32">
        <f>SUM(X69:AA69)</f>
        <v>0</v>
      </c>
      <c r="BS69" s="32">
        <f>SUM(AB69:AE69)</f>
        <v>0</v>
      </c>
      <c r="BT69" s="32">
        <f>SUM(AF69:AI69)</f>
        <v>0</v>
      </c>
      <c r="BU69" s="32">
        <f>SUM(AJ69:AM69)</f>
        <v>0</v>
      </c>
      <c r="BV69" s="32">
        <f>SUM(AN69:AQ69)</f>
        <v>0</v>
      </c>
      <c r="BW69" s="32">
        <f>SUM(AR69:AU69)</f>
        <v>0</v>
      </c>
      <c r="BX69" s="32">
        <f>SUM(AV69:AY69)</f>
        <v>0</v>
      </c>
      <c r="BY69" s="32">
        <f>SUM(AZ69:BC69)</f>
        <v>0</v>
      </c>
      <c r="BZ69" s="32">
        <f>SUM(BD69:BG69)</f>
        <v>0</v>
      </c>
      <c r="CA69" s="33">
        <f>SUM(BH69:BK69)</f>
        <v>0</v>
      </c>
      <c r="CB69" s="34"/>
      <c r="CC69" s="32"/>
      <c r="CD69" s="32"/>
      <c r="CE69" s="260"/>
      <c r="CF69" s="34">
        <f>SUM(F69:I69)</f>
        <v>0</v>
      </c>
      <c r="CG69" s="32">
        <f>SUM(J69:M69)</f>
        <v>0</v>
      </c>
      <c r="CH69" s="32">
        <f>SUM(N69:Q69)</f>
        <v>0</v>
      </c>
      <c r="CI69" s="32">
        <f>SUM(R69:U69)</f>
        <v>0</v>
      </c>
      <c r="CJ69" s="32">
        <f>SUM(V69:Y69)</f>
        <v>0</v>
      </c>
      <c r="CK69" s="32">
        <f>SUM(Z69:AC69)</f>
        <v>0</v>
      </c>
      <c r="CL69" s="32">
        <f>SUM(AD69:AG69)</f>
        <v>0</v>
      </c>
      <c r="CM69" s="32">
        <f>SUM(AH69:AK69)</f>
        <v>0</v>
      </c>
      <c r="CN69" s="32">
        <f>SUM(AL69:AO69)</f>
        <v>0</v>
      </c>
      <c r="CO69" s="32">
        <f>SUM(AP69:AS69)</f>
        <v>0</v>
      </c>
      <c r="CP69" s="32">
        <f>SUM(AT69:AW69)</f>
        <v>0</v>
      </c>
      <c r="CQ69" s="32">
        <f>SUM(AX69:BA69)</f>
        <v>0</v>
      </c>
      <c r="CR69" s="32">
        <f>SUM(BB69:BE69)</f>
        <v>0</v>
      </c>
      <c r="CS69" s="33">
        <f>SUM(BF69:BI69)</f>
        <v>0</v>
      </c>
      <c r="CT69" s="32"/>
    </row>
    <row r="70" spans="1:104" s="735" customFormat="1" ht="14.25" customHeight="1" collapsed="1">
      <c r="A70" s="731"/>
      <c r="B70" s="714" t="s">
        <v>317</v>
      </c>
      <c r="C70" s="715"/>
      <c r="D70" s="719">
        <f t="shared" ref="D70:W70" si="303">D68+D66-D69</f>
        <v>0</v>
      </c>
      <c r="E70" s="719">
        <f t="shared" si="303"/>
        <v>0</v>
      </c>
      <c r="F70" s="719">
        <f t="shared" si="303"/>
        <v>0</v>
      </c>
      <c r="G70" s="718">
        <f t="shared" si="303"/>
        <v>0</v>
      </c>
      <c r="H70" s="719">
        <f t="shared" si="303"/>
        <v>0</v>
      </c>
      <c r="I70" s="719">
        <f t="shared" si="303"/>
        <v>0</v>
      </c>
      <c r="J70" s="719">
        <f t="shared" si="303"/>
        <v>0</v>
      </c>
      <c r="K70" s="718">
        <f t="shared" si="303"/>
        <v>0</v>
      </c>
      <c r="L70" s="719">
        <f t="shared" si="303"/>
        <v>0</v>
      </c>
      <c r="M70" s="719">
        <f t="shared" si="303"/>
        <v>0</v>
      </c>
      <c r="N70" s="719">
        <f t="shared" si="303"/>
        <v>0</v>
      </c>
      <c r="O70" s="718">
        <f t="shared" si="303"/>
        <v>0</v>
      </c>
      <c r="P70" s="719">
        <f t="shared" si="303"/>
        <v>0</v>
      </c>
      <c r="Q70" s="719">
        <f t="shared" si="303"/>
        <v>0</v>
      </c>
      <c r="R70" s="719">
        <f t="shared" si="303"/>
        <v>0</v>
      </c>
      <c r="S70" s="718">
        <f t="shared" si="303"/>
        <v>0</v>
      </c>
      <c r="T70" s="719">
        <f t="shared" si="303"/>
        <v>0</v>
      </c>
      <c r="U70" s="719">
        <f t="shared" si="303"/>
        <v>0</v>
      </c>
      <c r="V70" s="719">
        <f t="shared" si="303"/>
        <v>0</v>
      </c>
      <c r="W70" s="718">
        <f t="shared" si="303"/>
        <v>0</v>
      </c>
      <c r="X70" s="719">
        <f t="shared" ref="X70:AK70" si="304">X68+X66-X69</f>
        <v>0</v>
      </c>
      <c r="Y70" s="719">
        <f>Y68+Y66-Y69</f>
        <v>0</v>
      </c>
      <c r="Z70" s="719">
        <f t="shared" si="304"/>
        <v>0</v>
      </c>
      <c r="AA70" s="718">
        <f t="shared" si="304"/>
        <v>0</v>
      </c>
      <c r="AB70" s="719">
        <f t="shared" si="304"/>
        <v>0</v>
      </c>
      <c r="AC70" s="719">
        <f t="shared" si="304"/>
        <v>0</v>
      </c>
      <c r="AD70" s="719">
        <f t="shared" si="304"/>
        <v>0</v>
      </c>
      <c r="AE70" s="718">
        <f t="shared" si="304"/>
        <v>0</v>
      </c>
      <c r="AF70" s="719">
        <f>AF68+AF66-AF69</f>
        <v>0</v>
      </c>
      <c r="AG70" s="719">
        <f t="shared" si="304"/>
        <v>0</v>
      </c>
      <c r="AH70" s="719">
        <f t="shared" si="304"/>
        <v>0</v>
      </c>
      <c r="AI70" s="718">
        <f t="shared" si="304"/>
        <v>0</v>
      </c>
      <c r="AJ70" s="733">
        <f>AJ68+AJ66-AJ69</f>
        <v>0</v>
      </c>
      <c r="AK70" s="719">
        <f t="shared" si="304"/>
        <v>0</v>
      </c>
      <c r="AL70" s="719">
        <f t="shared" ref="AL70:AQ70" si="305">AL68+AL66-AL69</f>
        <v>0</v>
      </c>
      <c r="AM70" s="718">
        <f t="shared" si="305"/>
        <v>0</v>
      </c>
      <c r="AN70" s="733">
        <f t="shared" si="305"/>
        <v>0</v>
      </c>
      <c r="AO70" s="719">
        <f t="shared" si="305"/>
        <v>0</v>
      </c>
      <c r="AP70" s="719">
        <f t="shared" si="305"/>
        <v>0</v>
      </c>
      <c r="AQ70" s="718">
        <f t="shared" si="305"/>
        <v>0</v>
      </c>
      <c r="AR70" s="733">
        <f t="shared" ref="AR70:BC70" si="306">AR68+AR66-AR69</f>
        <v>0</v>
      </c>
      <c r="AS70" s="719">
        <f t="shared" si="306"/>
        <v>0</v>
      </c>
      <c r="AT70" s="719">
        <f t="shared" si="306"/>
        <v>0</v>
      </c>
      <c r="AU70" s="719">
        <f t="shared" si="306"/>
        <v>0</v>
      </c>
      <c r="AV70" s="733">
        <f t="shared" ref="AV70:BA70" si="307">AV68+AV66-AV69</f>
        <v>0</v>
      </c>
      <c r="AW70" s="719">
        <f t="shared" si="307"/>
        <v>0</v>
      </c>
      <c r="AX70" s="719">
        <f t="shared" si="307"/>
        <v>0</v>
      </c>
      <c r="AY70" s="719">
        <f t="shared" si="307"/>
        <v>0</v>
      </c>
      <c r="AZ70" s="733">
        <f t="shared" si="307"/>
        <v>0</v>
      </c>
      <c r="BA70" s="719">
        <f t="shared" si="307"/>
        <v>0</v>
      </c>
      <c r="BB70" s="719">
        <f t="shared" ref="BB70" si="308">BB68+BB66-BB69</f>
        <v>0</v>
      </c>
      <c r="BC70" s="718">
        <f t="shared" si="306"/>
        <v>0</v>
      </c>
      <c r="BD70" s="733">
        <f t="shared" ref="BD70:BK70" si="309">BD68+BD66-BD69</f>
        <v>0</v>
      </c>
      <c r="BE70" s="719">
        <f t="shared" si="309"/>
        <v>0</v>
      </c>
      <c r="BF70" s="719">
        <f t="shared" si="309"/>
        <v>0</v>
      </c>
      <c r="BG70" s="718">
        <f t="shared" si="309"/>
        <v>0</v>
      </c>
      <c r="BH70" s="733">
        <f t="shared" si="309"/>
        <v>0</v>
      </c>
      <c r="BI70" s="719">
        <f t="shared" si="309"/>
        <v>0</v>
      </c>
      <c r="BJ70" s="719">
        <f t="shared" si="309"/>
        <v>0</v>
      </c>
      <c r="BK70" s="718">
        <f t="shared" si="309"/>
        <v>0</v>
      </c>
      <c r="BL70" s="720"/>
      <c r="BM70" s="719">
        <f t="shared" ref="BM70:BR70" si="310">BM68+BM66-BM69</f>
        <v>0</v>
      </c>
      <c r="BN70" s="719">
        <f t="shared" si="310"/>
        <v>0</v>
      </c>
      <c r="BO70" s="719">
        <f t="shared" si="310"/>
        <v>0</v>
      </c>
      <c r="BP70" s="719">
        <f t="shared" si="310"/>
        <v>0</v>
      </c>
      <c r="BQ70" s="719">
        <f t="shared" si="310"/>
        <v>0</v>
      </c>
      <c r="BR70" s="719">
        <f t="shared" si="310"/>
        <v>0</v>
      </c>
      <c r="BS70" s="719">
        <f t="shared" ref="BS70:CA70" si="311">BS68+BS66-BS69</f>
        <v>0</v>
      </c>
      <c r="BT70" s="719">
        <f t="shared" si="311"/>
        <v>0</v>
      </c>
      <c r="BU70" s="719">
        <f t="shared" si="311"/>
        <v>0</v>
      </c>
      <c r="BV70" s="719">
        <f t="shared" si="311"/>
        <v>0</v>
      </c>
      <c r="BW70" s="719">
        <f t="shared" si="311"/>
        <v>0</v>
      </c>
      <c r="BX70" s="719">
        <f t="shared" si="311"/>
        <v>0</v>
      </c>
      <c r="BY70" s="719">
        <f t="shared" si="311"/>
        <v>0</v>
      </c>
      <c r="BZ70" s="719">
        <f t="shared" si="311"/>
        <v>0</v>
      </c>
      <c r="CA70" s="718">
        <f t="shared" si="311"/>
        <v>0</v>
      </c>
      <c r="CB70" s="733"/>
      <c r="CC70" s="719"/>
      <c r="CD70" s="719"/>
      <c r="CE70" s="881"/>
      <c r="CF70" s="733">
        <f t="shared" ref="CF70:CL70" si="312">CF68+CF66-CF69</f>
        <v>0</v>
      </c>
      <c r="CG70" s="719">
        <f t="shared" si="312"/>
        <v>0</v>
      </c>
      <c r="CH70" s="719">
        <f t="shared" si="312"/>
        <v>0</v>
      </c>
      <c r="CI70" s="719">
        <f t="shared" si="312"/>
        <v>0</v>
      </c>
      <c r="CJ70" s="719">
        <f t="shared" si="312"/>
        <v>0</v>
      </c>
      <c r="CK70" s="719">
        <f t="shared" si="312"/>
        <v>0</v>
      </c>
      <c r="CL70" s="719">
        <f t="shared" si="312"/>
        <v>0</v>
      </c>
      <c r="CM70" s="719">
        <f t="shared" ref="CM70:CR70" si="313">CM68+CM66-CM69</f>
        <v>0</v>
      </c>
      <c r="CN70" s="719">
        <f t="shared" si="313"/>
        <v>0</v>
      </c>
      <c r="CO70" s="719">
        <f t="shared" si="313"/>
        <v>0</v>
      </c>
      <c r="CP70" s="719">
        <f t="shared" si="313"/>
        <v>0</v>
      </c>
      <c r="CQ70" s="719">
        <f t="shared" si="313"/>
        <v>0</v>
      </c>
      <c r="CR70" s="719">
        <f t="shared" si="313"/>
        <v>0</v>
      </c>
      <c r="CS70" s="718">
        <f>CS68+CS66-CS69</f>
        <v>0</v>
      </c>
      <c r="CT70" s="719"/>
      <c r="CU70"/>
      <c r="CV70"/>
      <c r="CW70"/>
      <c r="CX70"/>
      <c r="CY70"/>
      <c r="CZ70"/>
    </row>
    <row r="71" spans="1:104" ht="14.25" hidden="1" customHeight="1" outlineLevel="1">
      <c r="A71" s="8"/>
      <c r="B71" s="35" t="s">
        <v>298</v>
      </c>
      <c r="C71" s="36"/>
      <c r="D71" s="37">
        <f t="shared" ref="D71:AU71" si="314">D70/D17</f>
        <v>0</v>
      </c>
      <c r="E71" s="37">
        <f t="shared" si="314"/>
        <v>0</v>
      </c>
      <c r="F71" s="37">
        <f t="shared" si="314"/>
        <v>0</v>
      </c>
      <c r="G71" s="38">
        <f t="shared" si="314"/>
        <v>0</v>
      </c>
      <c r="H71" s="37">
        <f t="shared" si="314"/>
        <v>0</v>
      </c>
      <c r="I71" s="37">
        <f t="shared" si="314"/>
        <v>0</v>
      </c>
      <c r="J71" s="37">
        <f t="shared" si="314"/>
        <v>0</v>
      </c>
      <c r="K71" s="38">
        <f t="shared" si="314"/>
        <v>0</v>
      </c>
      <c r="L71" s="37">
        <f t="shared" si="314"/>
        <v>0</v>
      </c>
      <c r="M71" s="37">
        <f t="shared" si="314"/>
        <v>0</v>
      </c>
      <c r="N71" s="37">
        <f t="shared" si="314"/>
        <v>0</v>
      </c>
      <c r="O71" s="38">
        <f t="shared" si="314"/>
        <v>0</v>
      </c>
      <c r="P71" s="37">
        <f t="shared" si="314"/>
        <v>0</v>
      </c>
      <c r="Q71" s="37">
        <f t="shared" si="314"/>
        <v>0</v>
      </c>
      <c r="R71" s="37">
        <f t="shared" si="314"/>
        <v>0</v>
      </c>
      <c r="S71" s="38">
        <f t="shared" si="314"/>
        <v>0</v>
      </c>
      <c r="T71" s="37">
        <f t="shared" si="314"/>
        <v>0</v>
      </c>
      <c r="U71" s="37">
        <f t="shared" si="314"/>
        <v>0</v>
      </c>
      <c r="V71" s="37">
        <f t="shared" si="314"/>
        <v>0</v>
      </c>
      <c r="W71" s="38">
        <f t="shared" si="314"/>
        <v>0</v>
      </c>
      <c r="X71" s="37">
        <f t="shared" si="314"/>
        <v>0</v>
      </c>
      <c r="Y71" s="37">
        <f t="shared" si="314"/>
        <v>0</v>
      </c>
      <c r="Z71" s="37">
        <f t="shared" si="314"/>
        <v>0</v>
      </c>
      <c r="AA71" s="38">
        <f t="shared" si="314"/>
        <v>0</v>
      </c>
      <c r="AB71" s="37">
        <f t="shared" si="314"/>
        <v>0</v>
      </c>
      <c r="AC71" s="37">
        <f t="shared" si="314"/>
        <v>0</v>
      </c>
      <c r="AD71" s="37">
        <f t="shared" si="314"/>
        <v>0</v>
      </c>
      <c r="AE71" s="38">
        <f t="shared" si="314"/>
        <v>0</v>
      </c>
      <c r="AF71" s="37">
        <f t="shared" si="314"/>
        <v>0</v>
      </c>
      <c r="AG71" s="37">
        <f t="shared" si="314"/>
        <v>0</v>
      </c>
      <c r="AH71" s="37">
        <f t="shared" si="314"/>
        <v>0</v>
      </c>
      <c r="AI71" s="38">
        <f t="shared" si="314"/>
        <v>0</v>
      </c>
      <c r="AJ71" s="39">
        <f t="shared" si="314"/>
        <v>0</v>
      </c>
      <c r="AK71" s="37">
        <f t="shared" si="314"/>
        <v>0</v>
      </c>
      <c r="AL71" s="37">
        <f t="shared" si="314"/>
        <v>0</v>
      </c>
      <c r="AM71" s="38">
        <f t="shared" si="314"/>
        <v>0</v>
      </c>
      <c r="AN71" s="39">
        <f t="shared" si="314"/>
        <v>0</v>
      </c>
      <c r="AO71" s="37">
        <f t="shared" si="314"/>
        <v>0</v>
      </c>
      <c r="AP71" s="37">
        <f t="shared" si="314"/>
        <v>0</v>
      </c>
      <c r="AQ71" s="38">
        <f t="shared" si="314"/>
        <v>0</v>
      </c>
      <c r="AR71" s="39">
        <f>AR70/AR17</f>
        <v>0</v>
      </c>
      <c r="AS71" s="37">
        <f>AS70/AS17</f>
        <v>0</v>
      </c>
      <c r="AT71" s="37">
        <f>AT70/AT17</f>
        <v>0</v>
      </c>
      <c r="AU71" s="37">
        <f t="shared" si="314"/>
        <v>0</v>
      </c>
      <c r="AV71" s="39">
        <f t="shared" ref="AV71:BA71" si="315">AV70/AV17</f>
        <v>0</v>
      </c>
      <c r="AW71" s="37">
        <f t="shared" si="315"/>
        <v>0</v>
      </c>
      <c r="AX71" s="37">
        <f t="shared" si="315"/>
        <v>0</v>
      </c>
      <c r="AY71" s="37">
        <f t="shared" si="315"/>
        <v>0</v>
      </c>
      <c r="AZ71" s="39">
        <f t="shared" si="315"/>
        <v>0</v>
      </c>
      <c r="BA71" s="37">
        <f t="shared" si="315"/>
        <v>0</v>
      </c>
      <c r="BB71" s="37">
        <f t="shared" ref="BB71" si="316">BB70/BB17</f>
        <v>0</v>
      </c>
      <c r="BC71" s="38">
        <f t="shared" ref="BC71:BG71" si="317">BC70/BC17</f>
        <v>0</v>
      </c>
      <c r="BD71" s="39">
        <f t="shared" si="317"/>
        <v>0</v>
      </c>
      <c r="BE71" s="37">
        <f t="shared" si="317"/>
        <v>0</v>
      </c>
      <c r="BF71" s="37">
        <f t="shared" si="317"/>
        <v>0</v>
      </c>
      <c r="BG71" s="38">
        <f t="shared" si="317"/>
        <v>0</v>
      </c>
      <c r="BH71" s="39">
        <f>BH70/BH17</f>
        <v>0</v>
      </c>
      <c r="BI71" s="37">
        <f>BI70/BI17</f>
        <v>0</v>
      </c>
      <c r="BJ71" s="37">
        <f>BJ70/BJ17</f>
        <v>0</v>
      </c>
      <c r="BK71" s="38">
        <f>BK70/BK17</f>
        <v>0</v>
      </c>
      <c r="BL71" s="20"/>
      <c r="BM71" s="37">
        <f t="shared" ref="BM71:BX71" si="318">BM70/BM17</f>
        <v>0</v>
      </c>
      <c r="BN71" s="37">
        <f t="shared" si="318"/>
        <v>0</v>
      </c>
      <c r="BO71" s="37">
        <f t="shared" si="318"/>
        <v>0</v>
      </c>
      <c r="BP71" s="37">
        <f t="shared" si="318"/>
        <v>0</v>
      </c>
      <c r="BQ71" s="37">
        <f t="shared" si="318"/>
        <v>0</v>
      </c>
      <c r="BR71" s="37">
        <f t="shared" si="318"/>
        <v>0</v>
      </c>
      <c r="BS71" s="37">
        <f t="shared" si="318"/>
        <v>0</v>
      </c>
      <c r="BT71" s="37">
        <f t="shared" si="318"/>
        <v>0</v>
      </c>
      <c r="BU71" s="37">
        <f t="shared" si="318"/>
        <v>0</v>
      </c>
      <c r="BV71" s="37">
        <f t="shared" si="318"/>
        <v>0</v>
      </c>
      <c r="BW71" s="37">
        <f t="shared" si="318"/>
        <v>0</v>
      </c>
      <c r="BX71" s="37">
        <f t="shared" si="318"/>
        <v>0</v>
      </c>
      <c r="BY71" s="37">
        <f>BY70/BY17</f>
        <v>0</v>
      </c>
      <c r="BZ71" s="37">
        <f>BZ70/BZ17</f>
        <v>0</v>
      </c>
      <c r="CA71" s="38">
        <f>CA70/CA17</f>
        <v>0</v>
      </c>
      <c r="CB71" s="39"/>
      <c r="CC71" s="37"/>
      <c r="CD71" s="37"/>
      <c r="CE71" s="260"/>
      <c r="CF71" s="39">
        <f t="shared" ref="CF71:CP71" si="319">CF70/CF17</f>
        <v>0</v>
      </c>
      <c r="CG71" s="37">
        <f t="shared" si="319"/>
        <v>0</v>
      </c>
      <c r="CH71" s="37">
        <f t="shared" si="319"/>
        <v>0</v>
      </c>
      <c r="CI71" s="37">
        <f t="shared" si="319"/>
        <v>0</v>
      </c>
      <c r="CJ71" s="37">
        <f t="shared" si="319"/>
        <v>0</v>
      </c>
      <c r="CK71" s="37">
        <f t="shared" si="319"/>
        <v>0</v>
      </c>
      <c r="CL71" s="37">
        <f t="shared" si="319"/>
        <v>0</v>
      </c>
      <c r="CM71" s="37">
        <f t="shared" si="319"/>
        <v>0</v>
      </c>
      <c r="CN71" s="37">
        <f t="shared" si="319"/>
        <v>0</v>
      </c>
      <c r="CO71" s="37">
        <f t="shared" si="319"/>
        <v>0</v>
      </c>
      <c r="CP71" s="37">
        <f t="shared" si="319"/>
        <v>0</v>
      </c>
      <c r="CQ71" s="37">
        <f>CQ70/CQ17</f>
        <v>0</v>
      </c>
      <c r="CR71" s="37">
        <f>CR70/CR17</f>
        <v>0</v>
      </c>
      <c r="CS71" s="38">
        <f>CS70/CS17</f>
        <v>0</v>
      </c>
      <c r="CT71" s="37"/>
    </row>
    <row r="72" spans="1:104" ht="14.25" hidden="1" customHeight="1" outlineLevel="1">
      <c r="A72" s="8"/>
      <c r="B72" s="23"/>
      <c r="C72" s="24"/>
      <c r="D72" s="42"/>
      <c r="E72" s="42"/>
      <c r="F72" s="42"/>
      <c r="G72" s="43"/>
      <c r="H72" s="42"/>
      <c r="I72" s="42"/>
      <c r="J72" s="42"/>
      <c r="K72" s="43"/>
      <c r="L72" s="42"/>
      <c r="M72" s="42"/>
      <c r="N72" s="42"/>
      <c r="O72" s="43"/>
      <c r="P72" s="42"/>
      <c r="Q72" s="42"/>
      <c r="R72" s="42"/>
      <c r="S72" s="43"/>
      <c r="T72" s="42"/>
      <c r="U72" s="42"/>
      <c r="V72" s="42"/>
      <c r="W72" s="43"/>
      <c r="X72" s="42"/>
      <c r="Y72" s="42"/>
      <c r="Z72" s="42"/>
      <c r="AA72" s="43"/>
      <c r="AB72" s="42"/>
      <c r="AC72" s="42"/>
      <c r="AD72" s="42"/>
      <c r="AE72" s="43"/>
      <c r="AF72" s="42"/>
      <c r="AG72" s="42"/>
      <c r="AH72" s="42"/>
      <c r="AI72" s="43"/>
      <c r="AJ72" s="1257"/>
      <c r="AK72" s="42"/>
      <c r="AL72" s="42"/>
      <c r="AM72" s="43"/>
      <c r="AN72" s="1257"/>
      <c r="AO72" s="42"/>
      <c r="AP72" s="42"/>
      <c r="AQ72" s="43"/>
      <c r="AR72" s="1257"/>
      <c r="AS72" s="42"/>
      <c r="AT72" s="42"/>
      <c r="AU72" s="42"/>
      <c r="AV72" s="1257"/>
      <c r="AW72" s="42"/>
      <c r="AX72" s="42"/>
      <c r="AY72" s="42"/>
      <c r="AZ72" s="1257"/>
      <c r="BA72" s="42"/>
      <c r="BB72" s="42"/>
      <c r="BC72" s="1213"/>
      <c r="BD72" s="398"/>
      <c r="BE72" s="397"/>
      <c r="BF72" s="397"/>
      <c r="BG72" s="1213"/>
      <c r="BH72" s="398"/>
      <c r="BI72" s="397"/>
      <c r="BJ72" s="397"/>
      <c r="BK72" s="1213"/>
      <c r="BL72" s="20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3"/>
      <c r="CB72" s="1257"/>
      <c r="CC72" s="42"/>
      <c r="CD72" s="42"/>
      <c r="CE72" s="260"/>
      <c r="CF72" s="398"/>
      <c r="CG72" s="397"/>
      <c r="CH72" s="397"/>
      <c r="CI72" s="397"/>
      <c r="CJ72" s="397"/>
      <c r="CK72" s="397"/>
      <c r="CL72" s="397"/>
      <c r="CM72" s="397"/>
      <c r="CN72" s="397"/>
      <c r="CO72" s="397"/>
      <c r="CP72" s="397"/>
      <c r="CQ72" s="397"/>
      <c r="CR72" s="397"/>
      <c r="CS72" s="1213"/>
      <c r="CT72" s="397"/>
    </row>
    <row r="73" spans="1:104" ht="14.25" hidden="1" customHeight="1" outlineLevel="1">
      <c r="A73" s="8"/>
      <c r="B73" s="365" t="s">
        <v>318</v>
      </c>
      <c r="C73" s="721"/>
      <c r="D73" s="529">
        <f t="shared" ref="D73:AU73" si="320">D38+D50+D62</f>
        <v>166.91399999999999</v>
      </c>
      <c r="E73" s="529">
        <f t="shared" si="320"/>
        <v>160.262</v>
      </c>
      <c r="F73" s="529">
        <f t="shared" si="320"/>
        <v>167.328</v>
      </c>
      <c r="G73" s="530">
        <f t="shared" si="320"/>
        <v>198.39500000000004</v>
      </c>
      <c r="H73" s="529">
        <f t="shared" si="320"/>
        <v>282.928</v>
      </c>
      <c r="I73" s="529">
        <f t="shared" si="320"/>
        <v>181.33699999999999</v>
      </c>
      <c r="J73" s="529">
        <f t="shared" si="320"/>
        <v>200.001</v>
      </c>
      <c r="K73" s="530">
        <f t="shared" si="320"/>
        <v>209.95100000000008</v>
      </c>
      <c r="L73" s="529">
        <f t="shared" si="320"/>
        <v>211.00700000000001</v>
      </c>
      <c r="M73" s="529">
        <f t="shared" si="320"/>
        <v>195.12800000000001</v>
      </c>
      <c r="N73" s="529">
        <f t="shared" si="320"/>
        <v>208.328</v>
      </c>
      <c r="O73" s="530">
        <f t="shared" si="320"/>
        <v>208.18400000000003</v>
      </c>
      <c r="P73" s="529">
        <f t="shared" si="320"/>
        <v>197.96499999999997</v>
      </c>
      <c r="Q73" s="529">
        <f t="shared" si="320"/>
        <v>279.92499999999995</v>
      </c>
      <c r="R73" s="529">
        <f t="shared" si="320"/>
        <v>184.65900000000002</v>
      </c>
      <c r="S73" s="530">
        <f t="shared" si="320"/>
        <v>168.95</v>
      </c>
      <c r="T73" s="529">
        <f t="shared" si="320"/>
        <v>161.52799999999999</v>
      </c>
      <c r="U73" s="529">
        <f t="shared" si="320"/>
        <v>182.65900000000002</v>
      </c>
      <c r="V73" s="529">
        <f t="shared" si="320"/>
        <v>356.964</v>
      </c>
      <c r="W73" s="530">
        <f t="shared" si="320"/>
        <v>199.86500000000001</v>
      </c>
      <c r="X73" s="529">
        <f t="shared" si="320"/>
        <v>207.09099999999998</v>
      </c>
      <c r="Y73" s="529">
        <f t="shared" si="320"/>
        <v>228.27599999999998</v>
      </c>
      <c r="Z73" s="529">
        <f t="shared" si="320"/>
        <v>208.655</v>
      </c>
      <c r="AA73" s="530">
        <f t="shared" si="320"/>
        <v>212.90299999999999</v>
      </c>
      <c r="AB73" s="529">
        <f t="shared" si="320"/>
        <v>223.09299999999999</v>
      </c>
      <c r="AC73" s="529">
        <f t="shared" si="320"/>
        <v>233.45</v>
      </c>
      <c r="AD73" s="529">
        <f t="shared" si="320"/>
        <v>223.54399999999998</v>
      </c>
      <c r="AE73" s="530">
        <f t="shared" si="320"/>
        <v>235.96800000000002</v>
      </c>
      <c r="AF73" s="529">
        <f t="shared" si="320"/>
        <v>220.28800000000001</v>
      </c>
      <c r="AG73" s="529">
        <f t="shared" si="320"/>
        <v>245.827</v>
      </c>
      <c r="AH73" s="529">
        <f t="shared" si="320"/>
        <v>221.82399999999998</v>
      </c>
      <c r="AI73" s="530">
        <f t="shared" si="320"/>
        <v>220.309</v>
      </c>
      <c r="AJ73" s="528">
        <f t="shared" si="320"/>
        <v>218.58699999999999</v>
      </c>
      <c r="AK73" s="529">
        <f t="shared" si="320"/>
        <v>258.27800000000002</v>
      </c>
      <c r="AL73" s="529">
        <f t="shared" si="320"/>
        <v>233.19900000000001</v>
      </c>
      <c r="AM73" s="530">
        <f t="shared" si="320"/>
        <v>252.41</v>
      </c>
      <c r="AN73" s="528">
        <f t="shared" si="320"/>
        <v>237.77199999999999</v>
      </c>
      <c r="AO73" s="529">
        <f t="shared" si="320"/>
        <v>378.15300000000002</v>
      </c>
      <c r="AP73" s="529">
        <f t="shared" si="320"/>
        <v>209.81800000000001</v>
      </c>
      <c r="AQ73" s="530">
        <f t="shared" si="320"/>
        <v>208.75300000000001</v>
      </c>
      <c r="AR73" s="528">
        <f>AR38+AR50+AR62</f>
        <v>362.11599999999999</v>
      </c>
      <c r="AS73" s="529">
        <f>AS38+AS50+AS62</f>
        <v>202.636</v>
      </c>
      <c r="AT73" s="529">
        <f>AT38+AT50+AT62</f>
        <v>141.13300000000001</v>
      </c>
      <c r="AU73" s="529">
        <f t="shared" si="320"/>
        <v>224.654</v>
      </c>
      <c r="AV73" s="528">
        <f t="shared" ref="AV73:BA73" si="321">AV38+AV50+AV62</f>
        <v>173.65900000000002</v>
      </c>
      <c r="AW73" s="529">
        <f t="shared" si="321"/>
        <v>191.10400000000001</v>
      </c>
      <c r="AX73" s="529">
        <f t="shared" si="321"/>
        <v>192.65199999999999</v>
      </c>
      <c r="AY73" s="529">
        <f t="shared" si="321"/>
        <v>194.28799999999998</v>
      </c>
      <c r="AZ73" s="528">
        <f t="shared" si="321"/>
        <v>188.66499999999999</v>
      </c>
      <c r="BA73" s="529">
        <f t="shared" si="321"/>
        <v>208.62799999999999</v>
      </c>
      <c r="BB73" s="529">
        <f t="shared" ref="BB73" si="322">BB38+BB50+BB62</f>
        <v>199.108</v>
      </c>
      <c r="BC73" s="51">
        <f t="shared" ref="BC73:BK73" si="323">BC38+BC50+BC62</f>
        <v>192.80072442000002</v>
      </c>
      <c r="BD73" s="49">
        <f t="shared" si="323"/>
        <v>193.42243301925819</v>
      </c>
      <c r="BE73" s="50">
        <f t="shared" si="323"/>
        <v>193.54864915377115</v>
      </c>
      <c r="BF73" s="50">
        <f t="shared" si="323"/>
        <v>196.41869373782978</v>
      </c>
      <c r="BG73" s="51">
        <f t="shared" si="323"/>
        <v>196.83571593650939</v>
      </c>
      <c r="BH73" s="49">
        <f t="shared" si="323"/>
        <v>195.64443330170482</v>
      </c>
      <c r="BI73" s="50">
        <f t="shared" si="323"/>
        <v>195.59207225150917</v>
      </c>
      <c r="BJ73" s="50">
        <f t="shared" si="323"/>
        <v>198.82117625856628</v>
      </c>
      <c r="BK73" s="51">
        <f t="shared" si="323"/>
        <v>200.6631082866945</v>
      </c>
      <c r="BL73" s="353"/>
      <c r="BM73" s="529">
        <f t="shared" ref="BM73:BX73" si="324">BM38+BM50+BM62</f>
        <v>692.899</v>
      </c>
      <c r="BN73" s="529">
        <f t="shared" si="324"/>
        <v>874.21699999999998</v>
      </c>
      <c r="BO73" s="529">
        <f t="shared" si="324"/>
        <v>822.64700000000005</v>
      </c>
      <c r="BP73" s="529">
        <f t="shared" si="324"/>
        <v>831.49899999999991</v>
      </c>
      <c r="BQ73" s="529">
        <f t="shared" si="324"/>
        <v>901.01599999999996</v>
      </c>
      <c r="BR73" s="529">
        <f t="shared" si="324"/>
        <v>856.92500000000007</v>
      </c>
      <c r="BS73" s="529">
        <f t="shared" si="324"/>
        <v>916.05500000000006</v>
      </c>
      <c r="BT73" s="529">
        <f t="shared" si="324"/>
        <v>908.24800000000016</v>
      </c>
      <c r="BU73" s="529">
        <f t="shared" si="324"/>
        <v>962.47400000000005</v>
      </c>
      <c r="BV73" s="529">
        <f t="shared" si="324"/>
        <v>1034.4960000000001</v>
      </c>
      <c r="BW73" s="529">
        <f t="shared" si="324"/>
        <v>930.53899999999999</v>
      </c>
      <c r="BX73" s="529">
        <f t="shared" si="324"/>
        <v>751.70300000000009</v>
      </c>
      <c r="BY73" s="529">
        <f>BY38+BY50+BY62</f>
        <v>789.20172442000001</v>
      </c>
      <c r="BZ73" s="529">
        <f>BZ38+BZ50+BZ62</f>
        <v>780.22549184736852</v>
      </c>
      <c r="CA73" s="530">
        <f>CA38+CA50+CA62</f>
        <v>790.72079009847482</v>
      </c>
      <c r="CB73" s="49"/>
      <c r="CC73" s="50"/>
      <c r="CD73" s="50"/>
      <c r="CE73" s="260"/>
      <c r="CF73" s="49">
        <f t="shared" ref="CF73:CP73" si="325">CF38+CF50+CF62</f>
        <v>829.98800000000006</v>
      </c>
      <c r="CG73" s="50">
        <f t="shared" si="325"/>
        <v>816.0870000000001</v>
      </c>
      <c r="CH73" s="50">
        <f t="shared" si="325"/>
        <v>894.40200000000004</v>
      </c>
      <c r="CI73" s="50">
        <f t="shared" si="325"/>
        <v>697.79600000000005</v>
      </c>
      <c r="CJ73" s="50">
        <f t="shared" si="325"/>
        <v>992.19599999999991</v>
      </c>
      <c r="CK73" s="50">
        <f t="shared" si="325"/>
        <v>878.10100000000011</v>
      </c>
      <c r="CL73" s="50">
        <f t="shared" si="325"/>
        <v>925.62699999999995</v>
      </c>
      <c r="CM73" s="50">
        <f t="shared" si="325"/>
        <v>918.99799999999993</v>
      </c>
      <c r="CN73" s="50">
        <f t="shared" si="325"/>
        <v>1101.5339999999999</v>
      </c>
      <c r="CO73" s="50">
        <f t="shared" si="325"/>
        <v>983.32300000000009</v>
      </c>
      <c r="CP73" s="50">
        <f t="shared" si="325"/>
        <v>730.55000000000007</v>
      </c>
      <c r="CQ73" s="50">
        <f>CQ38+CQ50+CQ62</f>
        <v>784.23299999999995</v>
      </c>
      <c r="CR73" s="50">
        <f>CR38+CR50+CR62</f>
        <v>778.87980659302934</v>
      </c>
      <c r="CS73" s="51">
        <f>CS38+CS50+CS62</f>
        <v>784.49091522755327</v>
      </c>
      <c r="CT73" s="50"/>
    </row>
    <row r="74" spans="1:104" ht="14.25" hidden="1" customHeight="1" outlineLevel="1">
      <c r="A74" s="8"/>
      <c r="B74" s="23" t="s">
        <v>319</v>
      </c>
      <c r="C74" s="24"/>
      <c r="D74" s="32">
        <f t="shared" ref="D74:AU74" si="326">D44+D56+D68</f>
        <v>119.35499999999999</v>
      </c>
      <c r="E74" s="32">
        <f t="shared" si="326"/>
        <v>116.008</v>
      </c>
      <c r="F74" s="32">
        <f t="shared" si="326"/>
        <v>121.559</v>
      </c>
      <c r="G74" s="33">
        <f t="shared" si="326"/>
        <v>146.70300000000006</v>
      </c>
      <c r="H74" s="32">
        <f t="shared" si="326"/>
        <v>129.60199999999998</v>
      </c>
      <c r="I74" s="32">
        <f t="shared" si="326"/>
        <v>134.84899999999999</v>
      </c>
      <c r="J74" s="32">
        <f t="shared" si="326"/>
        <v>170.57900000000001</v>
      </c>
      <c r="K74" s="33">
        <f t="shared" si="326"/>
        <v>104.71600000000005</v>
      </c>
      <c r="L74" s="32">
        <f t="shared" si="326"/>
        <v>146.45600000000002</v>
      </c>
      <c r="M74" s="32">
        <f t="shared" si="326"/>
        <v>149.935</v>
      </c>
      <c r="N74" s="32">
        <f t="shared" si="326"/>
        <v>152.702</v>
      </c>
      <c r="O74" s="33">
        <f t="shared" si="326"/>
        <v>150.54300000000001</v>
      </c>
      <c r="P74" s="32">
        <f t="shared" si="326"/>
        <v>153.517</v>
      </c>
      <c r="Q74" s="32">
        <f t="shared" si="326"/>
        <v>155.303</v>
      </c>
      <c r="R74" s="32">
        <f t="shared" si="326"/>
        <v>137.69499999999999</v>
      </c>
      <c r="S74" s="33">
        <f t="shared" si="326"/>
        <v>137.422</v>
      </c>
      <c r="T74" s="32">
        <f t="shared" si="326"/>
        <v>148.83500000000001</v>
      </c>
      <c r="U74" s="32">
        <f t="shared" si="326"/>
        <v>156.161</v>
      </c>
      <c r="V74" s="32">
        <f t="shared" si="326"/>
        <v>164.036</v>
      </c>
      <c r="W74" s="33">
        <f t="shared" si="326"/>
        <v>169.464</v>
      </c>
      <c r="X74" s="32">
        <f t="shared" si="326"/>
        <v>176.63499999999999</v>
      </c>
      <c r="Y74" s="32">
        <f t="shared" si="326"/>
        <v>181.46699999999998</v>
      </c>
      <c r="Z74" s="32">
        <f t="shared" si="326"/>
        <v>186.68</v>
      </c>
      <c r="AA74" s="33">
        <f t="shared" si="326"/>
        <v>192.72399999999999</v>
      </c>
      <c r="AB74" s="32">
        <f t="shared" si="326"/>
        <v>202.46100000000001</v>
      </c>
      <c r="AC74" s="32">
        <f t="shared" si="326"/>
        <v>203.12799999999999</v>
      </c>
      <c r="AD74" s="32">
        <f t="shared" si="326"/>
        <v>195.14699999999999</v>
      </c>
      <c r="AE74" s="33">
        <f t="shared" si="326"/>
        <v>196.18800000000002</v>
      </c>
      <c r="AF74" s="32">
        <f t="shared" si="326"/>
        <v>194.97730000000001</v>
      </c>
      <c r="AG74" s="32">
        <f t="shared" si="326"/>
        <v>196.63799999999998</v>
      </c>
      <c r="AH74" s="32">
        <f t="shared" si="326"/>
        <v>199.53399999999999</v>
      </c>
      <c r="AI74" s="33">
        <f t="shared" si="326"/>
        <v>198.11699999999996</v>
      </c>
      <c r="AJ74" s="34">
        <f t="shared" si="326"/>
        <v>197.95287499999998</v>
      </c>
      <c r="AK74" s="32">
        <f t="shared" si="326"/>
        <v>206.93899999999999</v>
      </c>
      <c r="AL74" s="32">
        <f t="shared" si="326"/>
        <v>203.26900000000001</v>
      </c>
      <c r="AM74" s="33">
        <f t="shared" si="326"/>
        <v>208.154</v>
      </c>
      <c r="AN74" s="34">
        <f t="shared" si="326"/>
        <v>206.21572499999999</v>
      </c>
      <c r="AO74" s="32">
        <f t="shared" si="326"/>
        <v>197.935</v>
      </c>
      <c r="AP74" s="32">
        <f t="shared" si="326"/>
        <v>184.167</v>
      </c>
      <c r="AQ74" s="33">
        <f t="shared" si="326"/>
        <v>175.28300000000002</v>
      </c>
      <c r="AR74" s="34">
        <f>AR44+AR56+AR68</f>
        <v>176.35919999999999</v>
      </c>
      <c r="AS74" s="32">
        <f>AS44+AS56+AS68</f>
        <v>186.74299999999999</v>
      </c>
      <c r="AT74" s="32">
        <f>AT44+AT56+AT68</f>
        <v>190.95600000000002</v>
      </c>
      <c r="AU74" s="32">
        <f t="shared" si="326"/>
        <v>184.97399999999999</v>
      </c>
      <c r="AV74" s="34">
        <f t="shared" ref="AV74:BA74" si="327">AV44+AV56+AV68</f>
        <v>186.016075</v>
      </c>
      <c r="AW74" s="32">
        <f t="shared" si="327"/>
        <v>185.60000000000002</v>
      </c>
      <c r="AX74" s="32">
        <f t="shared" si="327"/>
        <v>187.14999999999998</v>
      </c>
      <c r="AY74" s="32">
        <f t="shared" si="327"/>
        <v>189.14</v>
      </c>
      <c r="AZ74" s="34">
        <f t="shared" si="327"/>
        <v>182.28199999999998</v>
      </c>
      <c r="BA74" s="32">
        <f t="shared" si="327"/>
        <v>201.21899999999999</v>
      </c>
      <c r="BB74" s="32">
        <f t="shared" ref="BB74" si="328">BB44+BB56+BB68</f>
        <v>195.69400000000002</v>
      </c>
      <c r="BC74" s="33">
        <f t="shared" ref="BC74:BG74" si="329">BC44+BC56+BC68</f>
        <v>191.92472442000002</v>
      </c>
      <c r="BD74" s="34">
        <f t="shared" si="329"/>
        <v>192.54643301925819</v>
      </c>
      <c r="BE74" s="32">
        <f t="shared" si="329"/>
        <v>192.67264915377115</v>
      </c>
      <c r="BF74" s="32">
        <f t="shared" si="329"/>
        <v>195.54269373782978</v>
      </c>
      <c r="BG74" s="33">
        <f t="shared" si="329"/>
        <v>195.95971593650938</v>
      </c>
      <c r="BH74" s="34">
        <f>BH44+BH56+BH68</f>
        <v>194.76843330170482</v>
      </c>
      <c r="BI74" s="32">
        <f>BI44+BI56+BI68</f>
        <v>194.71607225150916</v>
      </c>
      <c r="BJ74" s="32">
        <f>BJ44+BJ56+BJ68</f>
        <v>197.94517625856628</v>
      </c>
      <c r="BK74" s="33">
        <f>BK44+BK56+BK68</f>
        <v>199.78710828669449</v>
      </c>
      <c r="BL74" s="20"/>
      <c r="BM74" s="32">
        <f t="shared" ref="BM74:BX74" si="330">BM44+BM56+BM68</f>
        <v>503.625</v>
      </c>
      <c r="BN74" s="32">
        <f t="shared" si="330"/>
        <v>539.74599999999998</v>
      </c>
      <c r="BO74" s="32">
        <f t="shared" si="330"/>
        <v>599.63599999999997</v>
      </c>
      <c r="BP74" s="32">
        <f t="shared" si="330"/>
        <v>583.93700000000001</v>
      </c>
      <c r="BQ74" s="32">
        <f t="shared" si="330"/>
        <v>638.49599999999998</v>
      </c>
      <c r="BR74" s="32">
        <f t="shared" si="330"/>
        <v>737.50600000000009</v>
      </c>
      <c r="BS74" s="32">
        <f t="shared" si="330"/>
        <v>796.92399999999998</v>
      </c>
      <c r="BT74" s="32">
        <f t="shared" si="330"/>
        <v>786.89700000000016</v>
      </c>
      <c r="BU74" s="32">
        <f t="shared" si="330"/>
        <v>809.69600000000003</v>
      </c>
      <c r="BV74" s="32">
        <f t="shared" si="330"/>
        <v>758.06200000000001</v>
      </c>
      <c r="BW74" s="32">
        <f t="shared" si="330"/>
        <v>736.47699999999986</v>
      </c>
      <c r="BX74" s="32">
        <f t="shared" si="330"/>
        <v>745.48800000000006</v>
      </c>
      <c r="BY74" s="32">
        <f>BY44+BY56+BY68</f>
        <v>771.11972442000001</v>
      </c>
      <c r="BZ74" s="32">
        <f>BZ44+BZ56+BZ68</f>
        <v>776.7214918473685</v>
      </c>
      <c r="CA74" s="33">
        <f>CA44+CA56+CA68</f>
        <v>787.2167900984748</v>
      </c>
      <c r="CB74" s="34"/>
      <c r="CC74" s="32"/>
      <c r="CD74" s="32"/>
      <c r="CE74" s="260"/>
      <c r="CF74" s="34">
        <f t="shared" ref="CF74:CP74" si="331">CF44+CF56+CF68</f>
        <v>532.71299999999997</v>
      </c>
      <c r="CG74" s="32">
        <f t="shared" si="331"/>
        <v>571.68600000000015</v>
      </c>
      <c r="CH74" s="32">
        <f t="shared" si="331"/>
        <v>612.06500000000005</v>
      </c>
      <c r="CI74" s="32">
        <f t="shared" si="331"/>
        <v>580.11300000000006</v>
      </c>
      <c r="CJ74" s="32">
        <f t="shared" si="331"/>
        <v>691.60199999999998</v>
      </c>
      <c r="CK74" s="32">
        <f t="shared" si="331"/>
        <v>784.99300000000017</v>
      </c>
      <c r="CL74" s="32">
        <f t="shared" si="331"/>
        <v>780.58100000000002</v>
      </c>
      <c r="CM74" s="32">
        <f t="shared" si="331"/>
        <v>795.92399999999998</v>
      </c>
      <c r="CN74" s="32">
        <f t="shared" si="331"/>
        <v>810.03499999999985</v>
      </c>
      <c r="CO74" s="32">
        <f t="shared" si="331"/>
        <v>719.99700000000007</v>
      </c>
      <c r="CP74" s="32">
        <f t="shared" si="331"/>
        <v>745.12800000000004</v>
      </c>
      <c r="CQ74" s="32">
        <f>CQ44+CQ56+CQ68</f>
        <v>759.79099999999994</v>
      </c>
      <c r="CR74" s="32">
        <f>CR44+CR56+CR68</f>
        <v>772.83780659302931</v>
      </c>
      <c r="CS74" s="33">
        <f>CS44+CS56+CS68</f>
        <v>780.98691522755325</v>
      </c>
      <c r="CT74" s="32"/>
    </row>
    <row r="75" spans="1:104" s="121" customFormat="1" ht="14.25" customHeight="1" collapsed="1">
      <c r="A75" s="122"/>
      <c r="B75" s="365" t="s">
        <v>320</v>
      </c>
      <c r="C75" s="721"/>
      <c r="D75" s="529">
        <f t="shared" ref="D75:AD75" si="332">D46+D58+D70</f>
        <v>166.91399999999999</v>
      </c>
      <c r="E75" s="529">
        <f t="shared" si="332"/>
        <v>160.262</v>
      </c>
      <c r="F75" s="529">
        <f t="shared" si="332"/>
        <v>167.328</v>
      </c>
      <c r="G75" s="530">
        <f t="shared" si="332"/>
        <v>198.39500000000004</v>
      </c>
      <c r="H75" s="529">
        <f t="shared" si="332"/>
        <v>282.928</v>
      </c>
      <c r="I75" s="529">
        <f t="shared" si="332"/>
        <v>181.33699999999999</v>
      </c>
      <c r="J75" s="529">
        <f t="shared" si="332"/>
        <v>200.001</v>
      </c>
      <c r="K75" s="530">
        <f t="shared" si="332"/>
        <v>148.05500000000006</v>
      </c>
      <c r="L75" s="529">
        <f t="shared" si="332"/>
        <v>203.447</v>
      </c>
      <c r="M75" s="529">
        <f t="shared" si="332"/>
        <v>179.983</v>
      </c>
      <c r="N75" s="529">
        <f t="shared" si="332"/>
        <v>177.82</v>
      </c>
      <c r="O75" s="530">
        <f t="shared" si="332"/>
        <v>182.10500000000002</v>
      </c>
      <c r="P75" s="529">
        <f t="shared" si="332"/>
        <v>179.15799999999999</v>
      </c>
      <c r="Q75" s="529">
        <f t="shared" si="332"/>
        <v>208.40699999999998</v>
      </c>
      <c r="R75" s="529">
        <f t="shared" si="332"/>
        <v>169.73400000000001</v>
      </c>
      <c r="S75" s="530">
        <f t="shared" si="332"/>
        <v>165.64599999999999</v>
      </c>
      <c r="T75" s="529">
        <f t="shared" si="332"/>
        <v>169.839</v>
      </c>
      <c r="U75" s="529">
        <f t="shared" si="332"/>
        <v>177.82900000000001</v>
      </c>
      <c r="V75" s="529">
        <f t="shared" si="332"/>
        <v>178.244</v>
      </c>
      <c r="W75" s="530">
        <f t="shared" si="332"/>
        <v>190.88899999999998</v>
      </c>
      <c r="X75" s="529">
        <f t="shared" si="332"/>
        <v>199.87899999999999</v>
      </c>
      <c r="Y75" s="529">
        <f t="shared" si="332"/>
        <v>202.24099999999999</v>
      </c>
      <c r="Z75" s="529">
        <f t="shared" si="332"/>
        <v>204.572</v>
      </c>
      <c r="AA75" s="530">
        <f t="shared" si="332"/>
        <v>211.10999999999999</v>
      </c>
      <c r="AB75" s="529">
        <f t="shared" si="332"/>
        <v>222.66899999999998</v>
      </c>
      <c r="AC75" s="529">
        <f t="shared" si="332"/>
        <v>222.91</v>
      </c>
      <c r="AD75" s="529">
        <f t="shared" si="332"/>
        <v>214.08599999999998</v>
      </c>
      <c r="AE75" s="530">
        <f>AE46+AE58</f>
        <v>213.98700000000002</v>
      </c>
      <c r="AF75" s="529">
        <f>AF46+AF58+AF70</f>
        <v>213.11700000000002</v>
      </c>
      <c r="AG75" s="529">
        <f>AG46+AG58+AG70</f>
        <v>215.8</v>
      </c>
      <c r="AH75" s="529">
        <f>AH46+AH58+AH70</f>
        <v>216.09199999999998</v>
      </c>
      <c r="AI75" s="530">
        <f>AI46+AI58</f>
        <v>214.09199999999998</v>
      </c>
      <c r="AJ75" s="528">
        <f>AJ46+AJ58+AJ70</f>
        <v>207.33199999999999</v>
      </c>
      <c r="AK75" s="529">
        <f>AK46+AK58+AK70</f>
        <v>226.44200000000001</v>
      </c>
      <c r="AL75" s="529">
        <f>AL46+AL58+AL70</f>
        <v>222.173</v>
      </c>
      <c r="AM75" s="530">
        <f>AM46+AM58</f>
        <v>226.95499999999998</v>
      </c>
      <c r="AN75" s="528">
        <f>AN46+AN58+AN70</f>
        <v>220.26</v>
      </c>
      <c r="AO75" s="529">
        <f>AO46+AO58+AO70</f>
        <v>215.72300000000001</v>
      </c>
      <c r="AP75" s="529">
        <f>AP46+AP58+AP70</f>
        <v>199.679</v>
      </c>
      <c r="AQ75" s="530">
        <f>AQ46+AQ58</f>
        <v>194.084</v>
      </c>
      <c r="AR75" s="528">
        <f t="shared" ref="AR75:BC75" si="333">AR46+AR58+AR70</f>
        <v>193.387</v>
      </c>
      <c r="AS75" s="529">
        <f t="shared" si="333"/>
        <v>186.74299999999999</v>
      </c>
      <c r="AT75" s="529">
        <f t="shared" si="333"/>
        <v>190.95600000000002</v>
      </c>
      <c r="AU75" s="529">
        <f t="shared" si="333"/>
        <v>184.97399999999999</v>
      </c>
      <c r="AV75" s="528">
        <f t="shared" si="333"/>
        <v>183.59800000000001</v>
      </c>
      <c r="AW75" s="529">
        <f t="shared" si="333"/>
        <v>185.60000000000002</v>
      </c>
      <c r="AX75" s="529">
        <f t="shared" si="333"/>
        <v>187.14999999999998</v>
      </c>
      <c r="AY75" s="529">
        <f t="shared" si="333"/>
        <v>189.14</v>
      </c>
      <c r="AZ75" s="528">
        <f t="shared" si="333"/>
        <v>182.28199999999998</v>
      </c>
      <c r="BA75" s="529">
        <f>BA46+BA58+BA70</f>
        <v>201.21899999999999</v>
      </c>
      <c r="BB75" s="529">
        <f t="shared" ref="BB75" si="334">BB46+BB58+BB70</f>
        <v>195.69400000000002</v>
      </c>
      <c r="BC75" s="51">
        <f t="shared" si="333"/>
        <v>191.92472442000002</v>
      </c>
      <c r="BD75" s="49">
        <f t="shared" ref="BD75:BK75" si="335">BD46+BD58+BD70</f>
        <v>192.54643301925819</v>
      </c>
      <c r="BE75" s="50">
        <f t="shared" si="335"/>
        <v>192.67264915377115</v>
      </c>
      <c r="BF75" s="50">
        <f t="shared" si="335"/>
        <v>195.54269373782978</v>
      </c>
      <c r="BG75" s="51">
        <f t="shared" si="335"/>
        <v>195.95971593650938</v>
      </c>
      <c r="BH75" s="49">
        <f t="shared" si="335"/>
        <v>194.76843330170482</v>
      </c>
      <c r="BI75" s="50">
        <f t="shared" si="335"/>
        <v>194.71607225150916</v>
      </c>
      <c r="BJ75" s="50">
        <f t="shared" si="335"/>
        <v>197.94517625856628</v>
      </c>
      <c r="BK75" s="51">
        <f t="shared" si="335"/>
        <v>199.78710828669449</v>
      </c>
      <c r="BL75" s="353"/>
      <c r="BM75" s="529">
        <f t="shared" ref="BM75:BX75" si="336">BM46+BM58+BM70</f>
        <v>692.899</v>
      </c>
      <c r="BN75" s="529">
        <f t="shared" si="336"/>
        <v>812.32100000000003</v>
      </c>
      <c r="BO75" s="529">
        <f t="shared" si="336"/>
        <v>743.35500000000002</v>
      </c>
      <c r="BP75" s="529">
        <f t="shared" si="336"/>
        <v>722.94499999999994</v>
      </c>
      <c r="BQ75" s="529">
        <f t="shared" si="336"/>
        <v>716.80099999999993</v>
      </c>
      <c r="BR75" s="529">
        <f t="shared" si="336"/>
        <v>817.80200000000002</v>
      </c>
      <c r="BS75" s="529">
        <f t="shared" si="336"/>
        <v>873.65200000000004</v>
      </c>
      <c r="BT75" s="529">
        <f t="shared" si="336"/>
        <v>859.10100000000011</v>
      </c>
      <c r="BU75" s="529">
        <f t="shared" si="336"/>
        <v>882.90200000000004</v>
      </c>
      <c r="BV75" s="529">
        <f t="shared" si="336"/>
        <v>829.74600000000009</v>
      </c>
      <c r="BW75" s="529">
        <f t="shared" si="336"/>
        <v>756.06</v>
      </c>
      <c r="BX75" s="529">
        <f t="shared" si="336"/>
        <v>745.48800000000006</v>
      </c>
      <c r="BY75" s="529">
        <f>BY46+BY58+BY70</f>
        <v>771.11972442000001</v>
      </c>
      <c r="BZ75" s="529">
        <f>BZ46+BZ58+BZ70</f>
        <v>776.7214918473685</v>
      </c>
      <c r="CA75" s="530">
        <f>CA46+CA58+CA70</f>
        <v>787.2167900984748</v>
      </c>
      <c r="CB75" s="528"/>
      <c r="CC75" s="529"/>
      <c r="CD75" s="529"/>
      <c r="CE75" s="531"/>
      <c r="CF75" s="528">
        <f t="shared" ref="CF75:CP75" si="337">CF46+CF58+CF70</f>
        <v>829.98800000000006</v>
      </c>
      <c r="CG75" s="529">
        <f t="shared" si="337"/>
        <v>731.4860000000001</v>
      </c>
      <c r="CH75" s="529">
        <f t="shared" si="337"/>
        <v>747.49</v>
      </c>
      <c r="CI75" s="529">
        <f t="shared" si="337"/>
        <v>683.048</v>
      </c>
      <c r="CJ75" s="529">
        <f t="shared" si="337"/>
        <v>771.25299999999993</v>
      </c>
      <c r="CK75" s="529">
        <f t="shared" si="337"/>
        <v>861.26100000000008</v>
      </c>
      <c r="CL75" s="529">
        <f t="shared" si="337"/>
        <v>856.99</v>
      </c>
      <c r="CM75" s="529">
        <f t="shared" si="337"/>
        <v>863.95799999999997</v>
      </c>
      <c r="CN75" s="529">
        <f t="shared" si="337"/>
        <v>885.11099999999988</v>
      </c>
      <c r="CO75" s="529">
        <f t="shared" si="337"/>
        <v>773.89300000000003</v>
      </c>
      <c r="CP75" s="529">
        <f t="shared" si="337"/>
        <v>745.12800000000004</v>
      </c>
      <c r="CQ75" s="529">
        <f>CQ46+CQ58+CQ70</f>
        <v>759.79099999999994</v>
      </c>
      <c r="CR75" s="529">
        <f>CR46+CR58+CR70</f>
        <v>772.83780659302931</v>
      </c>
      <c r="CS75" s="530">
        <f>CS46+CS58+CS70</f>
        <v>780.98691522755325</v>
      </c>
      <c r="CT75" s="529"/>
      <c r="CU75"/>
      <c r="CV75"/>
      <c r="CW75"/>
      <c r="CX75"/>
      <c r="CY75"/>
      <c r="CZ75"/>
    </row>
    <row r="76" spans="1:104" ht="14.25" customHeight="1">
      <c r="A76" s="8"/>
      <c r="B76" s="52"/>
      <c r="C76" s="53"/>
      <c r="D76" s="55"/>
      <c r="E76" s="55"/>
      <c r="F76" s="42"/>
      <c r="G76" s="56"/>
      <c r="H76" s="55"/>
      <c r="I76" s="55"/>
      <c r="J76" s="42"/>
      <c r="K76" s="56"/>
      <c r="L76" s="55"/>
      <c r="M76" s="55"/>
      <c r="N76" s="42"/>
      <c r="O76" s="56"/>
      <c r="P76" s="55"/>
      <c r="Q76" s="55"/>
      <c r="R76" s="42"/>
      <c r="S76" s="56"/>
      <c r="T76" s="55"/>
      <c r="U76" s="55"/>
      <c r="V76" s="42"/>
      <c r="W76" s="56"/>
      <c r="X76" s="55"/>
      <c r="Y76" s="55"/>
      <c r="Z76" s="42"/>
      <c r="AA76" s="56"/>
      <c r="AB76" s="55"/>
      <c r="AC76" s="55"/>
      <c r="AD76" s="42"/>
      <c r="AE76" s="43"/>
      <c r="AF76" s="42"/>
      <c r="AG76" s="42"/>
      <c r="AH76" s="42"/>
      <c r="AI76" s="43"/>
      <c r="AJ76" s="1257"/>
      <c r="AK76" s="42"/>
      <c r="AL76" s="59"/>
      <c r="AM76" s="60"/>
      <c r="AN76" s="1257"/>
      <c r="AO76" s="42"/>
      <c r="AP76" s="59"/>
      <c r="AQ76" s="60"/>
      <c r="AR76" s="1257"/>
      <c r="AS76" s="1360"/>
      <c r="AT76" s="59"/>
      <c r="AU76" s="59"/>
      <c r="AV76" s="1257"/>
      <c r="AW76" s="1360"/>
      <c r="AX76" s="59"/>
      <c r="AY76" s="59"/>
      <c r="AZ76" s="1257"/>
      <c r="BA76" s="1360"/>
      <c r="BB76" s="59"/>
      <c r="BC76" s="1206"/>
      <c r="BD76" s="1204"/>
      <c r="BE76" s="1205"/>
      <c r="BF76" s="1205"/>
      <c r="BG76" s="1206"/>
      <c r="BH76" s="1204"/>
      <c r="BI76" s="1205"/>
      <c r="BJ76" s="1205"/>
      <c r="BK76" s="1206"/>
      <c r="BL76" s="20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5"/>
      <c r="CB76" s="54"/>
      <c r="CC76" s="44"/>
      <c r="CD76" s="44"/>
      <c r="CE76" s="260"/>
      <c r="CF76" s="111"/>
      <c r="CG76" s="112"/>
      <c r="CH76" s="112"/>
      <c r="CI76" s="112"/>
      <c r="CJ76" s="112"/>
      <c r="CK76" s="112"/>
      <c r="CL76" s="112"/>
      <c r="CM76" s="112"/>
      <c r="CN76" s="112"/>
      <c r="CO76" s="871">
        <f>CO75/CO10</f>
        <v>0.34655220205264292</v>
      </c>
      <c r="CP76" s="871">
        <f>CP75/CP10</f>
        <v>0.33357388309997621</v>
      </c>
      <c r="CQ76" s="871">
        <f>CQ75/CQ10</f>
        <v>0.31903428630454156</v>
      </c>
      <c r="CR76" s="871">
        <f>CR75/CR10</f>
        <v>0.30809485183999286</v>
      </c>
      <c r="CS76" s="872">
        <f>CS75/CS10</f>
        <v>0.30154132983778426</v>
      </c>
      <c r="CT76" s="871"/>
    </row>
    <row r="77" spans="1:104" ht="14.25" hidden="1" customHeight="1" outlineLevel="1">
      <c r="A77" s="8"/>
      <c r="B77" s="23"/>
      <c r="C77" s="24"/>
      <c r="D77" s="42"/>
      <c r="E77" s="42"/>
      <c r="F77" s="42"/>
      <c r="G77" s="43"/>
      <c r="H77" s="42"/>
      <c r="I77" s="42"/>
      <c r="J77" s="42"/>
      <c r="K77" s="43"/>
      <c r="L77" s="42"/>
      <c r="M77" s="42"/>
      <c r="N77" s="42"/>
      <c r="O77" s="43"/>
      <c r="P77" s="42"/>
      <c r="Q77" s="42"/>
      <c r="R77" s="42"/>
      <c r="S77" s="43"/>
      <c r="T77" s="42"/>
      <c r="U77" s="42"/>
      <c r="V77" s="42"/>
      <c r="W77" s="43"/>
      <c r="X77" s="42"/>
      <c r="Y77" s="42"/>
      <c r="Z77" s="42"/>
      <c r="AA77" s="43"/>
      <c r="AB77" s="42"/>
      <c r="AC77" s="42"/>
      <c r="AD77" s="42"/>
      <c r="AE77" s="43"/>
      <c r="AF77" s="42"/>
      <c r="AG77" s="42"/>
      <c r="AH77" s="42"/>
      <c r="AI77" s="43"/>
      <c r="AJ77" s="1254"/>
      <c r="AK77" s="59"/>
      <c r="AL77" s="59"/>
      <c r="AM77" s="60"/>
      <c r="AN77" s="1254"/>
      <c r="AO77" s="59"/>
      <c r="AP77" s="59"/>
      <c r="AQ77" s="60"/>
      <c r="AR77" s="1254"/>
      <c r="AS77" s="59"/>
      <c r="AT77" s="59"/>
      <c r="AU77" s="59"/>
      <c r="AV77" s="1254"/>
      <c r="AW77" s="59"/>
      <c r="AX77" s="59"/>
      <c r="AY77" s="59"/>
      <c r="AZ77" s="1254"/>
      <c r="BA77" s="59"/>
      <c r="BB77" s="59"/>
      <c r="BC77" s="1206"/>
      <c r="BD77" s="1204"/>
      <c r="BE77" s="1205"/>
      <c r="BF77" s="1205"/>
      <c r="BG77" s="1206"/>
      <c r="BH77" s="1204"/>
      <c r="BI77" s="1205"/>
      <c r="BJ77" s="1205"/>
      <c r="BK77" s="1206"/>
      <c r="BL77" s="20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3"/>
      <c r="CB77" s="1257"/>
      <c r="CC77" s="42"/>
      <c r="CD77" s="42"/>
      <c r="CE77" s="260"/>
      <c r="CF77" s="398"/>
      <c r="CG77" s="397"/>
      <c r="CH77" s="397"/>
      <c r="CI77" s="397"/>
      <c r="CJ77" s="397"/>
      <c r="CK77" s="397"/>
      <c r="CL77" s="397"/>
      <c r="CM77" s="397"/>
      <c r="CN77" s="397"/>
      <c r="CO77" s="397"/>
      <c r="CP77" s="397"/>
      <c r="CQ77" s="397"/>
      <c r="CR77" s="397"/>
      <c r="CS77" s="1213"/>
      <c r="CT77" s="397"/>
    </row>
    <row r="78" spans="1:104" ht="14.25" hidden="1" customHeight="1" outlineLevel="1">
      <c r="A78" s="8"/>
      <c r="B78" s="47" t="s">
        <v>321</v>
      </c>
      <c r="C78" s="48"/>
      <c r="D78" s="50">
        <f t="shared" ref="D78:AU78" si="338">D31-D73</f>
        <v>115.15000000000003</v>
      </c>
      <c r="E78" s="50">
        <f t="shared" si="338"/>
        <v>132.94299999999998</v>
      </c>
      <c r="F78" s="50">
        <f t="shared" si="338"/>
        <v>147.02900000000002</v>
      </c>
      <c r="G78" s="51">
        <f t="shared" si="338"/>
        <v>130.37699999999978</v>
      </c>
      <c r="H78" s="50">
        <f t="shared" si="338"/>
        <v>16.129999999999995</v>
      </c>
      <c r="I78" s="50">
        <f t="shared" si="338"/>
        <v>126.846</v>
      </c>
      <c r="J78" s="50">
        <f t="shared" si="338"/>
        <v>86.268999999999977</v>
      </c>
      <c r="K78" s="51">
        <f t="shared" si="338"/>
        <v>123.16799999999984</v>
      </c>
      <c r="L78" s="50">
        <f t="shared" si="338"/>
        <v>109.53900000000004</v>
      </c>
      <c r="M78" s="50">
        <f t="shared" si="338"/>
        <v>140.57699999999997</v>
      </c>
      <c r="N78" s="50">
        <f t="shared" si="338"/>
        <v>81.058000000000021</v>
      </c>
      <c r="O78" s="51">
        <f t="shared" si="338"/>
        <v>94.878999999999962</v>
      </c>
      <c r="P78" s="50">
        <f t="shared" si="338"/>
        <v>93.585000000000036</v>
      </c>
      <c r="Q78" s="50">
        <f t="shared" si="338"/>
        <v>-80.839999999999947</v>
      </c>
      <c r="R78" s="50">
        <f t="shared" si="338"/>
        <v>-16.954000000000008</v>
      </c>
      <c r="S78" s="51">
        <f t="shared" si="338"/>
        <v>21.587000000000216</v>
      </c>
      <c r="T78" s="50">
        <f t="shared" si="338"/>
        <v>90.09899999999999</v>
      </c>
      <c r="U78" s="50">
        <f t="shared" si="338"/>
        <v>109.12899999999999</v>
      </c>
      <c r="V78" s="50">
        <f t="shared" si="338"/>
        <v>-48.261000000000024</v>
      </c>
      <c r="W78" s="51">
        <f t="shared" si="338"/>
        <v>141.08299999999997</v>
      </c>
      <c r="X78" s="50">
        <f t="shared" si="338"/>
        <v>179.12300000000002</v>
      </c>
      <c r="Y78" s="50">
        <f t="shared" si="338"/>
        <v>151.99900000000005</v>
      </c>
      <c r="Z78" s="50">
        <f t="shared" si="338"/>
        <v>163.99499999999998</v>
      </c>
      <c r="AA78" s="51">
        <f t="shared" si="338"/>
        <v>177.92199999999971</v>
      </c>
      <c r="AB78" s="50">
        <f t="shared" si="338"/>
        <v>172.37999999999997</v>
      </c>
      <c r="AC78" s="50">
        <f t="shared" si="338"/>
        <v>114.51000000000005</v>
      </c>
      <c r="AD78" s="50">
        <f t="shared" si="338"/>
        <v>111.88599999999997</v>
      </c>
      <c r="AE78" s="51">
        <f t="shared" si="338"/>
        <v>136.02100000000002</v>
      </c>
      <c r="AF78" s="50">
        <f t="shared" si="338"/>
        <v>165.40300000000002</v>
      </c>
      <c r="AG78" s="50">
        <f t="shared" si="338"/>
        <v>117.548</v>
      </c>
      <c r="AH78" s="50">
        <f t="shared" si="338"/>
        <v>154.27799999999999</v>
      </c>
      <c r="AI78" s="51">
        <f t="shared" si="338"/>
        <v>151.09</v>
      </c>
      <c r="AJ78" s="49">
        <f t="shared" si="338"/>
        <v>128.60900000000004</v>
      </c>
      <c r="AK78" s="50">
        <f t="shared" si="338"/>
        <v>70.394000000000005</v>
      </c>
      <c r="AL78" s="50">
        <f t="shared" si="338"/>
        <v>106.738</v>
      </c>
      <c r="AM78" s="51">
        <f t="shared" si="338"/>
        <v>116.54999999999998</v>
      </c>
      <c r="AN78" s="49">
        <f t="shared" si="338"/>
        <v>100.95800000000003</v>
      </c>
      <c r="AO78" s="50">
        <f t="shared" si="338"/>
        <v>-64.076000000000022</v>
      </c>
      <c r="AP78" s="50">
        <f t="shared" si="338"/>
        <v>105.45000000000002</v>
      </c>
      <c r="AQ78" s="51">
        <f t="shared" si="338"/>
        <v>94.948000000000064</v>
      </c>
      <c r="AR78" s="49">
        <f>AR31-AR73</f>
        <v>-75.764999999999986</v>
      </c>
      <c r="AS78" s="50">
        <f>AS31-AS73</f>
        <v>89.532999999999987</v>
      </c>
      <c r="AT78" s="50">
        <f>AT31-AT73</f>
        <v>177.70799999999994</v>
      </c>
      <c r="AU78" s="50">
        <f t="shared" si="338"/>
        <v>122.37299999999999</v>
      </c>
      <c r="AV78" s="49">
        <f t="shared" ref="AV78:BA78" si="339">AV31-AV73</f>
        <v>172.07299999999995</v>
      </c>
      <c r="AW78" s="50">
        <f t="shared" si="339"/>
        <v>149.07400000000004</v>
      </c>
      <c r="AX78" s="50">
        <f t="shared" si="339"/>
        <v>174.25200000000001</v>
      </c>
      <c r="AY78" s="50">
        <f t="shared" si="339"/>
        <v>199.37800000000001</v>
      </c>
      <c r="AZ78" s="49">
        <f t="shared" si="339"/>
        <v>185.16600000000003</v>
      </c>
      <c r="BA78" s="50">
        <f t="shared" si="339"/>
        <v>201.04799999999994</v>
      </c>
      <c r="BB78" s="50">
        <f t="shared" ref="BB78" si="340">BB31-BB73</f>
        <v>224.83800000000002</v>
      </c>
      <c r="BC78" s="51">
        <f t="shared" ref="BC78:BG78" si="341">BC31-BC73</f>
        <v>218.2235112095</v>
      </c>
      <c r="BD78" s="49">
        <f t="shared" si="341"/>
        <v>218.22708541782183</v>
      </c>
      <c r="BE78" s="50">
        <f t="shared" si="341"/>
        <v>219.48739489306902</v>
      </c>
      <c r="BF78" s="50">
        <f t="shared" si="341"/>
        <v>239.50611110399879</v>
      </c>
      <c r="BG78" s="51">
        <f t="shared" si="341"/>
        <v>245.66292071066468</v>
      </c>
      <c r="BH78" s="49">
        <f>BH31-BH73</f>
        <v>239.10963224300136</v>
      </c>
      <c r="BI78" s="50">
        <f>BI31-BI73</f>
        <v>238.82805564422497</v>
      </c>
      <c r="BJ78" s="50">
        <f>BJ31-BJ73</f>
        <v>254.60953712495294</v>
      </c>
      <c r="BK78" s="51">
        <f>BK31-BK73</f>
        <v>266.1978686784264</v>
      </c>
      <c r="BL78" s="20"/>
      <c r="BM78" s="50">
        <f t="shared" ref="BM78:BX78" si="342">BM31-BM73</f>
        <v>525.49899999999991</v>
      </c>
      <c r="BN78" s="50">
        <f t="shared" si="342"/>
        <v>352.41299999999967</v>
      </c>
      <c r="BO78" s="50">
        <f t="shared" si="342"/>
        <v>426.05299999999977</v>
      </c>
      <c r="BP78" s="50">
        <f t="shared" si="342"/>
        <v>17.378000000000384</v>
      </c>
      <c r="BQ78" s="50">
        <f t="shared" si="342"/>
        <v>292.05000000000007</v>
      </c>
      <c r="BR78" s="50">
        <f t="shared" si="342"/>
        <v>673.03899999999942</v>
      </c>
      <c r="BS78" s="50">
        <f t="shared" si="342"/>
        <v>534.7969999999998</v>
      </c>
      <c r="BT78" s="50">
        <f t="shared" si="342"/>
        <v>588.31899999999985</v>
      </c>
      <c r="BU78" s="50">
        <f t="shared" si="342"/>
        <v>422.29100000000005</v>
      </c>
      <c r="BV78" s="50">
        <f t="shared" si="342"/>
        <v>237.27999999999952</v>
      </c>
      <c r="BW78" s="50">
        <f t="shared" si="342"/>
        <v>313.84900000000016</v>
      </c>
      <c r="BX78" s="50">
        <f t="shared" si="342"/>
        <v>694.77700000000016</v>
      </c>
      <c r="BY78" s="50">
        <f>BY31-BY73</f>
        <v>829.27551120950045</v>
      </c>
      <c r="BZ78" s="50">
        <f>BZ31-BZ73</f>
        <v>922.88351212555415</v>
      </c>
      <c r="CA78" s="51">
        <f>CA31-CA73</f>
        <v>998.74509369060536</v>
      </c>
      <c r="CB78" s="49"/>
      <c r="CC78" s="50"/>
      <c r="CD78" s="50"/>
      <c r="CE78" s="260"/>
      <c r="CF78" s="49">
        <f t="shared" ref="CF78:CP78" si="343">CF31-CF73</f>
        <v>420.38199999999983</v>
      </c>
      <c r="CG78" s="50">
        <f t="shared" si="343"/>
        <v>459.553</v>
      </c>
      <c r="CH78" s="50">
        <f t="shared" si="343"/>
        <v>188.68199999999979</v>
      </c>
      <c r="CI78" s="50">
        <f t="shared" si="343"/>
        <v>203.86099999999988</v>
      </c>
      <c r="CJ78" s="50">
        <f t="shared" si="343"/>
        <v>423.94400000000041</v>
      </c>
      <c r="CK78" s="50">
        <f t="shared" si="343"/>
        <v>628.80699999999933</v>
      </c>
      <c r="CL78" s="50">
        <f t="shared" si="343"/>
        <v>530.85799999999995</v>
      </c>
      <c r="CM78" s="50">
        <f t="shared" si="343"/>
        <v>504.37099999999998</v>
      </c>
      <c r="CN78" s="50">
        <f t="shared" si="343"/>
        <v>260.17000000000007</v>
      </c>
      <c r="CO78" s="50">
        <f t="shared" si="343"/>
        <v>214.16600000000017</v>
      </c>
      <c r="CP78" s="50">
        <f t="shared" si="343"/>
        <v>621.22799999999995</v>
      </c>
      <c r="CQ78" s="50">
        <f>CQ31-CQ73</f>
        <v>759.84399999999982</v>
      </c>
      <c r="CR78" s="50">
        <f>CR31-CR73</f>
        <v>880.77599152039079</v>
      </c>
      <c r="CS78" s="51">
        <f>CS31-CS73</f>
        <v>963.1067197018898</v>
      </c>
      <c r="CT78" s="50"/>
    </row>
    <row r="79" spans="1:104" ht="14.25" hidden="1" customHeight="1" outlineLevel="1">
      <c r="A79" s="8"/>
      <c r="B79" s="35" t="s">
        <v>322</v>
      </c>
      <c r="C79" s="36"/>
      <c r="D79" s="37">
        <f t="shared" ref="D79:AU79" si="344">D78/D10</f>
        <v>0.27151935297515895</v>
      </c>
      <c r="E79" s="37">
        <f t="shared" si="344"/>
        <v>0.29839962291255162</v>
      </c>
      <c r="F79" s="37">
        <f t="shared" si="344"/>
        <v>0.30748269443921622</v>
      </c>
      <c r="G79" s="38">
        <f t="shared" si="344"/>
        <v>0.25606292717416884</v>
      </c>
      <c r="H79" s="37">
        <f t="shared" si="344"/>
        <v>3.2083859610737044E-2</v>
      </c>
      <c r="I79" s="37">
        <f t="shared" si="344"/>
        <v>0.25499092376566229</v>
      </c>
      <c r="J79" s="37">
        <f t="shared" si="344"/>
        <v>0.18102594448501327</v>
      </c>
      <c r="K79" s="38">
        <f t="shared" si="344"/>
        <v>0.23135789018915384</v>
      </c>
      <c r="L79" s="37">
        <f t="shared" si="344"/>
        <v>0.2090115840871927</v>
      </c>
      <c r="M79" s="37">
        <f t="shared" si="344"/>
        <v>0.2603157261237905</v>
      </c>
      <c r="N79" s="37">
        <f t="shared" si="344"/>
        <v>0.16630352270162702</v>
      </c>
      <c r="O79" s="38">
        <f t="shared" si="344"/>
        <v>0.18927836861393224</v>
      </c>
      <c r="P79" s="37">
        <f t="shared" si="344"/>
        <v>0.18672037733138611</v>
      </c>
      <c r="Q79" s="37">
        <f t="shared" si="344"/>
        <v>-0.19684665489742484</v>
      </c>
      <c r="R79" s="37">
        <f t="shared" si="344"/>
        <v>-4.9913885740361846E-2</v>
      </c>
      <c r="S79" s="38">
        <f t="shared" si="344"/>
        <v>5.4723921403601807E-2</v>
      </c>
      <c r="T79" s="37">
        <f t="shared" si="344"/>
        <v>0.20055604279169986</v>
      </c>
      <c r="U79" s="37">
        <f t="shared" si="344"/>
        <v>0.23046577193964288</v>
      </c>
      <c r="V79" s="37">
        <f t="shared" si="344"/>
        <v>-9.4837682754283961E-2</v>
      </c>
      <c r="W79" s="38">
        <f t="shared" si="344"/>
        <v>0.24927998699559328</v>
      </c>
      <c r="X79" s="37">
        <f t="shared" si="344"/>
        <v>0.28607545608882373</v>
      </c>
      <c r="Y79" s="37">
        <f t="shared" si="344"/>
        <v>0.2479851077437123</v>
      </c>
      <c r="Z79" s="37">
        <f t="shared" si="344"/>
        <v>0.2702731655061596</v>
      </c>
      <c r="AA79" s="38">
        <f t="shared" si="344"/>
        <v>0.28399769509857253</v>
      </c>
      <c r="AB79" s="37">
        <f t="shared" si="344"/>
        <v>0.27103688353181277</v>
      </c>
      <c r="AC79" s="37">
        <f t="shared" si="344"/>
        <v>0.19363872030357202</v>
      </c>
      <c r="AD79" s="37">
        <f t="shared" si="344"/>
        <v>0.19587473652514298</v>
      </c>
      <c r="AE79" s="38">
        <f t="shared" si="344"/>
        <v>0.22484445149729901</v>
      </c>
      <c r="AF79" s="37">
        <f t="shared" si="344"/>
        <v>0.2654624242667416</v>
      </c>
      <c r="AG79" s="37">
        <f t="shared" si="344"/>
        <v>0.19419599343142147</v>
      </c>
      <c r="AH79" s="37">
        <f t="shared" si="344"/>
        <v>0.25505386156684584</v>
      </c>
      <c r="AI79" s="38">
        <f t="shared" si="344"/>
        <v>0.24842402259805263</v>
      </c>
      <c r="AJ79" s="39">
        <f t="shared" si="344"/>
        <v>0.21975391334510064</v>
      </c>
      <c r="AK79" s="37">
        <f t="shared" si="344"/>
        <v>0.11348855505792602</v>
      </c>
      <c r="AL79" s="37">
        <f t="shared" si="344"/>
        <v>0.17622808045819499</v>
      </c>
      <c r="AM79" s="38">
        <f t="shared" si="344"/>
        <v>0.18141009577145595</v>
      </c>
      <c r="AN79" s="39">
        <f t="shared" si="344"/>
        <v>0.17398302528973336</v>
      </c>
      <c r="AO79" s="37">
        <f t="shared" si="344"/>
        <v>-0.11304689939644576</v>
      </c>
      <c r="AP79" s="37">
        <f t="shared" si="344"/>
        <v>0.18267236943992601</v>
      </c>
      <c r="AQ79" s="38">
        <f t="shared" si="344"/>
        <v>0.16299610140133258</v>
      </c>
      <c r="AR79" s="39">
        <f>AR78/AR10</f>
        <v>-0.13469093882775415</v>
      </c>
      <c r="AS79" s="37">
        <f>AS78/AS10</f>
        <v>0.17526931607517943</v>
      </c>
      <c r="AT79" s="37">
        <f>AT78/AT10</f>
        <v>0.32004927492381829</v>
      </c>
      <c r="AU79" s="37">
        <f t="shared" si="344"/>
        <v>0.2161585936699604</v>
      </c>
      <c r="AV79" s="39">
        <f t="shared" ref="AV79:BA79" si="345">AV78/AV10</f>
        <v>0.3065091308096245</v>
      </c>
      <c r="AW79" s="37">
        <f t="shared" si="345"/>
        <v>0.27055270618042176</v>
      </c>
      <c r="AX79" s="37">
        <f t="shared" si="345"/>
        <v>0.29980592413147611</v>
      </c>
      <c r="AY79" s="37">
        <f t="shared" si="345"/>
        <v>0.33118994028288806</v>
      </c>
      <c r="AZ79" s="39">
        <f t="shared" si="345"/>
        <v>0.32164967794384342</v>
      </c>
      <c r="BA79" s="37">
        <f t="shared" si="345"/>
        <v>0.32289761128876049</v>
      </c>
      <c r="BB79" s="37">
        <f t="shared" ref="BB79" si="346">BB78/BB10</f>
        <v>0.34665178330524715</v>
      </c>
      <c r="BC79" s="38">
        <f t="shared" ref="BC79:BG79" si="347">BC78/BC10</f>
        <v>0.34644871115583098</v>
      </c>
      <c r="BD79" s="39">
        <f t="shared" si="347"/>
        <v>0.35518600333863604</v>
      </c>
      <c r="BE79" s="37">
        <f t="shared" si="347"/>
        <v>0.35656946674742884</v>
      </c>
      <c r="BF79" s="37">
        <f t="shared" si="347"/>
        <v>0.36976013060664598</v>
      </c>
      <c r="BG79" s="38">
        <f t="shared" si="347"/>
        <v>0.37529637528086585</v>
      </c>
      <c r="BH79" s="39">
        <f>BH78/BH10</f>
        <v>0.37124207582005719</v>
      </c>
      <c r="BI79" s="37">
        <f>BI78/BI10</f>
        <v>0.37108993623459335</v>
      </c>
      <c r="BJ79" s="37">
        <f>BJ78/BJ10</f>
        <v>0.38014773050408518</v>
      </c>
      <c r="BK79" s="38">
        <f>BK78/BK10</f>
        <v>0.38715669492795329</v>
      </c>
      <c r="BL79" s="20"/>
      <c r="BM79" s="37">
        <f t="shared" ref="BM79:BX79" si="348">BM78/BM10</f>
        <v>0.28299114944169046</v>
      </c>
      <c r="BN79" s="37">
        <f t="shared" si="348"/>
        <v>0.17540629647547873</v>
      </c>
      <c r="BO79" s="37">
        <f t="shared" si="348"/>
        <v>0.20754897132332048</v>
      </c>
      <c r="BP79" s="37">
        <f t="shared" si="348"/>
        <v>1.0557619462763328E-2</v>
      </c>
      <c r="BQ79" s="37">
        <f t="shared" si="348"/>
        <v>0.14620022096482638</v>
      </c>
      <c r="BR79" s="37">
        <f t="shared" si="348"/>
        <v>0.27222741523115118</v>
      </c>
      <c r="BS79" s="37">
        <f t="shared" si="348"/>
        <v>0.22250490840759557</v>
      </c>
      <c r="BT79" s="37">
        <f t="shared" si="348"/>
        <v>0.24097025590026286</v>
      </c>
      <c r="BU79" s="37">
        <f t="shared" si="348"/>
        <v>0.17210635690394321</v>
      </c>
      <c r="BV79" s="37">
        <f t="shared" si="348"/>
        <v>0.10285825258879568</v>
      </c>
      <c r="BW79" s="37">
        <f t="shared" si="348"/>
        <v>0.14300190593875578</v>
      </c>
      <c r="BX79" s="37">
        <f t="shared" si="348"/>
        <v>0.30265397290050816</v>
      </c>
      <c r="BY79" s="37">
        <f>BY78/BY10</f>
        <v>0.33481745526380491</v>
      </c>
      <c r="BZ79" s="37">
        <f>BZ78/BZ10</f>
        <v>0.36444869914745653</v>
      </c>
      <c r="CA79" s="38">
        <f>CA78/CA10</f>
        <v>0.37759716287847567</v>
      </c>
      <c r="CB79" s="39"/>
      <c r="CC79" s="37"/>
      <c r="CD79" s="37"/>
      <c r="CE79" s="260"/>
      <c r="CF79" s="39">
        <f t="shared" ref="CF79:CP79" si="349">CF78/CF10</f>
        <v>0.21150997621165582</v>
      </c>
      <c r="CG79" s="37">
        <f t="shared" si="349"/>
        <v>0.22168157558590507</v>
      </c>
      <c r="CH79" s="37">
        <f t="shared" si="349"/>
        <v>9.9277264126918549E-2</v>
      </c>
      <c r="CI79" s="37">
        <f t="shared" si="349"/>
        <v>0.12303782311151501</v>
      </c>
      <c r="CJ79" s="37">
        <f t="shared" si="349"/>
        <v>0.18321486898622566</v>
      </c>
      <c r="CK79" s="37">
        <f t="shared" si="349"/>
        <v>0.25554746818595403</v>
      </c>
      <c r="CL79" s="37">
        <f t="shared" si="349"/>
        <v>0.22077237768912172</v>
      </c>
      <c r="CM79" s="37">
        <f t="shared" si="349"/>
        <v>0.20853901421198193</v>
      </c>
      <c r="CN79" s="37">
        <f t="shared" si="349"/>
        <v>0.10861995831719018</v>
      </c>
      <c r="CO79" s="37">
        <f t="shared" si="349"/>
        <v>9.590434195012279E-2</v>
      </c>
      <c r="CP79" s="37">
        <f t="shared" si="349"/>
        <v>0.27810716581638589</v>
      </c>
      <c r="CQ79" s="37">
        <f>CQ78/CQ10</f>
        <v>0.31905654086819668</v>
      </c>
      <c r="CR79" s="37">
        <f>CR78/CR10</f>
        <v>0.35112483666911903</v>
      </c>
      <c r="CS79" s="38">
        <f>CS78/CS10</f>
        <v>0.37185831845850637</v>
      </c>
      <c r="CT79" s="37"/>
    </row>
    <row r="80" spans="1:104" ht="14.25" hidden="1" customHeight="1" outlineLevel="1">
      <c r="A80" s="8"/>
      <c r="B80" s="47" t="s">
        <v>323</v>
      </c>
      <c r="C80" s="48"/>
      <c r="D80" s="50">
        <f t="shared" ref="D80:AU80" si="350">D33-D74</f>
        <v>180.102</v>
      </c>
      <c r="E80" s="50">
        <f t="shared" si="350"/>
        <v>193.51100000000002</v>
      </c>
      <c r="F80" s="50">
        <f t="shared" si="350"/>
        <v>207.34800000000004</v>
      </c>
      <c r="G80" s="51">
        <f t="shared" si="350"/>
        <v>195.9519999999998</v>
      </c>
      <c r="H80" s="50">
        <f t="shared" si="350"/>
        <v>206.01499999999999</v>
      </c>
      <c r="I80" s="50">
        <f t="shared" si="350"/>
        <v>189.01899999999995</v>
      </c>
      <c r="J80" s="50">
        <f t="shared" si="350"/>
        <v>130.47499999999997</v>
      </c>
      <c r="K80" s="51">
        <f t="shared" si="350"/>
        <v>242.56099999999986</v>
      </c>
      <c r="L80" s="50">
        <f t="shared" si="350"/>
        <v>189.75200000000001</v>
      </c>
      <c r="M80" s="50">
        <f t="shared" si="350"/>
        <v>197.43799999999999</v>
      </c>
      <c r="N80" s="50">
        <f t="shared" si="350"/>
        <v>158.5</v>
      </c>
      <c r="O80" s="51">
        <f t="shared" si="350"/>
        <v>171.97399999999993</v>
      </c>
      <c r="P80" s="50">
        <f t="shared" si="350"/>
        <v>151.28199999999998</v>
      </c>
      <c r="Q80" s="50">
        <f t="shared" si="350"/>
        <v>128.95500000000004</v>
      </c>
      <c r="R80" s="50">
        <f t="shared" si="350"/>
        <v>49.956000000000017</v>
      </c>
      <c r="S80" s="51">
        <f t="shared" si="350"/>
        <v>81.975000000000193</v>
      </c>
      <c r="T80" s="50">
        <f t="shared" si="350"/>
        <v>110.60499999999999</v>
      </c>
      <c r="U80" s="50">
        <f t="shared" si="350"/>
        <v>143.24099999999993</v>
      </c>
      <c r="V80" s="50">
        <f t="shared" si="350"/>
        <v>148.08800000000002</v>
      </c>
      <c r="W80" s="51">
        <f t="shared" si="350"/>
        <v>183.48499999999996</v>
      </c>
      <c r="X80" s="50">
        <f t="shared" si="350"/>
        <v>224.18</v>
      </c>
      <c r="Y80" s="50">
        <f t="shared" si="350"/>
        <v>211.79500000000007</v>
      </c>
      <c r="Z80" s="50">
        <f t="shared" si="350"/>
        <v>197.22499999999997</v>
      </c>
      <c r="AA80" s="51">
        <f t="shared" si="350"/>
        <v>209.09999999999974</v>
      </c>
      <c r="AB80" s="50">
        <f t="shared" si="350"/>
        <v>205.70299999999997</v>
      </c>
      <c r="AC80" s="50">
        <f t="shared" si="350"/>
        <v>158.40500000000003</v>
      </c>
      <c r="AD80" s="50">
        <f t="shared" si="350"/>
        <v>153.16899999999998</v>
      </c>
      <c r="AE80" s="51">
        <f t="shared" si="350"/>
        <v>188.28399999999996</v>
      </c>
      <c r="AF80" s="50">
        <f t="shared" si="350"/>
        <v>203.15570000000002</v>
      </c>
      <c r="AG80" s="50">
        <f t="shared" si="350"/>
        <v>179.40600000000001</v>
      </c>
      <c r="AH80" s="50">
        <f t="shared" si="350"/>
        <v>187.39999999999998</v>
      </c>
      <c r="AI80" s="51">
        <f t="shared" si="350"/>
        <v>183.93700000000001</v>
      </c>
      <c r="AJ80" s="49">
        <f t="shared" si="350"/>
        <v>160.077125</v>
      </c>
      <c r="AK80" s="50">
        <f t="shared" si="350"/>
        <v>157.26300000000001</v>
      </c>
      <c r="AL80" s="50">
        <f t="shared" si="350"/>
        <v>163.88099999999997</v>
      </c>
      <c r="AM80" s="51">
        <f t="shared" si="350"/>
        <v>182.91399999999999</v>
      </c>
      <c r="AN80" s="49">
        <f t="shared" si="350"/>
        <v>154.10127500000002</v>
      </c>
      <c r="AO80" s="50">
        <f t="shared" si="350"/>
        <v>146.77499999999998</v>
      </c>
      <c r="AP80" s="50">
        <f t="shared" si="350"/>
        <v>162.76000000000002</v>
      </c>
      <c r="AQ80" s="51">
        <f t="shared" si="350"/>
        <v>182.28600000000006</v>
      </c>
      <c r="AR80" s="49">
        <f>AR33-AR74</f>
        <v>173.09780000000001</v>
      </c>
      <c r="AS80" s="50">
        <f>AS33-AS74</f>
        <v>122.19200000000001</v>
      </c>
      <c r="AT80" s="50">
        <f>AT33-AT74</f>
        <v>149.90299999999991</v>
      </c>
      <c r="AU80" s="50">
        <f t="shared" si="350"/>
        <v>177.97999999999996</v>
      </c>
      <c r="AV80" s="49">
        <f t="shared" ref="AV80:BA80" si="351">AV33-AV74</f>
        <v>173.49592499999994</v>
      </c>
      <c r="AW80" s="50">
        <f t="shared" si="351"/>
        <v>167.51100000000002</v>
      </c>
      <c r="AX80" s="50">
        <f t="shared" si="351"/>
        <v>191.92100000000005</v>
      </c>
      <c r="AY80" s="50">
        <f t="shared" si="351"/>
        <v>215.59000000000003</v>
      </c>
      <c r="AZ80" s="49">
        <f t="shared" si="351"/>
        <v>202.61300000000006</v>
      </c>
      <c r="BA80" s="50">
        <f t="shared" si="351"/>
        <v>219.59599999999995</v>
      </c>
      <c r="BB80" s="50">
        <f t="shared" ref="BB80" si="352">BB33-BB74</f>
        <v>240.35300000000001</v>
      </c>
      <c r="BC80" s="51">
        <f t="shared" ref="BC80:BG80" si="353">BC33-BC74</f>
        <v>230.09951120950001</v>
      </c>
      <c r="BD80" s="49">
        <f t="shared" si="353"/>
        <v>219.10308541782183</v>
      </c>
      <c r="BE80" s="50">
        <f t="shared" si="353"/>
        <v>220.36339489306903</v>
      </c>
      <c r="BF80" s="50">
        <f t="shared" si="353"/>
        <v>240.3821111039988</v>
      </c>
      <c r="BG80" s="51">
        <f t="shared" si="353"/>
        <v>246.53892071066468</v>
      </c>
      <c r="BH80" s="49">
        <f>BH33-BH74</f>
        <v>239.98563224300136</v>
      </c>
      <c r="BI80" s="50">
        <f>BI33-BI74</f>
        <v>239.70405564422498</v>
      </c>
      <c r="BJ80" s="50">
        <f>BJ33-BJ74</f>
        <v>255.48553712495294</v>
      </c>
      <c r="BK80" s="51">
        <f>BK33-BK74</f>
        <v>267.07386867842644</v>
      </c>
      <c r="BL80" s="20"/>
      <c r="BM80" s="50">
        <f t="shared" ref="BM80:BX80" si="354">BM33-BM74</f>
        <v>776.91300000000001</v>
      </c>
      <c r="BN80" s="50">
        <f t="shared" si="354"/>
        <v>768.06999999999982</v>
      </c>
      <c r="BO80" s="50">
        <f t="shared" si="354"/>
        <v>717.66399999999999</v>
      </c>
      <c r="BP80" s="50">
        <f t="shared" si="354"/>
        <v>412.16800000000035</v>
      </c>
      <c r="BQ80" s="50">
        <f t="shared" si="354"/>
        <v>585.41899999999998</v>
      </c>
      <c r="BR80" s="50">
        <f t="shared" si="354"/>
        <v>842.2999999999995</v>
      </c>
      <c r="BS80" s="50">
        <f t="shared" si="354"/>
        <v>705.56100000000015</v>
      </c>
      <c r="BT80" s="50">
        <f t="shared" si="354"/>
        <v>756.2679999999998</v>
      </c>
      <c r="BU80" s="50">
        <f t="shared" si="354"/>
        <v>670.75400000000025</v>
      </c>
      <c r="BV80" s="50">
        <f t="shared" si="354"/>
        <v>651.46099999999967</v>
      </c>
      <c r="BW80" s="50">
        <f t="shared" si="354"/>
        <v>625.72800000000029</v>
      </c>
      <c r="BX80" s="50">
        <f t="shared" si="354"/>
        <v>750.93600000000015</v>
      </c>
      <c r="BY80" s="50">
        <f>BY33-BY74</f>
        <v>892.6615112095003</v>
      </c>
      <c r="BZ80" s="50">
        <f>BZ33-BZ74</f>
        <v>926.38751212555417</v>
      </c>
      <c r="CA80" s="51">
        <f>CA33-CA74</f>
        <v>1002.2490936906054</v>
      </c>
      <c r="CB80" s="49"/>
      <c r="CC80" s="50"/>
      <c r="CD80" s="50"/>
      <c r="CE80" s="260"/>
      <c r="CF80" s="49">
        <f t="shared" ref="CF80:CP80" si="355">CF33-CF74</f>
        <v>798.33399999999983</v>
      </c>
      <c r="CG80" s="50">
        <f t="shared" si="355"/>
        <v>760.22600000000011</v>
      </c>
      <c r="CH80" s="50">
        <f t="shared" si="355"/>
        <v>610.71099999999979</v>
      </c>
      <c r="CI80" s="50">
        <f t="shared" si="355"/>
        <v>385.77699999999993</v>
      </c>
      <c r="CJ80" s="50">
        <f t="shared" si="355"/>
        <v>767.54800000000034</v>
      </c>
      <c r="CK80" s="50">
        <f t="shared" si="355"/>
        <v>770.43299999999931</v>
      </c>
      <c r="CL80" s="50">
        <f t="shared" si="355"/>
        <v>726.3839999999999</v>
      </c>
      <c r="CM80" s="50">
        <f t="shared" si="355"/>
        <v>695.29599999999982</v>
      </c>
      <c r="CN80" s="50">
        <f t="shared" si="355"/>
        <v>653.21</v>
      </c>
      <c r="CO80" s="50">
        <f t="shared" si="355"/>
        <v>642.8910000000003</v>
      </c>
      <c r="CP80" s="50">
        <f t="shared" si="355"/>
        <v>671.30800000000011</v>
      </c>
      <c r="CQ80" s="50">
        <f>CQ33-CQ74</f>
        <v>829.71999999999957</v>
      </c>
      <c r="CR80" s="50">
        <f>CR33-CR74</f>
        <v>909.91899152039093</v>
      </c>
      <c r="CS80" s="51">
        <f>CS33-CS74</f>
        <v>966.61071970188982</v>
      </c>
      <c r="CT80" s="50"/>
    </row>
    <row r="81" spans="1:104" ht="14.25" hidden="1" customHeight="1" outlineLevel="1">
      <c r="A81" s="8"/>
      <c r="B81" s="35" t="s">
        <v>324</v>
      </c>
      <c r="C81" s="36"/>
      <c r="D81" s="37">
        <f t="shared" ref="D81:AU81" si="356">D80/D17</f>
        <v>0.42467371697379125</v>
      </c>
      <c r="E81" s="37">
        <f t="shared" si="356"/>
        <v>0.43434862632429527</v>
      </c>
      <c r="F81" s="37">
        <f t="shared" si="356"/>
        <v>0.43362820754125109</v>
      </c>
      <c r="G81" s="38">
        <f t="shared" si="356"/>
        <v>0.3848534841700052</v>
      </c>
      <c r="H81" s="37">
        <f t="shared" si="356"/>
        <v>0.40978030611940441</v>
      </c>
      <c r="I81" s="37">
        <f t="shared" si="356"/>
        <v>0.37997358544425291</v>
      </c>
      <c r="J81" s="37">
        <f t="shared" si="356"/>
        <v>0.27378734083717332</v>
      </c>
      <c r="K81" s="38">
        <f t="shared" si="356"/>
        <v>0.4556248473805809</v>
      </c>
      <c r="L81" s="37">
        <f t="shared" si="356"/>
        <v>0.36206616916087397</v>
      </c>
      <c r="M81" s="37">
        <f t="shared" si="356"/>
        <v>0.36560899958335263</v>
      </c>
      <c r="N81" s="37">
        <f t="shared" si="356"/>
        <v>0.32518823988018297</v>
      </c>
      <c r="O81" s="38">
        <f t="shared" si="356"/>
        <v>0.34307863872945948</v>
      </c>
      <c r="P81" s="37">
        <f t="shared" si="356"/>
        <v>0.30183717607999933</v>
      </c>
      <c r="Q81" s="37">
        <f t="shared" si="356"/>
        <v>0.31400742679734595</v>
      </c>
      <c r="R81" s="37">
        <f t="shared" si="356"/>
        <v>0.14707432323024161</v>
      </c>
      <c r="S81" s="38">
        <f t="shared" si="356"/>
        <v>0.20780995307639891</v>
      </c>
      <c r="T81" s="37">
        <f t="shared" si="356"/>
        <v>0.24620141303428411</v>
      </c>
      <c r="U81" s="37">
        <f t="shared" si="356"/>
        <v>0.30250572843521312</v>
      </c>
      <c r="V81" s="37">
        <f t="shared" si="356"/>
        <v>0.29100770319132219</v>
      </c>
      <c r="W81" s="38">
        <f t="shared" si="356"/>
        <v>0.32420021132160809</v>
      </c>
      <c r="X81" s="37">
        <f t="shared" si="356"/>
        <v>0.35803551607550399</v>
      </c>
      <c r="Y81" s="37">
        <f t="shared" si="356"/>
        <v>0.34554178576556127</v>
      </c>
      <c r="Z81" s="37">
        <f t="shared" si="356"/>
        <v>0.32503811132627414</v>
      </c>
      <c r="AA81" s="38">
        <f t="shared" si="356"/>
        <v>0.33376377314279032</v>
      </c>
      <c r="AB81" s="37">
        <f t="shared" si="356"/>
        <v>0.32343137285731804</v>
      </c>
      <c r="AC81" s="37">
        <f t="shared" si="356"/>
        <v>0.26786605090985344</v>
      </c>
      <c r="AD81" s="37">
        <f t="shared" si="356"/>
        <v>0.26814737785620746</v>
      </c>
      <c r="AE81" s="38">
        <f t="shared" si="356"/>
        <v>0.31123585847565766</v>
      </c>
      <c r="AF81" s="37">
        <f t="shared" si="356"/>
        <v>0.3260533643622357</v>
      </c>
      <c r="AG81" s="37">
        <f t="shared" si="356"/>
        <v>0.29638893386155102</v>
      </c>
      <c r="AH81" s="37">
        <f t="shared" si="356"/>
        <v>0.30981146798394399</v>
      </c>
      <c r="AI81" s="38">
        <f t="shared" si="356"/>
        <v>0.30243146101408436</v>
      </c>
      <c r="AJ81" s="39">
        <f t="shared" si="356"/>
        <v>0.27352342880966984</v>
      </c>
      <c r="AK81" s="37">
        <f t="shared" si="356"/>
        <v>0.25353795258224593</v>
      </c>
      <c r="AL81" s="37">
        <f t="shared" si="356"/>
        <v>0.27057312347588908</v>
      </c>
      <c r="AM81" s="38">
        <f t="shared" si="356"/>
        <v>0.28470567359879961</v>
      </c>
      <c r="AN81" s="39">
        <f t="shared" si="356"/>
        <v>0.2655659385636121</v>
      </c>
      <c r="AO81" s="37">
        <f t="shared" si="356"/>
        <v>0.25894966381973467</v>
      </c>
      <c r="AP81" s="37">
        <f t="shared" si="356"/>
        <v>0.28195120768176724</v>
      </c>
      <c r="AQ81" s="38">
        <f t="shared" si="356"/>
        <v>0.31292820638710983</v>
      </c>
      <c r="AR81" s="39">
        <f>AR80/AR17</f>
        <v>0.30772395157419424</v>
      </c>
      <c r="AS81" s="37">
        <f>AS80/AS17</f>
        <v>0.23920239766184903</v>
      </c>
      <c r="AT81" s="37">
        <f>AT80/AT17</f>
        <v>0.26997291319977224</v>
      </c>
      <c r="AU81" s="37">
        <f t="shared" si="356"/>
        <v>0.31438231065169231</v>
      </c>
      <c r="AV81" s="39">
        <f t="shared" ref="AV81:BA81" si="357">AV80/AV17</f>
        <v>0.30904374986640437</v>
      </c>
      <c r="AW81" s="37">
        <f t="shared" si="357"/>
        <v>0.30401380767262315</v>
      </c>
      <c r="AX81" s="37">
        <f t="shared" si="357"/>
        <v>0.33020598194130935</v>
      </c>
      <c r="AY81" s="37">
        <f t="shared" si="357"/>
        <v>0.35811994916985745</v>
      </c>
      <c r="AZ81" s="39">
        <f t="shared" si="357"/>
        <v>0.35195665617465388</v>
      </c>
      <c r="BA81" s="37">
        <f t="shared" si="357"/>
        <v>0.35268703915764715</v>
      </c>
      <c r="BB81" s="37">
        <f t="shared" ref="BB81" si="358">BB80/BB17</f>
        <v>0.37057257257565923</v>
      </c>
      <c r="BC81" s="38">
        <f t="shared" ref="BC81:BG81" si="359">BC80/BC17</f>
        <v>0.36530288901633062</v>
      </c>
      <c r="BD81" s="39">
        <f t="shared" si="359"/>
        <v>0.35661177932940696</v>
      </c>
      <c r="BE81" s="37">
        <f t="shared" si="359"/>
        <v>0.3579925774140934</v>
      </c>
      <c r="BF81" s="37">
        <f t="shared" si="359"/>
        <v>0.3711125381628389</v>
      </c>
      <c r="BG81" s="38">
        <f t="shared" si="359"/>
        <v>0.37663463025151828</v>
      </c>
      <c r="BH81" s="39">
        <f>BH80/BH17</f>
        <v>0.37260215510823858</v>
      </c>
      <c r="BI81" s="37">
        <f>BI80/BI17</f>
        <v>0.37245106101226921</v>
      </c>
      <c r="BJ81" s="37">
        <f>BJ80/BJ17</f>
        <v>0.38145565249193336</v>
      </c>
      <c r="BK81" s="38">
        <f>BK80/BK17</f>
        <v>0.38843074444022269</v>
      </c>
      <c r="BL81" s="20"/>
      <c r="BM81" s="37">
        <f t="shared" ref="BM81:BX81" si="360">BM80/BM17</f>
        <v>0.41838234304193178</v>
      </c>
      <c r="BN81" s="37">
        <f t="shared" si="360"/>
        <v>0.38229098851041543</v>
      </c>
      <c r="BO81" s="37">
        <f t="shared" si="360"/>
        <v>0.34960538936653313</v>
      </c>
      <c r="BP81" s="37">
        <f t="shared" si="360"/>
        <v>0.25040355039291884</v>
      </c>
      <c r="BQ81" s="37">
        <f t="shared" si="360"/>
        <v>0.29306073328884669</v>
      </c>
      <c r="BR81" s="37">
        <f t="shared" si="360"/>
        <v>0.34068924958167168</v>
      </c>
      <c r="BS81" s="37">
        <f t="shared" si="360"/>
        <v>0.29355210609066923</v>
      </c>
      <c r="BT81" s="37">
        <f t="shared" si="360"/>
        <v>0.30976067998684387</v>
      </c>
      <c r="BU81" s="37">
        <f t="shared" si="360"/>
        <v>0.27336842916080989</v>
      </c>
      <c r="BV81" s="37">
        <f t="shared" si="360"/>
        <v>0.28240112984553911</v>
      </c>
      <c r="BW81" s="37">
        <f t="shared" si="360"/>
        <v>0.28510620266193543</v>
      </c>
      <c r="BX81" s="37">
        <f t="shared" si="360"/>
        <v>0.32711756980155648</v>
      </c>
      <c r="BY81" s="37">
        <f>BY80/BY17</f>
        <v>0.36040935919980571</v>
      </c>
      <c r="BZ81" s="37">
        <f>BZ80/BZ17</f>
        <v>0.36583243634184143</v>
      </c>
      <c r="CA81" s="38">
        <f>CA80/CA17</f>
        <v>0.37892192579053868</v>
      </c>
      <c r="CB81" s="39"/>
      <c r="CC81" s="37"/>
      <c r="CD81" s="37"/>
      <c r="CE81" s="260"/>
      <c r="CF81" s="39">
        <f t="shared" ref="CF81:CP81" si="361">CF80/CF17</f>
        <v>0.40167182550384189</v>
      </c>
      <c r="CG81" s="37">
        <f t="shared" si="361"/>
        <v>0.3667217872179494</v>
      </c>
      <c r="CH81" s="37">
        <f t="shared" si="361"/>
        <v>0.32133280997771169</v>
      </c>
      <c r="CI81" s="37">
        <f t="shared" si="361"/>
        <v>0.23283100880742735</v>
      </c>
      <c r="CJ81" s="37">
        <f t="shared" si="361"/>
        <v>0.33170939147774109</v>
      </c>
      <c r="CK81" s="37">
        <f t="shared" si="361"/>
        <v>0.31310434291747569</v>
      </c>
      <c r="CL81" s="37">
        <f t="shared" si="361"/>
        <v>0.30208741847223736</v>
      </c>
      <c r="CM81" s="37">
        <f t="shared" si="361"/>
        <v>0.28747953872354709</v>
      </c>
      <c r="CN81" s="37">
        <f t="shared" si="361"/>
        <v>0.27271262240985428</v>
      </c>
      <c r="CO81" s="37">
        <f t="shared" si="361"/>
        <v>0.28788901273150908</v>
      </c>
      <c r="CP81" s="37">
        <f t="shared" si="361"/>
        <v>0.30052664282657321</v>
      </c>
      <c r="CQ81" s="37">
        <f>CQ80/CQ17</f>
        <v>0.34839729350914145</v>
      </c>
      <c r="CR81" s="37">
        <f>CR80/CR17</f>
        <v>0.36274280901800687</v>
      </c>
      <c r="CS81" s="38">
        <f>CS80/CS17</f>
        <v>0.37321122309640764</v>
      </c>
      <c r="CT81" s="37"/>
    </row>
    <row r="82" spans="1:104" ht="14.25" customHeight="1" collapsed="1">
      <c r="A82" s="8"/>
      <c r="B82" s="47" t="s">
        <v>325</v>
      </c>
      <c r="C82" s="48"/>
      <c r="D82" s="50">
        <f t="shared" ref="D82:AU82" si="362">D35-D75</f>
        <v>115.15000000000003</v>
      </c>
      <c r="E82" s="50">
        <f t="shared" si="362"/>
        <v>132.94299999999998</v>
      </c>
      <c r="F82" s="50">
        <f t="shared" si="362"/>
        <v>147.02900000000002</v>
      </c>
      <c r="G82" s="51">
        <f t="shared" si="362"/>
        <v>130.37699999999978</v>
      </c>
      <c r="H82" s="50">
        <f t="shared" si="362"/>
        <v>16.129999999999995</v>
      </c>
      <c r="I82" s="50">
        <f t="shared" si="362"/>
        <v>126.846</v>
      </c>
      <c r="J82" s="50">
        <f t="shared" si="362"/>
        <v>86.268999999999977</v>
      </c>
      <c r="K82" s="51">
        <f t="shared" si="362"/>
        <v>185.06399999999985</v>
      </c>
      <c r="L82" s="50">
        <f t="shared" si="362"/>
        <v>117.09900000000005</v>
      </c>
      <c r="M82" s="50">
        <f t="shared" si="362"/>
        <v>155.72199999999998</v>
      </c>
      <c r="N82" s="50">
        <f t="shared" si="362"/>
        <v>122.84700000000004</v>
      </c>
      <c r="O82" s="51">
        <f t="shared" si="362"/>
        <v>132.28699999999992</v>
      </c>
      <c r="P82" s="50">
        <f t="shared" si="362"/>
        <v>113.72100000000003</v>
      </c>
      <c r="Q82" s="50">
        <f t="shared" si="362"/>
        <v>45.017000000000024</v>
      </c>
      <c r="R82" s="50">
        <f t="shared" si="362"/>
        <v>10.342999999999989</v>
      </c>
      <c r="S82" s="51">
        <f t="shared" si="362"/>
        <v>46.979000000000212</v>
      </c>
      <c r="T82" s="50">
        <f t="shared" si="362"/>
        <v>84.139999999999986</v>
      </c>
      <c r="U82" s="50">
        <f t="shared" si="362"/>
        <v>116.30799999999994</v>
      </c>
      <c r="V82" s="50">
        <f t="shared" si="362"/>
        <v>132.809</v>
      </c>
      <c r="W82" s="51">
        <f t="shared" si="362"/>
        <v>158.63699999999997</v>
      </c>
      <c r="X82" s="50">
        <f t="shared" si="362"/>
        <v>197.04099999999997</v>
      </c>
      <c r="Y82" s="50">
        <f t="shared" si="362"/>
        <v>187.27300000000002</v>
      </c>
      <c r="Z82" s="50">
        <f t="shared" si="362"/>
        <v>175.99699999999996</v>
      </c>
      <c r="AA82" s="51">
        <f t="shared" si="362"/>
        <v>187.69199999999969</v>
      </c>
      <c r="AB82" s="50">
        <f t="shared" si="362"/>
        <v>182.23799999999994</v>
      </c>
      <c r="AC82" s="50">
        <f t="shared" si="362"/>
        <v>134.93100000000001</v>
      </c>
      <c r="AD82" s="50">
        <f t="shared" si="362"/>
        <v>131.131</v>
      </c>
      <c r="AE82" s="51">
        <f t="shared" si="362"/>
        <v>167.39399999999995</v>
      </c>
      <c r="AF82" s="50">
        <f t="shared" si="362"/>
        <v>182.02800000000008</v>
      </c>
      <c r="AG82" s="50">
        <f t="shared" si="362"/>
        <v>156.56099999999998</v>
      </c>
      <c r="AH82" s="50">
        <f t="shared" si="362"/>
        <v>167.78700000000003</v>
      </c>
      <c r="AI82" s="51">
        <f t="shared" si="362"/>
        <v>165.08399999999995</v>
      </c>
      <c r="AJ82" s="49">
        <f t="shared" si="362"/>
        <v>147.95600000000002</v>
      </c>
      <c r="AK82" s="50">
        <f t="shared" si="362"/>
        <v>134.39400000000001</v>
      </c>
      <c r="AL82" s="50">
        <f t="shared" si="362"/>
        <v>141.82400000000001</v>
      </c>
      <c r="AM82" s="51">
        <f t="shared" si="362"/>
        <v>161.12600000000003</v>
      </c>
      <c r="AN82" s="49">
        <f t="shared" si="362"/>
        <v>137.22000000000003</v>
      </c>
      <c r="AO82" s="50">
        <f t="shared" si="362"/>
        <v>125.99899999999997</v>
      </c>
      <c r="AP82" s="50">
        <f t="shared" si="362"/>
        <v>144.17300000000003</v>
      </c>
      <c r="AQ82" s="51">
        <f t="shared" si="362"/>
        <v>160.4980000000001</v>
      </c>
      <c r="AR82" s="49">
        <f>AR35-AR75</f>
        <v>153.233</v>
      </c>
      <c r="AS82" s="50">
        <f>AS35-AS75</f>
        <v>122.19200000000001</v>
      </c>
      <c r="AT82" s="50">
        <f>AT35-AT75</f>
        <v>149.90299999999991</v>
      </c>
      <c r="AU82" s="50">
        <f t="shared" si="362"/>
        <v>177.97999999999996</v>
      </c>
      <c r="AV82" s="49">
        <f t="shared" ref="AV82:BA82" si="363">AV35-AV75</f>
        <v>175.91399999999993</v>
      </c>
      <c r="AW82" s="50">
        <f t="shared" si="363"/>
        <v>167.51100000000002</v>
      </c>
      <c r="AX82" s="50">
        <f t="shared" si="363"/>
        <v>191.92100000000005</v>
      </c>
      <c r="AY82" s="50">
        <f t="shared" si="363"/>
        <v>215.59000000000003</v>
      </c>
      <c r="AZ82" s="49">
        <f t="shared" si="363"/>
        <v>202.61300000000006</v>
      </c>
      <c r="BA82" s="50">
        <f t="shared" si="363"/>
        <v>219.59599999999995</v>
      </c>
      <c r="BB82" s="50">
        <f t="shared" ref="BB82" si="364">BB35-BB75</f>
        <v>240.35300000000001</v>
      </c>
      <c r="BC82" s="51">
        <f t="shared" ref="BC82:BG82" si="365">BC35-BC75</f>
        <v>230.09951120950001</v>
      </c>
      <c r="BD82" s="49">
        <f t="shared" si="365"/>
        <v>219.10308541782183</v>
      </c>
      <c r="BE82" s="50">
        <f t="shared" si="365"/>
        <v>220.36339489306903</v>
      </c>
      <c r="BF82" s="50">
        <f t="shared" si="365"/>
        <v>240.3821111039988</v>
      </c>
      <c r="BG82" s="51">
        <f t="shared" si="365"/>
        <v>246.53892071066468</v>
      </c>
      <c r="BH82" s="49">
        <f>BH35-BH75</f>
        <v>239.98563224300136</v>
      </c>
      <c r="BI82" s="50">
        <f>BI35-BI75</f>
        <v>239.70405564422498</v>
      </c>
      <c r="BJ82" s="50">
        <f>BJ35-BJ75</f>
        <v>255.48553712495294</v>
      </c>
      <c r="BK82" s="51">
        <f>BK35-BK75</f>
        <v>267.07386867842644</v>
      </c>
      <c r="BL82" s="20"/>
      <c r="BM82" s="50">
        <f t="shared" ref="BM82:BX82" si="366">BM35-BM75</f>
        <v>525.49899999999991</v>
      </c>
      <c r="BN82" s="50">
        <f t="shared" si="366"/>
        <v>414.30899999999963</v>
      </c>
      <c r="BO82" s="50">
        <f t="shared" si="366"/>
        <v>527.95499999999993</v>
      </c>
      <c r="BP82" s="50">
        <f t="shared" si="366"/>
        <v>216.0600000000004</v>
      </c>
      <c r="BQ82" s="50">
        <f t="shared" si="366"/>
        <v>491.89400000000023</v>
      </c>
      <c r="BR82" s="50">
        <f t="shared" si="366"/>
        <v>748.00299999999936</v>
      </c>
      <c r="BS82" s="50">
        <f t="shared" si="366"/>
        <v>615.69399999999996</v>
      </c>
      <c r="BT82" s="50">
        <f t="shared" si="366"/>
        <v>671.45999999999981</v>
      </c>
      <c r="BU82" s="50">
        <f t="shared" si="366"/>
        <v>585.30000000000018</v>
      </c>
      <c r="BV82" s="50">
        <f t="shared" si="366"/>
        <v>567.88999999999942</v>
      </c>
      <c r="BW82" s="50">
        <f t="shared" si="366"/>
        <v>603.30800000000022</v>
      </c>
      <c r="BX82" s="50">
        <f t="shared" si="366"/>
        <v>750.93600000000015</v>
      </c>
      <c r="BY82" s="50">
        <f>BY35-BY75</f>
        <v>892.6615112095003</v>
      </c>
      <c r="BZ82" s="50">
        <f>BZ35-BZ75</f>
        <v>926.38751212555417</v>
      </c>
      <c r="CA82" s="51">
        <f>CA35-CA75</f>
        <v>1002.2490936906054</v>
      </c>
      <c r="CB82" s="49"/>
      <c r="CC82" s="50"/>
      <c r="CD82" s="50"/>
      <c r="CE82" s="260"/>
      <c r="CF82" s="49">
        <f t="shared" ref="CF82:CP82" si="367">CF35-CF75</f>
        <v>420.38199999999983</v>
      </c>
      <c r="CG82" s="50">
        <f t="shared" si="367"/>
        <v>544.154</v>
      </c>
      <c r="CH82" s="50">
        <f t="shared" si="367"/>
        <v>413.87199999999984</v>
      </c>
      <c r="CI82" s="50">
        <f t="shared" si="367"/>
        <v>257.77</v>
      </c>
      <c r="CJ82" s="50">
        <f t="shared" si="367"/>
        <v>675.76000000000045</v>
      </c>
      <c r="CK82" s="50">
        <f t="shared" si="367"/>
        <v>680.85799999999961</v>
      </c>
      <c r="CL82" s="50">
        <f t="shared" si="367"/>
        <v>637.11399999999981</v>
      </c>
      <c r="CM82" s="50">
        <f t="shared" si="367"/>
        <v>615.22099999999989</v>
      </c>
      <c r="CN82" s="50">
        <f t="shared" si="367"/>
        <v>566.1690000000001</v>
      </c>
      <c r="CO82" s="50">
        <f t="shared" si="367"/>
        <v>580.09600000000023</v>
      </c>
      <c r="CP82" s="50">
        <f t="shared" si="367"/>
        <v>671.30800000000011</v>
      </c>
      <c r="CQ82" s="50">
        <f>CQ35-CQ75</f>
        <v>829.71999999999957</v>
      </c>
      <c r="CR82" s="50">
        <f>CR35-CR75</f>
        <v>909.91899152039093</v>
      </c>
      <c r="CS82" s="51">
        <f>CS35-CS75</f>
        <v>966.61071970188982</v>
      </c>
      <c r="CT82" s="50"/>
    </row>
    <row r="83" spans="1:104" ht="14.25" customHeight="1">
      <c r="A83" s="8"/>
      <c r="B83" s="35" t="s">
        <v>326</v>
      </c>
      <c r="C83" s="36"/>
      <c r="D83" s="37">
        <f t="shared" ref="D83:AU83" si="368">D82/D17</f>
        <v>0.27151935297515895</v>
      </c>
      <c r="E83" s="37">
        <f t="shared" si="368"/>
        <v>0.29839962291255162</v>
      </c>
      <c r="F83" s="37">
        <f t="shared" si="368"/>
        <v>0.30748269443921622</v>
      </c>
      <c r="G83" s="38">
        <f t="shared" si="368"/>
        <v>0.25606292717416884</v>
      </c>
      <c r="H83" s="37">
        <f t="shared" si="368"/>
        <v>3.2083859610737044E-2</v>
      </c>
      <c r="I83" s="37">
        <f t="shared" si="368"/>
        <v>0.25499092376566229</v>
      </c>
      <c r="J83" s="37">
        <f t="shared" si="368"/>
        <v>0.18102594448501327</v>
      </c>
      <c r="K83" s="38">
        <f t="shared" si="368"/>
        <v>0.34762289385201994</v>
      </c>
      <c r="L83" s="37">
        <f t="shared" si="368"/>
        <v>0.22343683514571228</v>
      </c>
      <c r="M83" s="37">
        <f t="shared" si="368"/>
        <v>0.28836072404055363</v>
      </c>
      <c r="N83" s="37">
        <f t="shared" si="368"/>
        <v>0.25204037668492651</v>
      </c>
      <c r="O83" s="38">
        <f t="shared" si="368"/>
        <v>0.26390526406086962</v>
      </c>
      <c r="P83" s="37">
        <f t="shared" si="368"/>
        <v>0.22689563531017318</v>
      </c>
      <c r="Q83" s="37">
        <f t="shared" si="368"/>
        <v>0.10961709380897308</v>
      </c>
      <c r="R83" s="37">
        <f t="shared" si="368"/>
        <v>3.0450591023508423E-2</v>
      </c>
      <c r="S83" s="38">
        <f t="shared" si="368"/>
        <v>0.11909367228516213</v>
      </c>
      <c r="T83" s="37">
        <f t="shared" si="368"/>
        <v>0.18729159525070893</v>
      </c>
      <c r="U83" s="37">
        <f t="shared" si="368"/>
        <v>0.24562685448190646</v>
      </c>
      <c r="V83" s="37">
        <f t="shared" si="368"/>
        <v>0.26098294293350099</v>
      </c>
      <c r="W83" s="38">
        <f t="shared" si="368"/>
        <v>0.28029620363204594</v>
      </c>
      <c r="X83" s="37">
        <f t="shared" si="368"/>
        <v>0.31469210510765178</v>
      </c>
      <c r="Y83" s="37">
        <f t="shared" si="368"/>
        <v>0.30553434616338415</v>
      </c>
      <c r="Z83" s="37">
        <f t="shared" si="368"/>
        <v>0.29005314984961472</v>
      </c>
      <c r="AA83" s="38">
        <f t="shared" si="368"/>
        <v>0.29959249215072492</v>
      </c>
      <c r="AB83" s="37">
        <f t="shared" si="368"/>
        <v>0.28653683478982761</v>
      </c>
      <c r="AC83" s="37">
        <f t="shared" si="368"/>
        <v>0.22817104330871771</v>
      </c>
      <c r="AD83" s="37">
        <f t="shared" si="368"/>
        <v>0.22956625561087654</v>
      </c>
      <c r="AE83" s="38">
        <f t="shared" si="368"/>
        <v>0.27670442147858676</v>
      </c>
      <c r="AF83" s="37">
        <f t="shared" si="368"/>
        <v>0.29214460538458464</v>
      </c>
      <c r="AG83" s="37">
        <f t="shared" si="368"/>
        <v>0.25864769224160999</v>
      </c>
      <c r="AH83" s="37">
        <f t="shared" si="368"/>
        <v>0.27738706925625412</v>
      </c>
      <c r="AI83" s="38">
        <f t="shared" si="368"/>
        <v>0.27143312824526378</v>
      </c>
      <c r="AJ83" s="39">
        <f t="shared" si="368"/>
        <v>0.25281208937856375</v>
      </c>
      <c r="AK83" s="37">
        <f t="shared" si="368"/>
        <v>0.21666876251463063</v>
      </c>
      <c r="AL83" s="37">
        <f t="shared" si="368"/>
        <v>0.234156263775816</v>
      </c>
      <c r="AM83" s="38">
        <f t="shared" si="368"/>
        <v>0.25079264771575821</v>
      </c>
      <c r="AN83" s="39">
        <f t="shared" si="368"/>
        <v>0.23647408556287972</v>
      </c>
      <c r="AO83" s="37">
        <f t="shared" si="368"/>
        <v>0.22229534111137964</v>
      </c>
      <c r="AP83" s="37">
        <f t="shared" si="368"/>
        <v>0.24975271236853916</v>
      </c>
      <c r="AQ83" s="38">
        <f t="shared" si="368"/>
        <v>0.27552500613716008</v>
      </c>
      <c r="AR83" s="39">
        <f>AR82/AR17</f>
        <v>0.27240937938881088</v>
      </c>
      <c r="AS83" s="37">
        <f>AS82/AS17</f>
        <v>0.23920239766184903</v>
      </c>
      <c r="AT83" s="37">
        <f>AT82/AT17</f>
        <v>0.26997291319977224</v>
      </c>
      <c r="AU83" s="37">
        <f t="shared" si="368"/>
        <v>0.31438231065169231</v>
      </c>
      <c r="AV83" s="39">
        <f t="shared" ref="AV83:BA83" si="369">AV82/AV17</f>
        <v>0.31335100356967266</v>
      </c>
      <c r="AW83" s="37">
        <f t="shared" si="369"/>
        <v>0.30401380767262315</v>
      </c>
      <c r="AX83" s="37">
        <f t="shared" si="369"/>
        <v>0.33020598194130935</v>
      </c>
      <c r="AY83" s="37">
        <f t="shared" si="369"/>
        <v>0.35811994916985745</v>
      </c>
      <c r="AZ83" s="39">
        <f t="shared" si="369"/>
        <v>0.35195665617465388</v>
      </c>
      <c r="BA83" s="37">
        <f t="shared" si="369"/>
        <v>0.35268703915764715</v>
      </c>
      <c r="BB83" s="37">
        <f t="shared" ref="BB83" si="370">BB82/BB17</f>
        <v>0.37057257257565923</v>
      </c>
      <c r="BC83" s="38">
        <f t="shared" ref="BC83:BG83" si="371">BC82/BC17</f>
        <v>0.36530288901633062</v>
      </c>
      <c r="BD83" s="39">
        <f t="shared" si="371"/>
        <v>0.35661177932940696</v>
      </c>
      <c r="BE83" s="37">
        <f t="shared" si="371"/>
        <v>0.3579925774140934</v>
      </c>
      <c r="BF83" s="37">
        <f t="shared" si="371"/>
        <v>0.3711125381628389</v>
      </c>
      <c r="BG83" s="38">
        <f t="shared" si="371"/>
        <v>0.37663463025151828</v>
      </c>
      <c r="BH83" s="39">
        <f>BH82/BH17</f>
        <v>0.37260215510823858</v>
      </c>
      <c r="BI83" s="37">
        <f>BI82/BI17</f>
        <v>0.37245106101226921</v>
      </c>
      <c r="BJ83" s="37">
        <f>BJ82/BJ17</f>
        <v>0.38145565249193336</v>
      </c>
      <c r="BK83" s="38">
        <f>BK82/BK17</f>
        <v>0.38843074444022269</v>
      </c>
      <c r="BL83" s="20"/>
      <c r="BM83" s="37">
        <f t="shared" ref="BM83:BX83" si="372">BM82/BM17</f>
        <v>0.28299114944169046</v>
      </c>
      <c r="BN83" s="37">
        <f t="shared" si="372"/>
        <v>0.20621375285945501</v>
      </c>
      <c r="BO83" s="37">
        <f t="shared" si="372"/>
        <v>0.25718987345471972</v>
      </c>
      <c r="BP83" s="37">
        <f t="shared" si="372"/>
        <v>0.13126247330674409</v>
      </c>
      <c r="BQ83" s="37">
        <f t="shared" si="372"/>
        <v>0.24624212118223701</v>
      </c>
      <c r="BR83" s="37">
        <f t="shared" si="372"/>
        <v>0.30254847531145562</v>
      </c>
      <c r="BS83" s="37">
        <f t="shared" si="372"/>
        <v>0.25616250105573929</v>
      </c>
      <c r="BT83" s="37">
        <f t="shared" si="372"/>
        <v>0.27502407371985355</v>
      </c>
      <c r="BU83" s="37">
        <f t="shared" si="372"/>
        <v>0.23854131557593694</v>
      </c>
      <c r="BV83" s="37">
        <f t="shared" si="372"/>
        <v>0.24617402673066099</v>
      </c>
      <c r="BW83" s="37">
        <f t="shared" si="372"/>
        <v>0.27489077189380517</v>
      </c>
      <c r="BX83" s="37">
        <f t="shared" si="372"/>
        <v>0.32711756980155648</v>
      </c>
      <c r="BY83" s="37">
        <f>BY82/BY17</f>
        <v>0.36040935919980571</v>
      </c>
      <c r="BZ83" s="37">
        <f>BZ82/BZ17</f>
        <v>0.36583243634184143</v>
      </c>
      <c r="CA83" s="38">
        <f>CA82/CA17</f>
        <v>0.37892192579053868</v>
      </c>
      <c r="CB83" s="39"/>
      <c r="CC83" s="37"/>
      <c r="CD83" s="37"/>
      <c r="CE83" s="260"/>
      <c r="CF83" s="39">
        <f t="shared" ref="CF83:CP83" si="373">CF82/CF17</f>
        <v>0.21150997621165582</v>
      </c>
      <c r="CG83" s="37">
        <f t="shared" si="373"/>
        <v>0.26249184768976069</v>
      </c>
      <c r="CH83" s="37">
        <f t="shared" si="373"/>
        <v>0.21776364390210018</v>
      </c>
      <c r="CI83" s="37">
        <f t="shared" si="373"/>
        <v>0.15557394334107671</v>
      </c>
      <c r="CJ83" s="37">
        <f t="shared" si="373"/>
        <v>0.29204159008296338</v>
      </c>
      <c r="CK83" s="37">
        <f t="shared" si="373"/>
        <v>0.27670101969945049</v>
      </c>
      <c r="CL83" s="37">
        <f t="shared" si="373"/>
        <v>0.26496195336422745</v>
      </c>
      <c r="CM83" s="37">
        <f t="shared" si="373"/>
        <v>0.25437144653937221</v>
      </c>
      <c r="CN83" s="37">
        <f t="shared" si="373"/>
        <v>0.23637334504549043</v>
      </c>
      <c r="CO83" s="37">
        <f t="shared" si="373"/>
        <v>0.25976917506933134</v>
      </c>
      <c r="CP83" s="37">
        <f t="shared" si="373"/>
        <v>0.30052664282657321</v>
      </c>
      <c r="CQ83" s="37">
        <f>CQ82/CQ17</f>
        <v>0.34839729350914145</v>
      </c>
      <c r="CR83" s="37">
        <f>CR82/CR17</f>
        <v>0.36274280901800687</v>
      </c>
      <c r="CS83" s="38">
        <f>CS82/CS17</f>
        <v>0.37321122309640764</v>
      </c>
      <c r="CT83" s="37"/>
    </row>
    <row r="84" spans="1:104" ht="14.25" customHeight="1">
      <c r="A84" s="8"/>
      <c r="B84" s="23"/>
      <c r="C84" s="24"/>
      <c r="D84" s="42"/>
      <c r="E84" s="42"/>
      <c r="F84" s="42"/>
      <c r="G84" s="43"/>
      <c r="H84" s="42"/>
      <c r="I84" s="42"/>
      <c r="J84" s="42"/>
      <c r="K84" s="43"/>
      <c r="L84" s="42"/>
      <c r="M84" s="42"/>
      <c r="N84" s="42"/>
      <c r="O84" s="43"/>
      <c r="P84" s="42"/>
      <c r="Q84" s="42"/>
      <c r="R84" s="42"/>
      <c r="S84" s="43"/>
      <c r="T84" s="42"/>
      <c r="U84" s="42"/>
      <c r="V84" s="42"/>
      <c r="W84" s="43"/>
      <c r="X84" s="42"/>
      <c r="Y84" s="42"/>
      <c r="Z84" s="42"/>
      <c r="AA84" s="43"/>
      <c r="AB84" s="42"/>
      <c r="AC84" s="42"/>
      <c r="AD84" s="42"/>
      <c r="AE84" s="43"/>
      <c r="AF84" s="42"/>
      <c r="AG84" s="42"/>
      <c r="AH84" s="42"/>
      <c r="AI84" s="43"/>
      <c r="AJ84" s="1257"/>
      <c r="AK84" s="42"/>
      <c r="AL84" s="42"/>
      <c r="AM84" s="1259"/>
      <c r="AN84" s="1257"/>
      <c r="AO84" s="42"/>
      <c r="AP84" s="42"/>
      <c r="AQ84" s="1259"/>
      <c r="AR84" s="1257"/>
      <c r="AS84" s="42"/>
      <c r="AT84" s="42"/>
      <c r="AU84" s="1346"/>
      <c r="AV84" s="1257"/>
      <c r="AW84" s="42"/>
      <c r="AX84" s="42"/>
      <c r="AY84" s="1346"/>
      <c r="AZ84" s="1257"/>
      <c r="BA84" s="42"/>
      <c r="BB84" s="42"/>
      <c r="BC84" s="1206"/>
      <c r="BD84" s="1204"/>
      <c r="BE84" s="1205"/>
      <c r="BF84" s="1205"/>
      <c r="BG84" s="1206"/>
      <c r="BH84" s="1204"/>
      <c r="BI84" s="1205"/>
      <c r="BJ84" s="1205"/>
      <c r="BK84" s="1206"/>
      <c r="BL84" s="20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3"/>
      <c r="CB84" s="1257"/>
      <c r="CC84" s="42"/>
      <c r="CD84" s="42"/>
      <c r="CE84" s="260"/>
      <c r="CF84" s="398"/>
      <c r="CG84" s="397"/>
      <c r="CH84" s="397"/>
      <c r="CI84" s="397"/>
      <c r="CJ84" s="397"/>
      <c r="CK84" s="397"/>
      <c r="CL84" s="397"/>
      <c r="CM84" s="397"/>
      <c r="CN84" s="397"/>
      <c r="CO84" s="397"/>
      <c r="CP84" s="397"/>
      <c r="CQ84" s="397"/>
      <c r="CR84" s="397"/>
      <c r="CS84" s="1213"/>
      <c r="CT84" s="397"/>
    </row>
    <row r="85" spans="1:104" ht="14.25" hidden="1" customHeight="1" outlineLevel="1">
      <c r="A85" s="8"/>
      <c r="B85" s="714" t="s">
        <v>327</v>
      </c>
      <c r="C85" s="715"/>
      <c r="D85" s="719">
        <f>D86+D88+D90</f>
        <v>11.035</v>
      </c>
      <c r="E85" s="719">
        <f>E86+E88+E90</f>
        <v>11.486000000000001</v>
      </c>
      <c r="F85" s="719">
        <f>F86+F88+F90</f>
        <v>11.016999999999999</v>
      </c>
      <c r="G85" s="718">
        <f>G86+G88+G90</f>
        <v>12.816999999999993</v>
      </c>
      <c r="H85" s="719">
        <f t="shared" ref="H85:W85" si="374">H86+H88+H90</f>
        <v>13.388999999999999</v>
      </c>
      <c r="I85" s="719">
        <f t="shared" si="374"/>
        <v>14.766999999999999</v>
      </c>
      <c r="J85" s="719">
        <f t="shared" si="374"/>
        <v>15.061999999999999</v>
      </c>
      <c r="K85" s="718">
        <f t="shared" si="374"/>
        <v>18.049000000000007</v>
      </c>
      <c r="L85" s="719">
        <f t="shared" si="374"/>
        <v>17.353999999999999</v>
      </c>
      <c r="M85" s="719">
        <f t="shared" si="374"/>
        <v>21.925999999999998</v>
      </c>
      <c r="N85" s="719">
        <f t="shared" si="374"/>
        <v>11.615</v>
      </c>
      <c r="O85" s="718">
        <f t="shared" si="374"/>
        <v>5.8319999999999972</v>
      </c>
      <c r="P85" s="719">
        <f t="shared" si="374"/>
        <v>9.1010000000000009</v>
      </c>
      <c r="Q85" s="719">
        <f t="shared" si="374"/>
        <v>7.3849999999999998</v>
      </c>
      <c r="R85" s="719">
        <f t="shared" si="374"/>
        <v>-0.22800000000000001</v>
      </c>
      <c r="S85" s="718">
        <f t="shared" si="374"/>
        <v>0.98300000000000054</v>
      </c>
      <c r="T85" s="719">
        <f t="shared" si="374"/>
        <v>1.901</v>
      </c>
      <c r="U85" s="719">
        <f t="shared" si="374"/>
        <v>3.63</v>
      </c>
      <c r="V85" s="719">
        <f t="shared" si="374"/>
        <v>0.64400000000000002</v>
      </c>
      <c r="W85" s="718">
        <f t="shared" si="374"/>
        <v>1.8379999999999999</v>
      </c>
      <c r="X85" s="719">
        <f t="shared" ref="X85:AH85" si="375">X86+X88+X90</f>
        <v>-3.6760000000000002</v>
      </c>
      <c r="Y85" s="719">
        <f t="shared" si="375"/>
        <v>-4.0999999999999996</v>
      </c>
      <c r="Z85" s="719">
        <f t="shared" si="375"/>
        <v>-1.57</v>
      </c>
      <c r="AA85" s="718">
        <f t="shared" si="375"/>
        <v>-2.0220000000000002</v>
      </c>
      <c r="AB85" s="719">
        <f t="shared" si="375"/>
        <v>-4.0999999999999996</v>
      </c>
      <c r="AC85" s="719">
        <f t="shared" si="375"/>
        <v>2.3740000000000001</v>
      </c>
      <c r="AD85" s="719">
        <f t="shared" si="375"/>
        <v>-0.23</v>
      </c>
      <c r="AE85" s="718">
        <f t="shared" si="375"/>
        <v>-0.108</v>
      </c>
      <c r="AF85" s="719">
        <f t="shared" si="375"/>
        <v>-5.742</v>
      </c>
      <c r="AG85" s="719">
        <f t="shared" si="375"/>
        <v>-2.798</v>
      </c>
      <c r="AH85" s="719">
        <f t="shared" si="375"/>
        <v>-2.669</v>
      </c>
      <c r="AI85" s="718">
        <f t="shared" ref="AI85:AN85" si="376">AI86+AI88+AI90</f>
        <v>-6.83</v>
      </c>
      <c r="AJ85" s="733">
        <f t="shared" si="376"/>
        <v>-3.4630000000000001</v>
      </c>
      <c r="AK85" s="719">
        <f t="shared" si="376"/>
        <v>-5.8330000000000002</v>
      </c>
      <c r="AL85" s="719">
        <f t="shared" si="376"/>
        <v>5.1740000000000004</v>
      </c>
      <c r="AM85" s="718">
        <f t="shared" si="376"/>
        <v>-8.9429999999999996</v>
      </c>
      <c r="AN85" s="733">
        <f t="shared" si="376"/>
        <v>-6.4770000000000003</v>
      </c>
      <c r="AO85" s="719">
        <f t="shared" ref="AO85:AT85" si="377">AO86+AO88+AO90</f>
        <v>-7.5990000000000002</v>
      </c>
      <c r="AP85" s="719">
        <f t="shared" si="377"/>
        <v>-5.5339999999999998</v>
      </c>
      <c r="AQ85" s="718">
        <f t="shared" si="377"/>
        <v>28.5</v>
      </c>
      <c r="AR85" s="733">
        <f t="shared" si="377"/>
        <v>-6.4020000000000001</v>
      </c>
      <c r="AS85" s="719">
        <f t="shared" si="377"/>
        <v>-9.593</v>
      </c>
      <c r="AT85" s="719">
        <f t="shared" si="377"/>
        <v>-6.3730000000000002</v>
      </c>
      <c r="AU85" s="719">
        <f t="shared" ref="AU85:BC85" si="378">AU86+AU88+AU90</f>
        <v>-6.4269999999999996</v>
      </c>
      <c r="AV85" s="733">
        <f t="shared" si="378"/>
        <v>-6.87</v>
      </c>
      <c r="AW85" s="719">
        <f t="shared" si="378"/>
        <v>-0.63600000000000001</v>
      </c>
      <c r="AX85" s="719">
        <f t="shared" si="378"/>
        <v>-3.8839999999999999</v>
      </c>
      <c r="AY85" s="719">
        <f>AY86+AY88+AY90</f>
        <v>-3.798</v>
      </c>
      <c r="AZ85" s="733">
        <f>AZ86+AZ88+AZ90</f>
        <v>-4.2140000000000004</v>
      </c>
      <c r="BA85" s="719">
        <f>BA86+BA88+BA90</f>
        <v>-3.121</v>
      </c>
      <c r="BB85" s="719">
        <f t="shared" ref="BB85" si="379">BB86+BB88+BB90</f>
        <v>-2.5339999999999998</v>
      </c>
      <c r="BC85" s="718">
        <f t="shared" si="378"/>
        <v>-6.6065529999999999</v>
      </c>
      <c r="BD85" s="733">
        <f t="shared" ref="BD85:BK85" si="380">BD86+BD88+BD90</f>
        <v>-6.6254979475577436</v>
      </c>
      <c r="BE85" s="719">
        <f t="shared" si="380"/>
        <v>-6.6233751043005347</v>
      </c>
      <c r="BF85" s="719">
        <f t="shared" si="380"/>
        <v>-6.6317746039980996</v>
      </c>
      <c r="BG85" s="718">
        <f t="shared" si="380"/>
        <v>-6.643931022739717</v>
      </c>
      <c r="BH85" s="733">
        <f t="shared" si="380"/>
        <v>-6.6428249701565338</v>
      </c>
      <c r="BI85" s="719">
        <f t="shared" si="380"/>
        <v>-6.6385191981718874</v>
      </c>
      <c r="BJ85" s="719">
        <f t="shared" si="380"/>
        <v>-6.6380357813713742</v>
      </c>
      <c r="BK85" s="718">
        <f t="shared" si="380"/>
        <v>-6.6410202185314073</v>
      </c>
      <c r="BL85" s="722"/>
      <c r="BM85" s="719">
        <f t="shared" ref="BM85:BR85" si="381">BM86+BM88+BM90</f>
        <v>46.35499999999999</v>
      </c>
      <c r="BN85" s="719">
        <f t="shared" si="381"/>
        <v>61.267000000000003</v>
      </c>
      <c r="BO85" s="719">
        <f t="shared" si="381"/>
        <v>56.727000000000004</v>
      </c>
      <c r="BP85" s="719">
        <f t="shared" si="381"/>
        <v>17.241</v>
      </c>
      <c r="BQ85" s="719">
        <f t="shared" si="381"/>
        <v>8.0129999999999999</v>
      </c>
      <c r="BR85" s="719">
        <f t="shared" si="381"/>
        <v>-11.368</v>
      </c>
      <c r="BS85" s="719">
        <f t="shared" ref="BS85:CA85" si="382">BS86+BS88+BS90</f>
        <v>-2.0639999999999996</v>
      </c>
      <c r="BT85" s="719">
        <f t="shared" si="382"/>
        <v>-18.039000000000001</v>
      </c>
      <c r="BU85" s="719">
        <f t="shared" si="382"/>
        <v>-13.064999999999998</v>
      </c>
      <c r="BV85" s="719">
        <f t="shared" si="382"/>
        <v>8.89</v>
      </c>
      <c r="BW85" s="719">
        <f t="shared" si="382"/>
        <v>-28.795000000000002</v>
      </c>
      <c r="BX85" s="719">
        <f t="shared" si="382"/>
        <v>-15.188000000000001</v>
      </c>
      <c r="BY85" s="719">
        <f t="shared" si="382"/>
        <v>-16.475552999999998</v>
      </c>
      <c r="BZ85" s="719">
        <f t="shared" si="382"/>
        <v>-26.524578678596097</v>
      </c>
      <c r="CA85" s="718">
        <f t="shared" si="382"/>
        <v>-26.560400168231205</v>
      </c>
      <c r="CB85" s="1473"/>
      <c r="CC85" s="1279"/>
      <c r="CD85" s="1279"/>
      <c r="CE85" s="260"/>
      <c r="CF85" s="34">
        <f t="shared" ref="CF85:CL85" si="383">CF86+CF88+CF90</f>
        <v>51.989999999999995</v>
      </c>
      <c r="CG85" s="32">
        <f t="shared" si="383"/>
        <v>72.391000000000005</v>
      </c>
      <c r="CH85" s="32">
        <f t="shared" si="383"/>
        <v>33.932999999999993</v>
      </c>
      <c r="CI85" s="32">
        <f t="shared" si="383"/>
        <v>6.2860000000000005</v>
      </c>
      <c r="CJ85" s="32">
        <f t="shared" si="383"/>
        <v>-5.2940000000000005</v>
      </c>
      <c r="CK85" s="32">
        <f t="shared" si="383"/>
        <v>-5.3179999999999996</v>
      </c>
      <c r="CL85" s="32">
        <f t="shared" si="383"/>
        <v>-8.8780000000000001</v>
      </c>
      <c r="CM85" s="32">
        <f t="shared" ref="CM85:CR85" si="384">CM86+CM88+CM90</f>
        <v>-18.795000000000002</v>
      </c>
      <c r="CN85" s="32">
        <f t="shared" si="384"/>
        <v>-17.844999999999999</v>
      </c>
      <c r="CO85" s="32">
        <f t="shared" si="384"/>
        <v>6.9710000000000001</v>
      </c>
      <c r="CP85" s="32">
        <f t="shared" si="384"/>
        <v>-20.306000000000001</v>
      </c>
      <c r="CQ85" s="32">
        <f t="shared" si="384"/>
        <v>-15.017000000000001</v>
      </c>
      <c r="CR85" s="32">
        <f t="shared" si="384"/>
        <v>-22.38942605185828</v>
      </c>
      <c r="CS85" s="33">
        <f>CS86+CS88+CS90</f>
        <v>-26.557049795066238</v>
      </c>
      <c r="CT85" s="32"/>
    </row>
    <row r="86" spans="1:104" ht="14.25" hidden="1" customHeight="1" outlineLevel="1">
      <c r="A86" s="8"/>
      <c r="B86" s="28" t="s">
        <v>534</v>
      </c>
      <c r="C86" s="29"/>
      <c r="D86" s="30">
        <v>0</v>
      </c>
      <c r="E86" s="30">
        <v>0</v>
      </c>
      <c r="F86" s="30">
        <v>0</v>
      </c>
      <c r="G86" s="31">
        <v>0</v>
      </c>
      <c r="H86" s="30">
        <v>0</v>
      </c>
      <c r="I86" s="30">
        <v>0</v>
      </c>
      <c r="J86" s="30">
        <v>0</v>
      </c>
      <c r="K86" s="31">
        <v>0</v>
      </c>
      <c r="L86" s="30">
        <v>0</v>
      </c>
      <c r="M86" s="30">
        <v>0</v>
      </c>
      <c r="N86" s="30">
        <v>0</v>
      </c>
      <c r="O86" s="31">
        <v>0</v>
      </c>
      <c r="P86" s="30">
        <v>0</v>
      </c>
      <c r="Q86" s="30">
        <v>0</v>
      </c>
      <c r="R86" s="30">
        <v>0</v>
      </c>
      <c r="S86" s="31">
        <v>0</v>
      </c>
      <c r="T86" s="30">
        <v>0</v>
      </c>
      <c r="U86" s="30">
        <v>0</v>
      </c>
      <c r="V86" s="30">
        <v>0</v>
      </c>
      <c r="W86" s="31">
        <v>0</v>
      </c>
      <c r="X86" s="30">
        <v>0</v>
      </c>
      <c r="Y86" s="30">
        <v>0</v>
      </c>
      <c r="Z86" s="30">
        <v>0</v>
      </c>
      <c r="AA86" s="31">
        <v>0</v>
      </c>
      <c r="AB86" s="30">
        <v>0</v>
      </c>
      <c r="AC86" s="30">
        <v>0</v>
      </c>
      <c r="AD86" s="30">
        <v>0</v>
      </c>
      <c r="AE86" s="33">
        <f>BS!AD11*AE87/4</f>
        <v>0</v>
      </c>
      <c r="AF86" s="32">
        <f>BS!AE11*AF87/4</f>
        <v>0</v>
      </c>
      <c r="AG86" s="32">
        <f>BS!AF11*AG87/4</f>
        <v>0</v>
      </c>
      <c r="AH86" s="32">
        <f>BS!AG11*AH87/4</f>
        <v>0</v>
      </c>
      <c r="AI86" s="33">
        <f>BS!AH11*AI87/4</f>
        <v>0</v>
      </c>
      <c r="AJ86" s="34">
        <f>BS!AI11*AJ87/4</f>
        <v>0</v>
      </c>
      <c r="AK86" s="32">
        <f>BS!AJ11*AK87/4</f>
        <v>0</v>
      </c>
      <c r="AL86" s="32">
        <f>BS!AK11*AL87/4</f>
        <v>0</v>
      </c>
      <c r="AM86" s="33">
        <f>BS!AL11*AM87/4</f>
        <v>0</v>
      </c>
      <c r="AN86" s="34">
        <f>BS!AM11*AN87/4</f>
        <v>0</v>
      </c>
      <c r="AO86" s="32">
        <f>BS!AN11*AO87/4</f>
        <v>0</v>
      </c>
      <c r="AP86" s="32">
        <f>BS!AO11*AP87/4</f>
        <v>0</v>
      </c>
      <c r="AQ86" s="33">
        <f>BS!AP11*AQ87/4</f>
        <v>0</v>
      </c>
      <c r="AR86" s="34">
        <f>BS!AQ11*AR87/4</f>
        <v>0</v>
      </c>
      <c r="AS86" s="32">
        <f>BS!AR11*AS87/4</f>
        <v>0</v>
      </c>
      <c r="AT86" s="32">
        <f>BS!AS11*AT87/4</f>
        <v>0</v>
      </c>
      <c r="AU86" s="32">
        <f>BS!AT11*AU87/4</f>
        <v>0</v>
      </c>
      <c r="AV86" s="34">
        <f>BS!AU11*AV87/4</f>
        <v>0</v>
      </c>
      <c r="AW86" s="32">
        <f>BS!AV11*AW87/4</f>
        <v>0</v>
      </c>
      <c r="AX86" s="32">
        <f>BS!AW11*AX87/4</f>
        <v>0</v>
      </c>
      <c r="AY86" s="32">
        <f>BS!AX11*AY87/4</f>
        <v>0</v>
      </c>
      <c r="AZ86" s="34">
        <f>BS!AY11*AZ87/4</f>
        <v>0</v>
      </c>
      <c r="BA86" s="32">
        <f>BS!AZ11*BA87/4</f>
        <v>0</v>
      </c>
      <c r="BB86" s="32">
        <f>BS!BA11*BB87/4</f>
        <v>0</v>
      </c>
      <c r="BC86" s="1302">
        <f>BS!BB11*BC87/4</f>
        <v>0</v>
      </c>
      <c r="BD86" s="1303">
        <f>BS!BC11*BD87/4</f>
        <v>0</v>
      </c>
      <c r="BE86" s="1231">
        <f>BS!BD11*BE87/4</f>
        <v>0</v>
      </c>
      <c r="BF86" s="1231">
        <f>BS!BE11*BF87/4</f>
        <v>0</v>
      </c>
      <c r="BG86" s="1302">
        <f>BS!BF11*BG87/4</f>
        <v>0</v>
      </c>
      <c r="BH86" s="1303">
        <f>BS!BG11*BH87/4</f>
        <v>0</v>
      </c>
      <c r="BI86" s="1231">
        <f>BS!BH11*BI87/4</f>
        <v>0</v>
      </c>
      <c r="BJ86" s="1231">
        <f>BS!BI11*BJ87/4</f>
        <v>0</v>
      </c>
      <c r="BK86" s="1302">
        <f>BS!BJ11*BK87/4</f>
        <v>0</v>
      </c>
      <c r="BL86" s="20"/>
      <c r="BM86" s="32">
        <f>SUM(D86:G86)</f>
        <v>0</v>
      </c>
      <c r="BN86" s="32">
        <f>SUM(H86:K86)</f>
        <v>0</v>
      </c>
      <c r="BO86" s="32">
        <f>SUM(L86:O86)</f>
        <v>0</v>
      </c>
      <c r="BP86" s="32">
        <f>SUM(P86:S86)</f>
        <v>0</v>
      </c>
      <c r="BQ86" s="32">
        <f>SUM(T86:W86)</f>
        <v>0</v>
      </c>
      <c r="BR86" s="32">
        <f>SUM(X86:AA86)</f>
        <v>0</v>
      </c>
      <c r="BS86" s="32">
        <f>SUM(AB86:AE86)</f>
        <v>0</v>
      </c>
      <c r="BT86" s="32">
        <f>SUM(AF86:AI86)</f>
        <v>0</v>
      </c>
      <c r="BU86" s="32">
        <f>SUM(AJ86:AM86)</f>
        <v>0</v>
      </c>
      <c r="BV86" s="32">
        <f>SUM(AN86:AQ86)</f>
        <v>0</v>
      </c>
      <c r="BW86" s="32">
        <f>SUM(AR86:AU86)</f>
        <v>0</v>
      </c>
      <c r="BX86" s="32">
        <f>SUM(AV86:AY86)</f>
        <v>0</v>
      </c>
      <c r="BY86" s="32">
        <f>SUM(AZ86:BC86)</f>
        <v>0</v>
      </c>
      <c r="BZ86" s="32">
        <f>SUM(BD86:BG86)</f>
        <v>0</v>
      </c>
      <c r="CA86" s="33">
        <f>SUM(BH86:BK86)</f>
        <v>0</v>
      </c>
      <c r="CB86" s="34"/>
      <c r="CC86" s="32"/>
      <c r="CD86" s="32"/>
      <c r="CE86" s="260"/>
      <c r="CF86" s="34">
        <f>SUM(F86:I86)</f>
        <v>0</v>
      </c>
      <c r="CG86" s="32">
        <f>SUM(J86:M86)</f>
        <v>0</v>
      </c>
      <c r="CH86" s="32">
        <f>SUM(N86:Q86)</f>
        <v>0</v>
      </c>
      <c r="CI86" s="32">
        <f>SUM(R86:U86)</f>
        <v>0</v>
      </c>
      <c r="CJ86" s="32">
        <f>SUM(V86:Y86)</f>
        <v>0</v>
      </c>
      <c r="CK86" s="32">
        <f>SUM(Z86:AC86)</f>
        <v>0</v>
      </c>
      <c r="CL86" s="32">
        <f>SUM(AD86:AG86)</f>
        <v>0</v>
      </c>
      <c r="CM86" s="32">
        <f>SUM(AH86:AK86)</f>
        <v>0</v>
      </c>
      <c r="CN86" s="32">
        <f>SUM(AL86:AO86)</f>
        <v>0</v>
      </c>
      <c r="CO86" s="32">
        <f>SUM(AP86:AS86)</f>
        <v>0</v>
      </c>
      <c r="CP86" s="32">
        <f>SUM(AT86:AW86)</f>
        <v>0</v>
      </c>
      <c r="CQ86" s="32">
        <f>SUM(AX86:BA86)</f>
        <v>0</v>
      </c>
      <c r="CR86" s="32">
        <f>SUM(BB86:BE86)</f>
        <v>0</v>
      </c>
      <c r="CS86" s="33">
        <f>SUM(BF86:BI86)</f>
        <v>0</v>
      </c>
      <c r="CT86" s="32"/>
    </row>
    <row r="87" spans="1:104" ht="14.25" hidden="1" customHeight="1" outlineLevel="1">
      <c r="A87" s="8"/>
      <c r="B87" s="330" t="s">
        <v>328</v>
      </c>
      <c r="C87" s="29"/>
      <c r="D87" s="57"/>
      <c r="E87" s="57">
        <f>E86/BS!D11</f>
        <v>0</v>
      </c>
      <c r="F87" s="57">
        <f>F86/BS!E11</f>
        <v>0</v>
      </c>
      <c r="G87" s="58">
        <f>G86/BS!F11</f>
        <v>0</v>
      </c>
      <c r="H87" s="57">
        <f>H86/BS!G11</f>
        <v>0</v>
      </c>
      <c r="I87" s="57">
        <f>I86/BS!H11</f>
        <v>0</v>
      </c>
      <c r="J87" s="57">
        <f>J86/BS!I11</f>
        <v>0</v>
      </c>
      <c r="K87" s="58">
        <f>K86/BS!J11</f>
        <v>0</v>
      </c>
      <c r="L87" s="57">
        <f>L86/BS!K11</f>
        <v>0</v>
      </c>
      <c r="M87" s="57">
        <f>M86/BS!L11</f>
        <v>0</v>
      </c>
      <c r="N87" s="57">
        <f>N86/BS!M11</f>
        <v>0</v>
      </c>
      <c r="O87" s="58">
        <f>O86/BS!N11</f>
        <v>0</v>
      </c>
      <c r="P87" s="57">
        <f>P86/BS!O11</f>
        <v>0</v>
      </c>
      <c r="Q87" s="57">
        <f>Q86/BS!P11</f>
        <v>0</v>
      </c>
      <c r="R87" s="57">
        <f>R86/BS!Q11</f>
        <v>0</v>
      </c>
      <c r="S87" s="58">
        <f>S86/BS!R11</f>
        <v>0</v>
      </c>
      <c r="T87" s="57">
        <f>T86/BS!S11</f>
        <v>0</v>
      </c>
      <c r="U87" s="57">
        <f>U86/BS!T11</f>
        <v>0</v>
      </c>
      <c r="V87" s="57">
        <f>V86/BS!U11</f>
        <v>0</v>
      </c>
      <c r="W87" s="58">
        <f>W86/BS!V11</f>
        <v>0</v>
      </c>
      <c r="X87" s="57">
        <f>X86/BS!W11</f>
        <v>0</v>
      </c>
      <c r="Y87" s="57">
        <f>Y86/BS!X11</f>
        <v>0</v>
      </c>
      <c r="Z87" s="57">
        <f>Z86/BS!Y11</f>
        <v>0</v>
      </c>
      <c r="AA87" s="58">
        <f>AA86/BS!Z11</f>
        <v>0</v>
      </c>
      <c r="AB87" s="57">
        <f>AB86/BS!AA11</f>
        <v>0</v>
      </c>
      <c r="AC87" s="57">
        <f>AC86/BS!AB11</f>
        <v>0</v>
      </c>
      <c r="AD87" s="57">
        <f>AD86/BS!AC11</f>
        <v>0</v>
      </c>
      <c r="AE87" s="742">
        <v>0</v>
      </c>
      <c r="AF87" s="743">
        <v>0</v>
      </c>
      <c r="AG87" s="743">
        <v>0</v>
      </c>
      <c r="AH87" s="743">
        <v>0</v>
      </c>
      <c r="AI87" s="742">
        <v>0</v>
      </c>
      <c r="AJ87" s="1253">
        <v>0</v>
      </c>
      <c r="AK87" s="743">
        <v>0</v>
      </c>
      <c r="AL87" s="743">
        <v>0</v>
      </c>
      <c r="AM87" s="742">
        <v>0</v>
      </c>
      <c r="AN87" s="1253">
        <v>0</v>
      </c>
      <c r="AO87" s="743">
        <v>0</v>
      </c>
      <c r="AP87" s="743">
        <v>0</v>
      </c>
      <c r="AQ87" s="742">
        <v>0</v>
      </c>
      <c r="AR87" s="1253">
        <v>0</v>
      </c>
      <c r="AS87" s="743">
        <v>0</v>
      </c>
      <c r="AT87" s="743">
        <v>0</v>
      </c>
      <c r="AU87" s="743">
        <v>0</v>
      </c>
      <c r="AV87" s="1253">
        <v>0</v>
      </c>
      <c r="AW87" s="743">
        <v>0</v>
      </c>
      <c r="AX87" s="743">
        <v>0</v>
      </c>
      <c r="AY87" s="743">
        <v>0</v>
      </c>
      <c r="AZ87" s="1253">
        <v>0</v>
      </c>
      <c r="BA87" s="743">
        <v>0</v>
      </c>
      <c r="BB87" s="743">
        <v>0</v>
      </c>
      <c r="BC87" s="742">
        <v>0</v>
      </c>
      <c r="BD87" s="1253">
        <v>0</v>
      </c>
      <c r="BE87" s="743">
        <v>0</v>
      </c>
      <c r="BF87" s="743">
        <v>0</v>
      </c>
      <c r="BG87" s="742">
        <v>0</v>
      </c>
      <c r="BH87" s="1253">
        <v>0</v>
      </c>
      <c r="BI87" s="743">
        <v>0</v>
      </c>
      <c r="BJ87" s="743">
        <v>0</v>
      </c>
      <c r="BK87" s="742">
        <v>0</v>
      </c>
      <c r="BL87" s="331"/>
      <c r="BM87" s="57"/>
      <c r="BN87" s="57">
        <f>BN86/BS!BM11</f>
        <v>0</v>
      </c>
      <c r="BO87" s="57">
        <f>BO86/BS!BN11</f>
        <v>0</v>
      </c>
      <c r="BP87" s="57">
        <f>BP86/BS!BO11</f>
        <v>0</v>
      </c>
      <c r="BQ87" s="57">
        <f>BQ86/BS!BP11</f>
        <v>0</v>
      </c>
      <c r="BR87" s="57">
        <f>BR86/BS!BQ11</f>
        <v>0</v>
      </c>
      <c r="BS87" s="57">
        <f>BS86/BS!BR11</f>
        <v>0</v>
      </c>
      <c r="BT87" s="57">
        <f>BT86/BS!BS11</f>
        <v>0</v>
      </c>
      <c r="BU87" s="57">
        <f>BU86/BS!BT11</f>
        <v>0</v>
      </c>
      <c r="BV87" s="57">
        <f>BV86/BS!BU11</f>
        <v>0</v>
      </c>
      <c r="BW87" s="57">
        <f>BW86/BS!BV11</f>
        <v>0</v>
      </c>
      <c r="BX87" s="57">
        <f>BX86/BS!BW11</f>
        <v>0</v>
      </c>
      <c r="BY87" s="57">
        <f>BY86/BS!BX11</f>
        <v>0</v>
      </c>
      <c r="BZ87" s="57">
        <f>BZ86/BS!BY11</f>
        <v>0</v>
      </c>
      <c r="CA87" s="58">
        <f>CA86/BS!BZ11</f>
        <v>0</v>
      </c>
      <c r="CB87" s="1354"/>
      <c r="CC87" s="57"/>
      <c r="CD87" s="57"/>
      <c r="CE87" s="260"/>
      <c r="CF87" s="39"/>
      <c r="CG87" s="37">
        <f>CG86/BS!CF11</f>
        <v>0</v>
      </c>
      <c r="CH87" s="37">
        <f>CH86/BS!CG11</f>
        <v>0</v>
      </c>
      <c r="CI87" s="37">
        <f>CI86/BS!CH11</f>
        <v>0</v>
      </c>
      <c r="CJ87" s="37">
        <f>CJ86/BS!CI11</f>
        <v>0</v>
      </c>
      <c r="CK87" s="37">
        <f>CK86/BS!CJ11</f>
        <v>0</v>
      </c>
      <c r="CL87" s="37">
        <f>CL86/BS!CK11</f>
        <v>0</v>
      </c>
      <c r="CM87" s="37">
        <f>CM86/BS!CL11</f>
        <v>0</v>
      </c>
      <c r="CN87" s="37">
        <f>CN86/BS!CM11</f>
        <v>0</v>
      </c>
      <c r="CO87" s="37">
        <f>CO86/BS!CN11</f>
        <v>0</v>
      </c>
      <c r="CP87" s="37">
        <f>CP86/BS!CO11</f>
        <v>0</v>
      </c>
      <c r="CQ87" s="37">
        <f>CQ86/BS!CP11</f>
        <v>0</v>
      </c>
      <c r="CR87" s="37">
        <f>CR86/BS!CQ11</f>
        <v>0</v>
      </c>
      <c r="CS87" s="38">
        <f>CS86/BS!CR11</f>
        <v>0</v>
      </c>
      <c r="CT87" s="37"/>
    </row>
    <row r="88" spans="1:104" ht="14.25" hidden="1" customHeight="1" outlineLevel="1">
      <c r="A88" s="8"/>
      <c r="B88" s="28" t="s">
        <v>525</v>
      </c>
      <c r="C88" s="29"/>
      <c r="D88" s="30">
        <v>0</v>
      </c>
      <c r="E88" s="30">
        <v>0</v>
      </c>
      <c r="F88" s="30">
        <v>0</v>
      </c>
      <c r="G88" s="31">
        <v>0</v>
      </c>
      <c r="H88" s="30">
        <v>0</v>
      </c>
      <c r="I88" s="30">
        <v>0</v>
      </c>
      <c r="J88" s="30">
        <v>0</v>
      </c>
      <c r="K88" s="31">
        <v>0</v>
      </c>
      <c r="L88" s="30">
        <v>0</v>
      </c>
      <c r="M88" s="30">
        <v>0</v>
      </c>
      <c r="N88" s="30">
        <v>0</v>
      </c>
      <c r="O88" s="31">
        <v>0</v>
      </c>
      <c r="P88" s="30">
        <v>0</v>
      </c>
      <c r="Q88" s="30">
        <v>0</v>
      </c>
      <c r="R88" s="30">
        <v>0</v>
      </c>
      <c r="S88" s="31">
        <v>0</v>
      </c>
      <c r="T88" s="30">
        <v>0</v>
      </c>
      <c r="U88" s="30">
        <v>0</v>
      </c>
      <c r="V88" s="30">
        <v>0</v>
      </c>
      <c r="W88" s="31">
        <v>0</v>
      </c>
      <c r="X88" s="30">
        <v>0</v>
      </c>
      <c r="Y88" s="30">
        <v>0</v>
      </c>
      <c r="Z88" s="30">
        <v>0</v>
      </c>
      <c r="AA88" s="31">
        <v>0</v>
      </c>
      <c r="AB88" s="30">
        <v>0</v>
      </c>
      <c r="AC88" s="30">
        <v>0</v>
      </c>
      <c r="AD88" s="30">
        <v>0</v>
      </c>
      <c r="AE88" s="33">
        <f>-(BS!AD35+BS!AD39)*AE89/4</f>
        <v>0</v>
      </c>
      <c r="AF88" s="32">
        <v>0</v>
      </c>
      <c r="AG88" s="32">
        <f>-(BS!AF35+BS!AF39)*AG89/4</f>
        <v>0</v>
      </c>
      <c r="AH88" s="32">
        <f>-(BS!AG35+BS!AG39)*AH89/4</f>
        <v>0</v>
      </c>
      <c r="AI88" s="33">
        <f>-(BS!AH35+BS!AH39)*AI89/4</f>
        <v>0</v>
      </c>
      <c r="AJ88" s="34">
        <v>0</v>
      </c>
      <c r="AK88" s="32">
        <f>-(BS!AJ35+BS!AJ39)*AK89/4</f>
        <v>0</v>
      </c>
      <c r="AL88" s="32">
        <f>-(BS!AK35+BS!AK39)*AL89/4</f>
        <v>0</v>
      </c>
      <c r="AM88" s="33">
        <f>-(BS!AL35+BS!AL39)*AM89/4</f>
        <v>0</v>
      </c>
      <c r="AN88" s="34">
        <v>0</v>
      </c>
      <c r="AO88" s="32">
        <f>-(BS!AN35+BS!AN39)*AO89/4</f>
        <v>0</v>
      </c>
      <c r="AP88" s="32">
        <f>-(BS!AO35+BS!AO39)*AP89/4</f>
        <v>0</v>
      </c>
      <c r="AQ88" s="33">
        <f>-(BS!AP35+BS!AP39)*AQ89/4</f>
        <v>0</v>
      </c>
      <c r="AR88" s="34">
        <v>0</v>
      </c>
      <c r="AS88" s="32">
        <f>-(BS!AR35+BS!AR39)*AS89/4</f>
        <v>0</v>
      </c>
      <c r="AT88" s="32">
        <f>-(BS!AS35+BS!AS39)*AT89/4</f>
        <v>0</v>
      </c>
      <c r="AU88" s="32">
        <f>-(BS!AT35+BS!AT39)*AU89/4</f>
        <v>0</v>
      </c>
      <c r="AV88" s="34">
        <v>0</v>
      </c>
      <c r="AW88" s="32">
        <f>-(BS!AV35+BS!AV39)*AW89/4</f>
        <v>0</v>
      </c>
      <c r="AX88" s="32">
        <f>-(BS!AW35+BS!AW39)*AX89/4</f>
        <v>0</v>
      </c>
      <c r="AY88" s="32">
        <f>-(BS!AX35+BS!AX39)*AY89/4</f>
        <v>0</v>
      </c>
      <c r="AZ88" s="34">
        <v>0</v>
      </c>
      <c r="BA88" s="32">
        <f>-(BS!AZ35+BS!AZ39)*BA89/4</f>
        <v>0</v>
      </c>
      <c r="BB88" s="32">
        <f>-(BS!BA35+BS!BA39)*BB89/4</f>
        <v>0</v>
      </c>
      <c r="BC88" s="1302">
        <f>-(BS!BB35+BS!BB39)*BC89/4</f>
        <v>0</v>
      </c>
      <c r="BD88" s="1303">
        <f>-(BS!BC35+BS!BC39)*BD89/4</f>
        <v>0</v>
      </c>
      <c r="BE88" s="1231">
        <f>-(BS!BD35+BS!BD39)*BE89/4</f>
        <v>0</v>
      </c>
      <c r="BF88" s="1231">
        <f>-(BS!BE35+BS!BE39)*BF89/4</f>
        <v>0</v>
      </c>
      <c r="BG88" s="1302">
        <f>-(BS!BF35+BS!BF39)*BG89/4</f>
        <v>0</v>
      </c>
      <c r="BH88" s="1303">
        <f>-(BS!BG35+BS!BG39)*BH89/4</f>
        <v>0</v>
      </c>
      <c r="BI88" s="1231">
        <f>-(BS!BH35+BS!BH39)*BI89/4</f>
        <v>0</v>
      </c>
      <c r="BJ88" s="1231">
        <f>-(BS!BI35+BS!BI39)*BJ89/4</f>
        <v>0</v>
      </c>
      <c r="BK88" s="1302">
        <f>-(BS!BJ35+BS!BJ39)*BK89/4</f>
        <v>0</v>
      </c>
      <c r="BL88" s="20"/>
      <c r="BM88" s="32">
        <f>SUM(D88:G88)</f>
        <v>0</v>
      </c>
      <c r="BN88" s="32">
        <f>SUM(H88:K88)</f>
        <v>0</v>
      </c>
      <c r="BO88" s="32">
        <f>SUM(L88:O88)</f>
        <v>0</v>
      </c>
      <c r="BP88" s="32">
        <f>SUM(P88:S88)</f>
        <v>0</v>
      </c>
      <c r="BQ88" s="32">
        <f>SUM(T88:W88)</f>
        <v>0</v>
      </c>
      <c r="BR88" s="32">
        <f>SUM(X88:AA88)</f>
        <v>0</v>
      </c>
      <c r="BS88" s="32">
        <f>SUM(AB88:AE88)</f>
        <v>0</v>
      </c>
      <c r="BT88" s="32">
        <f>SUM(AF88:AI88)</f>
        <v>0</v>
      </c>
      <c r="BU88" s="32">
        <f>SUM(AJ88:AM88)</f>
        <v>0</v>
      </c>
      <c r="BV88" s="32">
        <f>SUM(AN88:AQ88)</f>
        <v>0</v>
      </c>
      <c r="BW88" s="32">
        <f>SUM(AR88:AU88)</f>
        <v>0</v>
      </c>
      <c r="BX88" s="32">
        <f>SUM(AV88:AY88)</f>
        <v>0</v>
      </c>
      <c r="BY88" s="32">
        <f>SUM(AZ88:BC88)</f>
        <v>0</v>
      </c>
      <c r="BZ88" s="32">
        <f>SUM(BD88:BG88)</f>
        <v>0</v>
      </c>
      <c r="CA88" s="33">
        <f>SUM(BH88:BK88)</f>
        <v>0</v>
      </c>
      <c r="CB88" s="1474"/>
      <c r="CC88" s="1421"/>
      <c r="CD88" s="1421"/>
      <c r="CE88" s="260"/>
      <c r="CF88" s="34">
        <f>SUM(F88:I88)</f>
        <v>0</v>
      </c>
      <c r="CG88" s="32">
        <f>SUM(J88:M88)</f>
        <v>0</v>
      </c>
      <c r="CH88" s="32">
        <f>SUM(N88:Q88)</f>
        <v>0</v>
      </c>
      <c r="CI88" s="32">
        <f>SUM(R88:U88)</f>
        <v>0</v>
      </c>
      <c r="CJ88" s="32">
        <f>SUM(V88:Y88)</f>
        <v>0</v>
      </c>
      <c r="CK88" s="32">
        <f>SUM(Z88:AC88)</f>
        <v>0</v>
      </c>
      <c r="CL88" s="32">
        <f>SUM(AD88:AG88)</f>
        <v>0</v>
      </c>
      <c r="CM88" s="32">
        <f>SUM(AH88:AK88)</f>
        <v>0</v>
      </c>
      <c r="CN88" s="32">
        <f>SUM(AL88:AO88)</f>
        <v>0</v>
      </c>
      <c r="CO88" s="32">
        <f>SUM(AP88:AS88)</f>
        <v>0</v>
      </c>
      <c r="CP88" s="32">
        <f>SUM(AT88:AW88)</f>
        <v>0</v>
      </c>
      <c r="CQ88" s="32">
        <f>SUM(AX88:BA88)</f>
        <v>0</v>
      </c>
      <c r="CR88" s="32">
        <f>SUM(BB88:BE88)</f>
        <v>0</v>
      </c>
      <c r="CS88" s="33">
        <f>SUM(BF88:BI88)</f>
        <v>0</v>
      </c>
      <c r="CT88" s="32"/>
    </row>
    <row r="89" spans="1:104" ht="14.25" hidden="1" customHeight="1" outlineLevel="1">
      <c r="A89" s="8"/>
      <c r="B89" s="330" t="s">
        <v>535</v>
      </c>
      <c r="C89" s="29"/>
      <c r="D89" s="57"/>
      <c r="E89" s="57">
        <f>-E88/BS!D13</f>
        <v>0</v>
      </c>
      <c r="F89" s="57">
        <f>-F88/BS!E13</f>
        <v>0</v>
      </c>
      <c r="G89" s="58">
        <f>-G88/BS!F13</f>
        <v>0</v>
      </c>
      <c r="H89" s="57">
        <f>-H88/BS!G13</f>
        <v>0</v>
      </c>
      <c r="I89" s="57">
        <f>-I88/BS!H13</f>
        <v>0</v>
      </c>
      <c r="J89" s="57">
        <f>-J88/BS!I13</f>
        <v>0</v>
      </c>
      <c r="K89" s="58">
        <f>-K88/BS!J13</f>
        <v>0</v>
      </c>
      <c r="L89" s="57">
        <f>-L88/BS!K13</f>
        <v>0</v>
      </c>
      <c r="M89" s="57">
        <f>-M88/BS!L13</f>
        <v>0</v>
      </c>
      <c r="N89" s="57">
        <f>-N88/BS!M13</f>
        <v>0</v>
      </c>
      <c r="O89" s="58">
        <f>-O88/BS!N13</f>
        <v>0</v>
      </c>
      <c r="P89" s="57">
        <f>-P88/BS!O13</f>
        <v>0</v>
      </c>
      <c r="Q89" s="57">
        <f>-Q88/BS!P13</f>
        <v>0</v>
      </c>
      <c r="R89" s="57">
        <f>-R88/BS!Q13</f>
        <v>0</v>
      </c>
      <c r="S89" s="58">
        <f>-S88/BS!R13</f>
        <v>0</v>
      </c>
      <c r="T89" s="57">
        <f>-T88/BS!S13</f>
        <v>0</v>
      </c>
      <c r="U89" s="57">
        <f>-U88/BS!T13</f>
        <v>0</v>
      </c>
      <c r="V89" s="57">
        <f>-V88/BS!U13</f>
        <v>0</v>
      </c>
      <c r="W89" s="58">
        <f>-W88/BS!V13</f>
        <v>0</v>
      </c>
      <c r="X89" s="57">
        <f>-X88/BS!W13</f>
        <v>0</v>
      </c>
      <c r="Y89" s="57">
        <f>-Y88/BS!X13</f>
        <v>0</v>
      </c>
      <c r="Z89" s="57">
        <f>-Z88/BS!Y13</f>
        <v>0</v>
      </c>
      <c r="AA89" s="58">
        <f>-AA88/BS!Z13</f>
        <v>0</v>
      </c>
      <c r="AB89" s="57">
        <f>-AB88/BS!AA13</f>
        <v>0</v>
      </c>
      <c r="AC89" s="57">
        <f>-AC88/BS!AB13</f>
        <v>0</v>
      </c>
      <c r="AD89" s="57">
        <f>-AD88/BS!AC13</f>
        <v>0</v>
      </c>
      <c r="AE89" s="742">
        <v>0</v>
      </c>
      <c r="AF89" s="743">
        <v>0</v>
      </c>
      <c r="AG89" s="743">
        <v>0</v>
      </c>
      <c r="AH89" s="743">
        <v>0</v>
      </c>
      <c r="AI89" s="742">
        <v>0</v>
      </c>
      <c r="AJ89" s="1253">
        <v>0</v>
      </c>
      <c r="AK89" s="743">
        <v>0</v>
      </c>
      <c r="AL89" s="743">
        <v>0</v>
      </c>
      <c r="AM89" s="742">
        <v>0</v>
      </c>
      <c r="AN89" s="1253">
        <v>0</v>
      </c>
      <c r="AO89" s="743">
        <v>0</v>
      </c>
      <c r="AP89" s="743">
        <v>0</v>
      </c>
      <c r="AQ89" s="742">
        <v>0</v>
      </c>
      <c r="AR89" s="1253">
        <v>0</v>
      </c>
      <c r="AS89" s="743">
        <v>0</v>
      </c>
      <c r="AT89" s="743">
        <v>0</v>
      </c>
      <c r="AU89" s="743">
        <v>0</v>
      </c>
      <c r="AV89" s="1253">
        <v>0</v>
      </c>
      <c r="AW89" s="743">
        <v>0</v>
      </c>
      <c r="AX89" s="743">
        <v>0</v>
      </c>
      <c r="AY89" s="743">
        <v>0</v>
      </c>
      <c r="AZ89" s="1253">
        <v>0</v>
      </c>
      <c r="BA89" s="743">
        <v>0</v>
      </c>
      <c r="BB89" s="743">
        <v>0</v>
      </c>
      <c r="BC89" s="742">
        <v>0</v>
      </c>
      <c r="BD89" s="1253">
        <v>0</v>
      </c>
      <c r="BE89" s="743">
        <v>0</v>
      </c>
      <c r="BF89" s="743">
        <v>0</v>
      </c>
      <c r="BG89" s="742">
        <v>0</v>
      </c>
      <c r="BH89" s="1253">
        <v>0</v>
      </c>
      <c r="BI89" s="743">
        <v>0</v>
      </c>
      <c r="BJ89" s="743">
        <v>0</v>
      </c>
      <c r="BK89" s="742">
        <v>0</v>
      </c>
      <c r="BL89" s="331"/>
      <c r="BM89" s="57"/>
      <c r="BN89" s="57">
        <f>-BN88/BS!BM13</f>
        <v>0</v>
      </c>
      <c r="BO89" s="57">
        <f>-BO88/BS!BN13</f>
        <v>0</v>
      </c>
      <c r="BP89" s="57">
        <f>-BP88/BS!BO13</f>
        <v>0</v>
      </c>
      <c r="BQ89" s="57">
        <f>-BQ88/BS!BP13</f>
        <v>0</v>
      </c>
      <c r="BR89" s="57">
        <f>-BR88/BS!BQ13</f>
        <v>0</v>
      </c>
      <c r="BS89" s="57">
        <f>-BS88/BS!BR13</f>
        <v>0</v>
      </c>
      <c r="BT89" s="57">
        <f>-BT88/BS!BS13</f>
        <v>0</v>
      </c>
      <c r="BU89" s="57">
        <f>-BU88/BS!BT13</f>
        <v>0</v>
      </c>
      <c r="BV89" s="57">
        <f>-BV88/BS!BU13</f>
        <v>0</v>
      </c>
      <c r="BW89" s="57">
        <f>-BW88/BS!BV13</f>
        <v>0</v>
      </c>
      <c r="BX89" s="57">
        <f>-BX88/BS!BW13</f>
        <v>0</v>
      </c>
      <c r="BY89" s="57">
        <f>-BY88/BS!BX13</f>
        <v>0</v>
      </c>
      <c r="BZ89" s="57">
        <f>-BZ88/BS!BY13</f>
        <v>0</v>
      </c>
      <c r="CA89" s="58">
        <f>-CA88/BS!BZ13</f>
        <v>0</v>
      </c>
      <c r="CB89" s="1354"/>
      <c r="CC89" s="57"/>
      <c r="CD89" s="57"/>
      <c r="CE89" s="260"/>
      <c r="CF89" s="39"/>
      <c r="CG89" s="37">
        <f>-CG88/BS!CF13</f>
        <v>0</v>
      </c>
      <c r="CH89" s="37">
        <f>-CH88/BS!CG13</f>
        <v>0</v>
      </c>
      <c r="CI89" s="37">
        <f>-CI88/BS!CH13</f>
        <v>0</v>
      </c>
      <c r="CJ89" s="37">
        <f>-CJ88/BS!CI13</f>
        <v>0</v>
      </c>
      <c r="CK89" s="37">
        <f>-CK88/BS!CJ13</f>
        <v>0</v>
      </c>
      <c r="CL89" s="37">
        <f>-CL88/BS!CK13</f>
        <v>0</v>
      </c>
      <c r="CM89" s="37">
        <f>-CM88/BS!CL13</f>
        <v>0</v>
      </c>
      <c r="CN89" s="37">
        <f>-CN88/BS!CM13</f>
        <v>0</v>
      </c>
      <c r="CO89" s="37">
        <f>-CO88/BS!CN13</f>
        <v>0</v>
      </c>
      <c r="CP89" s="37">
        <f>-CP88/BS!CO13</f>
        <v>0</v>
      </c>
      <c r="CQ89" s="37">
        <f>-CQ88/BS!CP13</f>
        <v>0</v>
      </c>
      <c r="CR89" s="37">
        <f>-CR88/BS!CQ13</f>
        <v>0</v>
      </c>
      <c r="CS89" s="38">
        <f>-CS88/BS!CR13</f>
        <v>0</v>
      </c>
      <c r="CT89" s="37"/>
    </row>
    <row r="90" spans="1:104" ht="14.25" hidden="1" customHeight="1" outlineLevel="1">
      <c r="A90" s="8"/>
      <c r="B90" s="28" t="s">
        <v>329</v>
      </c>
      <c r="C90" s="29"/>
      <c r="D90" s="30">
        <v>11.035</v>
      </c>
      <c r="E90" s="30">
        <v>11.486000000000001</v>
      </c>
      <c r="F90" s="30">
        <v>11.016999999999999</v>
      </c>
      <c r="G90" s="509">
        <f>46.355-F90-E90-D90</f>
        <v>12.816999999999993</v>
      </c>
      <c r="H90" s="30">
        <v>13.388999999999999</v>
      </c>
      <c r="I90" s="30">
        <v>14.766999999999999</v>
      </c>
      <c r="J90" s="30">
        <v>15.061999999999999</v>
      </c>
      <c r="K90" s="509">
        <f>61.267-J90-I90-H90</f>
        <v>18.049000000000007</v>
      </c>
      <c r="L90" s="30">
        <v>17.353999999999999</v>
      </c>
      <c r="M90" s="30">
        <v>21.925999999999998</v>
      </c>
      <c r="N90" s="30">
        <v>11.615</v>
      </c>
      <c r="O90" s="509">
        <f>56.727-N90-M90-L90</f>
        <v>5.8319999999999972</v>
      </c>
      <c r="P90" s="30">
        <v>9.1010000000000009</v>
      </c>
      <c r="Q90" s="30">
        <v>7.3849999999999998</v>
      </c>
      <c r="R90" s="30">
        <v>-0.22800000000000001</v>
      </c>
      <c r="S90" s="509">
        <f>17.241-R90-Q90-P90</f>
        <v>0.98300000000000054</v>
      </c>
      <c r="T90" s="30">
        <v>1.901</v>
      </c>
      <c r="U90" s="30">
        <v>3.63</v>
      </c>
      <c r="V90" s="30">
        <v>0.64400000000000002</v>
      </c>
      <c r="W90" s="509">
        <f>8.013-V90-U90-T90</f>
        <v>1.8379999999999999</v>
      </c>
      <c r="X90" s="30">
        <v>-3.6760000000000002</v>
      </c>
      <c r="Y90" s="30">
        <v>-4.0999999999999996</v>
      </c>
      <c r="Z90" s="30">
        <v>-1.57</v>
      </c>
      <c r="AA90" s="509">
        <f>-11.368-Z90-Y90-X90</f>
        <v>-2.0220000000000002</v>
      </c>
      <c r="AB90" s="30">
        <v>-4.0999999999999996</v>
      </c>
      <c r="AC90" s="30">
        <v>2.3740000000000001</v>
      </c>
      <c r="AD90" s="30">
        <v>-0.23</v>
      </c>
      <c r="AE90" s="31">
        <v>-0.108</v>
      </c>
      <c r="AF90" s="30">
        <v>-5.742</v>
      </c>
      <c r="AG90" s="30">
        <v>-2.798</v>
      </c>
      <c r="AH90" s="30">
        <v>-2.669</v>
      </c>
      <c r="AI90" s="31">
        <v>-6.83</v>
      </c>
      <c r="AJ90" s="1255">
        <v>-3.4630000000000001</v>
      </c>
      <c r="AK90" s="30">
        <v>-5.8330000000000002</v>
      </c>
      <c r="AL90" s="30">
        <v>5.1740000000000004</v>
      </c>
      <c r="AM90" s="31">
        <v>-8.9429999999999996</v>
      </c>
      <c r="AN90" s="1255">
        <v>-6.4770000000000003</v>
      </c>
      <c r="AO90" s="30">
        <v>-7.5990000000000002</v>
      </c>
      <c r="AP90" s="30">
        <v>-5.5339999999999998</v>
      </c>
      <c r="AQ90" s="31">
        <v>28.5</v>
      </c>
      <c r="AR90" s="1255">
        <v>-6.4020000000000001</v>
      </c>
      <c r="AS90" s="30">
        <v>-9.593</v>
      </c>
      <c r="AT90" s="30">
        <v>-6.3730000000000002</v>
      </c>
      <c r="AU90" s="30">
        <v>-6.4269999999999996</v>
      </c>
      <c r="AV90" s="1255">
        <v>-6.87</v>
      </c>
      <c r="AW90" s="30">
        <v>-0.63600000000000001</v>
      </c>
      <c r="AX90" s="30">
        <v>-3.8839999999999999</v>
      </c>
      <c r="AY90" s="30">
        <v>-3.798</v>
      </c>
      <c r="AZ90" s="1255">
        <v>-4.2140000000000004</v>
      </c>
      <c r="BA90" s="30">
        <v>-3.121</v>
      </c>
      <c r="BB90" s="30">
        <v>-2.5339999999999998</v>
      </c>
      <c r="BC90" s="1302">
        <f>-BS!BC110+BS!BC118</f>
        <v>-6.6065529999999999</v>
      </c>
      <c r="BD90" s="1303">
        <f>-BS!BD110+BS!BD118</f>
        <v>-6.6254979475577436</v>
      </c>
      <c r="BE90" s="1231">
        <f>-BS!BE110+BS!BE118</f>
        <v>-6.6233751043005347</v>
      </c>
      <c r="BF90" s="1231">
        <f>-BS!BF110+BS!BF118</f>
        <v>-6.6317746039980996</v>
      </c>
      <c r="BG90" s="1302">
        <f>-BS!BG110+BS!BG118</f>
        <v>-6.643931022739717</v>
      </c>
      <c r="BH90" s="1303">
        <f>-BS!BH110+BS!BH118</f>
        <v>-6.6428249701565338</v>
      </c>
      <c r="BI90" s="1231">
        <f>-BS!BI110+BS!BI118</f>
        <v>-6.6385191981718874</v>
      </c>
      <c r="BJ90" s="1231">
        <f>-BS!BJ110+BS!BJ118</f>
        <v>-6.6380357813713742</v>
      </c>
      <c r="BK90" s="1302">
        <f>-BS!BK110+BS!BK118</f>
        <v>-6.6410202185314073</v>
      </c>
      <c r="BL90" s="20"/>
      <c r="BM90" s="32">
        <f>SUM(D90:G90)</f>
        <v>46.35499999999999</v>
      </c>
      <c r="BN90" s="32">
        <f>SUM(H90:K90)</f>
        <v>61.267000000000003</v>
      </c>
      <c r="BO90" s="32">
        <f>SUM(L90:O90)</f>
        <v>56.727000000000004</v>
      </c>
      <c r="BP90" s="32">
        <f>SUM(P90:S90)</f>
        <v>17.241</v>
      </c>
      <c r="BQ90" s="32">
        <f>SUM(T90:W90)</f>
        <v>8.0129999999999999</v>
      </c>
      <c r="BR90" s="32">
        <f>SUM(X90:AA90)</f>
        <v>-11.368</v>
      </c>
      <c r="BS90" s="32">
        <f>SUM(AB90:AE90)</f>
        <v>-2.0639999999999996</v>
      </c>
      <c r="BT90" s="32">
        <f>SUM(AF90:AI90)</f>
        <v>-18.039000000000001</v>
      </c>
      <c r="BU90" s="32">
        <f>SUM(AJ90:AM90)</f>
        <v>-13.064999999999998</v>
      </c>
      <c r="BV90" s="32">
        <f>SUM(AN90:AQ90)</f>
        <v>8.89</v>
      </c>
      <c r="BW90" s="32">
        <f>SUM(AR90:AU90)</f>
        <v>-28.795000000000002</v>
      </c>
      <c r="BX90" s="32">
        <f>SUM(AV90:AY90)</f>
        <v>-15.188000000000001</v>
      </c>
      <c r="BY90" s="32">
        <f>SUM(AZ90:BC90)</f>
        <v>-16.475552999999998</v>
      </c>
      <c r="BZ90" s="32">
        <f>SUM(BD90:BG90)</f>
        <v>-26.524578678596097</v>
      </c>
      <c r="CA90" s="33">
        <f>SUM(BH90:BK90)</f>
        <v>-26.560400168231205</v>
      </c>
      <c r="CB90" s="1475"/>
      <c r="CC90" s="1420"/>
      <c r="CD90" s="1420"/>
      <c r="CE90" s="260"/>
      <c r="CF90" s="34">
        <f>SUM(F90:I90)</f>
        <v>51.989999999999995</v>
      </c>
      <c r="CG90" s="32">
        <f>SUM(J90:M90)</f>
        <v>72.391000000000005</v>
      </c>
      <c r="CH90" s="32">
        <f>SUM(N90:Q90)</f>
        <v>33.932999999999993</v>
      </c>
      <c r="CI90" s="32">
        <f>SUM(R90:U90)</f>
        <v>6.2860000000000005</v>
      </c>
      <c r="CJ90" s="32">
        <f>SUM(V90:Y90)</f>
        <v>-5.2940000000000005</v>
      </c>
      <c r="CK90" s="32">
        <f>SUM(Z90:AC90)</f>
        <v>-5.3179999999999996</v>
      </c>
      <c r="CL90" s="32">
        <f>SUM(AD90:AG90)</f>
        <v>-8.8780000000000001</v>
      </c>
      <c r="CM90" s="32">
        <f>SUM(AH90:AK90)</f>
        <v>-18.795000000000002</v>
      </c>
      <c r="CN90" s="32">
        <f>SUM(AL90:AO90)</f>
        <v>-17.844999999999999</v>
      </c>
      <c r="CO90" s="32">
        <f>SUM(AP90:AS90)</f>
        <v>6.9710000000000001</v>
      </c>
      <c r="CP90" s="32">
        <f>SUM(AT90:AW90)</f>
        <v>-20.306000000000001</v>
      </c>
      <c r="CQ90" s="32">
        <f>SUM(AX90:BA90)</f>
        <v>-15.017000000000001</v>
      </c>
      <c r="CR90" s="32">
        <f>SUM(BB90:BE90)</f>
        <v>-22.38942605185828</v>
      </c>
      <c r="CS90" s="33">
        <f>SUM(BF90:BI90)</f>
        <v>-26.557049795066238</v>
      </c>
      <c r="CT90" s="32"/>
    </row>
    <row r="91" spans="1:104" ht="14.25" hidden="1" customHeight="1" outlineLevel="1">
      <c r="A91" s="8"/>
      <c r="B91" s="23" t="s">
        <v>330</v>
      </c>
      <c r="C91" s="24"/>
      <c r="D91" s="32">
        <f>D85+D92</f>
        <v>11.035</v>
      </c>
      <c r="E91" s="32">
        <f t="shared" ref="E91:AH91" si="385">E85+E92</f>
        <v>11.486000000000001</v>
      </c>
      <c r="F91" s="32">
        <f t="shared" si="385"/>
        <v>11.016999999999999</v>
      </c>
      <c r="G91" s="33">
        <f t="shared" si="385"/>
        <v>12.816999999999993</v>
      </c>
      <c r="H91" s="32">
        <f t="shared" si="385"/>
        <v>13.388999999999999</v>
      </c>
      <c r="I91" s="32">
        <f t="shared" si="385"/>
        <v>14.766999999999999</v>
      </c>
      <c r="J91" s="32">
        <f t="shared" si="385"/>
        <v>15.061999999999999</v>
      </c>
      <c r="K91" s="33">
        <f t="shared" si="385"/>
        <v>18.049000000000007</v>
      </c>
      <c r="L91" s="32">
        <f t="shared" si="385"/>
        <v>17.353999999999999</v>
      </c>
      <c r="M91" s="32">
        <f t="shared" si="385"/>
        <v>21.925999999999998</v>
      </c>
      <c r="N91" s="32">
        <f t="shared" si="385"/>
        <v>11.615</v>
      </c>
      <c r="O91" s="33">
        <f t="shared" si="385"/>
        <v>5.8319999999999972</v>
      </c>
      <c r="P91" s="32">
        <f t="shared" si="385"/>
        <v>9.1010000000000009</v>
      </c>
      <c r="Q91" s="32">
        <f t="shared" si="385"/>
        <v>7.3849999999999998</v>
      </c>
      <c r="R91" s="32">
        <f t="shared" si="385"/>
        <v>-0.22800000000000001</v>
      </c>
      <c r="S91" s="33">
        <f t="shared" si="385"/>
        <v>0.98300000000000054</v>
      </c>
      <c r="T91" s="32">
        <f t="shared" si="385"/>
        <v>1.901</v>
      </c>
      <c r="U91" s="32">
        <f t="shared" si="385"/>
        <v>3.63</v>
      </c>
      <c r="V91" s="32">
        <f t="shared" si="385"/>
        <v>0.64400000000000002</v>
      </c>
      <c r="W91" s="33">
        <f t="shared" si="385"/>
        <v>1.8379999999999999</v>
      </c>
      <c r="X91" s="32">
        <f t="shared" si="385"/>
        <v>-3.6760000000000002</v>
      </c>
      <c r="Y91" s="32">
        <f t="shared" si="385"/>
        <v>-4.0999999999999996</v>
      </c>
      <c r="Z91" s="32">
        <f t="shared" si="385"/>
        <v>-1.57</v>
      </c>
      <c r="AA91" s="33">
        <f t="shared" si="385"/>
        <v>-2.0220000000000002</v>
      </c>
      <c r="AB91" s="32">
        <f t="shared" si="385"/>
        <v>-4.0999999999999996</v>
      </c>
      <c r="AC91" s="32">
        <f>AC85+AC92</f>
        <v>0.59800000000000009</v>
      </c>
      <c r="AD91" s="32">
        <f>AD85+AD92</f>
        <v>-0.23</v>
      </c>
      <c r="AE91" s="33">
        <f>AE85+AE92</f>
        <v>0.44200000000000006</v>
      </c>
      <c r="AF91" s="32">
        <f>AF85+AF92</f>
        <v>-5.742</v>
      </c>
      <c r="AG91" s="32">
        <f t="shared" si="385"/>
        <v>-2.798</v>
      </c>
      <c r="AH91" s="32">
        <f t="shared" si="385"/>
        <v>-2.669</v>
      </c>
      <c r="AI91" s="33">
        <f t="shared" ref="AI91:AN91" si="386">AI85+AI92</f>
        <v>-6.13</v>
      </c>
      <c r="AJ91" s="34">
        <f t="shared" si="386"/>
        <v>-3.4630000000000001</v>
      </c>
      <c r="AK91" s="32">
        <f t="shared" si="386"/>
        <v>-5.8330000000000002</v>
      </c>
      <c r="AL91" s="32">
        <f t="shared" si="386"/>
        <v>8.8970000000000002</v>
      </c>
      <c r="AM91" s="33">
        <f t="shared" si="386"/>
        <v>-6.5109999999999992</v>
      </c>
      <c r="AN91" s="34">
        <f t="shared" si="386"/>
        <v>-6.4770000000000003</v>
      </c>
      <c r="AO91" s="32">
        <f t="shared" ref="AO91:AT91" si="387">AO85+AO92</f>
        <v>-7.8159999999999998</v>
      </c>
      <c r="AP91" s="32">
        <f t="shared" si="387"/>
        <v>-5.5339999999999998</v>
      </c>
      <c r="AQ91" s="33">
        <f t="shared" si="387"/>
        <v>-7.3489999999999966</v>
      </c>
      <c r="AR91" s="34">
        <f t="shared" si="387"/>
        <v>-6.5110000000000001</v>
      </c>
      <c r="AS91" s="32">
        <f t="shared" si="387"/>
        <v>-8.9979999999999993</v>
      </c>
      <c r="AT91" s="32">
        <f t="shared" si="387"/>
        <v>-6.4180000000000001</v>
      </c>
      <c r="AU91" s="32">
        <f t="shared" ref="AU91:AZ91" si="388">AU85+AU92</f>
        <v>-6.6739999999999995</v>
      </c>
      <c r="AV91" s="34">
        <f t="shared" si="388"/>
        <v>-7.3410000000000002</v>
      </c>
      <c r="AW91" s="32">
        <f t="shared" si="388"/>
        <v>-5.6879999999999997</v>
      </c>
      <c r="AX91" s="32">
        <f t="shared" si="388"/>
        <v>-3.9319999999999999</v>
      </c>
      <c r="AY91" s="32">
        <f t="shared" si="388"/>
        <v>-3.8879999999999999</v>
      </c>
      <c r="AZ91" s="34">
        <f t="shared" si="388"/>
        <v>-4.298</v>
      </c>
      <c r="BA91" s="32">
        <f>BA85+BA92</f>
        <v>-3.24</v>
      </c>
      <c r="BB91" s="32">
        <f t="shared" ref="BB91" si="389">BB85+BB92</f>
        <v>-2.6309999999999998</v>
      </c>
      <c r="BC91" s="33">
        <f t="shared" ref="BC91:BG91" si="390">BC85+BC92</f>
        <v>-6.6065529999999999</v>
      </c>
      <c r="BD91" s="34">
        <f t="shared" si="390"/>
        <v>-6.6254979475577436</v>
      </c>
      <c r="BE91" s="32">
        <f t="shared" si="390"/>
        <v>-6.6233751043005347</v>
      </c>
      <c r="BF91" s="32">
        <f t="shared" si="390"/>
        <v>-6.6317746039980996</v>
      </c>
      <c r="BG91" s="33">
        <f t="shared" si="390"/>
        <v>-6.643931022739717</v>
      </c>
      <c r="BH91" s="34">
        <f>BH85+BH92</f>
        <v>-6.6428249701565338</v>
      </c>
      <c r="BI91" s="32">
        <f>BI85+BI92</f>
        <v>-6.6385191981718874</v>
      </c>
      <c r="BJ91" s="32">
        <f>BJ85+BJ92</f>
        <v>-6.6380357813713742</v>
      </c>
      <c r="BK91" s="33">
        <f>BK85+BK92</f>
        <v>-6.6410202185314073</v>
      </c>
      <c r="BL91" s="20"/>
      <c r="BM91" s="32">
        <f t="shared" ref="BM91:BV91" si="391">BM85+BM92</f>
        <v>46.35499999999999</v>
      </c>
      <c r="BN91" s="32">
        <f t="shared" si="391"/>
        <v>61.267000000000003</v>
      </c>
      <c r="BO91" s="32">
        <f t="shared" si="391"/>
        <v>56.727000000000004</v>
      </c>
      <c r="BP91" s="32">
        <f t="shared" si="391"/>
        <v>17.241</v>
      </c>
      <c r="BQ91" s="32">
        <f t="shared" si="391"/>
        <v>8.0129999999999999</v>
      </c>
      <c r="BR91" s="32">
        <f t="shared" si="391"/>
        <v>-11.368</v>
      </c>
      <c r="BS91" s="32">
        <f>BS85+BS92</f>
        <v>-3.2899999999999996</v>
      </c>
      <c r="BT91" s="32">
        <f t="shared" si="391"/>
        <v>-17.339000000000002</v>
      </c>
      <c r="BU91" s="32">
        <f t="shared" si="391"/>
        <v>-6.9099999999999984</v>
      </c>
      <c r="BV91" s="32">
        <f t="shared" si="391"/>
        <v>-27.175999999999995</v>
      </c>
      <c r="BW91" s="32">
        <f>BW85+BW92</f>
        <v>-28.601000000000003</v>
      </c>
      <c r="BX91" s="32">
        <f>BX85+BX92</f>
        <v>-20.849</v>
      </c>
      <c r="BY91" s="32">
        <f>BY85+BY92</f>
        <v>-16.775552999999999</v>
      </c>
      <c r="BZ91" s="32">
        <f>BZ85+BZ92</f>
        <v>-26.524578678596097</v>
      </c>
      <c r="CA91" s="33">
        <f>CA85+CA92</f>
        <v>-26.560400168231205</v>
      </c>
      <c r="CB91" s="34"/>
      <c r="CC91" s="32"/>
      <c r="CD91" s="32"/>
      <c r="CE91" s="260"/>
      <c r="CF91" s="34">
        <f t="shared" ref="CF91:CN91" si="392">CF85+CF92</f>
        <v>51.989999999999995</v>
      </c>
      <c r="CG91" s="32">
        <f t="shared" si="392"/>
        <v>72.391000000000005</v>
      </c>
      <c r="CH91" s="32">
        <f t="shared" si="392"/>
        <v>33.932999999999993</v>
      </c>
      <c r="CI91" s="32">
        <f t="shared" si="392"/>
        <v>6.2860000000000005</v>
      </c>
      <c r="CJ91" s="32">
        <f t="shared" si="392"/>
        <v>-5.2940000000000005</v>
      </c>
      <c r="CK91" s="32">
        <f t="shared" si="392"/>
        <v>-7.0939999999999994</v>
      </c>
      <c r="CL91" s="32">
        <f t="shared" si="392"/>
        <v>-8.3279999999999994</v>
      </c>
      <c r="CM91" s="32">
        <f t="shared" si="392"/>
        <v>-18.095000000000002</v>
      </c>
      <c r="CN91" s="32">
        <f t="shared" si="392"/>
        <v>-11.907</v>
      </c>
      <c r="CO91" s="32">
        <f>CO85+CO92</f>
        <v>-28.391999999999999</v>
      </c>
      <c r="CP91" s="32">
        <f>CP85+CP92</f>
        <v>-26.121000000000002</v>
      </c>
      <c r="CQ91" s="32">
        <f>CQ85+CQ92</f>
        <v>-15.358000000000001</v>
      </c>
      <c r="CR91" s="32">
        <f>CR85+CR92</f>
        <v>-22.486426051858281</v>
      </c>
      <c r="CS91" s="33">
        <f>CS85+CS92</f>
        <v>-26.557049795066238</v>
      </c>
      <c r="CT91" s="32"/>
    </row>
    <row r="92" spans="1:104" ht="14.25" hidden="1" customHeight="1" outlineLevel="1">
      <c r="A92" s="8"/>
      <c r="B92" s="28" t="s">
        <v>331</v>
      </c>
      <c r="C92" s="29"/>
      <c r="D92" s="30">
        <v>0</v>
      </c>
      <c r="E92" s="30">
        <v>0</v>
      </c>
      <c r="F92" s="30">
        <v>0</v>
      </c>
      <c r="G92" s="31">
        <v>0</v>
      </c>
      <c r="H92" s="30">
        <v>0</v>
      </c>
      <c r="I92" s="30">
        <v>0</v>
      </c>
      <c r="J92" s="30">
        <v>0</v>
      </c>
      <c r="K92" s="31">
        <v>0</v>
      </c>
      <c r="L92" s="30">
        <v>0</v>
      </c>
      <c r="M92" s="30">
        <v>0</v>
      </c>
      <c r="N92" s="30">
        <v>0</v>
      </c>
      <c r="O92" s="31">
        <v>0</v>
      </c>
      <c r="P92" s="30">
        <v>0</v>
      </c>
      <c r="Q92" s="30">
        <v>0</v>
      </c>
      <c r="R92" s="30">
        <v>0</v>
      </c>
      <c r="S92" s="31">
        <v>0</v>
      </c>
      <c r="T92" s="30">
        <v>0</v>
      </c>
      <c r="U92" s="30">
        <v>0</v>
      </c>
      <c r="V92" s="30">
        <v>0</v>
      </c>
      <c r="W92" s="31">
        <v>0</v>
      </c>
      <c r="X92" s="30">
        <v>0</v>
      </c>
      <c r="Y92" s="30">
        <v>0</v>
      </c>
      <c r="Z92" s="30">
        <v>0</v>
      </c>
      <c r="AA92" s="31">
        <v>0</v>
      </c>
      <c r="AB92" s="30">
        <v>0</v>
      </c>
      <c r="AC92" s="30">
        <v>-1.776</v>
      </c>
      <c r="AD92" s="30">
        <v>0</v>
      </c>
      <c r="AE92" s="31">
        <v>0.55000000000000004</v>
      </c>
      <c r="AF92" s="30">
        <v>0</v>
      </c>
      <c r="AG92" s="30">
        <v>0</v>
      </c>
      <c r="AH92" s="30">
        <v>0</v>
      </c>
      <c r="AI92" s="31">
        <v>0.7</v>
      </c>
      <c r="AJ92" s="1255">
        <v>0</v>
      </c>
      <c r="AK92" s="30">
        <v>0</v>
      </c>
      <c r="AL92" s="30">
        <v>3.7229999999999999</v>
      </c>
      <c r="AM92" s="31">
        <v>2.4319999999999999</v>
      </c>
      <c r="AN92" s="1255">
        <v>0</v>
      </c>
      <c r="AO92" s="30">
        <v>-0.217</v>
      </c>
      <c r="AP92" s="30"/>
      <c r="AQ92" s="31">
        <v>-35.848999999999997</v>
      </c>
      <c r="AR92" s="1255">
        <v>-0.109</v>
      </c>
      <c r="AS92" s="30">
        <f>0.595</f>
        <v>0.59499999999999997</v>
      </c>
      <c r="AT92" s="30">
        <v>-4.4999999999999998E-2</v>
      </c>
      <c r="AU92" s="30">
        <v>-0.247</v>
      </c>
      <c r="AV92" s="1255">
        <v>-0.47099999999999997</v>
      </c>
      <c r="AW92" s="30">
        <v>-5.0519999999999996</v>
      </c>
      <c r="AX92" s="30">
        <v>-4.8000000000000001E-2</v>
      </c>
      <c r="AY92" s="30">
        <v>-0.09</v>
      </c>
      <c r="AZ92" s="1255">
        <f>-0.084</f>
        <v>-8.4000000000000005E-2</v>
      </c>
      <c r="BA92" s="30">
        <v>-0.11899999999999999</v>
      </c>
      <c r="BB92" s="30">
        <f>-0.097</f>
        <v>-9.7000000000000003E-2</v>
      </c>
      <c r="BC92" s="31">
        <v>0</v>
      </c>
      <c r="BD92" s="1255">
        <v>0</v>
      </c>
      <c r="BE92" s="30">
        <v>0</v>
      </c>
      <c r="BF92" s="30">
        <v>0</v>
      </c>
      <c r="BG92" s="31">
        <v>0</v>
      </c>
      <c r="BH92" s="1255">
        <v>0</v>
      </c>
      <c r="BI92" s="30">
        <v>0</v>
      </c>
      <c r="BJ92" s="30">
        <v>0</v>
      </c>
      <c r="BK92" s="31">
        <v>0</v>
      </c>
      <c r="BL92" s="20"/>
      <c r="BM92" s="32">
        <f>SUM(D92:G92)</f>
        <v>0</v>
      </c>
      <c r="BN92" s="32">
        <f>SUM(H92:K92)</f>
        <v>0</v>
      </c>
      <c r="BO92" s="32">
        <f>SUM(L92:O92)</f>
        <v>0</v>
      </c>
      <c r="BP92" s="32">
        <f>SUM(P92:S92)</f>
        <v>0</v>
      </c>
      <c r="BQ92" s="32">
        <f>SUM(T92:W92)</f>
        <v>0</v>
      </c>
      <c r="BR92" s="32">
        <f>SUM(X92:AA92)</f>
        <v>0</v>
      </c>
      <c r="BS92" s="32">
        <f>SUM(AB92:AE92)</f>
        <v>-1.226</v>
      </c>
      <c r="BT92" s="32">
        <f>SUM(AF92:AI92)</f>
        <v>0.7</v>
      </c>
      <c r="BU92" s="32">
        <f>SUM(AJ92:AM92)</f>
        <v>6.1549999999999994</v>
      </c>
      <c r="BV92" s="32">
        <f>SUM(AN92:AQ92)</f>
        <v>-36.065999999999995</v>
      </c>
      <c r="BW92" s="32">
        <f>SUM(AR92:AU92)</f>
        <v>0.19400000000000001</v>
      </c>
      <c r="BX92" s="32">
        <f>SUM(AV92:AY92)</f>
        <v>-5.6609999999999996</v>
      </c>
      <c r="BY92" s="32">
        <f>SUM(AZ92:BC92)</f>
        <v>-0.30000000000000004</v>
      </c>
      <c r="BZ92" s="32">
        <f>SUM(BD92:BG92)</f>
        <v>0</v>
      </c>
      <c r="CA92" s="33">
        <f>SUM(BH92:BK92)</f>
        <v>0</v>
      </c>
      <c r="CB92" s="1248"/>
      <c r="CC92" s="374"/>
      <c r="CD92" s="374"/>
      <c r="CE92" s="260"/>
      <c r="CF92" s="34">
        <f>SUM(F92:I92)</f>
        <v>0</v>
      </c>
      <c r="CG92" s="32">
        <f>SUM(J92:M92)</f>
        <v>0</v>
      </c>
      <c r="CH92" s="32">
        <f>SUM(N92:Q92)</f>
        <v>0</v>
      </c>
      <c r="CI92" s="32">
        <f>SUM(R92:U92)</f>
        <v>0</v>
      </c>
      <c r="CJ92" s="32">
        <f>SUM(V92:Y92)</f>
        <v>0</v>
      </c>
      <c r="CK92" s="32">
        <f>SUM(Z92:AC92)</f>
        <v>-1.776</v>
      </c>
      <c r="CL92" s="32">
        <f>SUM(AD92:AG92)</f>
        <v>0.55000000000000004</v>
      </c>
      <c r="CM92" s="32">
        <f>SUM(AH92:AK92)</f>
        <v>0.7</v>
      </c>
      <c r="CN92" s="32">
        <f>SUM(AL92:AO92)</f>
        <v>5.9379999999999997</v>
      </c>
      <c r="CO92" s="32">
        <f>SUM(AP92:AS92)</f>
        <v>-35.363</v>
      </c>
      <c r="CP92" s="32">
        <f>SUM(AT92:AW92)</f>
        <v>-5.8149999999999995</v>
      </c>
      <c r="CQ92" s="32">
        <f>SUM(AX92:BA92)</f>
        <v>-0.34100000000000003</v>
      </c>
      <c r="CR92" s="32">
        <f>SUM(BB92:BE92)</f>
        <v>-9.7000000000000003E-2</v>
      </c>
      <c r="CS92" s="33">
        <f>SUM(BF92:BI92)</f>
        <v>0</v>
      </c>
      <c r="CT92" s="32"/>
    </row>
    <row r="93" spans="1:104" s="735" customFormat="1" ht="14.25" customHeight="1" collapsed="1">
      <c r="A93" s="731"/>
      <c r="B93" s="714" t="s">
        <v>332</v>
      </c>
      <c r="C93" s="715"/>
      <c r="D93" s="719">
        <f>D91</f>
        <v>11.035</v>
      </c>
      <c r="E93" s="719">
        <f t="shared" ref="E93:AH93" si="393">E91</f>
        <v>11.486000000000001</v>
      </c>
      <c r="F93" s="719">
        <f t="shared" si="393"/>
        <v>11.016999999999999</v>
      </c>
      <c r="G93" s="718">
        <f t="shared" si="393"/>
        <v>12.816999999999993</v>
      </c>
      <c r="H93" s="719">
        <f t="shared" si="393"/>
        <v>13.388999999999999</v>
      </c>
      <c r="I93" s="719">
        <f t="shared" si="393"/>
        <v>14.766999999999999</v>
      </c>
      <c r="J93" s="719">
        <f t="shared" si="393"/>
        <v>15.061999999999999</v>
      </c>
      <c r="K93" s="718">
        <f t="shared" si="393"/>
        <v>18.049000000000007</v>
      </c>
      <c r="L93" s="719">
        <f t="shared" si="393"/>
        <v>17.353999999999999</v>
      </c>
      <c r="M93" s="719">
        <f t="shared" si="393"/>
        <v>21.925999999999998</v>
      </c>
      <c r="N93" s="719">
        <f t="shared" si="393"/>
        <v>11.615</v>
      </c>
      <c r="O93" s="718">
        <f t="shared" si="393"/>
        <v>5.8319999999999972</v>
      </c>
      <c r="P93" s="719">
        <f t="shared" si="393"/>
        <v>9.1010000000000009</v>
      </c>
      <c r="Q93" s="719">
        <f t="shared" si="393"/>
        <v>7.3849999999999998</v>
      </c>
      <c r="R93" s="719">
        <f t="shared" si="393"/>
        <v>-0.22800000000000001</v>
      </c>
      <c r="S93" s="718">
        <f t="shared" si="393"/>
        <v>0.98300000000000054</v>
      </c>
      <c r="T93" s="719">
        <f t="shared" si="393"/>
        <v>1.901</v>
      </c>
      <c r="U93" s="719">
        <f t="shared" si="393"/>
        <v>3.63</v>
      </c>
      <c r="V93" s="719">
        <f t="shared" si="393"/>
        <v>0.64400000000000002</v>
      </c>
      <c r="W93" s="718">
        <f t="shared" si="393"/>
        <v>1.8379999999999999</v>
      </c>
      <c r="X93" s="719">
        <f t="shared" si="393"/>
        <v>-3.6760000000000002</v>
      </c>
      <c r="Y93" s="719">
        <f t="shared" si="393"/>
        <v>-4.0999999999999996</v>
      </c>
      <c r="Z93" s="719">
        <f t="shared" si="393"/>
        <v>-1.57</v>
      </c>
      <c r="AA93" s="718">
        <f t="shared" si="393"/>
        <v>-2.0220000000000002</v>
      </c>
      <c r="AB93" s="719">
        <f t="shared" si="393"/>
        <v>-4.0999999999999996</v>
      </c>
      <c r="AC93" s="719">
        <f>AC91</f>
        <v>0.59800000000000009</v>
      </c>
      <c r="AD93" s="719">
        <f>AD91</f>
        <v>-0.23</v>
      </c>
      <c r="AE93" s="718">
        <f>AE91</f>
        <v>0.44200000000000006</v>
      </c>
      <c r="AF93" s="719">
        <f>AF91</f>
        <v>-5.742</v>
      </c>
      <c r="AG93" s="719">
        <f t="shared" si="393"/>
        <v>-2.798</v>
      </c>
      <c r="AH93" s="719">
        <f t="shared" si="393"/>
        <v>-2.669</v>
      </c>
      <c r="AI93" s="718">
        <f t="shared" ref="AI93:AN93" si="394">AI91</f>
        <v>-6.13</v>
      </c>
      <c r="AJ93" s="733">
        <f t="shared" si="394"/>
        <v>-3.4630000000000001</v>
      </c>
      <c r="AK93" s="719">
        <f t="shared" si="394"/>
        <v>-5.8330000000000002</v>
      </c>
      <c r="AL93" s="719">
        <f t="shared" si="394"/>
        <v>8.8970000000000002</v>
      </c>
      <c r="AM93" s="718">
        <f t="shared" si="394"/>
        <v>-6.5109999999999992</v>
      </c>
      <c r="AN93" s="733">
        <f t="shared" si="394"/>
        <v>-6.4770000000000003</v>
      </c>
      <c r="AO93" s="719">
        <f t="shared" ref="AO93:AT93" si="395">AO91</f>
        <v>-7.8159999999999998</v>
      </c>
      <c r="AP93" s="719">
        <f t="shared" si="395"/>
        <v>-5.5339999999999998</v>
      </c>
      <c r="AQ93" s="718">
        <f t="shared" si="395"/>
        <v>-7.3489999999999966</v>
      </c>
      <c r="AR93" s="733">
        <f t="shared" si="395"/>
        <v>-6.5110000000000001</v>
      </c>
      <c r="AS93" s="719">
        <f t="shared" si="395"/>
        <v>-8.9979999999999993</v>
      </c>
      <c r="AT93" s="719">
        <f t="shared" si="395"/>
        <v>-6.4180000000000001</v>
      </c>
      <c r="AU93" s="719">
        <f t="shared" ref="AU93:BG93" si="396">AU91</f>
        <v>-6.6739999999999995</v>
      </c>
      <c r="AV93" s="733">
        <f t="shared" si="396"/>
        <v>-7.3410000000000002</v>
      </c>
      <c r="AW93" s="719">
        <f t="shared" si="396"/>
        <v>-5.6879999999999997</v>
      </c>
      <c r="AX93" s="719">
        <f t="shared" si="396"/>
        <v>-3.9319999999999999</v>
      </c>
      <c r="AY93" s="719">
        <f>AY91</f>
        <v>-3.8879999999999999</v>
      </c>
      <c r="AZ93" s="733">
        <f>AZ91</f>
        <v>-4.298</v>
      </c>
      <c r="BA93" s="719">
        <f>BA91</f>
        <v>-3.24</v>
      </c>
      <c r="BB93" s="719">
        <f t="shared" ref="BB93" si="397">BB91</f>
        <v>-2.6309999999999998</v>
      </c>
      <c r="BC93" s="718">
        <f t="shared" si="396"/>
        <v>-6.6065529999999999</v>
      </c>
      <c r="BD93" s="733">
        <f t="shared" si="396"/>
        <v>-6.6254979475577436</v>
      </c>
      <c r="BE93" s="719">
        <f t="shared" si="396"/>
        <v>-6.6233751043005347</v>
      </c>
      <c r="BF93" s="719">
        <f t="shared" si="396"/>
        <v>-6.6317746039980996</v>
      </c>
      <c r="BG93" s="718">
        <f t="shared" si="396"/>
        <v>-6.643931022739717</v>
      </c>
      <c r="BH93" s="733">
        <f>BH91</f>
        <v>-6.6428249701565338</v>
      </c>
      <c r="BI93" s="719">
        <f>BI91</f>
        <v>-6.6385191981718874</v>
      </c>
      <c r="BJ93" s="719">
        <f>BJ91</f>
        <v>-6.6380357813713742</v>
      </c>
      <c r="BK93" s="718">
        <f>BK91</f>
        <v>-6.6410202185314073</v>
      </c>
      <c r="BL93" s="720"/>
      <c r="BM93" s="719">
        <f t="shared" ref="BM93:BV93" si="398">BM91</f>
        <v>46.35499999999999</v>
      </c>
      <c r="BN93" s="719">
        <f t="shared" si="398"/>
        <v>61.267000000000003</v>
      </c>
      <c r="BO93" s="719">
        <f t="shared" si="398"/>
        <v>56.727000000000004</v>
      </c>
      <c r="BP93" s="719">
        <f t="shared" si="398"/>
        <v>17.241</v>
      </c>
      <c r="BQ93" s="719">
        <f t="shared" si="398"/>
        <v>8.0129999999999999</v>
      </c>
      <c r="BR93" s="719">
        <f t="shared" si="398"/>
        <v>-11.368</v>
      </c>
      <c r="BS93" s="719">
        <f t="shared" si="398"/>
        <v>-3.2899999999999996</v>
      </c>
      <c r="BT93" s="719">
        <f t="shared" si="398"/>
        <v>-17.339000000000002</v>
      </c>
      <c r="BU93" s="719">
        <f t="shared" si="398"/>
        <v>-6.9099999999999984</v>
      </c>
      <c r="BV93" s="719">
        <f t="shared" si="398"/>
        <v>-27.175999999999995</v>
      </c>
      <c r="BW93" s="719">
        <f>BW91</f>
        <v>-28.601000000000003</v>
      </c>
      <c r="BX93" s="719">
        <f>BX91</f>
        <v>-20.849</v>
      </c>
      <c r="BY93" s="719">
        <f>BY91</f>
        <v>-16.775552999999999</v>
      </c>
      <c r="BZ93" s="719">
        <f>BZ91</f>
        <v>-26.524578678596097</v>
      </c>
      <c r="CA93" s="718">
        <f>CA91</f>
        <v>-26.560400168231205</v>
      </c>
      <c r="CB93" s="733"/>
      <c r="CC93" s="719"/>
      <c r="CD93" s="719"/>
      <c r="CE93" s="881"/>
      <c r="CF93" s="733">
        <f t="shared" ref="CF93:CN93" si="399">CF91</f>
        <v>51.989999999999995</v>
      </c>
      <c r="CG93" s="719">
        <f t="shared" si="399"/>
        <v>72.391000000000005</v>
      </c>
      <c r="CH93" s="719">
        <f t="shared" si="399"/>
        <v>33.932999999999993</v>
      </c>
      <c r="CI93" s="719">
        <f t="shared" si="399"/>
        <v>6.2860000000000005</v>
      </c>
      <c r="CJ93" s="719">
        <f t="shared" si="399"/>
        <v>-5.2940000000000005</v>
      </c>
      <c r="CK93" s="719">
        <f t="shared" si="399"/>
        <v>-7.0939999999999994</v>
      </c>
      <c r="CL93" s="719">
        <f t="shared" si="399"/>
        <v>-8.3279999999999994</v>
      </c>
      <c r="CM93" s="719">
        <f t="shared" si="399"/>
        <v>-18.095000000000002</v>
      </c>
      <c r="CN93" s="719">
        <f t="shared" si="399"/>
        <v>-11.907</v>
      </c>
      <c r="CO93" s="719">
        <f>CO91</f>
        <v>-28.391999999999999</v>
      </c>
      <c r="CP93" s="719">
        <f>CP91</f>
        <v>-26.121000000000002</v>
      </c>
      <c r="CQ93" s="719">
        <f>CQ91</f>
        <v>-15.358000000000001</v>
      </c>
      <c r="CR93" s="719">
        <f>CR91</f>
        <v>-22.486426051858281</v>
      </c>
      <c r="CS93" s="718">
        <f>CS91</f>
        <v>-26.557049795066238</v>
      </c>
      <c r="CT93" s="719"/>
      <c r="CU93"/>
      <c r="CV93"/>
      <c r="CW93"/>
      <c r="CX93"/>
      <c r="CY93"/>
      <c r="CZ93"/>
    </row>
    <row r="94" spans="1:104" ht="14.25" hidden="1" customHeight="1" outlineLevel="1">
      <c r="A94" s="8"/>
      <c r="B94" s="35" t="s">
        <v>328</v>
      </c>
      <c r="C94" s="36"/>
      <c r="D94" s="1341"/>
      <c r="E94" s="1340">
        <f>E91/BS!D11</f>
        <v>5.6637080867850097E-2</v>
      </c>
      <c r="F94" s="1340">
        <f>F91/BS!E11</f>
        <v>7.4205542009618361E-2</v>
      </c>
      <c r="G94" s="1342">
        <f>G91/BS!F11</f>
        <v>5.2677654021618482E-2</v>
      </c>
      <c r="H94" s="1341">
        <f>H91/BS!G11</f>
        <v>3.1702471746228686E-2</v>
      </c>
      <c r="I94" s="1340">
        <f>I91/BS!H11</f>
        <v>3.1633313197006116E-2</v>
      </c>
      <c r="J94" s="1340">
        <f>J91/BS!I11</f>
        <v>4.0629703760850684E-2</v>
      </c>
      <c r="K94" s="1342">
        <f>K91/BS!J11</f>
        <v>4.7117821965692169E-2</v>
      </c>
      <c r="L94" s="1341">
        <f>L91/BS!K11</f>
        <v>3.0072712401311458E-2</v>
      </c>
      <c r="M94" s="1340">
        <f>M91/BS!L11</f>
        <v>2.6946943059435423E-2</v>
      </c>
      <c r="N94" s="1340">
        <f>N91/BS!M11</f>
        <v>1.1529382803302674E-2</v>
      </c>
      <c r="O94" s="1342">
        <f>O91/BS!N11</f>
        <v>4.9047517726321221E-3</v>
      </c>
      <c r="P94" s="1341">
        <f>P91/BS!O11</f>
        <v>8.9831500544358574E-3</v>
      </c>
      <c r="Q94" s="1340">
        <f>Q91/BS!P11</f>
        <v>7.0253445130014063E-3</v>
      </c>
      <c r="R94" s="1340">
        <f>R91/BS!Q11</f>
        <v>-3.1746031746031746E-4</v>
      </c>
      <c r="S94" s="1342">
        <f>S91/BS!R11</f>
        <v>1.4188287085483355E-3</v>
      </c>
      <c r="T94" s="1341">
        <f>T91/BS!S11</f>
        <v>2.6799257910080808E-3</v>
      </c>
      <c r="U94" s="1340">
        <f>U91/BS!T11</f>
        <v>4.3419546451139851E-3</v>
      </c>
      <c r="V94" s="1340">
        <f>V91/BS!U11</f>
        <v>8.731942911533486E-4</v>
      </c>
      <c r="W94" s="1342">
        <f>W91/BS!V11</f>
        <v>2.423408171553038E-3</v>
      </c>
      <c r="X94" s="1341">
        <f>X91/BS!W11</f>
        <v>-4.4476063263449292E-3</v>
      </c>
      <c r="Y94" s="1340">
        <f>Y91/BS!X11</f>
        <v>-5.7080804143231053E-3</v>
      </c>
      <c r="Z94" s="1340">
        <f>Z91/BS!Y11</f>
        <v>-1.9665708015592274E-3</v>
      </c>
      <c r="AA94" s="1342">
        <f>AA91/BS!Z11</f>
        <v>-2.327018619601507E-3</v>
      </c>
      <c r="AB94" s="1341">
        <f>AB91/BS!AA11</f>
        <v>-4.2595588135985888E-3</v>
      </c>
      <c r="AC94" s="1340">
        <f>AC91/BS!AB11</f>
        <v>8.4220488676006039E-4</v>
      </c>
      <c r="AD94" s="1340">
        <f>AD91/BS!AC11</f>
        <v>-3.1032435641426958E-4</v>
      </c>
      <c r="AE94" s="1342">
        <f>AE91/BS!AD11</f>
        <v>5.1362441040682079E-4</v>
      </c>
      <c r="AF94" s="1341">
        <f>AF91/BS!AE11</f>
        <v>-6.5171497968356303E-3</v>
      </c>
      <c r="AG94" s="1340">
        <f>AG91/BS!AF11</f>
        <v>-3.2923457080661291E-3</v>
      </c>
      <c r="AH94" s="1340">
        <f>AH91/BS!AG11</f>
        <v>-2.7944513023148193E-3</v>
      </c>
      <c r="AI94" s="1342">
        <f>AI91/BS!AH11</f>
        <v>-3.9599994831974574E-3</v>
      </c>
      <c r="AJ94" s="1341">
        <f>AJ91/BS!AI11</f>
        <v>-2.947269158951681E-3</v>
      </c>
      <c r="AK94" s="1340">
        <f>AK91/BS!AJ11</f>
        <v>-5.7778389713406108E-3</v>
      </c>
      <c r="AL94" s="1340">
        <f>AL91/BS!AK11</f>
        <v>7.7371339819063941E-3</v>
      </c>
      <c r="AM94" s="1342">
        <f>AM91/BS!AL11</f>
        <v>-5.2881304172676825E-3</v>
      </c>
      <c r="AN94" s="1341">
        <f>AN91/BS!AM11</f>
        <v>-4.897646226158286E-3</v>
      </c>
      <c r="AO94" s="1340">
        <f>AO91/BS!AN11</f>
        <v>-6.2835491762488916E-3</v>
      </c>
      <c r="AP94" s="1340">
        <f>AP91/BS!AO11</f>
        <v>-4.2377878349299705E-3</v>
      </c>
      <c r="AQ94" s="1342">
        <f>AQ91/BS!AP11</f>
        <v>-5.2787069646034268E-3</v>
      </c>
      <c r="AR94" s="1341">
        <f>AR91/BS!AQ11</f>
        <v>-4.198031548100699E-3</v>
      </c>
      <c r="AS94" s="1340">
        <f>AS91/BS!AR11</f>
        <v>-5.9654708100987369E-3</v>
      </c>
      <c r="AT94" s="1340">
        <f>AT91/BS!AS11</f>
        <v>-3.8931937655518473E-3</v>
      </c>
      <c r="AU94" s="1340">
        <f>AU91/BS!AT11</f>
        <v>-3.9021481109019259E-3</v>
      </c>
      <c r="AV94" s="1341">
        <f>AV91/BS!AU11</f>
        <v>-3.4870315770873387E-3</v>
      </c>
      <c r="AW94" s="1340">
        <f>AW91/BS!AV11</f>
        <v>-2.7188343810182532E-3</v>
      </c>
      <c r="AX94" s="1340">
        <f>AX91/BS!AW11</f>
        <v>-2.3301638285326545E-3</v>
      </c>
      <c r="AY94" s="1384">
        <f>AY91/BS!AX11</f>
        <v>-2.3467958209167834E-3</v>
      </c>
      <c r="AZ94" s="1461">
        <f>AZ91/BS!AY11</f>
        <v>-1.9135211326549192E-3</v>
      </c>
      <c r="BA94" s="1384">
        <f>BA91/BS!AZ11</f>
        <v>-2.0543254964619949E-3</v>
      </c>
      <c r="BB94" s="1384">
        <f>BB91/BS!BA11</f>
        <v>-1.6126165331502716E-3</v>
      </c>
      <c r="BC94" s="1342">
        <f>BC91/BS!BB11</f>
        <v>-4.0541122844783943E-3</v>
      </c>
      <c r="BD94" s="1341">
        <f>BD91/BS!BC11</f>
        <v>-4.1625212184520166E-3</v>
      </c>
      <c r="BE94" s="1340">
        <f>BE91/BS!BD11</f>
        <v>-4.1501175601598153E-3</v>
      </c>
      <c r="BF94" s="1340">
        <f>BF91/BS!BE11</f>
        <v>-4.1995855222720594E-3</v>
      </c>
      <c r="BG94" s="1342">
        <f>BG91/BS!BF11</f>
        <v>-4.2730724938219488E-3</v>
      </c>
      <c r="BH94" s="1341">
        <f>BH91/BS!BG11</f>
        <v>-4.2662913726637299E-3</v>
      </c>
      <c r="BI94" s="1340">
        <f>BI91/BS!BH11</f>
        <v>-4.2400755199876773E-3</v>
      </c>
      <c r="BJ94" s="1340">
        <f>BJ91/BS!BI11</f>
        <v>-4.2371502142160931E-3</v>
      </c>
      <c r="BK94" s="1342">
        <f>BK91/BS!BJ11</f>
        <v>-4.2552678569442465E-3</v>
      </c>
      <c r="BL94" s="20"/>
      <c r="BM94" s="37"/>
      <c r="BN94" s="1340">
        <f>BN91/BS!BM11</f>
        <v>0.14506799137173745</v>
      </c>
      <c r="BO94" s="1340">
        <f>BO91/BS!BN11</f>
        <v>9.8302106510844492E-2</v>
      </c>
      <c r="BP94" s="1340">
        <f>BP91/BS!BO11</f>
        <v>1.7017744213660979E-2</v>
      </c>
      <c r="BQ94" s="1340">
        <f>BQ91/BS!BP11</f>
        <v>1.1296288986505918E-2</v>
      </c>
      <c r="BR94" s="1340">
        <f>BR91/BS!BQ11</f>
        <v>-1.375418626710804E-2</v>
      </c>
      <c r="BS94" s="1340">
        <f>BS91/BS!BR11</f>
        <v>-3.4180362187169163E-3</v>
      </c>
      <c r="BT94" s="1340">
        <f>BT91/BS!BS11</f>
        <v>-1.9679703992917626E-2</v>
      </c>
      <c r="BU94" s="1340">
        <f>BU91/BS!BT11</f>
        <v>-5.8809211343794719E-3</v>
      </c>
      <c r="BV94" s="1340">
        <f>BV91/BS!BU11</f>
        <v>-2.0549395374722487E-2</v>
      </c>
      <c r="BW94" s="1340">
        <f>BW91/BS!BV11</f>
        <v>-1.8440777193553692E-2</v>
      </c>
      <c r="BX94" s="1340">
        <f>BX91/BS!BW11</f>
        <v>-9.9034356832439618E-3</v>
      </c>
      <c r="BY94" s="1340">
        <f>BY91/BS!BX11</f>
        <v>-7.4686773330555198E-3</v>
      </c>
      <c r="BZ94" s="1340">
        <f>BZ91/BS!BY11</f>
        <v>-1.6664275264148959E-2</v>
      </c>
      <c r="CA94" s="1342">
        <f>CA91/BS!BZ11</f>
        <v>-1.705816525368286E-2</v>
      </c>
      <c r="CB94" s="1461"/>
      <c r="CC94" s="1384"/>
      <c r="CD94" s="1384"/>
      <c r="CE94" s="260"/>
      <c r="CF94" s="1340"/>
      <c r="CG94" s="1340">
        <f>CG91/BS!CF11</f>
        <v>0.19527452429635786</v>
      </c>
      <c r="CH94" s="1340">
        <f>CH91/BS!CG11</f>
        <v>3.3682870999954331E-2</v>
      </c>
      <c r="CI94" s="1340">
        <f>CI91/BS!CH11</f>
        <v>8.752436647173489E-3</v>
      </c>
      <c r="CJ94" s="1340">
        <f>CJ91/BS!CI11</f>
        <v>-7.1780909586425896E-3</v>
      </c>
      <c r="CK94" s="1340">
        <f>CK91/BS!CJ11</f>
        <v>-8.8858938001663435E-3</v>
      </c>
      <c r="CL94" s="1340">
        <f>CL91/BS!CK11</f>
        <v>-1.1236440174861029E-2</v>
      </c>
      <c r="CM94" s="1340">
        <f>CM91/BS!CL11</f>
        <v>-1.8945521287143746E-2</v>
      </c>
      <c r="CN94" s="1340">
        <f>CN91/BS!CM11</f>
        <v>-1.035473241795655E-2</v>
      </c>
      <c r="CO94" s="1340">
        <f>CO91/BS!CN11</f>
        <v>-2.1741827287555426E-2</v>
      </c>
      <c r="CP94" s="1340">
        <f>CP91/BS!CO11</f>
        <v>-1.5845140908379528E-2</v>
      </c>
      <c r="CQ94" s="1340">
        <f>CQ91/BS!CP11</f>
        <v>-9.1013876090041985E-3</v>
      </c>
      <c r="CR94" s="1340">
        <f>CR91/BS!CQ11</f>
        <v>-1.3782585489428983E-2</v>
      </c>
      <c r="CS94" s="1342">
        <f>CS91/BS!CR11</f>
        <v>-1.6817308864264035E-2</v>
      </c>
      <c r="CT94" s="1384"/>
    </row>
    <row r="95" spans="1:104" ht="14.25" hidden="1" customHeight="1" outlineLevel="1">
      <c r="A95" s="8"/>
      <c r="B95" s="28"/>
      <c r="C95" s="29"/>
      <c r="D95" s="42"/>
      <c r="E95" s="42"/>
      <c r="F95" s="46"/>
      <c r="G95" s="43"/>
      <c r="H95" s="42"/>
      <c r="I95" s="42"/>
      <c r="J95" s="46"/>
      <c r="K95" s="43"/>
      <c r="L95" s="42"/>
      <c r="M95" s="42"/>
      <c r="N95" s="46"/>
      <c r="O95" s="43"/>
      <c r="P95" s="42"/>
      <c r="Q95" s="42"/>
      <c r="R95" s="46"/>
      <c r="S95" s="43"/>
      <c r="T95" s="42"/>
      <c r="U95" s="42"/>
      <c r="V95" s="46"/>
      <c r="W95" s="43"/>
      <c r="X95" s="42"/>
      <c r="Y95" s="42"/>
      <c r="Z95" s="46"/>
      <c r="AA95" s="43"/>
      <c r="AB95" s="42"/>
      <c r="AC95" s="42"/>
      <c r="AD95" s="46"/>
      <c r="AE95" s="60"/>
      <c r="AF95" s="59"/>
      <c r="AG95" s="59"/>
      <c r="AH95" s="59"/>
      <c r="AI95" s="60"/>
      <c r="AJ95" s="1254"/>
      <c r="AK95" s="59"/>
      <c r="AL95" s="59"/>
      <c r="AM95" s="60"/>
      <c r="AN95" s="1254"/>
      <c r="AO95" s="59"/>
      <c r="AP95" s="59"/>
      <c r="AQ95" s="60"/>
      <c r="AR95" s="1254"/>
      <c r="AS95" s="59"/>
      <c r="AT95" s="59"/>
      <c r="AU95" s="59"/>
      <c r="AV95" s="1254"/>
      <c r="AW95" s="59"/>
      <c r="AX95" s="59"/>
      <c r="AY95" s="59"/>
      <c r="AZ95" s="1254"/>
      <c r="BA95" s="59"/>
      <c r="BB95" s="59"/>
      <c r="BC95" s="60"/>
      <c r="BD95" s="1254"/>
      <c r="BE95" s="59"/>
      <c r="BF95" s="59"/>
      <c r="BG95" s="60"/>
      <c r="BH95" s="1254"/>
      <c r="BI95" s="59"/>
      <c r="BJ95" s="59"/>
      <c r="BK95" s="60"/>
      <c r="BL95" s="20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3"/>
      <c r="CB95" s="54"/>
      <c r="CC95" s="44"/>
      <c r="CD95" s="44"/>
      <c r="CE95" s="260"/>
      <c r="CF95" s="398"/>
      <c r="CG95" s="397"/>
      <c r="CH95" s="397"/>
      <c r="CI95" s="397"/>
      <c r="CJ95" s="397"/>
      <c r="CK95" s="397"/>
      <c r="CL95" s="397"/>
      <c r="CM95" s="397"/>
      <c r="CN95" s="397"/>
      <c r="CO95" s="397"/>
      <c r="CP95" s="397"/>
      <c r="CQ95" s="397"/>
      <c r="CR95" s="397"/>
      <c r="CS95" s="1213"/>
      <c r="CT95" s="397"/>
    </row>
    <row r="96" spans="1:104" ht="14.25" hidden="1" customHeight="1" outlineLevel="1">
      <c r="A96" s="8"/>
      <c r="B96" s="47" t="s">
        <v>333</v>
      </c>
      <c r="C96" s="48"/>
      <c r="D96" s="50">
        <f>D78+D85</f>
        <v>126.18500000000003</v>
      </c>
      <c r="E96" s="50">
        <f>E78+E85</f>
        <v>144.42899999999997</v>
      </c>
      <c r="F96" s="50">
        <f>F78+F85</f>
        <v>158.04600000000002</v>
      </c>
      <c r="G96" s="51">
        <f>G78+G85</f>
        <v>143.19399999999979</v>
      </c>
      <c r="H96" s="50">
        <f t="shared" ref="H96:V96" si="400">H78+H85</f>
        <v>29.518999999999995</v>
      </c>
      <c r="I96" s="50">
        <f t="shared" si="400"/>
        <v>141.613</v>
      </c>
      <c r="J96" s="50">
        <f t="shared" si="400"/>
        <v>101.33099999999997</v>
      </c>
      <c r="K96" s="51">
        <f t="shared" si="400"/>
        <v>141.21699999999984</v>
      </c>
      <c r="L96" s="50">
        <f t="shared" si="400"/>
        <v>126.89300000000004</v>
      </c>
      <c r="M96" s="50">
        <f t="shared" si="400"/>
        <v>162.50299999999996</v>
      </c>
      <c r="N96" s="50">
        <f t="shared" si="400"/>
        <v>92.673000000000016</v>
      </c>
      <c r="O96" s="51">
        <f t="shared" si="400"/>
        <v>100.71099999999996</v>
      </c>
      <c r="P96" s="50">
        <f t="shared" si="400"/>
        <v>102.68600000000004</v>
      </c>
      <c r="Q96" s="50">
        <f t="shared" si="400"/>
        <v>-73.454999999999941</v>
      </c>
      <c r="R96" s="50">
        <f t="shared" si="400"/>
        <v>-17.182000000000009</v>
      </c>
      <c r="S96" s="51">
        <f t="shared" si="400"/>
        <v>22.570000000000217</v>
      </c>
      <c r="T96" s="50">
        <f t="shared" si="400"/>
        <v>91.999999999999986</v>
      </c>
      <c r="U96" s="50">
        <f t="shared" si="400"/>
        <v>112.75899999999999</v>
      </c>
      <c r="V96" s="50">
        <f t="shared" si="400"/>
        <v>-47.617000000000026</v>
      </c>
      <c r="W96" s="51">
        <f>W78+W85</f>
        <v>142.92099999999996</v>
      </c>
      <c r="X96" s="50">
        <f>X78+X85</f>
        <v>175.44700000000003</v>
      </c>
      <c r="Y96" s="50">
        <f>Y78+Y85</f>
        <v>147.89900000000006</v>
      </c>
      <c r="Z96" s="50">
        <f>Z78+Z85</f>
        <v>162.42499999999998</v>
      </c>
      <c r="AA96" s="51">
        <f>AA78+AA85</f>
        <v>175.89999999999972</v>
      </c>
      <c r="AB96" s="50">
        <f t="shared" ref="AB96:AG96" si="401">AB78+AB85</f>
        <v>168.27999999999997</v>
      </c>
      <c r="AC96" s="50">
        <f t="shared" si="401"/>
        <v>116.88400000000004</v>
      </c>
      <c r="AD96" s="50">
        <f t="shared" si="401"/>
        <v>111.65599999999996</v>
      </c>
      <c r="AE96" s="51">
        <f t="shared" si="401"/>
        <v>135.91300000000001</v>
      </c>
      <c r="AF96" s="50">
        <f t="shared" si="401"/>
        <v>159.66100000000003</v>
      </c>
      <c r="AG96" s="50">
        <f t="shared" si="401"/>
        <v>114.75</v>
      </c>
      <c r="AH96" s="50">
        <f t="shared" ref="AH96:AP96" si="402">AH78+AH85</f>
        <v>151.60899999999998</v>
      </c>
      <c r="AI96" s="51">
        <f t="shared" si="402"/>
        <v>144.26</v>
      </c>
      <c r="AJ96" s="49">
        <f t="shared" si="402"/>
        <v>125.14600000000004</v>
      </c>
      <c r="AK96" s="50">
        <f t="shared" si="402"/>
        <v>64.561000000000007</v>
      </c>
      <c r="AL96" s="50">
        <f t="shared" si="402"/>
        <v>111.91200000000001</v>
      </c>
      <c r="AM96" s="51">
        <f t="shared" si="402"/>
        <v>107.60699999999999</v>
      </c>
      <c r="AN96" s="49">
        <f t="shared" si="402"/>
        <v>94.481000000000023</v>
      </c>
      <c r="AO96" s="50">
        <f t="shared" si="402"/>
        <v>-71.675000000000026</v>
      </c>
      <c r="AP96" s="50">
        <f t="shared" si="402"/>
        <v>99.916000000000011</v>
      </c>
      <c r="AQ96" s="51">
        <f t="shared" ref="AQ96:BC96" si="403">AQ78+AQ85</f>
        <v>123.44800000000006</v>
      </c>
      <c r="AR96" s="49">
        <f t="shared" si="403"/>
        <v>-82.166999999999987</v>
      </c>
      <c r="AS96" s="50">
        <f t="shared" si="403"/>
        <v>79.939999999999984</v>
      </c>
      <c r="AT96" s="50">
        <f t="shared" si="403"/>
        <v>171.33499999999995</v>
      </c>
      <c r="AU96" s="50">
        <f t="shared" ref="AU96:AZ96" si="404">AU78+AU85</f>
        <v>115.946</v>
      </c>
      <c r="AV96" s="49">
        <f t="shared" si="404"/>
        <v>165.20299999999995</v>
      </c>
      <c r="AW96" s="50">
        <f t="shared" si="404"/>
        <v>148.43800000000005</v>
      </c>
      <c r="AX96" s="50">
        <f t="shared" si="404"/>
        <v>170.36800000000002</v>
      </c>
      <c r="AY96" s="50">
        <f t="shared" si="404"/>
        <v>195.58</v>
      </c>
      <c r="AZ96" s="49">
        <f t="shared" si="404"/>
        <v>180.95200000000003</v>
      </c>
      <c r="BA96" s="50">
        <f>BA78+BA85</f>
        <v>197.92699999999994</v>
      </c>
      <c r="BB96" s="50">
        <f t="shared" ref="BB96" si="405">BB78+BB85</f>
        <v>222.30400000000003</v>
      </c>
      <c r="BC96" s="51">
        <f t="shared" si="403"/>
        <v>211.61695820950001</v>
      </c>
      <c r="BD96" s="49">
        <f t="shared" ref="BD96:BK96" si="406">BD78+BD85</f>
        <v>211.60158747026409</v>
      </c>
      <c r="BE96" s="50">
        <f t="shared" si="406"/>
        <v>212.8640197887685</v>
      </c>
      <c r="BF96" s="50">
        <f t="shared" si="406"/>
        <v>232.87433650000068</v>
      </c>
      <c r="BG96" s="51">
        <f t="shared" si="406"/>
        <v>239.01898968792497</v>
      </c>
      <c r="BH96" s="49">
        <f t="shared" si="406"/>
        <v>232.46680727284482</v>
      </c>
      <c r="BI96" s="50">
        <f t="shared" si="406"/>
        <v>232.1895364460531</v>
      </c>
      <c r="BJ96" s="50">
        <f t="shared" si="406"/>
        <v>247.97150134358156</v>
      </c>
      <c r="BK96" s="51">
        <f t="shared" si="406"/>
        <v>259.55684845989498</v>
      </c>
      <c r="BL96" s="20"/>
      <c r="BM96" s="50">
        <f t="shared" ref="BM96:BS96" si="407">BM78+BM85</f>
        <v>571.85399999999993</v>
      </c>
      <c r="BN96" s="50">
        <f t="shared" si="407"/>
        <v>413.67999999999967</v>
      </c>
      <c r="BO96" s="50">
        <f t="shared" si="407"/>
        <v>482.77999999999975</v>
      </c>
      <c r="BP96" s="50">
        <f t="shared" si="407"/>
        <v>34.619000000000383</v>
      </c>
      <c r="BQ96" s="50">
        <f t="shared" si="407"/>
        <v>300.06300000000005</v>
      </c>
      <c r="BR96" s="50">
        <f t="shared" si="407"/>
        <v>661.67099999999937</v>
      </c>
      <c r="BS96" s="50">
        <f t="shared" si="407"/>
        <v>532.73299999999983</v>
      </c>
      <c r="BT96" s="50">
        <f t="shared" ref="BT96:CA96" si="408">BT78+BT85</f>
        <v>570.27999999999986</v>
      </c>
      <c r="BU96" s="50">
        <f t="shared" si="408"/>
        <v>409.22600000000006</v>
      </c>
      <c r="BV96" s="50">
        <f t="shared" si="408"/>
        <v>246.1699999999995</v>
      </c>
      <c r="BW96" s="50">
        <f t="shared" si="408"/>
        <v>285.05400000000014</v>
      </c>
      <c r="BX96" s="50">
        <f t="shared" si="408"/>
        <v>679.58900000000017</v>
      </c>
      <c r="BY96" s="50">
        <f t="shared" si="408"/>
        <v>812.79995820950046</v>
      </c>
      <c r="BZ96" s="50">
        <f t="shared" si="408"/>
        <v>896.35893344695808</v>
      </c>
      <c r="CA96" s="51">
        <f t="shared" si="408"/>
        <v>972.18469352237412</v>
      </c>
      <c r="CB96" s="49"/>
      <c r="CC96" s="50"/>
      <c r="CD96" s="50"/>
      <c r="CE96" s="260"/>
      <c r="CF96" s="49">
        <f t="shared" ref="CF96:CL96" si="409">CF78+CF85</f>
        <v>472.37199999999984</v>
      </c>
      <c r="CG96" s="50">
        <f t="shared" si="409"/>
        <v>531.94399999999996</v>
      </c>
      <c r="CH96" s="50">
        <f t="shared" si="409"/>
        <v>222.61499999999978</v>
      </c>
      <c r="CI96" s="50">
        <f t="shared" si="409"/>
        <v>210.14699999999988</v>
      </c>
      <c r="CJ96" s="50">
        <f t="shared" si="409"/>
        <v>418.65000000000043</v>
      </c>
      <c r="CK96" s="50">
        <f t="shared" si="409"/>
        <v>623.48899999999935</v>
      </c>
      <c r="CL96" s="50">
        <f t="shared" si="409"/>
        <v>521.9799999999999</v>
      </c>
      <c r="CM96" s="50">
        <f t="shared" ref="CM96:CR96" si="410">CM78+CM85</f>
        <v>485.57599999999996</v>
      </c>
      <c r="CN96" s="50">
        <f t="shared" si="410"/>
        <v>242.32500000000007</v>
      </c>
      <c r="CO96" s="50">
        <f t="shared" si="410"/>
        <v>221.13700000000017</v>
      </c>
      <c r="CP96" s="50">
        <f t="shared" si="410"/>
        <v>600.92199999999991</v>
      </c>
      <c r="CQ96" s="50">
        <f t="shared" si="410"/>
        <v>744.82699999999977</v>
      </c>
      <c r="CR96" s="50">
        <f t="shared" si="410"/>
        <v>858.38656546853247</v>
      </c>
      <c r="CS96" s="51">
        <f>CS78+CS85</f>
        <v>936.54966990682351</v>
      </c>
      <c r="CT96" s="50"/>
    </row>
    <row r="97" spans="1:104" ht="14.25" hidden="1" customHeight="1" outlineLevel="1">
      <c r="A97" s="8"/>
      <c r="B97" s="35" t="s">
        <v>334</v>
      </c>
      <c r="C97" s="36"/>
      <c r="D97" s="37">
        <f t="shared" ref="D97:AQ97" si="411">D96/D10</f>
        <v>0.2975394663931431</v>
      </c>
      <c r="E97" s="37">
        <f t="shared" si="411"/>
        <v>0.3241807326270425</v>
      </c>
      <c r="F97" s="37">
        <f t="shared" si="411"/>
        <v>0.33052261747913925</v>
      </c>
      <c r="G97" s="38">
        <f t="shared" si="411"/>
        <v>0.2812357608610257</v>
      </c>
      <c r="H97" s="37">
        <f t="shared" si="411"/>
        <v>5.8715651075594975E-2</v>
      </c>
      <c r="I97" s="37">
        <f t="shared" si="411"/>
        <v>0.28467614025847671</v>
      </c>
      <c r="J97" s="37">
        <f t="shared" si="411"/>
        <v>0.21263188376602116</v>
      </c>
      <c r="K97" s="38">
        <f t="shared" si="411"/>
        <v>0.26526100268610148</v>
      </c>
      <c r="L97" s="37">
        <f t="shared" si="411"/>
        <v>0.24212478605406423</v>
      </c>
      <c r="M97" s="37">
        <f t="shared" si="411"/>
        <v>0.30091755011342058</v>
      </c>
      <c r="N97" s="37">
        <f t="shared" si="411"/>
        <v>0.19013356311934512</v>
      </c>
      <c r="O97" s="38">
        <f t="shared" si="411"/>
        <v>0.20091288674498814</v>
      </c>
      <c r="P97" s="37">
        <f t="shared" si="411"/>
        <v>0.20487865220548926</v>
      </c>
      <c r="Q97" s="37">
        <f t="shared" si="411"/>
        <v>-0.17886406525841589</v>
      </c>
      <c r="R97" s="37">
        <f t="shared" si="411"/>
        <v>-5.0585135353951712E-2</v>
      </c>
      <c r="S97" s="38">
        <f t="shared" si="411"/>
        <v>5.721586631209951E-2</v>
      </c>
      <c r="T97" s="37">
        <f t="shared" si="411"/>
        <v>0.20478757740747827</v>
      </c>
      <c r="U97" s="37">
        <f t="shared" si="411"/>
        <v>0.23813184376418908</v>
      </c>
      <c r="V97" s="37">
        <f t="shared" si="411"/>
        <v>-9.3572158465650104E-2</v>
      </c>
      <c r="W97" s="38">
        <f t="shared" si="411"/>
        <v>0.25252755485350603</v>
      </c>
      <c r="X97" s="37">
        <f t="shared" si="411"/>
        <v>0.28020455521856974</v>
      </c>
      <c r="Y97" s="37">
        <f t="shared" si="411"/>
        <v>0.24129599175117802</v>
      </c>
      <c r="Z97" s="37">
        <f t="shared" si="411"/>
        <v>0.2676857154628981</v>
      </c>
      <c r="AA97" s="38">
        <f t="shared" si="411"/>
        <v>0.28077019462370539</v>
      </c>
      <c r="AB97" s="37">
        <f t="shared" si="411"/>
        <v>0.264590362923387</v>
      </c>
      <c r="AC97" s="37">
        <f t="shared" si="411"/>
        <v>0.19765320220035551</v>
      </c>
      <c r="AD97" s="37">
        <f t="shared" si="411"/>
        <v>0.19547208391980556</v>
      </c>
      <c r="AE97" s="38">
        <f t="shared" si="411"/>
        <v>0.22466592611694075</v>
      </c>
      <c r="AF97" s="37">
        <f t="shared" si="411"/>
        <v>0.25624684026802552</v>
      </c>
      <c r="AG97" s="37">
        <f t="shared" si="411"/>
        <v>0.18957353801217894</v>
      </c>
      <c r="AH97" s="37">
        <f t="shared" si="411"/>
        <v>0.25064144530190907</v>
      </c>
      <c r="AI97" s="38">
        <f t="shared" si="411"/>
        <v>0.23719405321328391</v>
      </c>
      <c r="AJ97" s="39">
        <f t="shared" si="411"/>
        <v>0.21383669291796037</v>
      </c>
      <c r="AK97" s="37">
        <f t="shared" si="411"/>
        <v>0.1040846464626923</v>
      </c>
      <c r="AL97" s="37">
        <f t="shared" si="411"/>
        <v>0.18477053102210569</v>
      </c>
      <c r="AM97" s="38">
        <f t="shared" si="411"/>
        <v>0.167490314677641</v>
      </c>
      <c r="AN97" s="39">
        <f t="shared" si="411"/>
        <v>0.16282107621386416</v>
      </c>
      <c r="AO97" s="37">
        <f t="shared" si="411"/>
        <v>-0.12645353196579454</v>
      </c>
      <c r="AP97" s="37">
        <f t="shared" si="411"/>
        <v>0.17308575120872116</v>
      </c>
      <c r="AQ97" s="38">
        <f t="shared" si="411"/>
        <v>0.21192171215604017</v>
      </c>
      <c r="AR97" s="39">
        <f t="shared" ref="AR97:AW97" si="412">AR96/AR10</f>
        <v>-0.14607206982986967</v>
      </c>
      <c r="AS97" s="37">
        <f t="shared" si="412"/>
        <v>0.15649011121094838</v>
      </c>
      <c r="AT97" s="37">
        <f t="shared" si="412"/>
        <v>0.30857160352416552</v>
      </c>
      <c r="AU97" s="37">
        <f t="shared" si="412"/>
        <v>0.20480599725149526</v>
      </c>
      <c r="AV97" s="39">
        <f t="shared" si="412"/>
        <v>0.29427177963505252</v>
      </c>
      <c r="AW97" s="37">
        <f t="shared" si="412"/>
        <v>0.26939843701792027</v>
      </c>
      <c r="AX97" s="37">
        <f>AX96/AX10</f>
        <v>0.29312338270109567</v>
      </c>
      <c r="AY97" s="37">
        <f>AY96/AY10</f>
        <v>0.32488102258286894</v>
      </c>
      <c r="AZ97" s="39">
        <f>AZ96/AZ10</f>
        <v>0.31432958817112405</v>
      </c>
      <c r="BA97" s="37">
        <f>BA96/BA10</f>
        <v>0.31788505983422116</v>
      </c>
      <c r="BB97" s="37">
        <f>BB96/BB10</f>
        <v>0.34274490093262555</v>
      </c>
      <c r="BC97" s="38">
        <f t="shared" ref="BC97:BG97" si="413">BC96/BC10</f>
        <v>0.33596023647522999</v>
      </c>
      <c r="BD97" s="39">
        <f t="shared" si="413"/>
        <v>0.34440235505035999</v>
      </c>
      <c r="BE97" s="37">
        <f t="shared" si="413"/>
        <v>0.34580942592522484</v>
      </c>
      <c r="BF97" s="37">
        <f t="shared" si="413"/>
        <v>0.35952170356850083</v>
      </c>
      <c r="BG97" s="38">
        <f t="shared" si="413"/>
        <v>0.36514651944085075</v>
      </c>
      <c r="BH97" s="39">
        <f>BH96/BH10</f>
        <v>0.36092841296968742</v>
      </c>
      <c r="BI97" s="37">
        <f>BI96/BI10</f>
        <v>0.36077503558652413</v>
      </c>
      <c r="BJ97" s="37">
        <f>BJ96/BJ10</f>
        <v>0.37023673398059348</v>
      </c>
      <c r="BK97" s="38">
        <f>BK96/BK10</f>
        <v>0.37749803217636563</v>
      </c>
      <c r="BL97" s="20"/>
      <c r="BM97" s="37">
        <f t="shared" ref="BM97:BX97" si="414">BM96/BM10</f>
        <v>0.30795419358139309</v>
      </c>
      <c r="BN97" s="37">
        <f t="shared" si="414"/>
        <v>0.20590068109285425</v>
      </c>
      <c r="BO97" s="37">
        <f t="shared" si="414"/>
        <v>0.23518316353944854</v>
      </c>
      <c r="BP97" s="37">
        <f t="shared" si="414"/>
        <v>2.1032007606249261E-2</v>
      </c>
      <c r="BQ97" s="37">
        <f t="shared" si="414"/>
        <v>0.15021152851692757</v>
      </c>
      <c r="BR97" s="37">
        <f t="shared" si="414"/>
        <v>0.26762934401039318</v>
      </c>
      <c r="BS97" s="37">
        <f t="shared" si="414"/>
        <v>0.2216461711092314</v>
      </c>
      <c r="BT97" s="37">
        <f t="shared" si="414"/>
        <v>0.2335816411416288</v>
      </c>
      <c r="BU97" s="37">
        <f t="shared" si="414"/>
        <v>0.16678166480074894</v>
      </c>
      <c r="BV97" s="37">
        <f t="shared" si="414"/>
        <v>0.10671196914945985</v>
      </c>
      <c r="BW97" s="37">
        <f t="shared" si="414"/>
        <v>0.12988177529788558</v>
      </c>
      <c r="BX97" s="37">
        <f t="shared" si="414"/>
        <v>0.2960378809164429</v>
      </c>
      <c r="BY97" s="37">
        <f>BY96/BY10</f>
        <v>0.32816550105201542</v>
      </c>
      <c r="BZ97" s="37">
        <f>BZ96/BZ10</f>
        <v>0.35397408553930532</v>
      </c>
      <c r="CA97" s="38">
        <f>CA96/CA10</f>
        <v>0.36755542969570626</v>
      </c>
      <c r="CB97" s="39"/>
      <c r="CC97" s="37"/>
      <c r="CD97" s="37"/>
      <c r="CE97" s="260"/>
      <c r="CF97" s="39">
        <f t="shared" ref="CF97:CP97" si="415">CF96/CF10</f>
        <v>0.237668098260754</v>
      </c>
      <c r="CG97" s="37">
        <f t="shared" si="415"/>
        <v>0.25660192413817051</v>
      </c>
      <c r="CH97" s="37">
        <f t="shared" si="415"/>
        <v>0.1171315130940629</v>
      </c>
      <c r="CI97" s="37">
        <f t="shared" si="415"/>
        <v>0.12683166183534636</v>
      </c>
      <c r="CJ97" s="37">
        <f t="shared" si="415"/>
        <v>0.18092697361227753</v>
      </c>
      <c r="CK97" s="37">
        <f t="shared" si="415"/>
        <v>0.25338623042013253</v>
      </c>
      <c r="CL97" s="37">
        <f t="shared" si="415"/>
        <v>0.21708020922010735</v>
      </c>
      <c r="CM97" s="37">
        <f t="shared" si="415"/>
        <v>0.20076796716107256</v>
      </c>
      <c r="CN97" s="37">
        <f t="shared" si="415"/>
        <v>0.10116974055122847</v>
      </c>
      <c r="CO97" s="37">
        <f t="shared" si="415"/>
        <v>9.9025982022469969E-2</v>
      </c>
      <c r="CP97" s="37">
        <f t="shared" si="415"/>
        <v>0.26901671253825366</v>
      </c>
      <c r="CQ97" s="37">
        <f>CQ96/CQ10</f>
        <v>0.31275094120008362</v>
      </c>
      <c r="CR97" s="37">
        <f>CR96/CR10</f>
        <v>0.34219920331709769</v>
      </c>
      <c r="CS97" s="38">
        <f>CS96/CS10</f>
        <v>0.36160456393889412</v>
      </c>
      <c r="CT97" s="37"/>
    </row>
    <row r="98" spans="1:104" ht="14.25" hidden="1" customHeight="1" outlineLevel="1">
      <c r="A98" s="8"/>
      <c r="B98" s="47" t="s">
        <v>335</v>
      </c>
      <c r="C98" s="48"/>
      <c r="D98" s="50">
        <f>D80+D91</f>
        <v>191.137</v>
      </c>
      <c r="E98" s="50">
        <f>E80+E91</f>
        <v>204.99700000000001</v>
      </c>
      <c r="F98" s="50">
        <f>F80+F91</f>
        <v>218.36500000000004</v>
      </c>
      <c r="G98" s="51">
        <f>G80+G91</f>
        <v>208.76899999999978</v>
      </c>
      <c r="H98" s="50">
        <f t="shared" ref="H98:W98" si="416">H80+H91</f>
        <v>219.404</v>
      </c>
      <c r="I98" s="50">
        <f t="shared" si="416"/>
        <v>203.78599999999994</v>
      </c>
      <c r="J98" s="50">
        <f t="shared" si="416"/>
        <v>145.53699999999998</v>
      </c>
      <c r="K98" s="51">
        <f t="shared" si="416"/>
        <v>260.6099999999999</v>
      </c>
      <c r="L98" s="50">
        <f t="shared" si="416"/>
        <v>207.10599999999999</v>
      </c>
      <c r="M98" s="50">
        <f t="shared" si="416"/>
        <v>219.36399999999998</v>
      </c>
      <c r="N98" s="50">
        <f t="shared" si="416"/>
        <v>170.11500000000001</v>
      </c>
      <c r="O98" s="51">
        <f t="shared" si="416"/>
        <v>177.80599999999993</v>
      </c>
      <c r="P98" s="50">
        <f t="shared" si="416"/>
        <v>160.38299999999998</v>
      </c>
      <c r="Q98" s="50">
        <f t="shared" si="416"/>
        <v>136.34000000000003</v>
      </c>
      <c r="R98" s="50">
        <f t="shared" si="416"/>
        <v>49.728000000000016</v>
      </c>
      <c r="S98" s="51">
        <f t="shared" si="416"/>
        <v>82.958000000000197</v>
      </c>
      <c r="T98" s="50">
        <f t="shared" si="416"/>
        <v>112.50599999999999</v>
      </c>
      <c r="U98" s="50">
        <f t="shared" si="416"/>
        <v>146.87099999999992</v>
      </c>
      <c r="V98" s="50">
        <f t="shared" si="416"/>
        <v>148.73200000000003</v>
      </c>
      <c r="W98" s="51">
        <f t="shared" si="416"/>
        <v>185.32299999999995</v>
      </c>
      <c r="X98" s="50">
        <f t="shared" ref="X98:AH98" si="417">X80+X91</f>
        <v>220.50400000000002</v>
      </c>
      <c r="Y98" s="50">
        <f t="shared" si="417"/>
        <v>207.69500000000008</v>
      </c>
      <c r="Z98" s="50">
        <f t="shared" si="417"/>
        <v>195.65499999999997</v>
      </c>
      <c r="AA98" s="51">
        <f t="shared" si="417"/>
        <v>207.07799999999975</v>
      </c>
      <c r="AB98" s="50">
        <f t="shared" si="417"/>
        <v>201.60299999999998</v>
      </c>
      <c r="AC98" s="50">
        <f t="shared" si="417"/>
        <v>159.00300000000004</v>
      </c>
      <c r="AD98" s="50">
        <f t="shared" si="417"/>
        <v>152.93899999999999</v>
      </c>
      <c r="AE98" s="51">
        <f t="shared" si="417"/>
        <v>188.72599999999997</v>
      </c>
      <c r="AF98" s="50">
        <f t="shared" si="417"/>
        <v>197.41370000000003</v>
      </c>
      <c r="AG98" s="50">
        <f t="shared" si="417"/>
        <v>176.608</v>
      </c>
      <c r="AH98" s="50">
        <f t="shared" si="417"/>
        <v>184.73099999999997</v>
      </c>
      <c r="AI98" s="51">
        <f t="shared" ref="AI98:AN98" si="418">AI80+AI91</f>
        <v>177.80700000000002</v>
      </c>
      <c r="AJ98" s="49">
        <f t="shared" si="418"/>
        <v>156.614125</v>
      </c>
      <c r="AK98" s="50">
        <f t="shared" si="418"/>
        <v>151.43</v>
      </c>
      <c r="AL98" s="50">
        <f t="shared" si="418"/>
        <v>172.77799999999996</v>
      </c>
      <c r="AM98" s="51">
        <f t="shared" si="418"/>
        <v>176.40299999999999</v>
      </c>
      <c r="AN98" s="49">
        <f t="shared" si="418"/>
        <v>147.62427500000001</v>
      </c>
      <c r="AO98" s="50">
        <f t="shared" ref="AO98:AT98" si="419">AO80+AO91</f>
        <v>138.95899999999997</v>
      </c>
      <c r="AP98" s="50">
        <f t="shared" si="419"/>
        <v>157.22600000000003</v>
      </c>
      <c r="AQ98" s="51">
        <f t="shared" si="419"/>
        <v>174.93700000000007</v>
      </c>
      <c r="AR98" s="49">
        <f t="shared" si="419"/>
        <v>166.58680000000001</v>
      </c>
      <c r="AS98" s="50">
        <f t="shared" si="419"/>
        <v>113.194</v>
      </c>
      <c r="AT98" s="50">
        <f t="shared" si="419"/>
        <v>143.4849999999999</v>
      </c>
      <c r="AU98" s="50">
        <f t="shared" ref="AU98:BG98" si="420">AU80+AU91</f>
        <v>171.30599999999995</v>
      </c>
      <c r="AV98" s="49">
        <f t="shared" si="420"/>
        <v>166.15492499999993</v>
      </c>
      <c r="AW98" s="50">
        <f t="shared" si="420"/>
        <v>161.82300000000004</v>
      </c>
      <c r="AX98" s="50">
        <f t="shared" si="420"/>
        <v>187.98900000000006</v>
      </c>
      <c r="AY98" s="50">
        <f>AY80+AY91</f>
        <v>211.70200000000003</v>
      </c>
      <c r="AZ98" s="49">
        <f>AZ80+AZ91</f>
        <v>198.31500000000005</v>
      </c>
      <c r="BA98" s="50">
        <f>BA80+BA91</f>
        <v>216.35599999999994</v>
      </c>
      <c r="BB98" s="50">
        <f t="shared" ref="BB98" si="421">BB80+BB91</f>
        <v>237.72200000000001</v>
      </c>
      <c r="BC98" s="51">
        <f t="shared" si="420"/>
        <v>223.49295820950002</v>
      </c>
      <c r="BD98" s="49">
        <f t="shared" si="420"/>
        <v>212.4775874702641</v>
      </c>
      <c r="BE98" s="50">
        <f t="shared" si="420"/>
        <v>213.74001978876851</v>
      </c>
      <c r="BF98" s="50">
        <f t="shared" si="420"/>
        <v>233.75033650000069</v>
      </c>
      <c r="BG98" s="51">
        <f t="shared" si="420"/>
        <v>239.89498968792498</v>
      </c>
      <c r="BH98" s="49">
        <f>BH80+BH91</f>
        <v>233.34280727284482</v>
      </c>
      <c r="BI98" s="50">
        <f>BI80+BI91</f>
        <v>233.0655364460531</v>
      </c>
      <c r="BJ98" s="50">
        <f>BJ80+BJ91</f>
        <v>248.84750134358157</v>
      </c>
      <c r="BK98" s="51">
        <f>BK80+BK91</f>
        <v>260.43284845989501</v>
      </c>
      <c r="BL98" s="20"/>
      <c r="BM98" s="50">
        <f t="shared" ref="BM98:BS98" si="422">BM80+BM91</f>
        <v>823.26800000000003</v>
      </c>
      <c r="BN98" s="50">
        <f t="shared" si="422"/>
        <v>829.33699999999988</v>
      </c>
      <c r="BO98" s="50">
        <f t="shared" si="422"/>
        <v>774.39099999999996</v>
      </c>
      <c r="BP98" s="50">
        <f t="shared" si="422"/>
        <v>429.40900000000033</v>
      </c>
      <c r="BQ98" s="50">
        <f t="shared" si="422"/>
        <v>593.43200000000002</v>
      </c>
      <c r="BR98" s="50">
        <f t="shared" si="422"/>
        <v>830.93199999999945</v>
      </c>
      <c r="BS98" s="50">
        <f t="shared" si="422"/>
        <v>702.27100000000019</v>
      </c>
      <c r="BT98" s="50">
        <f t="shared" ref="BT98:CA98" si="423">BT80+BT91</f>
        <v>738.92899999999975</v>
      </c>
      <c r="BU98" s="50">
        <f t="shared" si="423"/>
        <v>663.84400000000028</v>
      </c>
      <c r="BV98" s="50">
        <f t="shared" si="423"/>
        <v>624.28499999999963</v>
      </c>
      <c r="BW98" s="50">
        <f t="shared" si="423"/>
        <v>597.12700000000029</v>
      </c>
      <c r="BX98" s="50">
        <f t="shared" si="423"/>
        <v>730.0870000000001</v>
      </c>
      <c r="BY98" s="50">
        <f t="shared" si="423"/>
        <v>875.88595820950036</v>
      </c>
      <c r="BZ98" s="50">
        <f t="shared" si="423"/>
        <v>899.8629334469581</v>
      </c>
      <c r="CA98" s="51">
        <f t="shared" si="423"/>
        <v>975.68869352237414</v>
      </c>
      <c r="CB98" s="49"/>
      <c r="CC98" s="50"/>
      <c r="CD98" s="50"/>
      <c r="CE98" s="260"/>
      <c r="CF98" s="49">
        <f t="shared" ref="CF98:CL98" si="424">CF80+CF91</f>
        <v>850.32399999999984</v>
      </c>
      <c r="CG98" s="50">
        <f t="shared" si="424"/>
        <v>832.61700000000008</v>
      </c>
      <c r="CH98" s="50">
        <f t="shared" si="424"/>
        <v>644.64399999999978</v>
      </c>
      <c r="CI98" s="50">
        <f t="shared" si="424"/>
        <v>392.06299999999993</v>
      </c>
      <c r="CJ98" s="50">
        <f t="shared" si="424"/>
        <v>762.25400000000036</v>
      </c>
      <c r="CK98" s="50">
        <f t="shared" si="424"/>
        <v>763.33899999999926</v>
      </c>
      <c r="CL98" s="50">
        <f t="shared" si="424"/>
        <v>718.05599999999993</v>
      </c>
      <c r="CM98" s="50">
        <f t="shared" ref="CM98:CR98" si="425">CM80+CM91</f>
        <v>677.20099999999979</v>
      </c>
      <c r="CN98" s="50">
        <f t="shared" si="425"/>
        <v>641.303</v>
      </c>
      <c r="CO98" s="50">
        <f t="shared" si="425"/>
        <v>614.49900000000025</v>
      </c>
      <c r="CP98" s="50">
        <f t="shared" si="425"/>
        <v>645.18700000000013</v>
      </c>
      <c r="CQ98" s="50">
        <f t="shared" si="425"/>
        <v>814.36199999999963</v>
      </c>
      <c r="CR98" s="50">
        <f t="shared" si="425"/>
        <v>887.43256546853263</v>
      </c>
      <c r="CS98" s="51">
        <f>CS80+CS91</f>
        <v>940.05366990682353</v>
      </c>
      <c r="CT98" s="50"/>
    </row>
    <row r="99" spans="1:104" ht="14.25" hidden="1" customHeight="1" outlineLevel="1">
      <c r="A99" s="8"/>
      <c r="B99" s="35" t="s">
        <v>336</v>
      </c>
      <c r="C99" s="36"/>
      <c r="D99" s="37">
        <f t="shared" ref="D99:AQ99" si="426">D98/D17</f>
        <v>0.45069383039177541</v>
      </c>
      <c r="E99" s="37">
        <f t="shared" si="426"/>
        <v>0.46012973603878621</v>
      </c>
      <c r="F99" s="37">
        <f t="shared" si="426"/>
        <v>0.45666813058117411</v>
      </c>
      <c r="G99" s="38">
        <f t="shared" si="426"/>
        <v>0.41002631785686194</v>
      </c>
      <c r="H99" s="37">
        <f t="shared" si="426"/>
        <v>0.43641209758426242</v>
      </c>
      <c r="I99" s="37">
        <f t="shared" si="426"/>
        <v>0.40965880193706733</v>
      </c>
      <c r="J99" s="37">
        <f t="shared" si="426"/>
        <v>0.30539328011818123</v>
      </c>
      <c r="K99" s="38">
        <f t="shared" si="426"/>
        <v>0.48952795987752862</v>
      </c>
      <c r="L99" s="37">
        <f t="shared" si="426"/>
        <v>0.39517937112774548</v>
      </c>
      <c r="M99" s="37">
        <f t="shared" si="426"/>
        <v>0.40621082357298272</v>
      </c>
      <c r="N99" s="37">
        <f t="shared" si="426"/>
        <v>0.34901828029790116</v>
      </c>
      <c r="O99" s="38">
        <f t="shared" si="426"/>
        <v>0.35471315686051536</v>
      </c>
      <c r="P99" s="37">
        <f t="shared" si="426"/>
        <v>0.31999545095410248</v>
      </c>
      <c r="Q99" s="37">
        <f t="shared" si="426"/>
        <v>0.33199001643635484</v>
      </c>
      <c r="R99" s="37">
        <f t="shared" si="426"/>
        <v>0.14640307361665175</v>
      </c>
      <c r="S99" s="38">
        <f t="shared" si="426"/>
        <v>0.21030189798489662</v>
      </c>
      <c r="T99" s="37">
        <f t="shared" si="426"/>
        <v>0.25043294765006252</v>
      </c>
      <c r="U99" s="37">
        <f t="shared" si="426"/>
        <v>0.31017180025975932</v>
      </c>
      <c r="V99" s="37">
        <f t="shared" si="426"/>
        <v>0.29227322747995604</v>
      </c>
      <c r="W99" s="38">
        <f t="shared" si="426"/>
        <v>0.32744777917952078</v>
      </c>
      <c r="X99" s="37">
        <f t="shared" si="426"/>
        <v>0.35216461520525</v>
      </c>
      <c r="Y99" s="37">
        <f t="shared" si="426"/>
        <v>0.33885266977302697</v>
      </c>
      <c r="Z99" s="37">
        <f t="shared" si="426"/>
        <v>0.32245066128301264</v>
      </c>
      <c r="AA99" s="38">
        <f t="shared" si="426"/>
        <v>0.33053627266792318</v>
      </c>
      <c r="AB99" s="37">
        <f t="shared" si="426"/>
        <v>0.31698485224889228</v>
      </c>
      <c r="AC99" s="37">
        <f t="shared" si="426"/>
        <v>0.26887728097483937</v>
      </c>
      <c r="AD99" s="37">
        <f t="shared" si="426"/>
        <v>0.26774472525087006</v>
      </c>
      <c r="AE99" s="38">
        <f t="shared" si="426"/>
        <v>0.31196649012490157</v>
      </c>
      <c r="AF99" s="37">
        <f t="shared" si="426"/>
        <v>0.31683778036351967</v>
      </c>
      <c r="AG99" s="37">
        <f t="shared" si="426"/>
        <v>0.29176647844230852</v>
      </c>
      <c r="AH99" s="37">
        <f t="shared" si="426"/>
        <v>0.30539905171900722</v>
      </c>
      <c r="AI99" s="38">
        <f t="shared" si="426"/>
        <v>0.29235244017533885</v>
      </c>
      <c r="AJ99" s="39">
        <f t="shared" si="426"/>
        <v>0.26760620838252958</v>
      </c>
      <c r="AK99" s="37">
        <f t="shared" si="426"/>
        <v>0.24413404398701219</v>
      </c>
      <c r="AL99" s="37">
        <f t="shared" si="426"/>
        <v>0.28526237408800992</v>
      </c>
      <c r="AM99" s="38">
        <f t="shared" si="426"/>
        <v>0.27457130093841398</v>
      </c>
      <c r="AN99" s="39">
        <f t="shared" si="426"/>
        <v>0.2544039894877429</v>
      </c>
      <c r="AO99" s="37">
        <f t="shared" si="426"/>
        <v>0.24516018623557492</v>
      </c>
      <c r="AP99" s="37">
        <f t="shared" si="426"/>
        <v>0.27236458945056241</v>
      </c>
      <c r="AQ99" s="38">
        <f t="shared" si="426"/>
        <v>0.30031226556478191</v>
      </c>
      <c r="AR99" s="39">
        <f t="shared" ref="AR99:AW99" si="427">AR98/AR17</f>
        <v>0.29614904623917798</v>
      </c>
      <c r="AS99" s="37">
        <f t="shared" si="427"/>
        <v>0.22158796157633345</v>
      </c>
      <c r="AT99" s="37">
        <f t="shared" si="427"/>
        <v>0.25841419751752343</v>
      </c>
      <c r="AU99" s="37">
        <f t="shared" si="427"/>
        <v>0.3025934156000607</v>
      </c>
      <c r="AV99" s="39">
        <f t="shared" si="427"/>
        <v>0.29596741872047527</v>
      </c>
      <c r="AW99" s="37">
        <f t="shared" si="427"/>
        <v>0.29369072120043999</v>
      </c>
      <c r="AX99" s="37">
        <f>AX98/AX17</f>
        <v>0.32344085503496128</v>
      </c>
      <c r="AY99" s="37">
        <f>AY98/AY17</f>
        <v>0.35166153105040659</v>
      </c>
      <c r="AZ99" s="39">
        <f>AZ98/AZ17</f>
        <v>0.34449065099118259</v>
      </c>
      <c r="BA99" s="37">
        <f>BA98/BA17</f>
        <v>0.34748336510679573</v>
      </c>
      <c r="BB99" s="37">
        <f>BB98/BB17</f>
        <v>0.36651613708932634</v>
      </c>
      <c r="BC99" s="38">
        <f t="shared" ref="BC99:BG99" si="428">BC98/BC17</f>
        <v>0.35481441433572963</v>
      </c>
      <c r="BD99" s="39">
        <f t="shared" si="428"/>
        <v>0.34582813104113092</v>
      </c>
      <c r="BE99" s="37">
        <f t="shared" si="428"/>
        <v>0.34723253659188941</v>
      </c>
      <c r="BF99" s="37">
        <f t="shared" si="428"/>
        <v>0.3608741111246937</v>
      </c>
      <c r="BG99" s="38">
        <f t="shared" si="428"/>
        <v>0.36648477441150318</v>
      </c>
      <c r="BH99" s="39">
        <f>BH98/BH17</f>
        <v>0.3622884922578688</v>
      </c>
      <c r="BI99" s="37">
        <f>BI98/BI17</f>
        <v>0.36213616036419999</v>
      </c>
      <c r="BJ99" s="37">
        <f>BJ98/BJ17</f>
        <v>0.37154465596844166</v>
      </c>
      <c r="BK99" s="38">
        <f>BK98/BK17</f>
        <v>0.37877208168863502</v>
      </c>
      <c r="BL99" s="20"/>
      <c r="BM99" s="37">
        <f t="shared" ref="BM99:BX99" si="429">BM98/BM17</f>
        <v>0.44334538718163441</v>
      </c>
      <c r="BN99" s="37">
        <f t="shared" si="429"/>
        <v>0.41278537312779101</v>
      </c>
      <c r="BO99" s="37">
        <f t="shared" si="429"/>
        <v>0.37723958158266119</v>
      </c>
      <c r="BP99" s="37">
        <f t="shared" si="429"/>
        <v>0.26087793853640473</v>
      </c>
      <c r="BQ99" s="37">
        <f t="shared" si="429"/>
        <v>0.29707204084094785</v>
      </c>
      <c r="BR99" s="37">
        <f t="shared" si="429"/>
        <v>0.33609117836091368</v>
      </c>
      <c r="BS99" s="37">
        <f t="shared" si="429"/>
        <v>0.292183285493955</v>
      </c>
      <c r="BT99" s="37">
        <f t="shared" si="429"/>
        <v>0.30265877903335658</v>
      </c>
      <c r="BU99" s="37">
        <f t="shared" si="429"/>
        <v>0.27055223150041396</v>
      </c>
      <c r="BV99" s="37">
        <f t="shared" si="429"/>
        <v>0.27062063476650539</v>
      </c>
      <c r="BW99" s="37">
        <f t="shared" si="429"/>
        <v>0.27207446602503566</v>
      </c>
      <c r="BX99" s="37">
        <f t="shared" si="429"/>
        <v>0.3180354719759193</v>
      </c>
      <c r="BY99" s="37">
        <f>BY98/BY17</f>
        <v>0.35363628090413651</v>
      </c>
      <c r="BZ99" s="37">
        <f>BZ98/BZ17</f>
        <v>0.35535782273369027</v>
      </c>
      <c r="CA99" s="38">
        <f>CA98/CA17</f>
        <v>0.36888019260776927</v>
      </c>
      <c r="CB99" s="39"/>
      <c r="CC99" s="37"/>
      <c r="CD99" s="37"/>
      <c r="CE99" s="260"/>
      <c r="CF99" s="39">
        <f t="shared" ref="CF99:CP99" si="430">CF98/CF17</f>
        <v>0.42782994755294013</v>
      </c>
      <c r="CG99" s="37">
        <f t="shared" si="430"/>
        <v>0.40164213577021485</v>
      </c>
      <c r="CH99" s="37">
        <f t="shared" si="430"/>
        <v>0.33918705894485607</v>
      </c>
      <c r="CI99" s="37">
        <f t="shared" si="430"/>
        <v>0.2366248475312587</v>
      </c>
      <c r="CJ99" s="37">
        <f t="shared" si="430"/>
        <v>0.32942149610379295</v>
      </c>
      <c r="CK99" s="37">
        <f t="shared" si="430"/>
        <v>0.31022133789477213</v>
      </c>
      <c r="CL99" s="37">
        <f t="shared" si="430"/>
        <v>0.29862398312531785</v>
      </c>
      <c r="CM99" s="37">
        <f t="shared" si="430"/>
        <v>0.27999791614380753</v>
      </c>
      <c r="CN99" s="37">
        <f t="shared" si="430"/>
        <v>0.26774149643959333</v>
      </c>
      <c r="CO99" s="37">
        <f t="shared" si="430"/>
        <v>0.27517496812756687</v>
      </c>
      <c r="CP99" s="37">
        <f t="shared" si="430"/>
        <v>0.28883296952419502</v>
      </c>
      <c r="CQ99" s="37">
        <f>CQ98/CQ17</f>
        <v>0.34194850881826577</v>
      </c>
      <c r="CR99" s="37">
        <f>CR98/CR17</f>
        <v>0.35377850623189017</v>
      </c>
      <c r="CS99" s="38">
        <f>CS98/CS17</f>
        <v>0.36295746857679539</v>
      </c>
      <c r="CT99" s="37"/>
    </row>
    <row r="100" spans="1:104" ht="14.25" customHeight="1" collapsed="1">
      <c r="A100" s="8"/>
      <c r="B100" s="47" t="s">
        <v>337</v>
      </c>
      <c r="C100" s="48"/>
      <c r="D100" s="50">
        <f>D82+D93</f>
        <v>126.18500000000003</v>
      </c>
      <c r="E100" s="50">
        <f>E82+E93</f>
        <v>144.42899999999997</v>
      </c>
      <c r="F100" s="50">
        <f>F82+F93</f>
        <v>158.04600000000002</v>
      </c>
      <c r="G100" s="51">
        <f>G82+G93</f>
        <v>143.19399999999979</v>
      </c>
      <c r="H100" s="50">
        <f t="shared" ref="H100:V100" si="431">H82+H93</f>
        <v>29.518999999999995</v>
      </c>
      <c r="I100" s="50">
        <f t="shared" si="431"/>
        <v>141.613</v>
      </c>
      <c r="J100" s="50">
        <f t="shared" si="431"/>
        <v>101.33099999999997</v>
      </c>
      <c r="K100" s="51">
        <f t="shared" si="431"/>
        <v>203.11299999999986</v>
      </c>
      <c r="L100" s="50">
        <f t="shared" si="431"/>
        <v>134.45300000000003</v>
      </c>
      <c r="M100" s="50">
        <f t="shared" si="431"/>
        <v>177.64799999999997</v>
      </c>
      <c r="N100" s="50">
        <f t="shared" si="431"/>
        <v>134.46200000000005</v>
      </c>
      <c r="O100" s="51">
        <f t="shared" si="431"/>
        <v>138.11899999999991</v>
      </c>
      <c r="P100" s="50">
        <f t="shared" si="431"/>
        <v>122.82200000000003</v>
      </c>
      <c r="Q100" s="50">
        <f t="shared" si="431"/>
        <v>52.402000000000022</v>
      </c>
      <c r="R100" s="50">
        <f t="shared" si="431"/>
        <v>10.11499999999999</v>
      </c>
      <c r="S100" s="51">
        <f t="shared" si="431"/>
        <v>47.962000000000216</v>
      </c>
      <c r="T100" s="50">
        <f t="shared" si="431"/>
        <v>86.040999999999983</v>
      </c>
      <c r="U100" s="50">
        <f t="shared" si="431"/>
        <v>119.93799999999993</v>
      </c>
      <c r="V100" s="50">
        <f t="shared" si="431"/>
        <v>133.453</v>
      </c>
      <c r="W100" s="51">
        <f t="shared" ref="W100:AH100" si="432">W82+W93</f>
        <v>160.47499999999997</v>
      </c>
      <c r="X100" s="50">
        <f t="shared" si="432"/>
        <v>193.36499999999998</v>
      </c>
      <c r="Y100" s="50">
        <f t="shared" si="432"/>
        <v>183.17300000000003</v>
      </c>
      <c r="Z100" s="50">
        <f t="shared" si="432"/>
        <v>174.42699999999996</v>
      </c>
      <c r="AA100" s="51">
        <f t="shared" si="432"/>
        <v>185.6699999999997</v>
      </c>
      <c r="AB100" s="50">
        <f t="shared" si="432"/>
        <v>178.13799999999995</v>
      </c>
      <c r="AC100" s="50">
        <f t="shared" si="432"/>
        <v>135.52900000000002</v>
      </c>
      <c r="AD100" s="50">
        <f t="shared" si="432"/>
        <v>130.90100000000001</v>
      </c>
      <c r="AE100" s="51">
        <f t="shared" si="432"/>
        <v>167.83599999999996</v>
      </c>
      <c r="AF100" s="50">
        <f t="shared" si="432"/>
        <v>176.28600000000009</v>
      </c>
      <c r="AG100" s="50">
        <f t="shared" si="432"/>
        <v>153.76299999999998</v>
      </c>
      <c r="AH100" s="50">
        <f t="shared" si="432"/>
        <v>165.11800000000002</v>
      </c>
      <c r="AI100" s="51">
        <f t="shared" ref="AI100:AN100" si="433">AI82+AI93</f>
        <v>158.95399999999995</v>
      </c>
      <c r="AJ100" s="49">
        <f t="shared" si="433"/>
        <v>144.49300000000002</v>
      </c>
      <c r="AK100" s="50">
        <f t="shared" si="433"/>
        <v>128.56100000000001</v>
      </c>
      <c r="AL100" s="50">
        <f t="shared" si="433"/>
        <v>150.721</v>
      </c>
      <c r="AM100" s="51">
        <f t="shared" si="433"/>
        <v>154.61500000000004</v>
      </c>
      <c r="AN100" s="49">
        <f t="shared" si="433"/>
        <v>130.74300000000002</v>
      </c>
      <c r="AO100" s="50">
        <f t="shared" ref="AO100:AT100" si="434">AO82+AO93</f>
        <v>118.18299999999996</v>
      </c>
      <c r="AP100" s="50">
        <f t="shared" si="434"/>
        <v>138.63900000000004</v>
      </c>
      <c r="AQ100" s="51">
        <f t="shared" si="434"/>
        <v>153.14900000000011</v>
      </c>
      <c r="AR100" s="49">
        <f t="shared" si="434"/>
        <v>146.72200000000001</v>
      </c>
      <c r="AS100" s="50">
        <f t="shared" si="434"/>
        <v>113.194</v>
      </c>
      <c r="AT100" s="50">
        <f t="shared" si="434"/>
        <v>143.4849999999999</v>
      </c>
      <c r="AU100" s="50">
        <f t="shared" ref="AU100:BG100" si="435">AU82+AU93</f>
        <v>171.30599999999995</v>
      </c>
      <c r="AV100" s="49">
        <f t="shared" si="435"/>
        <v>168.57299999999992</v>
      </c>
      <c r="AW100" s="50">
        <f t="shared" si="435"/>
        <v>161.82300000000004</v>
      </c>
      <c r="AX100" s="50">
        <f t="shared" si="435"/>
        <v>187.98900000000006</v>
      </c>
      <c r="AY100" s="50">
        <f>AY82+AY93</f>
        <v>211.70200000000003</v>
      </c>
      <c r="AZ100" s="49">
        <f>AZ82+AZ93</f>
        <v>198.31500000000005</v>
      </c>
      <c r="BA100" s="50">
        <f>BA82+BA93</f>
        <v>216.35599999999994</v>
      </c>
      <c r="BB100" s="50">
        <f t="shared" ref="BB100" si="436">BB82+BB93</f>
        <v>237.72200000000001</v>
      </c>
      <c r="BC100" s="51">
        <f t="shared" si="435"/>
        <v>223.49295820950002</v>
      </c>
      <c r="BD100" s="49">
        <f t="shared" si="435"/>
        <v>212.4775874702641</v>
      </c>
      <c r="BE100" s="50">
        <f t="shared" si="435"/>
        <v>213.74001978876851</v>
      </c>
      <c r="BF100" s="50">
        <f t="shared" si="435"/>
        <v>233.75033650000069</v>
      </c>
      <c r="BG100" s="51">
        <f t="shared" si="435"/>
        <v>239.89498968792498</v>
      </c>
      <c r="BH100" s="49">
        <f>BH82+BH93</f>
        <v>233.34280727284482</v>
      </c>
      <c r="BI100" s="50">
        <f>BI82+BI93</f>
        <v>233.0655364460531</v>
      </c>
      <c r="BJ100" s="50">
        <f>BJ82+BJ93</f>
        <v>248.84750134358157</v>
      </c>
      <c r="BK100" s="51">
        <f>BK82+BK93</f>
        <v>260.43284845989501</v>
      </c>
      <c r="BL100" s="20"/>
      <c r="BM100" s="50">
        <f t="shared" ref="BM100:BS100" si="437">BM82+BM93</f>
        <v>571.85399999999993</v>
      </c>
      <c r="BN100" s="50">
        <f t="shared" si="437"/>
        <v>475.57599999999962</v>
      </c>
      <c r="BO100" s="50">
        <f t="shared" si="437"/>
        <v>584.6819999999999</v>
      </c>
      <c r="BP100" s="50">
        <f t="shared" si="437"/>
        <v>233.30100000000039</v>
      </c>
      <c r="BQ100" s="50">
        <f t="shared" si="437"/>
        <v>499.90700000000021</v>
      </c>
      <c r="BR100" s="50">
        <f t="shared" si="437"/>
        <v>736.63499999999931</v>
      </c>
      <c r="BS100" s="50">
        <f t="shared" si="437"/>
        <v>612.404</v>
      </c>
      <c r="BT100" s="50">
        <f t="shared" ref="BT100:CA100" si="438">BT82+BT93</f>
        <v>654.12099999999975</v>
      </c>
      <c r="BU100" s="50">
        <f t="shared" si="438"/>
        <v>578.39000000000021</v>
      </c>
      <c r="BV100" s="50">
        <f t="shared" si="438"/>
        <v>540.71399999999937</v>
      </c>
      <c r="BW100" s="50">
        <f t="shared" si="438"/>
        <v>574.70700000000022</v>
      </c>
      <c r="BX100" s="50">
        <f t="shared" si="438"/>
        <v>730.0870000000001</v>
      </c>
      <c r="BY100" s="50">
        <f t="shared" si="438"/>
        <v>875.88595820950036</v>
      </c>
      <c r="BZ100" s="50">
        <f t="shared" si="438"/>
        <v>899.8629334469581</v>
      </c>
      <c r="CA100" s="51">
        <f t="shared" si="438"/>
        <v>975.68869352237414</v>
      </c>
      <c r="CB100" s="49"/>
      <c r="CC100" s="50"/>
      <c r="CD100" s="50"/>
      <c r="CE100" s="260"/>
      <c r="CF100" s="49">
        <f t="shared" ref="CF100:CL100" si="439">CF82+CF93</f>
        <v>472.37199999999984</v>
      </c>
      <c r="CG100" s="50">
        <f t="shared" si="439"/>
        <v>616.54499999999996</v>
      </c>
      <c r="CH100" s="50">
        <f t="shared" si="439"/>
        <v>447.80499999999984</v>
      </c>
      <c r="CI100" s="50">
        <f t="shared" si="439"/>
        <v>264.05599999999998</v>
      </c>
      <c r="CJ100" s="50">
        <f t="shared" si="439"/>
        <v>670.46600000000046</v>
      </c>
      <c r="CK100" s="50">
        <f t="shared" si="439"/>
        <v>673.76399999999956</v>
      </c>
      <c r="CL100" s="50">
        <f t="shared" si="439"/>
        <v>628.78599999999983</v>
      </c>
      <c r="CM100" s="50">
        <f t="shared" ref="CM100:CR100" si="440">CM82+CM93</f>
        <v>597.12599999999986</v>
      </c>
      <c r="CN100" s="50">
        <f t="shared" si="440"/>
        <v>554.26200000000006</v>
      </c>
      <c r="CO100" s="50">
        <f t="shared" si="440"/>
        <v>551.70400000000018</v>
      </c>
      <c r="CP100" s="50">
        <f t="shared" si="440"/>
        <v>645.18700000000013</v>
      </c>
      <c r="CQ100" s="50">
        <f t="shared" si="440"/>
        <v>814.36199999999963</v>
      </c>
      <c r="CR100" s="50">
        <f t="shared" si="440"/>
        <v>887.43256546853263</v>
      </c>
      <c r="CS100" s="51">
        <f>CS82+CS93</f>
        <v>940.05366990682353</v>
      </c>
      <c r="CT100" s="50"/>
    </row>
    <row r="101" spans="1:104" ht="14.25" hidden="1" customHeight="1" outlineLevel="1">
      <c r="A101" s="8"/>
      <c r="B101" s="35" t="s">
        <v>338</v>
      </c>
      <c r="C101" s="36"/>
      <c r="D101" s="37">
        <f t="shared" ref="D101:AQ101" si="441">D100/D17</f>
        <v>0.2975394663931431</v>
      </c>
      <c r="E101" s="37">
        <f t="shared" si="441"/>
        <v>0.3241807326270425</v>
      </c>
      <c r="F101" s="37">
        <f t="shared" si="441"/>
        <v>0.33052261747913925</v>
      </c>
      <c r="G101" s="38">
        <f t="shared" si="441"/>
        <v>0.2812357608610257</v>
      </c>
      <c r="H101" s="37">
        <f t="shared" si="441"/>
        <v>5.8715651075594975E-2</v>
      </c>
      <c r="I101" s="37">
        <f t="shared" si="441"/>
        <v>0.28467614025847671</v>
      </c>
      <c r="J101" s="37">
        <f t="shared" si="441"/>
        <v>0.21263188376602116</v>
      </c>
      <c r="K101" s="38">
        <f t="shared" si="441"/>
        <v>0.38152600634896755</v>
      </c>
      <c r="L101" s="37">
        <f t="shared" si="441"/>
        <v>0.25655003711258378</v>
      </c>
      <c r="M101" s="37">
        <f t="shared" si="441"/>
        <v>0.32896254803018377</v>
      </c>
      <c r="N101" s="37">
        <f t="shared" si="441"/>
        <v>0.27587041710264465</v>
      </c>
      <c r="O101" s="38">
        <f t="shared" si="441"/>
        <v>0.27553978219192554</v>
      </c>
      <c r="P101" s="37">
        <f t="shared" si="441"/>
        <v>0.24505391018427633</v>
      </c>
      <c r="Q101" s="37">
        <f t="shared" si="441"/>
        <v>0.12759968344798203</v>
      </c>
      <c r="R101" s="37">
        <f t="shared" si="441"/>
        <v>2.9779341409918565E-2</v>
      </c>
      <c r="S101" s="38">
        <f t="shared" si="441"/>
        <v>0.12158561719365985</v>
      </c>
      <c r="T101" s="37">
        <f t="shared" si="441"/>
        <v>0.19152312986648737</v>
      </c>
      <c r="U101" s="37">
        <f t="shared" si="441"/>
        <v>0.25329292630645267</v>
      </c>
      <c r="V101" s="37">
        <f t="shared" si="441"/>
        <v>0.26224846722213491</v>
      </c>
      <c r="W101" s="38">
        <f t="shared" si="441"/>
        <v>0.28354377148995863</v>
      </c>
      <c r="X101" s="37">
        <f t="shared" si="441"/>
        <v>0.30882120423739773</v>
      </c>
      <c r="Y101" s="37">
        <f t="shared" si="441"/>
        <v>0.29884523017084985</v>
      </c>
      <c r="Z101" s="37">
        <f t="shared" si="441"/>
        <v>0.28746569980635323</v>
      </c>
      <c r="AA101" s="38">
        <f t="shared" si="441"/>
        <v>0.29636499167585778</v>
      </c>
      <c r="AB101" s="37">
        <f t="shared" si="441"/>
        <v>0.2800903141814019</v>
      </c>
      <c r="AC101" s="37">
        <f t="shared" si="441"/>
        <v>0.22918227337370364</v>
      </c>
      <c r="AD101" s="37">
        <f t="shared" si="441"/>
        <v>0.22916360300553912</v>
      </c>
      <c r="AE101" s="38">
        <f t="shared" si="441"/>
        <v>0.27743505312783068</v>
      </c>
      <c r="AF101" s="37">
        <f t="shared" si="441"/>
        <v>0.28292902138586862</v>
      </c>
      <c r="AG101" s="37">
        <f t="shared" si="441"/>
        <v>0.2540252368223675</v>
      </c>
      <c r="AH101" s="37">
        <f t="shared" si="441"/>
        <v>0.2729746529913174</v>
      </c>
      <c r="AI101" s="38">
        <f t="shared" si="441"/>
        <v>0.26135410740651827</v>
      </c>
      <c r="AJ101" s="39">
        <f t="shared" si="441"/>
        <v>0.24689486895142349</v>
      </c>
      <c r="AK101" s="37">
        <f t="shared" si="441"/>
        <v>0.20726485391939692</v>
      </c>
      <c r="AL101" s="37">
        <f t="shared" si="441"/>
        <v>0.24884551438793687</v>
      </c>
      <c r="AM101" s="38">
        <f t="shared" si="441"/>
        <v>0.24065827505537254</v>
      </c>
      <c r="AN101" s="39">
        <f t="shared" si="441"/>
        <v>0.22531213648701051</v>
      </c>
      <c r="AO101" s="37">
        <f t="shared" si="441"/>
        <v>0.20850586352721986</v>
      </c>
      <c r="AP101" s="37">
        <f t="shared" si="441"/>
        <v>0.24016609413733433</v>
      </c>
      <c r="AQ101" s="38">
        <f t="shared" si="441"/>
        <v>0.26290906531483221</v>
      </c>
      <c r="AR101" s="39">
        <f t="shared" ref="AR101:AW101" si="442">AR100/AR17</f>
        <v>0.26083447405379462</v>
      </c>
      <c r="AS101" s="37">
        <f t="shared" si="442"/>
        <v>0.22158796157633345</v>
      </c>
      <c r="AT101" s="37">
        <f t="shared" si="442"/>
        <v>0.25841419751752343</v>
      </c>
      <c r="AU101" s="37">
        <f t="shared" si="442"/>
        <v>0.3025934156000607</v>
      </c>
      <c r="AV101" s="39">
        <f t="shared" si="442"/>
        <v>0.30027467242374356</v>
      </c>
      <c r="AW101" s="37">
        <f t="shared" si="442"/>
        <v>0.29369072120043999</v>
      </c>
      <c r="AX101" s="37">
        <f>AX100/AX17</f>
        <v>0.32344085503496128</v>
      </c>
      <c r="AY101" s="37">
        <f>AY100/AY17</f>
        <v>0.35166153105040659</v>
      </c>
      <c r="AZ101" s="39">
        <f>AZ100/AZ17</f>
        <v>0.34449065099118259</v>
      </c>
      <c r="BA101" s="37">
        <f>BA100/BA17</f>
        <v>0.34748336510679573</v>
      </c>
      <c r="BB101" s="37">
        <f>BB100/BB17</f>
        <v>0.36651613708932634</v>
      </c>
      <c r="BC101" s="38">
        <f t="shared" ref="BC101:BG101" si="443">BC100/BC17</f>
        <v>0.35481441433572963</v>
      </c>
      <c r="BD101" s="39">
        <f t="shared" si="443"/>
        <v>0.34582813104113092</v>
      </c>
      <c r="BE101" s="37">
        <f t="shared" si="443"/>
        <v>0.34723253659188941</v>
      </c>
      <c r="BF101" s="37">
        <f t="shared" si="443"/>
        <v>0.3608741111246937</v>
      </c>
      <c r="BG101" s="38">
        <f t="shared" si="443"/>
        <v>0.36648477441150318</v>
      </c>
      <c r="BH101" s="39">
        <f>BH100/BH17</f>
        <v>0.3622884922578688</v>
      </c>
      <c r="BI101" s="37">
        <f>BI100/BI17</f>
        <v>0.36213616036419999</v>
      </c>
      <c r="BJ101" s="37">
        <f>BJ100/BJ17</f>
        <v>0.37154465596844166</v>
      </c>
      <c r="BK101" s="38">
        <f>BK100/BK17</f>
        <v>0.37877208168863502</v>
      </c>
      <c r="BL101" s="20"/>
      <c r="BM101" s="37">
        <f t="shared" ref="BM101:BX101" si="444">BM100/BM17</f>
        <v>0.30795419358139309</v>
      </c>
      <c r="BN101" s="37">
        <f t="shared" si="444"/>
        <v>0.23670813747683053</v>
      </c>
      <c r="BO101" s="37">
        <f t="shared" si="444"/>
        <v>0.28482406567084778</v>
      </c>
      <c r="BP101" s="37">
        <f t="shared" si="444"/>
        <v>0.14173686145023001</v>
      </c>
      <c r="BQ101" s="37">
        <f t="shared" si="444"/>
        <v>0.2502534287343382</v>
      </c>
      <c r="BR101" s="37">
        <f t="shared" si="444"/>
        <v>0.29795040409069762</v>
      </c>
      <c r="BS101" s="37">
        <f t="shared" si="444"/>
        <v>0.25479368045902506</v>
      </c>
      <c r="BT101" s="37">
        <f t="shared" si="444"/>
        <v>0.26792217276636626</v>
      </c>
      <c r="BU101" s="37">
        <f t="shared" si="444"/>
        <v>0.23572511791554104</v>
      </c>
      <c r="BV101" s="37">
        <f t="shared" si="444"/>
        <v>0.23439353165162727</v>
      </c>
      <c r="BW101" s="37">
        <f t="shared" si="444"/>
        <v>0.2618590352569054</v>
      </c>
      <c r="BX101" s="37">
        <f t="shared" si="444"/>
        <v>0.3180354719759193</v>
      </c>
      <c r="BY101" s="37">
        <f>BY100/BY17</f>
        <v>0.35363628090413651</v>
      </c>
      <c r="BZ101" s="37">
        <f>BZ100/BZ17</f>
        <v>0.35535782273369027</v>
      </c>
      <c r="CA101" s="38">
        <f>CA100/CA17</f>
        <v>0.36888019260776927</v>
      </c>
      <c r="CB101" s="39"/>
      <c r="CC101" s="37"/>
      <c r="CD101" s="37"/>
      <c r="CE101" s="260"/>
      <c r="CF101" s="39">
        <f t="shared" ref="CF101:CP101" si="445">CF100/CF17</f>
        <v>0.237668098260754</v>
      </c>
      <c r="CG101" s="37">
        <f t="shared" si="445"/>
        <v>0.29741219624202614</v>
      </c>
      <c r="CH101" s="37">
        <f t="shared" si="445"/>
        <v>0.23561789286924451</v>
      </c>
      <c r="CI101" s="37">
        <f t="shared" si="445"/>
        <v>0.15936778206490806</v>
      </c>
      <c r="CJ101" s="37">
        <f t="shared" si="445"/>
        <v>0.28975369470901519</v>
      </c>
      <c r="CK101" s="37">
        <f t="shared" si="445"/>
        <v>0.27381801467674688</v>
      </c>
      <c r="CL101" s="37">
        <f t="shared" si="445"/>
        <v>0.26149851801730795</v>
      </c>
      <c r="CM101" s="37">
        <f t="shared" si="445"/>
        <v>0.24688982395963269</v>
      </c>
      <c r="CN101" s="37">
        <f t="shared" si="445"/>
        <v>0.23140221907522948</v>
      </c>
      <c r="CO101" s="37">
        <f t="shared" si="445"/>
        <v>0.2470551304653891</v>
      </c>
      <c r="CP101" s="37">
        <f t="shared" si="445"/>
        <v>0.28883296952419502</v>
      </c>
      <c r="CQ101" s="37">
        <f>CQ100/CQ17</f>
        <v>0.34194850881826577</v>
      </c>
      <c r="CR101" s="37">
        <f>CR100/CR17</f>
        <v>0.35377850623189017</v>
      </c>
      <c r="CS101" s="38">
        <f>CS100/CS17</f>
        <v>0.36295746857679539</v>
      </c>
      <c r="CT101" s="37"/>
    </row>
    <row r="102" spans="1:104" ht="14.25" hidden="1" customHeight="1" outlineLevel="1">
      <c r="A102" s="8"/>
      <c r="B102" s="23"/>
      <c r="C102" s="24"/>
      <c r="D102" s="42"/>
      <c r="E102" s="42"/>
      <c r="F102" s="42"/>
      <c r="G102" s="43"/>
      <c r="H102" s="42"/>
      <c r="I102" s="42"/>
      <c r="J102" s="42"/>
      <c r="K102" s="43"/>
      <c r="L102" s="42"/>
      <c r="M102" s="42"/>
      <c r="N102" s="42"/>
      <c r="O102" s="43"/>
      <c r="P102" s="42"/>
      <c r="Q102" s="42"/>
      <c r="R102" s="42"/>
      <c r="S102" s="43"/>
      <c r="T102" s="42"/>
      <c r="U102" s="42"/>
      <c r="V102" s="42"/>
      <c r="W102" s="43"/>
      <c r="X102" s="42"/>
      <c r="Y102" s="42"/>
      <c r="Z102" s="42"/>
      <c r="AA102" s="43"/>
      <c r="AB102" s="42"/>
      <c r="AC102" s="42"/>
      <c r="AD102" s="42"/>
      <c r="AE102" s="43" t="s">
        <v>97</v>
      </c>
      <c r="AF102" s="42"/>
      <c r="AG102" s="42"/>
      <c r="AH102" s="42"/>
      <c r="AI102" s="43" t="s">
        <v>97</v>
      </c>
      <c r="AJ102" s="1257"/>
      <c r="AK102" s="42"/>
      <c r="AL102" s="42"/>
      <c r="AM102" s="43" t="s">
        <v>97</v>
      </c>
      <c r="AN102" s="1257"/>
      <c r="AO102" s="42"/>
      <c r="AP102" s="42"/>
      <c r="AQ102" s="43" t="s">
        <v>97</v>
      </c>
      <c r="AR102" s="1257"/>
      <c r="AS102" s="42"/>
      <c r="AT102" s="42"/>
      <c r="AU102" s="42"/>
      <c r="AV102" s="1257"/>
      <c r="AW102" s="42"/>
      <c r="AX102" s="42"/>
      <c r="AY102" s="42"/>
      <c r="AZ102" s="1257"/>
      <c r="BA102" s="42"/>
      <c r="BB102" s="42"/>
      <c r="BC102" s="43"/>
      <c r="BD102" s="1257"/>
      <c r="BE102" s="42"/>
      <c r="BF102" s="42"/>
      <c r="BG102" s="43"/>
      <c r="BH102" s="1257"/>
      <c r="BI102" s="42"/>
      <c r="BJ102" s="42"/>
      <c r="BK102" s="43"/>
      <c r="BL102" s="20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5"/>
      <c r="CB102" s="54"/>
      <c r="CC102" s="44"/>
      <c r="CD102" s="44"/>
      <c r="CE102" s="260"/>
      <c r="CF102" s="111"/>
      <c r="CG102" s="112"/>
      <c r="CH102" s="112"/>
      <c r="CI102" s="112"/>
      <c r="CJ102" s="112"/>
      <c r="CK102" s="112"/>
      <c r="CL102" s="112"/>
      <c r="CM102" s="112"/>
      <c r="CN102" s="112"/>
      <c r="CO102" s="112"/>
      <c r="CP102" s="112"/>
      <c r="CQ102" s="112"/>
      <c r="CR102" s="112"/>
      <c r="CS102" s="113"/>
      <c r="CT102" s="112"/>
    </row>
    <row r="103" spans="1:104" s="753" customFormat="1" ht="14.25" hidden="1" customHeight="1" outlineLevel="1">
      <c r="A103" s="744"/>
      <c r="B103" s="745" t="s">
        <v>339</v>
      </c>
      <c r="C103" s="746"/>
      <c r="D103" s="747">
        <v>41.05</v>
      </c>
      <c r="E103" s="747">
        <v>46.758000000000003</v>
      </c>
      <c r="F103" s="747">
        <v>50.936</v>
      </c>
      <c r="G103" s="748">
        <f>185.796-F103-E103-D103</f>
        <v>47.051999999999978</v>
      </c>
      <c r="H103" s="747">
        <v>9.1809999999999992</v>
      </c>
      <c r="I103" s="747">
        <v>44.045000000000002</v>
      </c>
      <c r="J103" s="747">
        <v>25.263000000000002</v>
      </c>
      <c r="K103" s="748">
        <f>127.453-J103-I103-H103</f>
        <v>48.963999999999999</v>
      </c>
      <c r="L103" s="747">
        <v>43.267000000000003</v>
      </c>
      <c r="M103" s="747">
        <v>55.482999999999997</v>
      </c>
      <c r="N103" s="747">
        <v>31.640999999999998</v>
      </c>
      <c r="O103" s="748">
        <f>165.055-N103-M103-L103</f>
        <v>34.664000000000009</v>
      </c>
      <c r="P103" s="747">
        <v>35.119</v>
      </c>
      <c r="Q103" s="747">
        <v>-34.670999999999999</v>
      </c>
      <c r="R103" s="747">
        <v>9.2439999999999998</v>
      </c>
      <c r="S103" s="748">
        <f>24.164-R103-Q103-P103</f>
        <v>14.472000000000001</v>
      </c>
      <c r="T103" s="747">
        <v>50.048000000000002</v>
      </c>
      <c r="U103" s="747">
        <v>54.124000000000002</v>
      </c>
      <c r="V103" s="747">
        <v>-13.714</v>
      </c>
      <c r="W103" s="748">
        <f>174.924-V103-U103-T103</f>
        <v>84.466000000000008</v>
      </c>
      <c r="X103" s="747">
        <v>57.896999999999998</v>
      </c>
      <c r="Y103" s="747">
        <v>38.308999999999997</v>
      </c>
      <c r="Z103" s="747">
        <v>26.149000000000001</v>
      </c>
      <c r="AA103" s="748">
        <f>172.662-Z103-Y103-X103</f>
        <v>50.307000000000009</v>
      </c>
      <c r="AB103" s="747">
        <v>34.834000000000003</v>
      </c>
      <c r="AC103" s="747">
        <v>28.754000000000001</v>
      </c>
      <c r="AD103" s="747">
        <v>88.947999999999993</v>
      </c>
      <c r="AE103" s="776">
        <v>25.279</v>
      </c>
      <c r="AF103" s="747">
        <v>31.773</v>
      </c>
      <c r="AG103" s="747">
        <v>38.128</v>
      </c>
      <c r="AH103" s="747">
        <v>22.824000000000002</v>
      </c>
      <c r="AI103" s="776">
        <v>25.245999999999999</v>
      </c>
      <c r="AJ103" s="1252">
        <v>22.026</v>
      </c>
      <c r="AK103" s="747">
        <v>20.207999999999998</v>
      </c>
      <c r="AL103" s="747">
        <v>-10.632</v>
      </c>
      <c r="AM103" s="776">
        <v>22.814</v>
      </c>
      <c r="AN103" s="1252">
        <v>-5.4989999999999997</v>
      </c>
      <c r="AO103" s="747">
        <v>0.35899999999999999</v>
      </c>
      <c r="AP103" s="747">
        <v>20.483000000000001</v>
      </c>
      <c r="AQ103" s="776">
        <v>24.789000000000001</v>
      </c>
      <c r="AR103" s="1252">
        <v>-10.023999999999999</v>
      </c>
      <c r="AS103" s="747">
        <v>12.471</v>
      </c>
      <c r="AT103" s="747">
        <v>31.524999999999999</v>
      </c>
      <c r="AU103" s="747">
        <v>23.606999999999999</v>
      </c>
      <c r="AV103" s="1252">
        <v>27.588999999999999</v>
      </c>
      <c r="AW103" s="747">
        <v>17.960999999999999</v>
      </c>
      <c r="AX103" s="747">
        <v>30.155000000000001</v>
      </c>
      <c r="AY103" s="747">
        <v>32.271000000000001</v>
      </c>
      <c r="AZ103" s="1252">
        <v>26.419</v>
      </c>
      <c r="BA103" s="747">
        <v>272.94200000000001</v>
      </c>
      <c r="BB103" s="747">
        <v>28.677</v>
      </c>
      <c r="BC103" s="749">
        <f t="shared" ref="BC103:BG103" si="446">BC96*BC104</f>
        <v>25.394034985139999</v>
      </c>
      <c r="BD103" s="752">
        <f t="shared" si="446"/>
        <v>25.392190496431692</v>
      </c>
      <c r="BE103" s="750">
        <f t="shared" si="446"/>
        <v>25.543682374652221</v>
      </c>
      <c r="BF103" s="750">
        <f t="shared" si="446"/>
        <v>27.944920380000081</v>
      </c>
      <c r="BG103" s="749">
        <f t="shared" si="446"/>
        <v>28.682278762550997</v>
      </c>
      <c r="BH103" s="752">
        <f>BH96*BH104</f>
        <v>27.896016872741377</v>
      </c>
      <c r="BI103" s="750">
        <f>BI96*BI104</f>
        <v>27.862744373526372</v>
      </c>
      <c r="BJ103" s="750">
        <f>BJ96*BJ104</f>
        <v>29.756580161229788</v>
      </c>
      <c r="BK103" s="749">
        <f>BK96*BK104</f>
        <v>31.146821815187398</v>
      </c>
      <c r="BL103" s="751"/>
      <c r="BM103" s="750">
        <f>SUM(D103:G103)</f>
        <v>185.79599999999999</v>
      </c>
      <c r="BN103" s="750">
        <f>SUM(H103:K103)</f>
        <v>127.453</v>
      </c>
      <c r="BO103" s="750">
        <f>SUM(L103:O103)</f>
        <v>165.05500000000001</v>
      </c>
      <c r="BP103" s="750">
        <f>SUM(P103:S103)</f>
        <v>24.164000000000001</v>
      </c>
      <c r="BQ103" s="750">
        <f>SUM(T103:W103)</f>
        <v>174.92400000000001</v>
      </c>
      <c r="BR103" s="750">
        <f>SUM(X103:AA103)</f>
        <v>172.66200000000001</v>
      </c>
      <c r="BS103" s="750">
        <f>SUM(AB103:AE103)</f>
        <v>177.815</v>
      </c>
      <c r="BT103" s="750">
        <f>SUM(AF103:AI103)</f>
        <v>117.97099999999999</v>
      </c>
      <c r="BU103" s="750">
        <f>SUM(AJ103:AM103)</f>
        <v>54.415999999999997</v>
      </c>
      <c r="BV103" s="750">
        <f>SUM(AN103:AQ103)</f>
        <v>40.132000000000005</v>
      </c>
      <c r="BW103" s="750">
        <f>SUM(AR103:AU103)</f>
        <v>57.579000000000001</v>
      </c>
      <c r="BX103" s="750">
        <f>SUM(AV103:AY103)</f>
        <v>107.976</v>
      </c>
      <c r="BY103" s="750">
        <f>SUM(AZ103:BC103)</f>
        <v>353.43203498514004</v>
      </c>
      <c r="BZ103" s="750">
        <f>SUM(BD103:BG103)</f>
        <v>107.56307201363499</v>
      </c>
      <c r="CA103" s="749">
        <f>SUM(BH103:BK103)</f>
        <v>116.66216322268494</v>
      </c>
      <c r="CB103" s="752"/>
      <c r="CC103" s="750"/>
      <c r="CD103" s="750"/>
      <c r="CE103" s="1423"/>
      <c r="CF103" s="752">
        <f>SUM(F103:I103)</f>
        <v>151.21399999999997</v>
      </c>
      <c r="CG103" s="750">
        <f>SUM(J103:M103)</f>
        <v>172.977</v>
      </c>
      <c r="CH103" s="750">
        <f>SUM(N103:Q103)</f>
        <v>66.753000000000014</v>
      </c>
      <c r="CI103" s="750">
        <f>SUM(R103:U103)</f>
        <v>127.88800000000001</v>
      </c>
      <c r="CJ103" s="750">
        <f>SUM(V103:Y103)</f>
        <v>166.958</v>
      </c>
      <c r="CK103" s="750">
        <f>SUM(Z103:AC103)</f>
        <v>140.04400000000001</v>
      </c>
      <c r="CL103" s="750">
        <f>SUM(AD103:AG103)</f>
        <v>184.12799999999999</v>
      </c>
      <c r="CM103" s="750">
        <f>SUM(AH103:AK103)</f>
        <v>90.304000000000002</v>
      </c>
      <c r="CN103" s="750">
        <f>SUM(AL103:AO103)</f>
        <v>7.0420000000000007</v>
      </c>
      <c r="CO103" s="750">
        <f>SUM(AP103:AS103)</f>
        <v>47.719000000000008</v>
      </c>
      <c r="CP103" s="750">
        <f>SUM(AT103:AW103)</f>
        <v>100.682</v>
      </c>
      <c r="CQ103" s="750">
        <f>SUM(AX103:BA103)</f>
        <v>361.78700000000003</v>
      </c>
      <c r="CR103" s="750">
        <f>SUM(BB103:BE103)</f>
        <v>105.00690785622392</v>
      </c>
      <c r="CS103" s="749">
        <f>SUM(BF103:BI103)</f>
        <v>112.38596038881883</v>
      </c>
      <c r="CT103" s="750"/>
      <c r="CU103"/>
      <c r="CV103"/>
      <c r="CW103"/>
      <c r="CX103"/>
      <c r="CY103"/>
      <c r="CZ103"/>
    </row>
    <row r="104" spans="1:104" ht="14.25" hidden="1" customHeight="1" outlineLevel="1">
      <c r="A104" s="8"/>
      <c r="B104" s="35" t="s">
        <v>340</v>
      </c>
      <c r="C104" s="36"/>
      <c r="D104" s="61">
        <f t="shared" ref="D104:W104" si="447">D103/D96</f>
        <v>0.32531600427943091</v>
      </c>
      <c r="E104" s="37">
        <f t="shared" si="447"/>
        <v>0.32374384645742899</v>
      </c>
      <c r="F104" s="37">
        <f t="shared" si="447"/>
        <v>0.32228591675841206</v>
      </c>
      <c r="G104" s="38">
        <f t="shared" si="447"/>
        <v>0.32858918669776699</v>
      </c>
      <c r="H104" s="61">
        <f t="shared" si="447"/>
        <v>0.31102002100342158</v>
      </c>
      <c r="I104" s="37">
        <f t="shared" si="447"/>
        <v>0.31102370545077079</v>
      </c>
      <c r="J104" s="37">
        <f t="shared" si="447"/>
        <v>0.24931166178168584</v>
      </c>
      <c r="K104" s="38">
        <f t="shared" si="447"/>
        <v>0.34672879327559752</v>
      </c>
      <c r="L104" s="61">
        <f t="shared" si="447"/>
        <v>0.34097231525773675</v>
      </c>
      <c r="M104" s="37">
        <f t="shared" si="447"/>
        <v>0.34142754287613158</v>
      </c>
      <c r="N104" s="37">
        <f t="shared" si="447"/>
        <v>0.34142630539639368</v>
      </c>
      <c r="O104" s="38">
        <f t="shared" si="447"/>
        <v>0.3441927892683026</v>
      </c>
      <c r="P104" s="61">
        <f t="shared" si="447"/>
        <v>0.34200377850924163</v>
      </c>
      <c r="Q104" s="37">
        <f t="shared" si="447"/>
        <v>0.47200326730651454</v>
      </c>
      <c r="R104" s="37">
        <f t="shared" si="447"/>
        <v>-0.5380048888371548</v>
      </c>
      <c r="S104" s="38">
        <f t="shared" si="447"/>
        <v>0.64120513956578917</v>
      </c>
      <c r="T104" s="61">
        <f t="shared" si="447"/>
        <v>0.54400000000000015</v>
      </c>
      <c r="U104" s="37">
        <f t="shared" si="447"/>
        <v>0.47999716208905729</v>
      </c>
      <c r="V104" s="37">
        <f t="shared" si="447"/>
        <v>0.28800638427452363</v>
      </c>
      <c r="W104" s="38">
        <f t="shared" si="447"/>
        <v>0.59099782397268441</v>
      </c>
      <c r="X104" s="61">
        <f t="shared" ref="X104:AK104" si="448">X103/X96</f>
        <v>0.32999709313923858</v>
      </c>
      <c r="Y104" s="37">
        <f t="shared" si="448"/>
        <v>0.25902135917078534</v>
      </c>
      <c r="Z104" s="37">
        <f t="shared" si="448"/>
        <v>0.16099122672002464</v>
      </c>
      <c r="AA104" s="38">
        <f t="shared" si="448"/>
        <v>0.28599772598067136</v>
      </c>
      <c r="AB104" s="61">
        <f t="shared" si="448"/>
        <v>0.20700023769907303</v>
      </c>
      <c r="AC104" s="37">
        <f t="shared" si="448"/>
        <v>0.24600458574312986</v>
      </c>
      <c r="AD104" s="37">
        <f t="shared" si="448"/>
        <v>0.79662534928709627</v>
      </c>
      <c r="AE104" s="38">
        <f t="shared" si="448"/>
        <v>0.18599398144401197</v>
      </c>
      <c r="AF104" s="61">
        <f t="shared" si="448"/>
        <v>0.1990028873676101</v>
      </c>
      <c r="AG104" s="37">
        <f t="shared" si="448"/>
        <v>0.33227015250544661</v>
      </c>
      <c r="AH104" s="37">
        <f>AH103/AH96</f>
        <v>0.15054515233264518</v>
      </c>
      <c r="AI104" s="38">
        <f t="shared" si="448"/>
        <v>0.17500346596423125</v>
      </c>
      <c r="AJ104" s="1251">
        <f t="shared" si="448"/>
        <v>0.17600242916273787</v>
      </c>
      <c r="AK104" s="37">
        <f t="shared" si="448"/>
        <v>0.31300630411548763</v>
      </c>
      <c r="AL104" s="37">
        <f t="shared" ref="AL104:AQ104" si="449">AL103/AL96</f>
        <v>-9.5003216813210375E-2</v>
      </c>
      <c r="AM104" s="38">
        <f t="shared" si="449"/>
        <v>0.21201222968765976</v>
      </c>
      <c r="AN104" s="1251">
        <f t="shared" si="449"/>
        <v>-5.8202178215725896E-2</v>
      </c>
      <c r="AO104" s="37">
        <f t="shared" si="449"/>
        <v>-5.0087199162888018E-3</v>
      </c>
      <c r="AP104" s="37">
        <f t="shared" si="449"/>
        <v>0.20500220184955362</v>
      </c>
      <c r="AQ104" s="38">
        <f t="shared" si="449"/>
        <v>0.20080519733004981</v>
      </c>
      <c r="AR104" s="1251">
        <f t="shared" ref="AR104:AW104" si="450">AR103/AR96</f>
        <v>0.12199544829432742</v>
      </c>
      <c r="AS104" s="37">
        <f t="shared" si="450"/>
        <v>0.15600450337753319</v>
      </c>
      <c r="AT104" s="37">
        <f t="shared" si="450"/>
        <v>0.18399626462777605</v>
      </c>
      <c r="AU104" s="37">
        <f t="shared" si="450"/>
        <v>0.20360340158349577</v>
      </c>
      <c r="AV104" s="1251">
        <f t="shared" si="450"/>
        <v>0.16700059926272529</v>
      </c>
      <c r="AW104" s="37">
        <f t="shared" si="450"/>
        <v>0.12100001347363878</v>
      </c>
      <c r="AX104" s="37">
        <f>AX103/AX96</f>
        <v>0.17699920172802402</v>
      </c>
      <c r="AY104" s="37">
        <f>AY103/AY96</f>
        <v>0.16500153389917169</v>
      </c>
      <c r="AZ104" s="1251">
        <f>AZ103/AZ96</f>
        <v>0.14600004421061938</v>
      </c>
      <c r="BA104" s="37">
        <f>BA103/BA96</f>
        <v>1.3790033699293178</v>
      </c>
      <c r="BB104" s="37">
        <f>BB103/BB96</f>
        <v>0.12899902835756441</v>
      </c>
      <c r="BC104" s="1333">
        <v>0.12</v>
      </c>
      <c r="BD104" s="1361">
        <f t="shared" ref="BD104:BK104" si="451">BC104</f>
        <v>0.12</v>
      </c>
      <c r="BE104" s="1332">
        <f t="shared" si="451"/>
        <v>0.12</v>
      </c>
      <c r="BF104" s="1332">
        <f t="shared" si="451"/>
        <v>0.12</v>
      </c>
      <c r="BG104" s="1333">
        <f t="shared" si="451"/>
        <v>0.12</v>
      </c>
      <c r="BH104" s="1361">
        <f t="shared" si="451"/>
        <v>0.12</v>
      </c>
      <c r="BI104" s="1332">
        <f t="shared" si="451"/>
        <v>0.12</v>
      </c>
      <c r="BJ104" s="1332">
        <f t="shared" si="451"/>
        <v>0.12</v>
      </c>
      <c r="BK104" s="1333">
        <f t="shared" si="451"/>
        <v>0.12</v>
      </c>
      <c r="BL104" s="20"/>
      <c r="BM104" s="37">
        <f t="shared" ref="BM104:BS104" si="452">BM103/BM96</f>
        <v>0.32490111112276915</v>
      </c>
      <c r="BN104" s="37">
        <f t="shared" si="452"/>
        <v>0.30809562947205593</v>
      </c>
      <c r="BO104" s="37">
        <f t="shared" si="452"/>
        <v>0.34188450225775735</v>
      </c>
      <c r="BP104" s="37">
        <f t="shared" si="452"/>
        <v>0.69799820907593324</v>
      </c>
      <c r="BQ104" s="37">
        <f t="shared" si="452"/>
        <v>0.58295757890842914</v>
      </c>
      <c r="BR104" s="37">
        <f t="shared" si="452"/>
        <v>0.26094841696250881</v>
      </c>
      <c r="BS104" s="37">
        <f t="shared" si="452"/>
        <v>0.33377883480092291</v>
      </c>
      <c r="BT104" s="37">
        <f t="shared" ref="BT104:BY104" si="453">BT103/BT96</f>
        <v>0.20686504874798348</v>
      </c>
      <c r="BU104" s="37">
        <f t="shared" si="453"/>
        <v>0.1329729782565135</v>
      </c>
      <c r="BV104" s="37">
        <f t="shared" si="453"/>
        <v>0.16302555144818656</v>
      </c>
      <c r="BW104" s="37">
        <f t="shared" si="453"/>
        <v>0.20199330653139394</v>
      </c>
      <c r="BX104" s="37">
        <f t="shared" si="453"/>
        <v>0.15888426681420678</v>
      </c>
      <c r="BY104" s="37">
        <f t="shared" si="453"/>
        <v>0.4348327425652283</v>
      </c>
      <c r="BZ104" s="37">
        <f>BZ103/BZ96</f>
        <v>0.12000000000000002</v>
      </c>
      <c r="CA104" s="38">
        <f>CA103/CA96</f>
        <v>0.12000000000000005</v>
      </c>
      <c r="CB104" s="1471"/>
      <c r="CC104" s="1419"/>
      <c r="CD104" s="1419"/>
      <c r="CE104" s="260"/>
      <c r="CF104" s="39">
        <f t="shared" ref="CF104:CL104" si="454">CF103/CF96</f>
        <v>0.32011634897919439</v>
      </c>
      <c r="CG104" s="37">
        <f t="shared" si="454"/>
        <v>0.32517896620696918</v>
      </c>
      <c r="CH104" s="37">
        <f t="shared" si="454"/>
        <v>0.29985850010107173</v>
      </c>
      <c r="CI104" s="37">
        <f t="shared" si="454"/>
        <v>0.60856448105373895</v>
      </c>
      <c r="CJ104" s="37">
        <f t="shared" si="454"/>
        <v>0.39880090767944543</v>
      </c>
      <c r="CK104" s="37">
        <f t="shared" si="454"/>
        <v>0.2246134254172891</v>
      </c>
      <c r="CL104" s="37">
        <f t="shared" si="454"/>
        <v>0.35274914747691488</v>
      </c>
      <c r="CM104" s="37">
        <f t="shared" ref="CM104:CR104" si="455">CM103/CM96</f>
        <v>0.185972947592138</v>
      </c>
      <c r="CN104" s="37">
        <f t="shared" si="455"/>
        <v>2.9060146497472395E-2</v>
      </c>
      <c r="CO104" s="37">
        <f t="shared" si="455"/>
        <v>0.21578930708113056</v>
      </c>
      <c r="CP104" s="37">
        <f t="shared" si="455"/>
        <v>0.16754587117795658</v>
      </c>
      <c r="CQ104" s="37">
        <f t="shared" si="455"/>
        <v>0.4857329285861014</v>
      </c>
      <c r="CR104" s="37">
        <f t="shared" si="455"/>
        <v>0.12233055837600171</v>
      </c>
      <c r="CS104" s="38">
        <f>CS103/CS96</f>
        <v>0.12000000000000001</v>
      </c>
      <c r="CT104" s="37"/>
    </row>
    <row r="105" spans="1:104" ht="14.25" hidden="1" customHeight="1" outlineLevel="1">
      <c r="A105" s="8"/>
      <c r="B105" s="28" t="s">
        <v>341</v>
      </c>
      <c r="C105" s="29"/>
      <c r="D105" s="30">
        <v>0</v>
      </c>
      <c r="E105" s="30">
        <v>0</v>
      </c>
      <c r="F105" s="30">
        <v>0</v>
      </c>
      <c r="G105" s="31">
        <v>0</v>
      </c>
      <c r="H105" s="30">
        <v>0</v>
      </c>
      <c r="I105" s="30">
        <v>0</v>
      </c>
      <c r="J105" s="30">
        <v>0</v>
      </c>
      <c r="K105" s="31">
        <v>0</v>
      </c>
      <c r="L105" s="30">
        <v>0</v>
      </c>
      <c r="M105" s="30">
        <v>0</v>
      </c>
      <c r="N105" s="30">
        <v>0</v>
      </c>
      <c r="O105" s="31">
        <v>0</v>
      </c>
      <c r="P105" s="30">
        <v>0</v>
      </c>
      <c r="Q105" s="30">
        <v>0</v>
      </c>
      <c r="R105" s="30">
        <v>0</v>
      </c>
      <c r="S105" s="31">
        <v>0</v>
      </c>
      <c r="T105" s="30">
        <v>0</v>
      </c>
      <c r="U105" s="30">
        <v>0</v>
      </c>
      <c r="V105" s="30">
        <v>0</v>
      </c>
      <c r="W105" s="31">
        <v>0</v>
      </c>
      <c r="X105" s="30">
        <v>0</v>
      </c>
      <c r="Y105" s="30">
        <v>0</v>
      </c>
      <c r="Z105" s="30">
        <v>0</v>
      </c>
      <c r="AA105" s="31">
        <v>0</v>
      </c>
      <c r="AB105" s="30">
        <v>0</v>
      </c>
      <c r="AC105" s="30">
        <v>0</v>
      </c>
      <c r="AD105" s="30">
        <v>0</v>
      </c>
      <c r="AE105" s="33">
        <v>0</v>
      </c>
      <c r="AF105" s="30">
        <v>0</v>
      </c>
      <c r="AG105" s="32">
        <v>0</v>
      </c>
      <c r="AH105" s="32">
        <v>0</v>
      </c>
      <c r="AI105" s="33">
        <v>0</v>
      </c>
      <c r="AJ105" s="1255">
        <v>0</v>
      </c>
      <c r="AK105" s="32">
        <v>0</v>
      </c>
      <c r="AL105" s="32">
        <v>0</v>
      </c>
      <c r="AM105" s="33">
        <v>0</v>
      </c>
      <c r="AN105" s="34">
        <f>-IF(AN96&lt;0,(AN41+AN53+AN23)*0%,(AN41+AN53+AN23)*AN104)</f>
        <v>1.3048928355965745</v>
      </c>
      <c r="AO105" s="32">
        <f>-IF(AO96&lt;0,(AO41+AO53+AO23)*0%,(AO41+AO53+AO23)*AO104)</f>
        <v>0</v>
      </c>
      <c r="AP105" s="32">
        <v>0</v>
      </c>
      <c r="AQ105" s="33">
        <v>0</v>
      </c>
      <c r="AR105" s="34">
        <f>-IF(AR96&lt;0,(AR41+AR53+AR23)*0%,(AR41+AR53+AR23)*AR104)</f>
        <v>0</v>
      </c>
      <c r="AS105" s="32">
        <f>-IF(AS96&lt;0,(AS41+AS53+AS23)*0%,(AS41+AS53+AS23)*AS104)</f>
        <v>0</v>
      </c>
      <c r="AT105" s="32">
        <v>0</v>
      </c>
      <c r="AU105" s="32">
        <v>0</v>
      </c>
      <c r="AV105" s="34">
        <f>-IF(AV96&lt;0,(AV41+AV53+AV23)*0%,(AV41+AV53+AV23)*AV104)</f>
        <v>0</v>
      </c>
      <c r="AW105" s="32">
        <f>-IF(AW96&lt;0,(AW41+AW53+AW23)*0%,(AW41+AW53+AW23)*AW104)</f>
        <v>0</v>
      </c>
      <c r="AX105" s="32">
        <v>0</v>
      </c>
      <c r="AY105" s="32">
        <v>0</v>
      </c>
      <c r="AZ105" s="34">
        <f>-IF(AZ96&lt;0,(AZ41+AZ53+AZ23)*0%,(AZ41+AZ53+AZ23)*AZ104)</f>
        <v>0</v>
      </c>
      <c r="BA105" s="32">
        <f>-IF(BA96&lt;0,(BA41+BA53+BA23)*0%,(BA41+BA53+BA23)*BA104)</f>
        <v>0</v>
      </c>
      <c r="BB105" s="32">
        <v>0</v>
      </c>
      <c r="BC105" s="33">
        <f t="shared" ref="BC105:BG105" si="456">-IF(BC96&lt;0,(BC41+BC53+BC23)*0%,(BC41+BC53+BC23)*BC104)</f>
        <v>0</v>
      </c>
      <c r="BD105" s="34">
        <f t="shared" si="456"/>
        <v>0</v>
      </c>
      <c r="BE105" s="32">
        <f t="shared" si="456"/>
        <v>0</v>
      </c>
      <c r="BF105" s="32">
        <f t="shared" si="456"/>
        <v>0</v>
      </c>
      <c r="BG105" s="33">
        <f t="shared" si="456"/>
        <v>0</v>
      </c>
      <c r="BH105" s="34">
        <f>-IF(BH96&lt;0,(BH41+BH53+BH23)*0%,(BH41+BH53+BH23)*BH104)</f>
        <v>0</v>
      </c>
      <c r="BI105" s="32">
        <f>-IF(BI96&lt;0,(BI41+BI53+BI23)*0%,(BI41+BI53+BI23)*BI104)</f>
        <v>0</v>
      </c>
      <c r="BJ105" s="32">
        <f>-IF(BJ96&lt;0,(BJ41+BJ53+BJ23)*0%,(BJ41+BJ53+BJ23)*BJ104)</f>
        <v>0</v>
      </c>
      <c r="BK105" s="33">
        <f>-IF(BK96&lt;0,(BK41+BK53+BK23)*0%,(BK41+BK53+BK23)*BK104)</f>
        <v>0</v>
      </c>
      <c r="BL105" s="20"/>
      <c r="BM105" s="32">
        <f>SUM(D105:G105)</f>
        <v>0</v>
      </c>
      <c r="BN105" s="32">
        <f>SUM(H105:K105)</f>
        <v>0</v>
      </c>
      <c r="BO105" s="32">
        <f>SUM(L105:O105)</f>
        <v>0</v>
      </c>
      <c r="BP105" s="32">
        <f>SUM(P105:S105)</f>
        <v>0</v>
      </c>
      <c r="BQ105" s="32">
        <f>SUM(T105:W105)</f>
        <v>0</v>
      </c>
      <c r="BR105" s="32">
        <f>SUM(X105:AA105)</f>
        <v>0</v>
      </c>
      <c r="BS105" s="32">
        <f>SUM(AB105:AE105)</f>
        <v>0</v>
      </c>
      <c r="BT105" s="32">
        <f>SUM(AF105:AI105)</f>
        <v>0</v>
      </c>
      <c r="BU105" s="32">
        <f>SUM(AJ105:AM105)</f>
        <v>0</v>
      </c>
      <c r="BV105" s="32">
        <f>SUM(AN105:AQ105)</f>
        <v>1.3048928355965745</v>
      </c>
      <c r="BW105" s="32">
        <f>SUM(AR105:AU105)</f>
        <v>0</v>
      </c>
      <c r="BX105" s="32">
        <f>SUM(AV105:AY105)</f>
        <v>0</v>
      </c>
      <c r="BY105" s="32">
        <f>SUM(AZ105:BC105)</f>
        <v>0</v>
      </c>
      <c r="BZ105" s="32">
        <f>SUM(BD105:BG105)</f>
        <v>0</v>
      </c>
      <c r="CA105" s="33">
        <f>SUM(BH105:BK105)</f>
        <v>0</v>
      </c>
      <c r="CB105" s="34"/>
      <c r="CC105" s="32"/>
      <c r="CD105" s="32"/>
      <c r="CE105" s="260"/>
      <c r="CF105" s="34">
        <f>SUM(F105:I105)</f>
        <v>0</v>
      </c>
      <c r="CG105" s="32">
        <f>SUM(J105:M105)</f>
        <v>0</v>
      </c>
      <c r="CH105" s="32">
        <f>SUM(N105:Q105)</f>
        <v>0</v>
      </c>
      <c r="CI105" s="32">
        <f>SUM(R105:U105)</f>
        <v>0</v>
      </c>
      <c r="CJ105" s="32">
        <f>SUM(V105:Y105)</f>
        <v>0</v>
      </c>
      <c r="CK105" s="32">
        <f>SUM(Z105:AC105)</f>
        <v>0</v>
      </c>
      <c r="CL105" s="32">
        <f>SUM(AD105:AG105)</f>
        <v>0</v>
      </c>
      <c r="CM105" s="32">
        <f>SUM(AH105:AK105)</f>
        <v>0</v>
      </c>
      <c r="CN105" s="32">
        <f>SUM(AL105:AO105)</f>
        <v>1.3048928355965745</v>
      </c>
      <c r="CO105" s="32">
        <f>SUM(AP105:AS105)</f>
        <v>0</v>
      </c>
      <c r="CP105" s="32">
        <f>SUM(AT105:AW105)</f>
        <v>0</v>
      </c>
      <c r="CQ105" s="32">
        <f>SUM(AX105:BA105)</f>
        <v>0</v>
      </c>
      <c r="CR105" s="32">
        <f>SUM(BB105:BE105)</f>
        <v>0</v>
      </c>
      <c r="CS105" s="33">
        <f>SUM(BF105:BI105)</f>
        <v>0</v>
      </c>
      <c r="CT105" s="32"/>
    </row>
    <row r="106" spans="1:104" ht="14.25" hidden="1" customHeight="1" outlineLevel="1">
      <c r="A106" s="8"/>
      <c r="B106" s="28" t="s">
        <v>342</v>
      </c>
      <c r="C106" s="29"/>
      <c r="D106" s="30">
        <v>0</v>
      </c>
      <c r="E106" s="30">
        <v>0</v>
      </c>
      <c r="F106" s="30">
        <v>0</v>
      </c>
      <c r="G106" s="31">
        <v>0</v>
      </c>
      <c r="H106" s="30">
        <v>0</v>
      </c>
      <c r="I106" s="30">
        <v>0</v>
      </c>
      <c r="J106" s="30">
        <v>0</v>
      </c>
      <c r="K106" s="31">
        <v>0</v>
      </c>
      <c r="L106" s="30">
        <v>0</v>
      </c>
      <c r="M106" s="30">
        <v>0</v>
      </c>
      <c r="N106" s="30">
        <v>0</v>
      </c>
      <c r="O106" s="31">
        <v>0</v>
      </c>
      <c r="P106" s="30">
        <v>0</v>
      </c>
      <c r="Q106" s="30">
        <v>0</v>
      </c>
      <c r="R106" s="30">
        <v>0</v>
      </c>
      <c r="S106" s="31">
        <v>-8.8109999999999999</v>
      </c>
      <c r="T106" s="30">
        <v>1.52</v>
      </c>
      <c r="U106" s="30">
        <v>-2.2490000000000001</v>
      </c>
      <c r="V106" s="30">
        <v>-65.290999999999997</v>
      </c>
      <c r="W106" s="31">
        <v>-6.8730000000000002</v>
      </c>
      <c r="X106" s="30">
        <v>-6.4550000000000001</v>
      </c>
      <c r="Y106" s="30">
        <v>-12.48</v>
      </c>
      <c r="Z106" s="30">
        <f>-4.233-37.324</f>
        <v>-41.556999999999995</v>
      </c>
      <c r="AA106" s="31">
        <f>-3.315-1.624</f>
        <v>-4.9390000000000001</v>
      </c>
      <c r="AB106" s="30">
        <v>-3.4740000000000002</v>
      </c>
      <c r="AC106" s="30">
        <v>-6.1020000000000003</v>
      </c>
      <c r="AD106" s="30">
        <f>-5.445-2.272+65.293</f>
        <v>57.576000000000008</v>
      </c>
      <c r="AE106" s="31">
        <f>-10.613+2.751</f>
        <v>-7.8620000000000001</v>
      </c>
      <c r="AF106" s="30">
        <v>-5.3710000000000004</v>
      </c>
      <c r="AG106" s="30">
        <f>-9.555+18.726</f>
        <v>9.1709999999999994</v>
      </c>
      <c r="AH106" s="30">
        <f>-3.806-3.899</f>
        <v>-7.7050000000000001</v>
      </c>
      <c r="AI106" s="31">
        <v>-4.2309999999999999</v>
      </c>
      <c r="AJ106" s="1255">
        <v>-2.9809999999999999</v>
      </c>
      <c r="AK106" s="30">
        <v>-4.8620000000000001</v>
      </c>
      <c r="AL106" s="30">
        <f>+-3.658-34.562</f>
        <v>-38.22</v>
      </c>
      <c r="AM106" s="31">
        <f>-6.85-1.041</f>
        <v>-7.891</v>
      </c>
      <c r="AN106" s="1255">
        <f>-21.747-5.873</f>
        <v>-27.62</v>
      </c>
      <c r="AO106" s="30">
        <f>-21.283-2.863</f>
        <v>-24.146000000000001</v>
      </c>
      <c r="AP106" s="30">
        <v>-3.91</v>
      </c>
      <c r="AQ106" s="31">
        <v>-4.2670000000000003</v>
      </c>
      <c r="AR106" s="1255">
        <f>-36.434</f>
        <v>-36.433999999999997</v>
      </c>
      <c r="AS106" s="30">
        <f>-5.428-2.475</f>
        <v>-7.9030000000000005</v>
      </c>
      <c r="AT106" s="30">
        <v>5.6980000000000004</v>
      </c>
      <c r="AU106" s="30">
        <v>-7.2279999999999998</v>
      </c>
      <c r="AV106" s="1255">
        <v>-2.754</v>
      </c>
      <c r="AW106" s="30">
        <v>-11.167</v>
      </c>
      <c r="AX106" s="30">
        <v>1.9570000000000001</v>
      </c>
      <c r="AY106" s="30">
        <v>0.499</v>
      </c>
      <c r="AZ106" s="1255">
        <f>-1.345</f>
        <v>-1.345</v>
      </c>
      <c r="BA106" s="30">
        <f>243.55-0.897</f>
        <v>242.65300000000002</v>
      </c>
      <c r="BB106" s="30">
        <v>0.151</v>
      </c>
      <c r="BC106" s="33">
        <f t="shared" ref="BC106:BG106" si="457">-IF(BC96&lt;0,(BC24+BC42+BC54)*0%,(BC24+BC42+BC54)*BC104)</f>
        <v>-1.3199999999999998</v>
      </c>
      <c r="BD106" s="34">
        <f t="shared" si="457"/>
        <v>0</v>
      </c>
      <c r="BE106" s="32">
        <f t="shared" si="457"/>
        <v>0</v>
      </c>
      <c r="BF106" s="32">
        <f t="shared" si="457"/>
        <v>0</v>
      </c>
      <c r="BG106" s="33">
        <f t="shared" si="457"/>
        <v>0</v>
      </c>
      <c r="BH106" s="34">
        <f>-IF(BH96&lt;0,(BH24+BH42+BH54)*0%,(BH24+BH42+BH54)*BH104)</f>
        <v>0</v>
      </c>
      <c r="BI106" s="32">
        <f>-IF(BI96&lt;0,(BI24+BI42+BI54)*0%,(BI24+BI42+BI54)*BI104)</f>
        <v>0</v>
      </c>
      <c r="BJ106" s="32">
        <f>-IF(BJ96&lt;0,(BJ24+BJ42+BJ54)*0%,(BJ24+BJ42+BJ54)*BJ104)</f>
        <v>0</v>
      </c>
      <c r="BK106" s="33">
        <f>-IF(BK96&lt;0,(BK24+BK42+BK54)*0%,(BK24+BK42+BK54)*BK104)</f>
        <v>0</v>
      </c>
      <c r="BL106" s="20"/>
      <c r="BM106" s="32">
        <f>SUM(D106:G106)</f>
        <v>0</v>
      </c>
      <c r="BN106" s="32">
        <f>SUM(H106:K106)</f>
        <v>0</v>
      </c>
      <c r="BO106" s="32">
        <f>SUM(L106:O106)</f>
        <v>0</v>
      </c>
      <c r="BP106" s="32">
        <f>SUM(P106:S106)</f>
        <v>-8.8109999999999999</v>
      </c>
      <c r="BQ106" s="32">
        <f>SUM(T106:W106)</f>
        <v>-72.893000000000001</v>
      </c>
      <c r="BR106" s="32">
        <f>SUM(X106:AA106)</f>
        <v>-65.430999999999997</v>
      </c>
      <c r="BS106" s="32">
        <f>SUM(AB106:AE106)</f>
        <v>40.138000000000005</v>
      </c>
      <c r="BT106" s="32">
        <f>SUM(AF106:AI106)</f>
        <v>-8.136000000000001</v>
      </c>
      <c r="BU106" s="32">
        <f>SUM(AJ106:AM106)</f>
        <v>-53.954000000000001</v>
      </c>
      <c r="BV106" s="32">
        <f>SUM(AN106:AQ106)</f>
        <v>-59.943000000000005</v>
      </c>
      <c r="BW106" s="32">
        <f>SUM(AR106:AU106)</f>
        <v>-45.866999999999997</v>
      </c>
      <c r="BX106" s="32">
        <f>SUM(AV106:AY106)</f>
        <v>-11.464999999999998</v>
      </c>
      <c r="BY106" s="32">
        <f>SUM(AZ106:BC106)</f>
        <v>240.13900000000004</v>
      </c>
      <c r="BZ106" s="32">
        <f>SUM(BD106:BG106)</f>
        <v>0</v>
      </c>
      <c r="CA106" s="33">
        <f>SUM(BH106:BK106)</f>
        <v>0</v>
      </c>
      <c r="CB106" s="34"/>
      <c r="CC106" s="32"/>
      <c r="CD106" s="32"/>
      <c r="CE106" s="260"/>
      <c r="CF106" s="34">
        <f>SUM(F106:I106)</f>
        <v>0</v>
      </c>
      <c r="CG106" s="32">
        <f>SUM(J106:M106)</f>
        <v>0</v>
      </c>
      <c r="CH106" s="32">
        <f>SUM(N106:Q106)</f>
        <v>0</v>
      </c>
      <c r="CI106" s="32">
        <f>SUM(R106:U106)</f>
        <v>-9.5400000000000009</v>
      </c>
      <c r="CJ106" s="32">
        <f>SUM(V106:Y106)</f>
        <v>-91.099000000000004</v>
      </c>
      <c r="CK106" s="32">
        <f>SUM(Z106:AC106)</f>
        <v>-56.072000000000003</v>
      </c>
      <c r="CL106" s="32">
        <f>SUM(AD106:AG106)</f>
        <v>53.514000000000003</v>
      </c>
      <c r="CM106" s="32">
        <f>SUM(AH106:AK106)</f>
        <v>-19.779</v>
      </c>
      <c r="CN106" s="32">
        <f>SUM(AL106:AO106)</f>
        <v>-97.876999999999995</v>
      </c>
      <c r="CO106" s="32">
        <f>SUM(AP106:AS106)</f>
        <v>-52.513999999999996</v>
      </c>
      <c r="CP106" s="32">
        <f>SUM(AT106:AW106)</f>
        <v>-15.450999999999999</v>
      </c>
      <c r="CQ106" s="32">
        <f>SUM(AX106:BA106)</f>
        <v>243.76400000000001</v>
      </c>
      <c r="CR106" s="32">
        <f>SUM(BB106:BE106)</f>
        <v>-1.1689999999999998</v>
      </c>
      <c r="CS106" s="33">
        <f>SUM(BF106:BI106)</f>
        <v>0</v>
      </c>
      <c r="CT106" s="32"/>
    </row>
    <row r="107" spans="1:104" ht="14.25" hidden="1" customHeight="1" outlineLevel="1">
      <c r="A107" s="8"/>
      <c r="B107" s="28" t="s">
        <v>343</v>
      </c>
      <c r="C107" s="29"/>
      <c r="D107" s="30">
        <v>0</v>
      </c>
      <c r="E107" s="30">
        <v>0</v>
      </c>
      <c r="F107" s="30">
        <v>0</v>
      </c>
      <c r="G107" s="31">
        <v>0</v>
      </c>
      <c r="H107" s="30">
        <v>0</v>
      </c>
      <c r="I107" s="30">
        <v>0</v>
      </c>
      <c r="J107" s="30">
        <v>0</v>
      </c>
      <c r="K107" s="31">
        <v>0</v>
      </c>
      <c r="L107" s="30">
        <v>0</v>
      </c>
      <c r="M107" s="30">
        <v>0</v>
      </c>
      <c r="N107" s="30">
        <v>0</v>
      </c>
      <c r="O107" s="31">
        <v>0</v>
      </c>
      <c r="P107" s="30">
        <v>0</v>
      </c>
      <c r="Q107" s="30">
        <v>0</v>
      </c>
      <c r="R107" s="30">
        <v>0</v>
      </c>
      <c r="S107" s="31">
        <v>0</v>
      </c>
      <c r="T107" s="30">
        <v>0</v>
      </c>
      <c r="U107" s="30">
        <v>0</v>
      </c>
      <c r="V107" s="30">
        <v>0</v>
      </c>
      <c r="W107" s="31">
        <v>0</v>
      </c>
      <c r="X107" s="30">
        <v>0</v>
      </c>
      <c r="Y107" s="30">
        <v>0</v>
      </c>
      <c r="Z107" s="30">
        <v>0</v>
      </c>
      <c r="AA107" s="31">
        <v>0</v>
      </c>
      <c r="AB107" s="30">
        <v>0</v>
      </c>
      <c r="AC107" s="30">
        <v>0</v>
      </c>
      <c r="AD107" s="30">
        <v>0</v>
      </c>
      <c r="AE107" s="31">
        <v>0</v>
      </c>
      <c r="AF107" s="30">
        <v>0</v>
      </c>
      <c r="AG107" s="32">
        <v>0</v>
      </c>
      <c r="AH107" s="30">
        <v>0</v>
      </c>
      <c r="AI107" s="31">
        <v>0</v>
      </c>
      <c r="AJ107" s="1255">
        <v>0</v>
      </c>
      <c r="AK107" s="32">
        <v>0</v>
      </c>
      <c r="AL107" s="30">
        <v>0</v>
      </c>
      <c r="AM107" s="31">
        <v>0</v>
      </c>
      <c r="AN107" s="1255">
        <v>0</v>
      </c>
      <c r="AO107" s="32">
        <v>0</v>
      </c>
      <c r="AP107" s="30">
        <v>0</v>
      </c>
      <c r="AQ107" s="31">
        <v>0</v>
      </c>
      <c r="AR107" s="1255">
        <v>0</v>
      </c>
      <c r="AS107" s="32">
        <v>0</v>
      </c>
      <c r="AT107" s="30">
        <v>0</v>
      </c>
      <c r="AU107" s="30">
        <v>0</v>
      </c>
      <c r="AV107" s="1255">
        <v>0</v>
      </c>
      <c r="AW107" s="32">
        <v>0</v>
      </c>
      <c r="AX107" s="30">
        <v>0</v>
      </c>
      <c r="AY107" s="30">
        <v>0</v>
      </c>
      <c r="AZ107" s="1255">
        <v>0</v>
      </c>
      <c r="BA107" s="32">
        <v>0</v>
      </c>
      <c r="BB107" s="30">
        <v>0</v>
      </c>
      <c r="BC107" s="33">
        <f t="shared" ref="BC107:BG107" si="458">BB107</f>
        <v>0</v>
      </c>
      <c r="BD107" s="34">
        <f t="shared" si="458"/>
        <v>0</v>
      </c>
      <c r="BE107" s="32">
        <f t="shared" si="458"/>
        <v>0</v>
      </c>
      <c r="BF107" s="32">
        <f t="shared" si="458"/>
        <v>0</v>
      </c>
      <c r="BG107" s="33">
        <f t="shared" si="458"/>
        <v>0</v>
      </c>
      <c r="BH107" s="34">
        <f>BG107</f>
        <v>0</v>
      </c>
      <c r="BI107" s="32">
        <f>BH107</f>
        <v>0</v>
      </c>
      <c r="BJ107" s="32">
        <f>BI107</f>
        <v>0</v>
      </c>
      <c r="BK107" s="33">
        <f>BJ107</f>
        <v>0</v>
      </c>
      <c r="BL107" s="20"/>
      <c r="BM107" s="32">
        <f>SUM(D107:G107)</f>
        <v>0</v>
      </c>
      <c r="BN107" s="32">
        <f>SUM(H107:K107)</f>
        <v>0</v>
      </c>
      <c r="BO107" s="32">
        <f>SUM(L107:O107)</f>
        <v>0</v>
      </c>
      <c r="BP107" s="32">
        <f>SUM(P107:S107)</f>
        <v>0</v>
      </c>
      <c r="BQ107" s="32">
        <f>SUM(T107:W107)</f>
        <v>0</v>
      </c>
      <c r="BR107" s="32">
        <f>SUM(X107:AA107)</f>
        <v>0</v>
      </c>
      <c r="BS107" s="32">
        <f>SUM(AB107:AE107)</f>
        <v>0</v>
      </c>
      <c r="BT107" s="32">
        <f>SUM(AF107:AI107)</f>
        <v>0</v>
      </c>
      <c r="BU107" s="32">
        <f>SUM(AJ107:AM107)</f>
        <v>0</v>
      </c>
      <c r="BV107" s="32">
        <f>SUM(AN107:AQ107)</f>
        <v>0</v>
      </c>
      <c r="BW107" s="32">
        <f>SUM(AR107:AU107)</f>
        <v>0</v>
      </c>
      <c r="BX107" s="32">
        <f>SUM(AV107:AY107)</f>
        <v>0</v>
      </c>
      <c r="BY107" s="32">
        <f>SUM(AZ107:BC107)</f>
        <v>0</v>
      </c>
      <c r="BZ107" s="32">
        <f>SUM(BD107:BG107)</f>
        <v>0</v>
      </c>
      <c r="CA107" s="33">
        <f>SUM(BH107:BK107)</f>
        <v>0</v>
      </c>
      <c r="CB107" s="34"/>
      <c r="CC107" s="32"/>
      <c r="CD107" s="32"/>
      <c r="CE107" s="260"/>
      <c r="CF107" s="34">
        <f>SUM(F107:I107)</f>
        <v>0</v>
      </c>
      <c r="CG107" s="32">
        <f>SUM(J107:M107)</f>
        <v>0</v>
      </c>
      <c r="CH107" s="32">
        <f>SUM(N107:Q107)</f>
        <v>0</v>
      </c>
      <c r="CI107" s="32">
        <f>SUM(R107:U107)</f>
        <v>0</v>
      </c>
      <c r="CJ107" s="32">
        <f>SUM(V107:Y107)</f>
        <v>0</v>
      </c>
      <c r="CK107" s="32">
        <f>SUM(Z107:AC107)</f>
        <v>0</v>
      </c>
      <c r="CL107" s="32">
        <f>SUM(AD107:AG107)</f>
        <v>0</v>
      </c>
      <c r="CM107" s="32">
        <f>SUM(AH107:AK107)</f>
        <v>0</v>
      </c>
      <c r="CN107" s="32">
        <f>SUM(AL107:AO107)</f>
        <v>0</v>
      </c>
      <c r="CO107" s="32">
        <f>SUM(AP107:AS107)</f>
        <v>0</v>
      </c>
      <c r="CP107" s="32">
        <f>SUM(AT107:AW107)</f>
        <v>0</v>
      </c>
      <c r="CQ107" s="32">
        <f>SUM(AX107:BA107)</f>
        <v>0</v>
      </c>
      <c r="CR107" s="32">
        <f>SUM(BB107:BE107)</f>
        <v>0</v>
      </c>
      <c r="CS107" s="33">
        <f>SUM(BF107:BI107)</f>
        <v>0</v>
      </c>
      <c r="CT107" s="32"/>
    </row>
    <row r="108" spans="1:104" ht="14.25" hidden="1" customHeight="1" outlineLevel="1">
      <c r="A108" s="8"/>
      <c r="B108" s="23" t="s">
        <v>344</v>
      </c>
      <c r="C108" s="24"/>
      <c r="D108" s="32">
        <f>D103-D105-D106-D107</f>
        <v>41.05</v>
      </c>
      <c r="E108" s="32">
        <f t="shared" ref="E108:AK108" si="459">E103-E105-E106-E107</f>
        <v>46.758000000000003</v>
      </c>
      <c r="F108" s="32">
        <f t="shared" si="459"/>
        <v>50.936</v>
      </c>
      <c r="G108" s="33">
        <f t="shared" si="459"/>
        <v>47.051999999999978</v>
      </c>
      <c r="H108" s="32">
        <f t="shared" si="459"/>
        <v>9.1809999999999992</v>
      </c>
      <c r="I108" s="32">
        <f t="shared" si="459"/>
        <v>44.045000000000002</v>
      </c>
      <c r="J108" s="32">
        <f t="shared" si="459"/>
        <v>25.263000000000002</v>
      </c>
      <c r="K108" s="33">
        <f t="shared" si="459"/>
        <v>48.963999999999999</v>
      </c>
      <c r="L108" s="32">
        <f t="shared" si="459"/>
        <v>43.267000000000003</v>
      </c>
      <c r="M108" s="32">
        <f t="shared" si="459"/>
        <v>55.482999999999997</v>
      </c>
      <c r="N108" s="32">
        <f t="shared" si="459"/>
        <v>31.640999999999998</v>
      </c>
      <c r="O108" s="33">
        <f t="shared" si="459"/>
        <v>34.664000000000009</v>
      </c>
      <c r="P108" s="32">
        <f t="shared" si="459"/>
        <v>35.119</v>
      </c>
      <c r="Q108" s="32">
        <f t="shared" si="459"/>
        <v>-34.670999999999999</v>
      </c>
      <c r="R108" s="32">
        <f t="shared" si="459"/>
        <v>9.2439999999999998</v>
      </c>
      <c r="S108" s="33">
        <f t="shared" si="459"/>
        <v>23.283000000000001</v>
      </c>
      <c r="T108" s="32">
        <f t="shared" si="459"/>
        <v>48.527999999999999</v>
      </c>
      <c r="U108" s="32">
        <f t="shared" si="459"/>
        <v>56.373000000000005</v>
      </c>
      <c r="V108" s="32">
        <f t="shared" si="459"/>
        <v>51.576999999999998</v>
      </c>
      <c r="W108" s="33">
        <f t="shared" si="459"/>
        <v>91.339000000000013</v>
      </c>
      <c r="X108" s="32">
        <f t="shared" si="459"/>
        <v>64.352000000000004</v>
      </c>
      <c r="Y108" s="32">
        <f t="shared" si="459"/>
        <v>50.789000000000001</v>
      </c>
      <c r="Z108" s="32">
        <f t="shared" si="459"/>
        <v>67.705999999999989</v>
      </c>
      <c r="AA108" s="33">
        <f t="shared" si="459"/>
        <v>55.246000000000009</v>
      </c>
      <c r="AB108" s="32">
        <f>AB103-AB105-AB106-AB107</f>
        <v>38.308000000000007</v>
      </c>
      <c r="AC108" s="32">
        <f>AC103-AC105-AC106-AC107</f>
        <v>34.856000000000002</v>
      </c>
      <c r="AD108" s="32">
        <f>AD103-AD105-AD106-AD107</f>
        <v>31.371999999999986</v>
      </c>
      <c r="AE108" s="33">
        <f>AE103-AE105-AE106-AE107</f>
        <v>33.140999999999998</v>
      </c>
      <c r="AF108" s="32">
        <f>AF103-AF105-AF106-AF107</f>
        <v>37.143999999999998</v>
      </c>
      <c r="AG108" s="32">
        <f t="shared" si="459"/>
        <v>28.957000000000001</v>
      </c>
      <c r="AH108" s="32">
        <f t="shared" si="459"/>
        <v>30.529000000000003</v>
      </c>
      <c r="AI108" s="33">
        <f>AI103-AI105-AI106-AI107</f>
        <v>29.476999999999997</v>
      </c>
      <c r="AJ108" s="34">
        <f>AJ103-AJ105-AJ106-AJ107</f>
        <v>25.006999999999998</v>
      </c>
      <c r="AK108" s="32">
        <f t="shared" si="459"/>
        <v>25.07</v>
      </c>
      <c r="AL108" s="32">
        <f t="shared" ref="AL108:AQ108" si="460">AL103-AL105-AL106-AL107</f>
        <v>27.588000000000001</v>
      </c>
      <c r="AM108" s="33">
        <f t="shared" si="460"/>
        <v>30.704999999999998</v>
      </c>
      <c r="AN108" s="34">
        <f t="shared" si="460"/>
        <v>20.816107164403427</v>
      </c>
      <c r="AO108" s="32">
        <f t="shared" si="460"/>
        <v>24.505000000000003</v>
      </c>
      <c r="AP108" s="32">
        <f t="shared" si="460"/>
        <v>24.393000000000001</v>
      </c>
      <c r="AQ108" s="33">
        <f t="shared" si="460"/>
        <v>29.056000000000001</v>
      </c>
      <c r="AR108" s="34">
        <f>AR103-AR105-AR106-AR107</f>
        <v>26.409999999999997</v>
      </c>
      <c r="AS108" s="32">
        <f>AS103-AS105-AS106-AS107</f>
        <v>20.374000000000002</v>
      </c>
      <c r="AT108" s="32">
        <f>AT103-AT105-AT106-AT107</f>
        <v>25.826999999999998</v>
      </c>
      <c r="AU108" s="32">
        <f t="shared" ref="AU108:AZ108" si="461">AU103-AU105-AU106-AU107</f>
        <v>30.835000000000001</v>
      </c>
      <c r="AV108" s="34">
        <f t="shared" si="461"/>
        <v>30.343</v>
      </c>
      <c r="AW108" s="32">
        <f t="shared" si="461"/>
        <v>29.128</v>
      </c>
      <c r="AX108" s="32">
        <f t="shared" si="461"/>
        <v>28.198</v>
      </c>
      <c r="AY108" s="32">
        <f t="shared" si="461"/>
        <v>31.772000000000002</v>
      </c>
      <c r="AZ108" s="34">
        <f t="shared" si="461"/>
        <v>27.763999999999999</v>
      </c>
      <c r="BA108" s="32">
        <f>BA103-BA105-BA106-BA107</f>
        <v>30.288999999999987</v>
      </c>
      <c r="BB108" s="32">
        <f t="shared" ref="BB108" si="462">BB103-BB105-BB106-BB107</f>
        <v>28.526</v>
      </c>
      <c r="BC108" s="33">
        <f>BC103-BC105-BC106-BC107</f>
        <v>26.71403498514</v>
      </c>
      <c r="BD108" s="34">
        <f t="shared" ref="BD108:BK108" si="463">BD103-BD105-BD106-BD107</f>
        <v>25.392190496431692</v>
      </c>
      <c r="BE108" s="32">
        <f t="shared" si="463"/>
        <v>25.543682374652221</v>
      </c>
      <c r="BF108" s="32">
        <f t="shared" si="463"/>
        <v>27.944920380000081</v>
      </c>
      <c r="BG108" s="33">
        <f t="shared" si="463"/>
        <v>28.682278762550997</v>
      </c>
      <c r="BH108" s="34">
        <f t="shared" si="463"/>
        <v>27.896016872741377</v>
      </c>
      <c r="BI108" s="32">
        <f t="shared" si="463"/>
        <v>27.862744373526372</v>
      </c>
      <c r="BJ108" s="32">
        <f t="shared" si="463"/>
        <v>29.756580161229788</v>
      </c>
      <c r="BK108" s="33">
        <f t="shared" si="463"/>
        <v>31.146821815187398</v>
      </c>
      <c r="BL108" s="20"/>
      <c r="BM108" s="32">
        <f t="shared" ref="BM108:BW108" si="464">BM103-BM105-BM106-BM107</f>
        <v>185.79599999999999</v>
      </c>
      <c r="BN108" s="32">
        <f t="shared" si="464"/>
        <v>127.453</v>
      </c>
      <c r="BO108" s="32">
        <f t="shared" si="464"/>
        <v>165.05500000000001</v>
      </c>
      <c r="BP108" s="32">
        <f t="shared" si="464"/>
        <v>32.975000000000001</v>
      </c>
      <c r="BQ108" s="32">
        <f t="shared" si="464"/>
        <v>247.81700000000001</v>
      </c>
      <c r="BR108" s="32">
        <f t="shared" si="464"/>
        <v>238.09300000000002</v>
      </c>
      <c r="BS108" s="32">
        <f t="shared" si="464"/>
        <v>137.67699999999999</v>
      </c>
      <c r="BT108" s="32">
        <f t="shared" si="464"/>
        <v>126.10699999999999</v>
      </c>
      <c r="BU108" s="32">
        <f t="shared" si="464"/>
        <v>108.37</v>
      </c>
      <c r="BV108" s="32">
        <f t="shared" si="464"/>
        <v>98.770107164403441</v>
      </c>
      <c r="BW108" s="32">
        <f t="shared" si="464"/>
        <v>103.446</v>
      </c>
      <c r="BX108" s="32">
        <f>BX103-BX105-BX106-BX107</f>
        <v>119.441</v>
      </c>
      <c r="BY108" s="32">
        <f>BY103-BY105-BY106-BY107</f>
        <v>113.29303498514</v>
      </c>
      <c r="BZ108" s="32">
        <f>BZ103-BZ105-BZ106-BZ107</f>
        <v>107.56307201363499</v>
      </c>
      <c r="CA108" s="33">
        <f>CA103-CA105-CA106-CA107</f>
        <v>116.66216322268494</v>
      </c>
      <c r="CB108" s="34"/>
      <c r="CC108" s="32"/>
      <c r="CD108" s="32"/>
      <c r="CE108" s="260"/>
      <c r="CF108" s="34">
        <f t="shared" ref="CF108:CN108" si="465">CF103-CF105-CF106-CF107</f>
        <v>151.21399999999997</v>
      </c>
      <c r="CG108" s="32">
        <f t="shared" si="465"/>
        <v>172.977</v>
      </c>
      <c r="CH108" s="32">
        <f t="shared" si="465"/>
        <v>66.753000000000014</v>
      </c>
      <c r="CI108" s="32">
        <f t="shared" si="465"/>
        <v>137.428</v>
      </c>
      <c r="CJ108" s="32">
        <f t="shared" si="465"/>
        <v>258.05700000000002</v>
      </c>
      <c r="CK108" s="32">
        <f t="shared" si="465"/>
        <v>196.11600000000001</v>
      </c>
      <c r="CL108" s="32">
        <f t="shared" si="465"/>
        <v>130.61399999999998</v>
      </c>
      <c r="CM108" s="32">
        <f t="shared" si="465"/>
        <v>110.083</v>
      </c>
      <c r="CN108" s="32">
        <f t="shared" si="465"/>
        <v>103.61410716440342</v>
      </c>
      <c r="CO108" s="32">
        <f>CO103-CO105-CO106-CO107</f>
        <v>100.233</v>
      </c>
      <c r="CP108" s="32">
        <f>CP103-CP105-CP106-CP107</f>
        <v>116.133</v>
      </c>
      <c r="CQ108" s="32">
        <f>CQ103-CQ105-CQ106-CQ107</f>
        <v>118.02300000000002</v>
      </c>
      <c r="CR108" s="32">
        <f>CR103-CR105-CR106-CR107</f>
        <v>106.17590785622392</v>
      </c>
      <c r="CS108" s="33">
        <f>CS103-CS105-CS106-CS107</f>
        <v>112.38596038881883</v>
      </c>
      <c r="CT108" s="32"/>
    </row>
    <row r="109" spans="1:104" ht="14.25" hidden="1" customHeight="1" outlineLevel="1">
      <c r="A109" s="8"/>
      <c r="B109" s="35" t="s">
        <v>345</v>
      </c>
      <c r="C109" s="36"/>
      <c r="D109" s="37">
        <f t="shared" ref="D109:W109" si="466">D108/D98</f>
        <v>0.2147674181346364</v>
      </c>
      <c r="E109" s="37">
        <f t="shared" si="466"/>
        <v>0.22809114279721165</v>
      </c>
      <c r="F109" s="37">
        <f t="shared" si="466"/>
        <v>0.23326082476587362</v>
      </c>
      <c r="G109" s="38">
        <f t="shared" si="466"/>
        <v>0.22537828892220602</v>
      </c>
      <c r="H109" s="37">
        <f t="shared" si="466"/>
        <v>4.184518058011704E-2</v>
      </c>
      <c r="I109" s="37">
        <f t="shared" si="466"/>
        <v>0.21613359112009664</v>
      </c>
      <c r="J109" s="37">
        <f t="shared" si="466"/>
        <v>0.17358472415949214</v>
      </c>
      <c r="K109" s="38">
        <f t="shared" si="466"/>
        <v>0.18788227619815057</v>
      </c>
      <c r="L109" s="37">
        <f t="shared" si="466"/>
        <v>0.20891234440334902</v>
      </c>
      <c r="M109" s="37">
        <f t="shared" si="466"/>
        <v>0.25292664247552016</v>
      </c>
      <c r="N109" s="37">
        <f t="shared" si="466"/>
        <v>0.18599770743320693</v>
      </c>
      <c r="O109" s="38">
        <f t="shared" si="466"/>
        <v>0.19495405104439684</v>
      </c>
      <c r="P109" s="37">
        <f t="shared" si="466"/>
        <v>0.21896959154025056</v>
      </c>
      <c r="Q109" s="37">
        <f t="shared" si="466"/>
        <v>-0.25429807833357776</v>
      </c>
      <c r="R109" s="37">
        <f t="shared" si="466"/>
        <v>0.18589124839124832</v>
      </c>
      <c r="S109" s="38">
        <f t="shared" si="466"/>
        <v>0.28066009305913769</v>
      </c>
      <c r="T109" s="37">
        <f t="shared" si="466"/>
        <v>0.4313369953602475</v>
      </c>
      <c r="U109" s="37">
        <f t="shared" si="466"/>
        <v>0.38382662336335993</v>
      </c>
      <c r="V109" s="37">
        <f t="shared" si="466"/>
        <v>0.34677809751768274</v>
      </c>
      <c r="W109" s="38">
        <f t="shared" si="466"/>
        <v>0.49286381075203856</v>
      </c>
      <c r="X109" s="37">
        <f t="shared" ref="X109:AK109" si="467">X108/X98</f>
        <v>0.2918405108297355</v>
      </c>
      <c r="Y109" s="37">
        <f t="shared" si="467"/>
        <v>0.24453645971255919</v>
      </c>
      <c r="Z109" s="37">
        <f t="shared" si="467"/>
        <v>0.34604789041936063</v>
      </c>
      <c r="AA109" s="38">
        <f t="shared" si="467"/>
        <v>0.26678835994166489</v>
      </c>
      <c r="AB109" s="37">
        <f t="shared" si="467"/>
        <v>0.19001701363570983</v>
      </c>
      <c r="AC109" s="37">
        <f t="shared" si="467"/>
        <v>0.21921598963541564</v>
      </c>
      <c r="AD109" s="37">
        <f t="shared" si="467"/>
        <v>0.20512753450722174</v>
      </c>
      <c r="AE109" s="38">
        <f>AE108/AE98</f>
        <v>0.17560378538198237</v>
      </c>
      <c r="AF109" s="37">
        <f>AF108/AF98</f>
        <v>0.18815310183639733</v>
      </c>
      <c r="AG109" s="37">
        <f t="shared" si="467"/>
        <v>0.16396199492661714</v>
      </c>
      <c r="AH109" s="37">
        <f t="shared" si="467"/>
        <v>0.16526192138839724</v>
      </c>
      <c r="AI109" s="38">
        <f>AI108/AI98</f>
        <v>0.16578087476870987</v>
      </c>
      <c r="AJ109" s="39">
        <f>AJ108/AJ98</f>
        <v>0.15967269874284964</v>
      </c>
      <c r="AK109" s="37">
        <f t="shared" si="467"/>
        <v>0.16555504193356665</v>
      </c>
      <c r="AL109" s="37">
        <f t="shared" ref="AL109:AQ109" si="468">AL108/AL98</f>
        <v>0.15967310652976657</v>
      </c>
      <c r="AM109" s="38">
        <f t="shared" si="468"/>
        <v>0.17406166561793165</v>
      </c>
      <c r="AN109" s="39">
        <f t="shared" si="468"/>
        <v>0.14100734560358333</v>
      </c>
      <c r="AO109" s="37">
        <f t="shared" si="468"/>
        <v>0.17634698004447361</v>
      </c>
      <c r="AP109" s="37">
        <f t="shared" si="468"/>
        <v>0.15514609542950908</v>
      </c>
      <c r="AQ109" s="38">
        <f t="shared" si="468"/>
        <v>0.16609407958293551</v>
      </c>
      <c r="AR109" s="39">
        <f>AR108/AR98</f>
        <v>0.15853597043703341</v>
      </c>
      <c r="AS109" s="37">
        <f>AS108/AS98</f>
        <v>0.17999187236072586</v>
      </c>
      <c r="AT109" s="37">
        <f>AT108/AT98</f>
        <v>0.17999790918911396</v>
      </c>
      <c r="AU109" s="37">
        <f t="shared" ref="AU109:AZ109" si="469">AU108/AU98</f>
        <v>0.17999953299942797</v>
      </c>
      <c r="AV109" s="39">
        <f t="shared" si="469"/>
        <v>0.18261872165390231</v>
      </c>
      <c r="AW109" s="37">
        <f t="shared" si="469"/>
        <v>0.17999913485722049</v>
      </c>
      <c r="AX109" s="37">
        <f t="shared" si="469"/>
        <v>0.14999813818893654</v>
      </c>
      <c r="AY109" s="37">
        <f t="shared" si="469"/>
        <v>0.15007888446967907</v>
      </c>
      <c r="AZ109" s="39">
        <f t="shared" si="469"/>
        <v>0.13999949575170809</v>
      </c>
      <c r="BA109" s="37">
        <f>BA108/BA98</f>
        <v>0.13999611751002974</v>
      </c>
      <c r="BB109" s="37">
        <f t="shared" ref="BB109" si="470">BB108/BB98</f>
        <v>0.11999730777967542</v>
      </c>
      <c r="BC109" s="38">
        <f>BC108/BC98</f>
        <v>0.11952964961025096</v>
      </c>
      <c r="BD109" s="39">
        <f t="shared" ref="BD109:BK109" si="471">BD108/BD98</f>
        <v>0.11950526546704739</v>
      </c>
      <c r="BE109" s="37">
        <f t="shared" si="471"/>
        <v>0.11950818756307834</v>
      </c>
      <c r="BF109" s="37">
        <f t="shared" si="471"/>
        <v>0.11955028941744432</v>
      </c>
      <c r="BG109" s="38">
        <f t="shared" si="471"/>
        <v>0.11956180827229135</v>
      </c>
      <c r="BH109" s="39">
        <f t="shared" si="471"/>
        <v>0.11954950400559343</v>
      </c>
      <c r="BI109" s="37">
        <f t="shared" si="471"/>
        <v>0.11954896806450691</v>
      </c>
      <c r="BJ109" s="37">
        <f t="shared" si="471"/>
        <v>0.11957757261201163</v>
      </c>
      <c r="BK109" s="38">
        <f t="shared" si="471"/>
        <v>0.11959636428115099</v>
      </c>
      <c r="BL109" s="20"/>
      <c r="BM109" s="37">
        <f t="shared" ref="BM109:BS109" si="472">BM108/BM98</f>
        <v>0.22568106618986769</v>
      </c>
      <c r="BN109" s="37">
        <f t="shared" si="472"/>
        <v>0.15368059064047548</v>
      </c>
      <c r="BO109" s="37">
        <f t="shared" si="472"/>
        <v>0.21314168165694075</v>
      </c>
      <c r="BP109" s="37">
        <f t="shared" si="472"/>
        <v>7.6791590302019694E-2</v>
      </c>
      <c r="BQ109" s="37">
        <f t="shared" si="472"/>
        <v>0.41759965758503081</v>
      </c>
      <c r="BR109" s="37">
        <f t="shared" si="472"/>
        <v>0.28653728584288507</v>
      </c>
      <c r="BS109" s="37">
        <f t="shared" si="472"/>
        <v>0.19604540127671505</v>
      </c>
      <c r="BT109" s="37">
        <f t="shared" ref="BT109:CA109" si="473">BT108/BT98</f>
        <v>0.17066186331839733</v>
      </c>
      <c r="BU109" s="37">
        <f t="shared" si="473"/>
        <v>0.1632461843445146</v>
      </c>
      <c r="BV109" s="37">
        <f t="shared" si="473"/>
        <v>0.15821316732646709</v>
      </c>
      <c r="BW109" s="37">
        <f t="shared" si="473"/>
        <v>0.17323952860949168</v>
      </c>
      <c r="BX109" s="37">
        <f t="shared" si="473"/>
        <v>0.16359831088623683</v>
      </c>
      <c r="BY109" s="37">
        <f t="shared" si="473"/>
        <v>0.12934678758492188</v>
      </c>
      <c r="BZ109" s="37">
        <f t="shared" si="473"/>
        <v>0.11953272883639143</v>
      </c>
      <c r="CA109" s="38">
        <f t="shared" si="473"/>
        <v>0.11956904286911231</v>
      </c>
      <c r="CB109" s="39"/>
      <c r="CC109" s="37"/>
      <c r="CD109" s="37"/>
      <c r="CE109" s="260"/>
      <c r="CF109" s="39">
        <f t="shared" ref="CF109:CL109" si="474">CF108/CF98</f>
        <v>0.177831038521787</v>
      </c>
      <c r="CG109" s="37">
        <f t="shared" si="474"/>
        <v>0.20775098274476739</v>
      </c>
      <c r="CH109" s="37">
        <f t="shared" si="474"/>
        <v>0.10355017653154305</v>
      </c>
      <c r="CI109" s="37">
        <f t="shared" si="474"/>
        <v>0.35052529823013145</v>
      </c>
      <c r="CJ109" s="37">
        <f t="shared" si="474"/>
        <v>0.33854463210425906</v>
      </c>
      <c r="CK109" s="37">
        <f t="shared" si="474"/>
        <v>0.25691861676136057</v>
      </c>
      <c r="CL109" s="37">
        <f t="shared" si="474"/>
        <v>0.18189946188041042</v>
      </c>
      <c r="CM109" s="37">
        <f t="shared" ref="CM109:CR109" si="475">CM108/CM98</f>
        <v>0.16255587336699154</v>
      </c>
      <c r="CN109" s="37">
        <f t="shared" si="475"/>
        <v>0.16156809989100851</v>
      </c>
      <c r="CO109" s="37">
        <f t="shared" si="475"/>
        <v>0.16311336552215702</v>
      </c>
      <c r="CP109" s="37">
        <f t="shared" si="475"/>
        <v>0.1799989770407649</v>
      </c>
      <c r="CQ109" s="37">
        <f t="shared" si="475"/>
        <v>0.1449269489489933</v>
      </c>
      <c r="CR109" s="37">
        <f t="shared" si="475"/>
        <v>0.11964391660584017</v>
      </c>
      <c r="CS109" s="38">
        <f>CS108/CS98</f>
        <v>0.11955270638958128</v>
      </c>
      <c r="CT109" s="37"/>
    </row>
    <row r="110" spans="1:104" s="735" customFormat="1" ht="14.25" customHeight="1" collapsed="1">
      <c r="A110" s="731"/>
      <c r="B110" s="714" t="s">
        <v>346</v>
      </c>
      <c r="C110" s="715"/>
      <c r="D110" s="719">
        <f>D103-D106-D107</f>
        <v>41.05</v>
      </c>
      <c r="E110" s="719">
        <f t="shared" ref="E110:AB110" si="476">E103-E106-E107</f>
        <v>46.758000000000003</v>
      </c>
      <c r="F110" s="719">
        <f t="shared" si="476"/>
        <v>50.936</v>
      </c>
      <c r="G110" s="718">
        <f t="shared" si="476"/>
        <v>47.051999999999978</v>
      </c>
      <c r="H110" s="719">
        <f t="shared" si="476"/>
        <v>9.1809999999999992</v>
      </c>
      <c r="I110" s="719">
        <f t="shared" si="476"/>
        <v>44.045000000000002</v>
      </c>
      <c r="J110" s="719">
        <f t="shared" si="476"/>
        <v>25.263000000000002</v>
      </c>
      <c r="K110" s="718">
        <f t="shared" si="476"/>
        <v>48.963999999999999</v>
      </c>
      <c r="L110" s="719">
        <f t="shared" si="476"/>
        <v>43.267000000000003</v>
      </c>
      <c r="M110" s="719">
        <f t="shared" si="476"/>
        <v>55.482999999999997</v>
      </c>
      <c r="N110" s="719">
        <f t="shared" si="476"/>
        <v>31.640999999999998</v>
      </c>
      <c r="O110" s="718">
        <f t="shared" si="476"/>
        <v>34.664000000000009</v>
      </c>
      <c r="P110" s="719">
        <f t="shared" si="476"/>
        <v>35.119</v>
      </c>
      <c r="Q110" s="719">
        <f t="shared" si="476"/>
        <v>-34.670999999999999</v>
      </c>
      <c r="R110" s="719">
        <f t="shared" si="476"/>
        <v>9.2439999999999998</v>
      </c>
      <c r="S110" s="718">
        <f>S103-S106-S107</f>
        <v>23.283000000000001</v>
      </c>
      <c r="T110" s="719">
        <f t="shared" si="476"/>
        <v>48.527999999999999</v>
      </c>
      <c r="U110" s="719">
        <f t="shared" si="476"/>
        <v>56.373000000000005</v>
      </c>
      <c r="V110" s="719">
        <f t="shared" si="476"/>
        <v>51.576999999999998</v>
      </c>
      <c r="W110" s="718">
        <f t="shared" si="476"/>
        <v>91.339000000000013</v>
      </c>
      <c r="X110" s="719">
        <f t="shared" si="476"/>
        <v>64.352000000000004</v>
      </c>
      <c r="Y110" s="719">
        <f t="shared" si="476"/>
        <v>50.789000000000001</v>
      </c>
      <c r="Z110" s="719">
        <f t="shared" si="476"/>
        <v>67.705999999999989</v>
      </c>
      <c r="AA110" s="718">
        <f t="shared" si="476"/>
        <v>55.246000000000009</v>
      </c>
      <c r="AB110" s="719">
        <f t="shared" si="476"/>
        <v>38.308000000000007</v>
      </c>
      <c r="AC110" s="719">
        <f t="shared" ref="AC110:AK110" si="477">AC103-AC106-AC107</f>
        <v>34.856000000000002</v>
      </c>
      <c r="AD110" s="719">
        <f t="shared" si="477"/>
        <v>31.371999999999986</v>
      </c>
      <c r="AE110" s="718">
        <f t="shared" si="477"/>
        <v>33.140999999999998</v>
      </c>
      <c r="AF110" s="719">
        <f t="shared" si="477"/>
        <v>37.143999999999998</v>
      </c>
      <c r="AG110" s="719">
        <f t="shared" si="477"/>
        <v>28.957000000000001</v>
      </c>
      <c r="AH110" s="719">
        <f t="shared" si="477"/>
        <v>30.529000000000003</v>
      </c>
      <c r="AI110" s="718">
        <f t="shared" si="477"/>
        <v>29.476999999999997</v>
      </c>
      <c r="AJ110" s="733">
        <f t="shared" si="477"/>
        <v>25.006999999999998</v>
      </c>
      <c r="AK110" s="719">
        <f t="shared" si="477"/>
        <v>25.07</v>
      </c>
      <c r="AL110" s="719">
        <f t="shared" ref="AL110:AQ110" si="478">AL103-AL106-AL107</f>
        <v>27.588000000000001</v>
      </c>
      <c r="AM110" s="718">
        <f t="shared" si="478"/>
        <v>30.704999999999998</v>
      </c>
      <c r="AN110" s="733">
        <f t="shared" si="478"/>
        <v>22.121000000000002</v>
      </c>
      <c r="AO110" s="719">
        <f t="shared" si="478"/>
        <v>24.505000000000003</v>
      </c>
      <c r="AP110" s="719">
        <f t="shared" si="478"/>
        <v>24.393000000000001</v>
      </c>
      <c r="AQ110" s="718">
        <f t="shared" si="478"/>
        <v>29.056000000000001</v>
      </c>
      <c r="AR110" s="733">
        <f>AR103-AR106-AR107</f>
        <v>26.409999999999997</v>
      </c>
      <c r="AS110" s="719">
        <f>AS103-AS106-AS107</f>
        <v>20.374000000000002</v>
      </c>
      <c r="AT110" s="719">
        <f>AT103-AT106-AT107</f>
        <v>25.826999999999998</v>
      </c>
      <c r="AU110" s="719">
        <f t="shared" ref="AU110:AZ110" si="479">AU103-AU106-AU107</f>
        <v>30.835000000000001</v>
      </c>
      <c r="AV110" s="733">
        <f t="shared" si="479"/>
        <v>30.343</v>
      </c>
      <c r="AW110" s="719">
        <f t="shared" si="479"/>
        <v>29.128</v>
      </c>
      <c r="AX110" s="719">
        <f t="shared" si="479"/>
        <v>28.198</v>
      </c>
      <c r="AY110" s="719">
        <f t="shared" si="479"/>
        <v>31.772000000000002</v>
      </c>
      <c r="AZ110" s="733">
        <f t="shared" si="479"/>
        <v>27.763999999999999</v>
      </c>
      <c r="BA110" s="719">
        <f>BA103-BA106-BA107</f>
        <v>30.288999999999987</v>
      </c>
      <c r="BB110" s="719">
        <f t="shared" ref="BB110" si="480">BB103-BB106-BB107</f>
        <v>28.526</v>
      </c>
      <c r="BC110" s="718">
        <f>BC103-BC106-BC107</f>
        <v>26.71403498514</v>
      </c>
      <c r="BD110" s="733">
        <f t="shared" ref="BD110:BK110" si="481">BD103-BD106-BD107</f>
        <v>25.392190496431692</v>
      </c>
      <c r="BE110" s="719">
        <f t="shared" si="481"/>
        <v>25.543682374652221</v>
      </c>
      <c r="BF110" s="719">
        <f t="shared" si="481"/>
        <v>27.944920380000081</v>
      </c>
      <c r="BG110" s="718">
        <f t="shared" si="481"/>
        <v>28.682278762550997</v>
      </c>
      <c r="BH110" s="733">
        <f t="shared" si="481"/>
        <v>27.896016872741377</v>
      </c>
      <c r="BI110" s="719">
        <f t="shared" si="481"/>
        <v>27.862744373526372</v>
      </c>
      <c r="BJ110" s="719">
        <f t="shared" si="481"/>
        <v>29.756580161229788</v>
      </c>
      <c r="BK110" s="718">
        <f t="shared" si="481"/>
        <v>31.146821815187398</v>
      </c>
      <c r="BL110" s="720"/>
      <c r="BM110" s="719">
        <f t="shared" ref="BM110:BV110" si="482">BM103-BM106-BM107</f>
        <v>185.79599999999999</v>
      </c>
      <c r="BN110" s="719">
        <f t="shared" si="482"/>
        <v>127.453</v>
      </c>
      <c r="BO110" s="719">
        <f t="shared" si="482"/>
        <v>165.05500000000001</v>
      </c>
      <c r="BP110" s="719">
        <f t="shared" si="482"/>
        <v>32.975000000000001</v>
      </c>
      <c r="BQ110" s="719">
        <f t="shared" si="482"/>
        <v>247.81700000000001</v>
      </c>
      <c r="BR110" s="719">
        <f t="shared" si="482"/>
        <v>238.09300000000002</v>
      </c>
      <c r="BS110" s="719">
        <f t="shared" si="482"/>
        <v>137.67699999999999</v>
      </c>
      <c r="BT110" s="719">
        <f t="shared" si="482"/>
        <v>126.10699999999999</v>
      </c>
      <c r="BU110" s="719">
        <f t="shared" si="482"/>
        <v>108.37</v>
      </c>
      <c r="BV110" s="719">
        <f t="shared" si="482"/>
        <v>100.07500000000002</v>
      </c>
      <c r="BW110" s="719">
        <f>BW103-BW106-BW107</f>
        <v>103.446</v>
      </c>
      <c r="BX110" s="719">
        <f>BX103-BX106-BX107</f>
        <v>119.441</v>
      </c>
      <c r="BY110" s="719">
        <f>BY103-BY106-BY107</f>
        <v>113.29303498514</v>
      </c>
      <c r="BZ110" s="719">
        <f>BZ103-BZ106-BZ107</f>
        <v>107.56307201363499</v>
      </c>
      <c r="CA110" s="718">
        <f>CA103-CA106-CA107</f>
        <v>116.66216322268494</v>
      </c>
      <c r="CB110" s="733"/>
      <c r="CC110" s="719"/>
      <c r="CD110" s="719"/>
      <c r="CE110" s="881"/>
      <c r="CF110" s="733">
        <f t="shared" ref="CF110:CN110" si="483">CF103-CF106-CF107</f>
        <v>151.21399999999997</v>
      </c>
      <c r="CG110" s="719">
        <f t="shared" si="483"/>
        <v>172.977</v>
      </c>
      <c r="CH110" s="719">
        <f t="shared" si="483"/>
        <v>66.753000000000014</v>
      </c>
      <c r="CI110" s="719">
        <f t="shared" si="483"/>
        <v>137.428</v>
      </c>
      <c r="CJ110" s="719">
        <f t="shared" si="483"/>
        <v>258.05700000000002</v>
      </c>
      <c r="CK110" s="719">
        <f t="shared" si="483"/>
        <v>196.11600000000001</v>
      </c>
      <c r="CL110" s="719">
        <f t="shared" si="483"/>
        <v>130.61399999999998</v>
      </c>
      <c r="CM110" s="719">
        <f t="shared" si="483"/>
        <v>110.083</v>
      </c>
      <c r="CN110" s="719">
        <f t="shared" si="483"/>
        <v>104.919</v>
      </c>
      <c r="CO110" s="719">
        <f>CO103-CO106-CO107</f>
        <v>100.233</v>
      </c>
      <c r="CP110" s="719">
        <f>CP103-CP106-CP107</f>
        <v>116.133</v>
      </c>
      <c r="CQ110" s="719">
        <f>CQ103-CQ106-CQ107</f>
        <v>118.02300000000002</v>
      </c>
      <c r="CR110" s="719">
        <f>CR103-CR106-CR107</f>
        <v>106.17590785622392</v>
      </c>
      <c r="CS110" s="718">
        <f>CS103-CS106-CS107</f>
        <v>112.38596038881883</v>
      </c>
      <c r="CT110" s="719"/>
      <c r="CU110"/>
      <c r="CV110"/>
      <c r="CW110"/>
      <c r="CX110"/>
      <c r="CY110"/>
      <c r="CZ110"/>
    </row>
    <row r="111" spans="1:104" ht="14.25" hidden="1" customHeight="1" outlineLevel="1">
      <c r="A111" s="8"/>
      <c r="B111" s="35" t="s">
        <v>347</v>
      </c>
      <c r="C111" s="36"/>
      <c r="D111" s="37">
        <f t="shared" ref="D111:W111" si="484">D110/D100</f>
        <v>0.32531600427943091</v>
      </c>
      <c r="E111" s="37">
        <f t="shared" si="484"/>
        <v>0.32374384645742899</v>
      </c>
      <c r="F111" s="37">
        <f t="shared" si="484"/>
        <v>0.32228591675841206</v>
      </c>
      <c r="G111" s="38">
        <f t="shared" si="484"/>
        <v>0.32858918669776699</v>
      </c>
      <c r="H111" s="37">
        <f t="shared" si="484"/>
        <v>0.31102002100342158</v>
      </c>
      <c r="I111" s="37">
        <f t="shared" si="484"/>
        <v>0.31102370545077079</v>
      </c>
      <c r="J111" s="37">
        <f t="shared" si="484"/>
        <v>0.24931166178168584</v>
      </c>
      <c r="K111" s="38">
        <f t="shared" si="484"/>
        <v>0.24106778000423426</v>
      </c>
      <c r="L111" s="37">
        <f t="shared" si="484"/>
        <v>0.32180018296356344</v>
      </c>
      <c r="M111" s="37">
        <f t="shared" si="484"/>
        <v>0.31231986850400795</v>
      </c>
      <c r="N111" s="37">
        <f t="shared" si="484"/>
        <v>0.23531555383677163</v>
      </c>
      <c r="O111" s="38">
        <f t="shared" si="484"/>
        <v>0.25097198792345754</v>
      </c>
      <c r="P111" s="37">
        <f t="shared" si="484"/>
        <v>0.2859341160378433</v>
      </c>
      <c r="Q111" s="37">
        <f t="shared" si="484"/>
        <v>-0.66163505209724793</v>
      </c>
      <c r="R111" s="37">
        <f t="shared" si="484"/>
        <v>0.91389026198714873</v>
      </c>
      <c r="S111" s="38">
        <f t="shared" si="484"/>
        <v>0.48544681205954499</v>
      </c>
      <c r="T111" s="37">
        <f t="shared" si="484"/>
        <v>0.56401018119268731</v>
      </c>
      <c r="U111" s="37">
        <f t="shared" si="484"/>
        <v>0.47001784255198548</v>
      </c>
      <c r="V111" s="37">
        <f t="shared" si="484"/>
        <v>0.38648063363131585</v>
      </c>
      <c r="W111" s="38">
        <f t="shared" si="484"/>
        <v>0.56917899984421272</v>
      </c>
      <c r="X111" s="37">
        <f t="shared" ref="X111:AP111" si="485">X110/X100</f>
        <v>0.33280066196054098</v>
      </c>
      <c r="Y111" s="37">
        <f t="shared" si="485"/>
        <v>0.27727339728016681</v>
      </c>
      <c r="Z111" s="37">
        <f t="shared" si="485"/>
        <v>0.38816238311729262</v>
      </c>
      <c r="AA111" s="38">
        <f t="shared" si="485"/>
        <v>0.29754941562988152</v>
      </c>
      <c r="AB111" s="37">
        <f t="shared" si="485"/>
        <v>0.21504676149951171</v>
      </c>
      <c r="AC111" s="37">
        <f t="shared" si="485"/>
        <v>0.25718480915523612</v>
      </c>
      <c r="AD111" s="37">
        <f t="shared" si="485"/>
        <v>0.23966203466742028</v>
      </c>
      <c r="AE111" s="38">
        <f t="shared" si="485"/>
        <v>0.19746061631592748</v>
      </c>
      <c r="AF111" s="37">
        <f t="shared" si="485"/>
        <v>0.21070306206959136</v>
      </c>
      <c r="AG111" s="37">
        <f t="shared" si="485"/>
        <v>0.18832228819677038</v>
      </c>
      <c r="AH111" s="37">
        <f t="shared" si="485"/>
        <v>0.18489201661841834</v>
      </c>
      <c r="AI111" s="38">
        <f t="shared" si="485"/>
        <v>0.18544358745297385</v>
      </c>
      <c r="AJ111" s="39">
        <f t="shared" si="485"/>
        <v>0.17306720740797127</v>
      </c>
      <c r="AK111" s="37">
        <f t="shared" si="485"/>
        <v>0.19500470593725935</v>
      </c>
      <c r="AL111" s="37">
        <f t="shared" si="485"/>
        <v>0.18304018683527842</v>
      </c>
      <c r="AM111" s="38">
        <f t="shared" si="485"/>
        <v>0.19859004624389606</v>
      </c>
      <c r="AN111" s="39">
        <f t="shared" si="485"/>
        <v>0.16919452666681964</v>
      </c>
      <c r="AO111" s="37">
        <f t="shared" si="485"/>
        <v>0.20734792652073489</v>
      </c>
      <c r="AP111" s="37">
        <f t="shared" si="485"/>
        <v>0.17594616233527358</v>
      </c>
      <c r="AQ111" s="38">
        <f t="shared" ref="AQ111:BC111" si="486">AQ110/AQ100</f>
        <v>0.18972373309652676</v>
      </c>
      <c r="AR111" s="39">
        <f t="shared" si="486"/>
        <v>0.18000027262441892</v>
      </c>
      <c r="AS111" s="37">
        <f t="shared" si="486"/>
        <v>0.17999187236072586</v>
      </c>
      <c r="AT111" s="37">
        <f t="shared" si="486"/>
        <v>0.17999790918911396</v>
      </c>
      <c r="AU111" s="37">
        <f t="shared" ref="AU111:AZ111" si="487">AU110/AU100</f>
        <v>0.17999953299942797</v>
      </c>
      <c r="AV111" s="39">
        <f t="shared" si="487"/>
        <v>0.17999916949926748</v>
      </c>
      <c r="AW111" s="37">
        <f t="shared" si="487"/>
        <v>0.17999913485722049</v>
      </c>
      <c r="AX111" s="37">
        <f t="shared" si="487"/>
        <v>0.14999813818893654</v>
      </c>
      <c r="AY111" s="37">
        <f t="shared" si="487"/>
        <v>0.15007888446967907</v>
      </c>
      <c r="AZ111" s="39">
        <f t="shared" si="487"/>
        <v>0.13999949575170809</v>
      </c>
      <c r="BA111" s="37">
        <f>BA110/BA100</f>
        <v>0.13999611751002974</v>
      </c>
      <c r="BB111" s="37">
        <f t="shared" ref="BB111" si="488">BB110/BB100</f>
        <v>0.11999730777967542</v>
      </c>
      <c r="BC111" s="38">
        <f t="shared" si="486"/>
        <v>0.11952964961025096</v>
      </c>
      <c r="BD111" s="39">
        <f t="shared" ref="BD111:BK111" si="489">BD110/BD100</f>
        <v>0.11950526546704739</v>
      </c>
      <c r="BE111" s="37">
        <f t="shared" si="489"/>
        <v>0.11950818756307834</v>
      </c>
      <c r="BF111" s="37">
        <f t="shared" si="489"/>
        <v>0.11955028941744432</v>
      </c>
      <c r="BG111" s="38">
        <f t="shared" si="489"/>
        <v>0.11956180827229135</v>
      </c>
      <c r="BH111" s="39">
        <f t="shared" si="489"/>
        <v>0.11954950400559343</v>
      </c>
      <c r="BI111" s="37">
        <f t="shared" si="489"/>
        <v>0.11954896806450691</v>
      </c>
      <c r="BJ111" s="37">
        <f t="shared" si="489"/>
        <v>0.11957757261201163</v>
      </c>
      <c r="BK111" s="38">
        <f t="shared" si="489"/>
        <v>0.11959636428115099</v>
      </c>
      <c r="BL111" s="20"/>
      <c r="BM111" s="37">
        <f t="shared" ref="BM111:BR111" si="490">BM110/BM100</f>
        <v>0.32490111112276915</v>
      </c>
      <c r="BN111" s="37">
        <f t="shared" si="490"/>
        <v>0.2679971234881493</v>
      </c>
      <c r="BO111" s="37">
        <f t="shared" si="490"/>
        <v>0.28229875385252162</v>
      </c>
      <c r="BP111" s="37">
        <f t="shared" si="490"/>
        <v>0.14134101439770916</v>
      </c>
      <c r="BQ111" s="37">
        <f t="shared" si="490"/>
        <v>0.49572620507414361</v>
      </c>
      <c r="BR111" s="37">
        <f t="shared" si="490"/>
        <v>0.32321706136689166</v>
      </c>
      <c r="BS111" s="37">
        <f t="shared" ref="BS111:CA111" si="491">BS110/BS100</f>
        <v>0.22481401166550186</v>
      </c>
      <c r="BT111" s="37">
        <f t="shared" si="491"/>
        <v>0.19278849020288299</v>
      </c>
      <c r="BU111" s="37">
        <f t="shared" si="491"/>
        <v>0.18736492677950858</v>
      </c>
      <c r="BV111" s="37">
        <f t="shared" si="491"/>
        <v>0.18507935803400713</v>
      </c>
      <c r="BW111" s="37">
        <f t="shared" si="491"/>
        <v>0.17999780757847034</v>
      </c>
      <c r="BX111" s="37">
        <f t="shared" si="491"/>
        <v>0.16359831088623683</v>
      </c>
      <c r="BY111" s="37">
        <f t="shared" si="491"/>
        <v>0.12934678758492188</v>
      </c>
      <c r="BZ111" s="37">
        <f t="shared" si="491"/>
        <v>0.11953272883639143</v>
      </c>
      <c r="CA111" s="38">
        <f t="shared" si="491"/>
        <v>0.11956904286911231</v>
      </c>
      <c r="CB111" s="39"/>
      <c r="CC111" s="37"/>
      <c r="CD111" s="37"/>
      <c r="CE111" s="260"/>
      <c r="CF111" s="39">
        <f t="shared" ref="CF111:CL111" si="492">CF110/CF100</f>
        <v>0.32011634897919439</v>
      </c>
      <c r="CG111" s="37">
        <f t="shared" si="492"/>
        <v>0.28055859669610494</v>
      </c>
      <c r="CH111" s="37">
        <f t="shared" si="492"/>
        <v>0.14906711626712529</v>
      </c>
      <c r="CI111" s="37">
        <f t="shared" si="492"/>
        <v>0.52045020753173576</v>
      </c>
      <c r="CJ111" s="37">
        <f t="shared" si="492"/>
        <v>0.38489200048921174</v>
      </c>
      <c r="CK111" s="37">
        <f t="shared" si="492"/>
        <v>0.29107521327942742</v>
      </c>
      <c r="CL111" s="37">
        <f t="shared" si="492"/>
        <v>0.20772409054908986</v>
      </c>
      <c r="CM111" s="37">
        <f t="shared" ref="CM111:CR111" si="493">CM110/CM100</f>
        <v>0.18435472580326434</v>
      </c>
      <c r="CN111" s="37">
        <f t="shared" si="493"/>
        <v>0.18929495437175917</v>
      </c>
      <c r="CO111" s="37">
        <f t="shared" si="493"/>
        <v>0.18167894378144797</v>
      </c>
      <c r="CP111" s="37">
        <f t="shared" si="493"/>
        <v>0.1799989770407649</v>
      </c>
      <c r="CQ111" s="37">
        <f t="shared" si="493"/>
        <v>0.1449269489489933</v>
      </c>
      <c r="CR111" s="37">
        <f t="shared" si="493"/>
        <v>0.11964391660584017</v>
      </c>
      <c r="CS111" s="38">
        <f>CS110/CS100</f>
        <v>0.11955270638958128</v>
      </c>
      <c r="CT111" s="37"/>
    </row>
    <row r="112" spans="1:104" ht="14.25" hidden="1" customHeight="1" outlineLevel="1">
      <c r="A112" s="8"/>
      <c r="B112" s="23"/>
      <c r="C112" s="24"/>
      <c r="D112" s="42"/>
      <c r="E112" s="42"/>
      <c r="F112" s="62"/>
      <c r="G112" s="43"/>
      <c r="H112" s="42"/>
      <c r="I112" s="42"/>
      <c r="J112" s="62"/>
      <c r="K112" s="43"/>
      <c r="L112" s="42"/>
      <c r="M112" s="42"/>
      <c r="N112" s="62"/>
      <c r="O112" s="43"/>
      <c r="P112" s="42"/>
      <c r="Q112" s="42"/>
      <c r="R112" s="62"/>
      <c r="S112" s="43"/>
      <c r="T112" s="42"/>
      <c r="U112" s="42"/>
      <c r="V112" s="62"/>
      <c r="W112" s="43"/>
      <c r="X112" s="42"/>
      <c r="Y112" s="42"/>
      <c r="Z112" s="62"/>
      <c r="AA112" s="43"/>
      <c r="AB112" s="46"/>
      <c r="AC112" s="42"/>
      <c r="AD112" s="62"/>
      <c r="AE112" s="63"/>
      <c r="AF112" s="62"/>
      <c r="AG112" s="42"/>
      <c r="AH112" s="42"/>
      <c r="AI112" s="63"/>
      <c r="AJ112" s="1250"/>
      <c r="AK112" s="42"/>
      <c r="AL112" s="42"/>
      <c r="AM112" s="63"/>
      <c r="AN112" s="1250"/>
      <c r="AO112" s="42"/>
      <c r="AP112" s="42"/>
      <c r="AQ112" s="63"/>
      <c r="AR112" s="1250"/>
      <c r="AS112" s="42"/>
      <c r="AT112" s="42"/>
      <c r="AU112" s="62"/>
      <c r="AV112" s="1250"/>
      <c r="AW112" s="42"/>
      <c r="AX112" s="42"/>
      <c r="AY112" s="62"/>
      <c r="AZ112" s="1250"/>
      <c r="BA112" s="42"/>
      <c r="BB112" s="42"/>
      <c r="BC112" s="63"/>
      <c r="BD112" s="1250"/>
      <c r="BE112" s="42"/>
      <c r="BF112" s="42"/>
      <c r="BG112" s="63"/>
      <c r="BH112" s="1250"/>
      <c r="BI112" s="42"/>
      <c r="BJ112" s="42"/>
      <c r="BK112" s="63"/>
      <c r="BL112" s="20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3"/>
      <c r="CB112" s="1257"/>
      <c r="CC112" s="42"/>
      <c r="CD112" s="42"/>
      <c r="CE112" s="260"/>
      <c r="CF112" s="398"/>
      <c r="CG112" s="397"/>
      <c r="CH112" s="397"/>
      <c r="CI112" s="397"/>
      <c r="CJ112" s="397"/>
      <c r="CK112" s="397"/>
      <c r="CL112" s="397"/>
      <c r="CM112" s="397"/>
      <c r="CN112" s="397"/>
      <c r="CO112" s="397"/>
      <c r="CP112" s="397"/>
      <c r="CQ112" s="397"/>
      <c r="CR112" s="397"/>
      <c r="CS112" s="1213"/>
      <c r="CT112" s="397"/>
    </row>
    <row r="113" spans="1:104" ht="14.25" hidden="1" customHeight="1" outlineLevel="1">
      <c r="A113" s="8"/>
      <c r="B113" s="47" t="s">
        <v>348</v>
      </c>
      <c r="C113" s="48"/>
      <c r="D113" s="50">
        <f>D96-D103</f>
        <v>85.135000000000034</v>
      </c>
      <c r="E113" s="50">
        <f>E96-E103</f>
        <v>97.670999999999964</v>
      </c>
      <c r="F113" s="50">
        <f>F96-F103</f>
        <v>107.11000000000001</v>
      </c>
      <c r="G113" s="51">
        <f>G96-G103</f>
        <v>96.141999999999811</v>
      </c>
      <c r="H113" s="50">
        <f t="shared" ref="H113:W113" si="494">H96-H103</f>
        <v>20.337999999999994</v>
      </c>
      <c r="I113" s="50">
        <f t="shared" si="494"/>
        <v>97.567999999999998</v>
      </c>
      <c r="J113" s="50">
        <f t="shared" si="494"/>
        <v>76.067999999999969</v>
      </c>
      <c r="K113" s="51">
        <f t="shared" si="494"/>
        <v>92.252999999999844</v>
      </c>
      <c r="L113" s="50">
        <f t="shared" si="494"/>
        <v>83.626000000000033</v>
      </c>
      <c r="M113" s="50">
        <f t="shared" si="494"/>
        <v>107.01999999999995</v>
      </c>
      <c r="N113" s="50">
        <f t="shared" si="494"/>
        <v>61.032000000000018</v>
      </c>
      <c r="O113" s="51">
        <f t="shared" si="494"/>
        <v>66.04699999999994</v>
      </c>
      <c r="P113" s="50">
        <f t="shared" si="494"/>
        <v>67.567000000000036</v>
      </c>
      <c r="Q113" s="50">
        <f t="shared" si="494"/>
        <v>-38.783999999999942</v>
      </c>
      <c r="R113" s="50">
        <f t="shared" si="494"/>
        <v>-26.426000000000009</v>
      </c>
      <c r="S113" s="51">
        <f t="shared" si="494"/>
        <v>8.0980000000002157</v>
      </c>
      <c r="T113" s="50">
        <f t="shared" si="494"/>
        <v>41.951999999999984</v>
      </c>
      <c r="U113" s="50">
        <f t="shared" si="494"/>
        <v>58.634999999999984</v>
      </c>
      <c r="V113" s="50">
        <f t="shared" si="494"/>
        <v>-33.903000000000027</v>
      </c>
      <c r="W113" s="51">
        <f t="shared" si="494"/>
        <v>58.454999999999956</v>
      </c>
      <c r="X113" s="50">
        <f>X96-X103</f>
        <v>117.55000000000004</v>
      </c>
      <c r="Y113" s="50">
        <f>Y96-Y103</f>
        <v>109.59000000000006</v>
      </c>
      <c r="Z113" s="50">
        <f>Z96-Z103</f>
        <v>136.27599999999998</v>
      </c>
      <c r="AA113" s="51">
        <f>AA96-AA103</f>
        <v>125.59299999999971</v>
      </c>
      <c r="AB113" s="50">
        <f t="shared" ref="AB113:AG113" si="495">AB96-AB103</f>
        <v>133.44599999999997</v>
      </c>
      <c r="AC113" s="50">
        <f t="shared" si="495"/>
        <v>88.130000000000038</v>
      </c>
      <c r="AD113" s="50">
        <f t="shared" si="495"/>
        <v>22.70799999999997</v>
      </c>
      <c r="AE113" s="51">
        <f t="shared" si="495"/>
        <v>110.63400000000001</v>
      </c>
      <c r="AF113" s="50">
        <f t="shared" si="495"/>
        <v>127.88800000000003</v>
      </c>
      <c r="AG113" s="50">
        <f t="shared" si="495"/>
        <v>76.622</v>
      </c>
      <c r="AH113" s="50">
        <f>AH96-AH103</f>
        <v>128.78499999999997</v>
      </c>
      <c r="AI113" s="51">
        <f>AI96-AI103</f>
        <v>119.014</v>
      </c>
      <c r="AJ113" s="49">
        <f>AJ96-AJ103</f>
        <v>103.12000000000005</v>
      </c>
      <c r="AK113" s="50">
        <f>AK96-AK103</f>
        <v>44.353000000000009</v>
      </c>
      <c r="AL113" s="50">
        <f>AL96-AL103</f>
        <v>122.54400000000001</v>
      </c>
      <c r="AM113" s="51">
        <f t="shared" ref="AM113:AR113" si="496">AM96-AM103</f>
        <v>84.792999999999978</v>
      </c>
      <c r="AN113" s="49">
        <f t="shared" si="496"/>
        <v>99.980000000000018</v>
      </c>
      <c r="AO113" s="50">
        <f t="shared" si="496"/>
        <v>-72.03400000000002</v>
      </c>
      <c r="AP113" s="50">
        <f t="shared" si="496"/>
        <v>79.433000000000007</v>
      </c>
      <c r="AQ113" s="51">
        <f t="shared" si="496"/>
        <v>98.659000000000063</v>
      </c>
      <c r="AR113" s="49">
        <f t="shared" si="496"/>
        <v>-72.142999999999986</v>
      </c>
      <c r="AS113" s="50">
        <f t="shared" ref="AS113:AY113" si="497">AS96-AS103</f>
        <v>67.46899999999998</v>
      </c>
      <c r="AT113" s="50">
        <f t="shared" si="497"/>
        <v>139.80999999999995</v>
      </c>
      <c r="AU113" s="50">
        <f t="shared" si="497"/>
        <v>92.338999999999999</v>
      </c>
      <c r="AV113" s="49">
        <f t="shared" si="497"/>
        <v>137.61399999999995</v>
      </c>
      <c r="AW113" s="50">
        <f t="shared" si="497"/>
        <v>130.47700000000003</v>
      </c>
      <c r="AX113" s="50">
        <f t="shared" si="497"/>
        <v>140.21300000000002</v>
      </c>
      <c r="AY113" s="50">
        <f t="shared" si="497"/>
        <v>163.30900000000003</v>
      </c>
      <c r="AZ113" s="49">
        <f>AZ96-AZ103</f>
        <v>154.53300000000002</v>
      </c>
      <c r="BA113" s="50">
        <f>BA96-BA103</f>
        <v>-75.015000000000072</v>
      </c>
      <c r="BB113" s="50">
        <f t="shared" ref="BB113" si="498">BB96-BB103</f>
        <v>193.62700000000004</v>
      </c>
      <c r="BC113" s="51">
        <f t="shared" ref="BC113:BG113" si="499">BC96-BC103</f>
        <v>186.22292322436002</v>
      </c>
      <c r="BD113" s="49">
        <f t="shared" si="499"/>
        <v>186.20939697383241</v>
      </c>
      <c r="BE113" s="50">
        <f t="shared" si="499"/>
        <v>187.3203374141163</v>
      </c>
      <c r="BF113" s="50">
        <f t="shared" si="499"/>
        <v>204.92941612000061</v>
      </c>
      <c r="BG113" s="51">
        <f t="shared" si="499"/>
        <v>210.33671092537398</v>
      </c>
      <c r="BH113" s="49">
        <f>BH96-BH103</f>
        <v>204.57079040010345</v>
      </c>
      <c r="BI113" s="50">
        <f>BI96-BI103</f>
        <v>204.32679207252673</v>
      </c>
      <c r="BJ113" s="50">
        <f>BJ96-BJ103</f>
        <v>218.21492118235179</v>
      </c>
      <c r="BK113" s="51">
        <f>BK96-BK103</f>
        <v>228.41002664470759</v>
      </c>
      <c r="BL113" s="20"/>
      <c r="BM113" s="50">
        <f t="shared" ref="BM113:BR113" si="500">BM96-BM103</f>
        <v>386.05799999999994</v>
      </c>
      <c r="BN113" s="50">
        <f t="shared" si="500"/>
        <v>286.22699999999963</v>
      </c>
      <c r="BO113" s="50">
        <f t="shared" si="500"/>
        <v>317.72499999999974</v>
      </c>
      <c r="BP113" s="50">
        <f t="shared" si="500"/>
        <v>10.455000000000382</v>
      </c>
      <c r="BQ113" s="50">
        <f t="shared" si="500"/>
        <v>125.13900000000004</v>
      </c>
      <c r="BR113" s="50">
        <f t="shared" si="500"/>
        <v>489.00899999999933</v>
      </c>
      <c r="BS113" s="50">
        <f>BS96-BS103</f>
        <v>354.91799999999984</v>
      </c>
      <c r="BT113" s="50">
        <f>+SUM(AF113:AI113)</f>
        <v>452.30900000000003</v>
      </c>
      <c r="BU113" s="50">
        <f>+SUM(AJ113:AM113)</f>
        <v>354.81000000000006</v>
      </c>
      <c r="BV113" s="50">
        <f t="shared" ref="BV113:CA113" si="501">BV96-BV103</f>
        <v>206.0379999999995</v>
      </c>
      <c r="BW113" s="50">
        <f t="shared" si="501"/>
        <v>227.47500000000014</v>
      </c>
      <c r="BX113" s="50">
        <f t="shared" si="501"/>
        <v>571.61300000000017</v>
      </c>
      <c r="BY113" s="50">
        <f t="shared" si="501"/>
        <v>459.36792322436042</v>
      </c>
      <c r="BZ113" s="50">
        <f t="shared" si="501"/>
        <v>788.79586143332313</v>
      </c>
      <c r="CA113" s="51">
        <f t="shared" si="501"/>
        <v>855.52253029968915</v>
      </c>
      <c r="CB113" s="49"/>
      <c r="CC113" s="50"/>
      <c r="CD113" s="50"/>
      <c r="CE113" s="260"/>
      <c r="CF113" s="49">
        <f t="shared" ref="CF113:CL113" si="502">CF96-CF103</f>
        <v>321.1579999999999</v>
      </c>
      <c r="CG113" s="50">
        <f t="shared" si="502"/>
        <v>358.96699999999998</v>
      </c>
      <c r="CH113" s="50">
        <f t="shared" si="502"/>
        <v>155.86199999999977</v>
      </c>
      <c r="CI113" s="50">
        <f t="shared" si="502"/>
        <v>82.258999999999872</v>
      </c>
      <c r="CJ113" s="50">
        <f t="shared" si="502"/>
        <v>251.69200000000043</v>
      </c>
      <c r="CK113" s="50">
        <f t="shared" si="502"/>
        <v>483.44499999999937</v>
      </c>
      <c r="CL113" s="50">
        <f t="shared" si="502"/>
        <v>337.85199999999992</v>
      </c>
      <c r="CM113" s="50">
        <f t="shared" ref="CM113:CR113" si="503">CM96-CM103</f>
        <v>395.27199999999993</v>
      </c>
      <c r="CN113" s="50">
        <f t="shared" si="503"/>
        <v>235.28300000000007</v>
      </c>
      <c r="CO113" s="50">
        <f t="shared" si="503"/>
        <v>173.41800000000018</v>
      </c>
      <c r="CP113" s="50">
        <f t="shared" si="503"/>
        <v>500.2399999999999</v>
      </c>
      <c r="CQ113" s="50">
        <f t="shared" si="503"/>
        <v>383.03999999999974</v>
      </c>
      <c r="CR113" s="50">
        <f t="shared" si="503"/>
        <v>753.37965761230851</v>
      </c>
      <c r="CS113" s="51">
        <f>CS96-CS103</f>
        <v>824.16370951800468</v>
      </c>
      <c r="CT113" s="50"/>
    </row>
    <row r="114" spans="1:104" ht="14.25" hidden="1" customHeight="1" outlineLevel="1">
      <c r="A114" s="8"/>
      <c r="B114" s="35" t="s">
        <v>349</v>
      </c>
      <c r="C114" s="36"/>
      <c r="D114" s="37">
        <f t="shared" ref="D114:W114" si="504">D113/D$10</f>
        <v>0.20074511607069179</v>
      </c>
      <c r="E114" s="37">
        <f t="shared" si="504"/>
        <v>0.2192292152989764</v>
      </c>
      <c r="F114" s="37">
        <f t="shared" si="504"/>
        <v>0.2239998326954849</v>
      </c>
      <c r="G114" s="38">
        <f t="shared" si="504"/>
        <v>0.18882473092937355</v>
      </c>
      <c r="H114" s="37">
        <f t="shared" si="504"/>
        <v>4.0453908044833849E-2</v>
      </c>
      <c r="I114" s="37">
        <f t="shared" si="504"/>
        <v>0.19613511226186192</v>
      </c>
      <c r="J114" s="37">
        <f t="shared" si="504"/>
        <v>0.15962027547654414</v>
      </c>
      <c r="K114" s="38">
        <f t="shared" si="504"/>
        <v>0.17328737532167449</v>
      </c>
      <c r="L114" s="37">
        <f t="shared" si="504"/>
        <v>0.15956693717192577</v>
      </c>
      <c r="M114" s="37">
        <f t="shared" si="504"/>
        <v>0.19817601036989022</v>
      </c>
      <c r="N114" s="37">
        <f t="shared" si="504"/>
        <v>0.12521696313165512</v>
      </c>
      <c r="O114" s="38">
        <f t="shared" si="504"/>
        <v>0.13176011985628408</v>
      </c>
      <c r="P114" s="37">
        <f t="shared" si="504"/>
        <v>0.13480937901533116</v>
      </c>
      <c r="Q114" s="37">
        <f t="shared" si="504"/>
        <v>-9.4439642052717945E-2</v>
      </c>
      <c r="R114" s="37">
        <f t="shared" si="504"/>
        <v>-7.7800185476866929E-2</v>
      </c>
      <c r="S114" s="38">
        <f t="shared" si="504"/>
        <v>2.0528758768072208E-2</v>
      </c>
      <c r="T114" s="37">
        <f t="shared" si="504"/>
        <v>9.3383135297810074E-2</v>
      </c>
      <c r="U114" s="37">
        <f t="shared" si="504"/>
        <v>0.12382923455434355</v>
      </c>
      <c r="V114" s="37">
        <f t="shared" si="504"/>
        <v>-6.6622779437195467E-2</v>
      </c>
      <c r="W114" s="38">
        <f t="shared" si="504"/>
        <v>0.10328431944194126</v>
      </c>
      <c r="X114" s="37">
        <f t="shared" ref="X114:AK114" si="505">X113/X$10</f>
        <v>0.18773786651206847</v>
      </c>
      <c r="Y114" s="37">
        <f t="shared" si="505"/>
        <v>0.17879517600532527</v>
      </c>
      <c r="Z114" s="37">
        <f t="shared" si="505"/>
        <v>0.22459066375509865</v>
      </c>
      <c r="AA114" s="38">
        <f t="shared" si="505"/>
        <v>0.20047055743817513</v>
      </c>
      <c r="AB114" s="37">
        <f t="shared" si="505"/>
        <v>0.20982009490536191</v>
      </c>
      <c r="AC114" s="37">
        <f t="shared" si="505"/>
        <v>0.14902960807225396</v>
      </c>
      <c r="AD114" s="37">
        <f t="shared" si="505"/>
        <v>3.9754066791313859E-2</v>
      </c>
      <c r="AE114" s="38">
        <f>AE113/AE$10</f>
        <v>0.18287941602364471</v>
      </c>
      <c r="AF114" s="37">
        <f>AF113/AF$10</f>
        <v>0.20525297917586169</v>
      </c>
      <c r="AG114" s="37">
        <f t="shared" si="505"/>
        <v>0.12658390962587518</v>
      </c>
      <c r="AH114" s="37">
        <f t="shared" si="505"/>
        <v>0.21290859073805882</v>
      </c>
      <c r="AI114" s="38">
        <f>AI113/AI$10</f>
        <v>0.19568427179485492</v>
      </c>
      <c r="AJ114" s="39">
        <f>AJ113/AJ$10</f>
        <v>0.17620091552027292</v>
      </c>
      <c r="AK114" s="37">
        <f t="shared" si="505"/>
        <v>7.1505495958237825E-2</v>
      </c>
      <c r="AL114" s="37">
        <f t="shared" ref="AL114:AQ114" si="506">AL113/AL$10</f>
        <v>0.20232432584149082</v>
      </c>
      <c r="AM114" s="38">
        <f t="shared" si="506"/>
        <v>0.13198031961174655</v>
      </c>
      <c r="AN114" s="39">
        <f t="shared" si="506"/>
        <v>0.17229761750893977</v>
      </c>
      <c r="AO114" s="37">
        <f t="shared" si="506"/>
        <v>-0.12708690228983666</v>
      </c>
      <c r="AP114" s="37">
        <f t="shared" si="506"/>
        <v>0.13760279110214929</v>
      </c>
      <c r="AQ114" s="38">
        <f t="shared" si="506"/>
        <v>0.16936673092802451</v>
      </c>
      <c r="AR114" s="39">
        <f>AR113/AR$10</f>
        <v>-0.12825194218769442</v>
      </c>
      <c r="AS114" s="37">
        <f>AS113/AS$10</f>
        <v>0.13207694912798945</v>
      </c>
      <c r="AT114" s="37">
        <f>AT113/AT$10</f>
        <v>0.25179558110551598</v>
      </c>
      <c r="AU114" s="37">
        <f t="shared" ref="AU114:AZ114" si="507">AU113/AU$10</f>
        <v>0.16310679954639073</v>
      </c>
      <c r="AV114" s="39">
        <f t="shared" si="507"/>
        <v>0.24512821608989013</v>
      </c>
      <c r="AW114" s="37">
        <f t="shared" si="507"/>
        <v>0.23680122250897467</v>
      </c>
      <c r="AX114" s="37">
        <f t="shared" si="507"/>
        <v>0.24124077795518364</v>
      </c>
      <c r="AY114" s="37">
        <f t="shared" si="507"/>
        <v>0.27127515552196413</v>
      </c>
      <c r="AZ114" s="39">
        <f t="shared" si="507"/>
        <v>0.26843745440143413</v>
      </c>
      <c r="BA114" s="37">
        <f>BA113/BA$10</f>
        <v>-0.12047950892735267</v>
      </c>
      <c r="BB114" s="37">
        <f t="shared" ref="BB114" si="508">BB113/BB$10</f>
        <v>0.2985311417378072</v>
      </c>
      <c r="BC114" s="38">
        <f>BC113/BC$10</f>
        <v>0.29564500809820238</v>
      </c>
      <c r="BD114" s="39">
        <f t="shared" ref="BD114:BK114" si="509">BD113/BD$10</f>
        <v>0.30307407244431678</v>
      </c>
      <c r="BE114" s="37">
        <f t="shared" si="509"/>
        <v>0.30431229481419786</v>
      </c>
      <c r="BF114" s="37">
        <f t="shared" si="509"/>
        <v>0.31637909914028073</v>
      </c>
      <c r="BG114" s="38">
        <f t="shared" si="509"/>
        <v>0.32132893710794863</v>
      </c>
      <c r="BH114" s="39">
        <f t="shared" si="509"/>
        <v>0.31761700341332494</v>
      </c>
      <c r="BI114" s="37">
        <f t="shared" si="509"/>
        <v>0.31748203131614128</v>
      </c>
      <c r="BJ114" s="37">
        <f t="shared" si="509"/>
        <v>0.32580832590292225</v>
      </c>
      <c r="BK114" s="38">
        <f t="shared" si="509"/>
        <v>0.33219826831520177</v>
      </c>
      <c r="BL114" s="20"/>
      <c r="BM114" s="37">
        <f t="shared" ref="BM114:BR114" si="510">BM113/BM$10</f>
        <v>0.20789953391188212</v>
      </c>
      <c r="BN114" s="37">
        <f t="shared" si="510"/>
        <v>0.14246358114282626</v>
      </c>
      <c r="BO114" s="37">
        <f t="shared" si="510"/>
        <v>0.15477768473335943</v>
      </c>
      <c r="BP114" s="37">
        <f t="shared" si="510"/>
        <v>6.3517039638158702E-3</v>
      </c>
      <c r="BQ114" s="37">
        <f t="shared" si="510"/>
        <v>6.2644579528565003E-2</v>
      </c>
      <c r="BR114" s="37">
        <f t="shared" si="510"/>
        <v>0.19779189035816638</v>
      </c>
      <c r="BS114" s="37">
        <f t="shared" ref="BS114:CA114" si="511">BS113/BS$10</f>
        <v>0.14766537037830615</v>
      </c>
      <c r="BT114" s="37">
        <f t="shared" si="511"/>
        <v>0.18526176356023183</v>
      </c>
      <c r="BU114" s="37">
        <f t="shared" si="511"/>
        <v>0.14460421011361382</v>
      </c>
      <c r="BV114" s="37">
        <f t="shared" si="511"/>
        <v>8.9315191532747293E-2</v>
      </c>
      <c r="BW114" s="37">
        <f t="shared" si="511"/>
        <v>0.10364652604729814</v>
      </c>
      <c r="BX114" s="37">
        <f t="shared" si="511"/>
        <v>0.24900211925780241</v>
      </c>
      <c r="BY114" s="37">
        <f t="shared" si="511"/>
        <v>0.18546839621427524</v>
      </c>
      <c r="BZ114" s="37">
        <f t="shared" si="511"/>
        <v>0.31149719527458869</v>
      </c>
      <c r="CA114" s="38">
        <f t="shared" si="511"/>
        <v>0.3234487781322215</v>
      </c>
      <c r="CB114" s="39"/>
      <c r="CC114" s="37"/>
      <c r="CD114" s="37"/>
      <c r="CE114" s="260"/>
      <c r="CF114" s="39">
        <f t="shared" ref="CF114:CL114" si="512">CF113/CF$10</f>
        <v>0.16158665437669303</v>
      </c>
      <c r="CG114" s="37">
        <f t="shared" si="512"/>
        <v>0.17316037572020113</v>
      </c>
      <c r="CH114" s="37">
        <f t="shared" si="512"/>
        <v>8.2008633263108158E-2</v>
      </c>
      <c r="CI114" s="37">
        <f t="shared" si="512"/>
        <v>4.9646417369335498E-2</v>
      </c>
      <c r="CJ114" s="37">
        <f t="shared" si="512"/>
        <v>0.10877313231200618</v>
      </c>
      <c r="CK114" s="37">
        <f t="shared" si="512"/>
        <v>0.19647228125189209</v>
      </c>
      <c r="CL114" s="37">
        <f t="shared" si="512"/>
        <v>0.14050535048360416</v>
      </c>
      <c r="CM114" s="37">
        <f t="shared" ref="CM114:CR114" si="513">CM113/CM$10</f>
        <v>0.16343055652604632</v>
      </c>
      <c r="CN114" s="37">
        <f t="shared" si="513"/>
        <v>9.8229733069698497E-2</v>
      </c>
      <c r="CO114" s="37">
        <f t="shared" si="513"/>
        <v>7.765723397881269E-2</v>
      </c>
      <c r="CP114" s="37">
        <f t="shared" si="513"/>
        <v>0.22394407307460201</v>
      </c>
      <c r="CQ114" s="37">
        <f t="shared" si="513"/>
        <v>0.16083751061290738</v>
      </c>
      <c r="CR114" s="37">
        <f t="shared" si="513"/>
        <v>0.30033778369949415</v>
      </c>
      <c r="CS114" s="38">
        <f>CS113/CS$10</f>
        <v>0.3182120162662268</v>
      </c>
      <c r="CT114" s="37"/>
    </row>
    <row r="115" spans="1:104" ht="14.25" hidden="1" customHeight="1" outlineLevel="1">
      <c r="A115" s="8"/>
      <c r="B115" s="714" t="s">
        <v>350</v>
      </c>
      <c r="C115" s="715"/>
      <c r="D115" s="719">
        <f t="shared" ref="D115:AQ115" si="514">(-D11+D24+D42+D54+D67+D92+D106)</f>
        <v>0</v>
      </c>
      <c r="E115" s="719">
        <f t="shared" si="514"/>
        <v>0</v>
      </c>
      <c r="F115" s="719">
        <f t="shared" si="514"/>
        <v>0</v>
      </c>
      <c r="G115" s="718">
        <f t="shared" si="514"/>
        <v>0</v>
      </c>
      <c r="H115" s="719">
        <f t="shared" si="514"/>
        <v>0</v>
      </c>
      <c r="I115" s="719">
        <f t="shared" si="514"/>
        <v>0</v>
      </c>
      <c r="J115" s="719">
        <f t="shared" si="514"/>
        <v>0</v>
      </c>
      <c r="K115" s="718">
        <f t="shared" si="514"/>
        <v>61.896000000000001</v>
      </c>
      <c r="L115" s="719">
        <f t="shared" si="514"/>
        <v>7.5600000000000005</v>
      </c>
      <c r="M115" s="719">
        <f t="shared" si="514"/>
        <v>15.145</v>
      </c>
      <c r="N115" s="719">
        <f t="shared" si="514"/>
        <v>41.789000000000001</v>
      </c>
      <c r="O115" s="718">
        <f t="shared" si="514"/>
        <v>37.408000000000001</v>
      </c>
      <c r="P115" s="719">
        <f t="shared" si="514"/>
        <v>20.135999999999999</v>
      </c>
      <c r="Q115" s="719">
        <f t="shared" si="514"/>
        <v>125.857</v>
      </c>
      <c r="R115" s="719">
        <f t="shared" si="514"/>
        <v>27.296999999999997</v>
      </c>
      <c r="S115" s="718">
        <f t="shared" si="514"/>
        <v>16.580999999999996</v>
      </c>
      <c r="T115" s="719">
        <f t="shared" si="514"/>
        <v>-4.4390000000000018</v>
      </c>
      <c r="U115" s="719">
        <f t="shared" si="514"/>
        <v>4.93</v>
      </c>
      <c r="V115" s="719">
        <f t="shared" si="514"/>
        <v>115.779</v>
      </c>
      <c r="W115" s="718">
        <f t="shared" si="514"/>
        <v>10.681000000000019</v>
      </c>
      <c r="X115" s="719">
        <f t="shared" si="514"/>
        <v>11.462999999999999</v>
      </c>
      <c r="Y115" s="719">
        <f t="shared" si="514"/>
        <v>22.794</v>
      </c>
      <c r="Z115" s="719">
        <f t="shared" si="514"/>
        <v>-29.554999999999996</v>
      </c>
      <c r="AA115" s="718">
        <f t="shared" si="514"/>
        <v>4.8309999999999977</v>
      </c>
      <c r="AB115" s="719">
        <f t="shared" si="514"/>
        <v>6.3839999999999986</v>
      </c>
      <c r="AC115" s="719">
        <f t="shared" si="514"/>
        <v>12.542999999999999</v>
      </c>
      <c r="AD115" s="719">
        <f t="shared" si="514"/>
        <v>76.820999999999998</v>
      </c>
      <c r="AE115" s="718">
        <f t="shared" si="514"/>
        <v>24.061</v>
      </c>
      <c r="AF115" s="719">
        <f t="shared" si="514"/>
        <v>11.254</v>
      </c>
      <c r="AG115" s="719">
        <f t="shared" si="514"/>
        <v>48.184000000000005</v>
      </c>
      <c r="AH115" s="719">
        <f t="shared" si="514"/>
        <v>5.8040000000000003</v>
      </c>
      <c r="AI115" s="718">
        <f t="shared" si="514"/>
        <v>10.462999999999999</v>
      </c>
      <c r="AJ115" s="733">
        <f t="shared" si="514"/>
        <v>16.366</v>
      </c>
      <c r="AK115" s="719">
        <f t="shared" si="514"/>
        <v>59.137999999999998</v>
      </c>
      <c r="AL115" s="719">
        <f t="shared" si="514"/>
        <v>0.58899999999999864</v>
      </c>
      <c r="AM115" s="718">
        <f t="shared" si="514"/>
        <v>39.117000000000004</v>
      </c>
      <c r="AN115" s="733">
        <f t="shared" si="514"/>
        <v>8.6419999999999995</v>
      </c>
      <c r="AO115" s="719">
        <f t="shared" si="514"/>
        <v>165.71199999999999</v>
      </c>
      <c r="AP115" s="719">
        <f t="shared" si="514"/>
        <v>34.813000000000002</v>
      </c>
      <c r="AQ115" s="718">
        <f t="shared" si="514"/>
        <v>25.434000000000001</v>
      </c>
      <c r="AR115" s="733">
        <f t="shared" ref="AR115:AW115" si="515">(-AR11+AR24+AR42+AR54+AR67+AR92+AR106)</f>
        <v>192.45500000000001</v>
      </c>
      <c r="AS115" s="719">
        <f t="shared" si="515"/>
        <v>25.350999999999999</v>
      </c>
      <c r="AT115" s="719">
        <f t="shared" si="515"/>
        <v>-22.152000000000001</v>
      </c>
      <c r="AU115" s="719">
        <f t="shared" si="515"/>
        <v>48.131999999999998</v>
      </c>
      <c r="AV115" s="733">
        <f t="shared" si="515"/>
        <v>0.61599999999999921</v>
      </c>
      <c r="AW115" s="719">
        <f t="shared" si="515"/>
        <v>2.2179999999999982</v>
      </c>
      <c r="AX115" s="719">
        <f>(-AX11+AX24+AX42+AX54+AX67+AX92+AX106)</f>
        <v>19.578000000000003</v>
      </c>
      <c r="AY115" s="719">
        <f>(-AY11+AY24+AY42+AY54+AY67+AY92+AY106)</f>
        <v>16.620999999999999</v>
      </c>
      <c r="AZ115" s="733">
        <f>(-AZ11+AZ24+AZ42+AZ54+AZ67+AZ92+AZ106)</f>
        <v>16.018000000000001</v>
      </c>
      <c r="BA115" s="719">
        <f>(-BA11+BA24+BA42+BA54+BA67+BA92+BA106)</f>
        <v>261.08199999999999</v>
      </c>
      <c r="BB115" s="719">
        <f>(-BB11+BB24+BB42+BB54+BB67+BB92+BB106)</f>
        <v>15.569000000000001</v>
      </c>
      <c r="BC115" s="718">
        <f t="shared" ref="BC115:BG115" si="516">(-BC11+BC24+BC42+BC54+BC67+BC92+BC106)</f>
        <v>10.555999999999999</v>
      </c>
      <c r="BD115" s="733">
        <f t="shared" si="516"/>
        <v>0.876</v>
      </c>
      <c r="BE115" s="719">
        <f t="shared" si="516"/>
        <v>0.876</v>
      </c>
      <c r="BF115" s="719">
        <f t="shared" si="516"/>
        <v>0.876</v>
      </c>
      <c r="BG115" s="718">
        <f t="shared" si="516"/>
        <v>0.876</v>
      </c>
      <c r="BH115" s="733">
        <f>(-BH11+BH24+BH42+BH54+BH67+BH92+BH106)</f>
        <v>0.876</v>
      </c>
      <c r="BI115" s="719">
        <f>(-BI11+BI24+BI42+BI54+BI67+BI92+BI106)</f>
        <v>0.876</v>
      </c>
      <c r="BJ115" s="719">
        <f>(-BJ11+BJ24+BJ42+BJ54+BJ67+BJ92+BJ106)</f>
        <v>0.876</v>
      </c>
      <c r="BK115" s="718">
        <f>(-BK11+BK24+BK42+BK54+BK67+BK92+BK106)</f>
        <v>0.876</v>
      </c>
      <c r="BL115" s="720"/>
      <c r="BM115" s="719">
        <f t="shared" ref="BM115:BX115" si="517">(-BM11+BM24+BM42+BM54+BM67+BM92+BM106)</f>
        <v>0</v>
      </c>
      <c r="BN115" s="719">
        <f t="shared" si="517"/>
        <v>61.896000000000001</v>
      </c>
      <c r="BO115" s="719">
        <f t="shared" si="517"/>
        <v>101.902</v>
      </c>
      <c r="BP115" s="719">
        <f t="shared" si="517"/>
        <v>189.87099999999998</v>
      </c>
      <c r="BQ115" s="719">
        <f t="shared" si="517"/>
        <v>126.95100000000002</v>
      </c>
      <c r="BR115" s="719">
        <f t="shared" si="517"/>
        <v>9.5330000000000013</v>
      </c>
      <c r="BS115" s="719">
        <f t="shared" si="517"/>
        <v>119.809</v>
      </c>
      <c r="BT115" s="719">
        <f t="shared" si="517"/>
        <v>75.704999999999998</v>
      </c>
      <c r="BU115" s="719">
        <f t="shared" si="517"/>
        <v>115.20999999999998</v>
      </c>
      <c r="BV115" s="719">
        <f t="shared" si="517"/>
        <v>234.60100000000003</v>
      </c>
      <c r="BW115" s="719">
        <f t="shared" si="517"/>
        <v>243.78600000000003</v>
      </c>
      <c r="BX115" s="719">
        <f t="shared" si="517"/>
        <v>39.033000000000001</v>
      </c>
      <c r="BY115" s="719">
        <f>(-BY11+BY24+BY42+BY54+BY67+BY92+BY106)</f>
        <v>303.22500000000002</v>
      </c>
      <c r="BZ115" s="719">
        <f>(-BZ11+BZ24+BZ42+BZ54+BZ67+BZ92+BZ106)</f>
        <v>3.504</v>
      </c>
      <c r="CA115" s="718">
        <f>(-CA11+CA24+CA42+CA54+CA67+CA92+CA106)</f>
        <v>3.504</v>
      </c>
      <c r="CB115" s="1473"/>
      <c r="CC115" s="1279"/>
      <c r="CD115" s="1279"/>
      <c r="CE115" s="260"/>
      <c r="CF115" s="34">
        <f t="shared" ref="CF115:CP115" si="518">(-CF11+CF24+CF42+CF54+CF67+CF92+CF106)</f>
        <v>0</v>
      </c>
      <c r="CG115" s="32">
        <f t="shared" si="518"/>
        <v>84.600999999999999</v>
      </c>
      <c r="CH115" s="32">
        <f t="shared" si="518"/>
        <v>225.19</v>
      </c>
      <c r="CI115" s="32">
        <f t="shared" si="518"/>
        <v>44.368999999999993</v>
      </c>
      <c r="CJ115" s="32">
        <f t="shared" si="518"/>
        <v>160.71699999999998</v>
      </c>
      <c r="CK115" s="32">
        <f t="shared" si="518"/>
        <v>-5.7970000000000113</v>
      </c>
      <c r="CL115" s="32">
        <f t="shared" si="518"/>
        <v>160.32</v>
      </c>
      <c r="CM115" s="32">
        <f t="shared" si="518"/>
        <v>91.771000000000001</v>
      </c>
      <c r="CN115" s="32">
        <f t="shared" si="518"/>
        <v>214.05999999999995</v>
      </c>
      <c r="CO115" s="32">
        <f t="shared" si="518"/>
        <v>278.053</v>
      </c>
      <c r="CP115" s="32">
        <f t="shared" si="518"/>
        <v>28.814</v>
      </c>
      <c r="CQ115" s="32">
        <f>(-CQ11+CQ24+CQ42+CQ54+CQ67+CQ92+CQ106)</f>
        <v>313.29899999999998</v>
      </c>
      <c r="CR115" s="32">
        <f>(-CR11+CR24+CR42+CR54+CR67+CR92+CR106)</f>
        <v>27.876999999999999</v>
      </c>
      <c r="CS115" s="33">
        <f>(-CS11+CS24+CS42+CS54+CS67+CS92+CS106)</f>
        <v>3.504</v>
      </c>
      <c r="CT115" s="32"/>
    </row>
    <row r="116" spans="1:104" ht="14.25" hidden="1" customHeight="1" outlineLevel="1">
      <c r="A116" s="8"/>
      <c r="B116" s="23" t="s">
        <v>351</v>
      </c>
      <c r="C116" s="24"/>
      <c r="D116" s="32">
        <f t="shared" ref="D116:AA116" si="519">-D127</f>
        <v>-1.643</v>
      </c>
      <c r="E116" s="32">
        <f t="shared" si="519"/>
        <v>0</v>
      </c>
      <c r="F116" s="32">
        <f t="shared" si="519"/>
        <v>0</v>
      </c>
      <c r="G116" s="33">
        <f t="shared" si="519"/>
        <v>0</v>
      </c>
      <c r="H116" s="32">
        <f t="shared" si="519"/>
        <v>0</v>
      </c>
      <c r="I116" s="32">
        <f t="shared" si="519"/>
        <v>0</v>
      </c>
      <c r="J116" s="32">
        <f t="shared" si="519"/>
        <v>0</v>
      </c>
      <c r="K116" s="33">
        <f t="shared" si="519"/>
        <v>0</v>
      </c>
      <c r="L116" s="32">
        <f t="shared" si="519"/>
        <v>0</v>
      </c>
      <c r="M116" s="32">
        <f t="shared" si="519"/>
        <v>0</v>
      </c>
      <c r="N116" s="32">
        <f t="shared" si="519"/>
        <v>0</v>
      </c>
      <c r="O116" s="33">
        <f t="shared" si="519"/>
        <v>0</v>
      </c>
      <c r="P116" s="32">
        <f t="shared" si="519"/>
        <v>0</v>
      </c>
      <c r="Q116" s="32">
        <f t="shared" si="519"/>
        <v>0</v>
      </c>
      <c r="R116" s="32">
        <f t="shared" si="519"/>
        <v>9.1999999999999993</v>
      </c>
      <c r="S116" s="33">
        <f t="shared" si="519"/>
        <v>15.5</v>
      </c>
      <c r="T116" s="32">
        <f t="shared" si="519"/>
        <v>16.843</v>
      </c>
      <c r="U116" s="32">
        <f t="shared" si="519"/>
        <v>12.537999999999998</v>
      </c>
      <c r="V116" s="32">
        <f t="shared" si="519"/>
        <v>3.1709999999999998</v>
      </c>
      <c r="W116" s="33">
        <f t="shared" si="519"/>
        <v>33.161999999999999</v>
      </c>
      <c r="X116" s="32">
        <f t="shared" si="519"/>
        <v>0</v>
      </c>
      <c r="Y116" s="32">
        <f t="shared" si="519"/>
        <v>0</v>
      </c>
      <c r="Z116" s="32">
        <f t="shared" si="519"/>
        <v>15.01</v>
      </c>
      <c r="AA116" s="33">
        <f t="shared" si="519"/>
        <v>6.7910000000000004</v>
      </c>
      <c r="AB116" s="32">
        <f t="shared" ref="AB116:AH116" si="520">-AB127</f>
        <v>-2.6549999999999998</v>
      </c>
      <c r="AC116" s="32">
        <f t="shared" si="520"/>
        <v>0</v>
      </c>
      <c r="AD116" s="32">
        <f t="shared" si="520"/>
        <v>-31.809000000000001</v>
      </c>
      <c r="AE116" s="33">
        <f t="shared" si="520"/>
        <v>0</v>
      </c>
      <c r="AF116" s="32">
        <f t="shared" si="520"/>
        <v>0</v>
      </c>
      <c r="AG116" s="32">
        <f t="shared" si="520"/>
        <v>0</v>
      </c>
      <c r="AH116" s="30">
        <f t="shared" si="520"/>
        <v>-2.6030000000000002</v>
      </c>
      <c r="AI116" s="33">
        <f t="shared" ref="AI116:AN116" si="521">-AI127</f>
        <v>0</v>
      </c>
      <c r="AJ116" s="34">
        <f t="shared" si="521"/>
        <v>0</v>
      </c>
      <c r="AK116" s="32">
        <f t="shared" si="521"/>
        <v>0</v>
      </c>
      <c r="AL116" s="30">
        <f t="shared" si="521"/>
        <v>0</v>
      </c>
      <c r="AM116" s="33">
        <f t="shared" si="521"/>
        <v>0</v>
      </c>
      <c r="AN116" s="34">
        <f t="shared" si="521"/>
        <v>0</v>
      </c>
      <c r="AO116" s="32">
        <f t="shared" ref="AO116:AT116" si="522">-AO127</f>
        <v>0</v>
      </c>
      <c r="AP116" s="30">
        <f t="shared" si="522"/>
        <v>0</v>
      </c>
      <c r="AQ116" s="33">
        <f t="shared" si="522"/>
        <v>0</v>
      </c>
      <c r="AR116" s="34">
        <f t="shared" si="522"/>
        <v>0</v>
      </c>
      <c r="AS116" s="32">
        <f t="shared" si="522"/>
        <v>0</v>
      </c>
      <c r="AT116" s="30">
        <f t="shared" si="522"/>
        <v>0</v>
      </c>
      <c r="AU116" s="30">
        <f t="shared" ref="AU116:BG116" si="523">-AU127</f>
        <v>0</v>
      </c>
      <c r="AV116" s="34">
        <f t="shared" si="523"/>
        <v>0</v>
      </c>
      <c r="AW116" s="32">
        <f t="shared" si="523"/>
        <v>0</v>
      </c>
      <c r="AX116" s="30">
        <f t="shared" si="523"/>
        <v>0</v>
      </c>
      <c r="AY116" s="30">
        <f>-AY127</f>
        <v>0</v>
      </c>
      <c r="AZ116" s="34">
        <f>-AZ127</f>
        <v>0</v>
      </c>
      <c r="BA116" s="32">
        <f>-BA127</f>
        <v>0</v>
      </c>
      <c r="BB116" s="30">
        <f t="shared" ref="BB116" si="524">-BB127</f>
        <v>0</v>
      </c>
      <c r="BC116" s="33">
        <f t="shared" si="523"/>
        <v>0</v>
      </c>
      <c r="BD116" s="34">
        <f t="shared" si="523"/>
        <v>0</v>
      </c>
      <c r="BE116" s="32">
        <f t="shared" si="523"/>
        <v>0</v>
      </c>
      <c r="BF116" s="32">
        <f t="shared" si="523"/>
        <v>0</v>
      </c>
      <c r="BG116" s="33">
        <f t="shared" si="523"/>
        <v>0</v>
      </c>
      <c r="BH116" s="34">
        <f>-BH127</f>
        <v>0</v>
      </c>
      <c r="BI116" s="32">
        <f>-BI127</f>
        <v>0</v>
      </c>
      <c r="BJ116" s="32">
        <f>-BJ127</f>
        <v>0</v>
      </c>
      <c r="BK116" s="33">
        <f>-BK127</f>
        <v>0</v>
      </c>
      <c r="BL116" s="20"/>
      <c r="BM116" s="30">
        <f t="shared" ref="BM116:BS116" si="525">-BM127</f>
        <v>0</v>
      </c>
      <c r="BN116" s="30">
        <f t="shared" si="525"/>
        <v>0</v>
      </c>
      <c r="BO116" s="30">
        <f t="shared" si="525"/>
        <v>0</v>
      </c>
      <c r="BP116" s="32">
        <f t="shared" si="525"/>
        <v>24.7</v>
      </c>
      <c r="BQ116" s="32">
        <f t="shared" si="525"/>
        <v>65.713999999999999</v>
      </c>
      <c r="BR116" s="32">
        <f t="shared" si="525"/>
        <v>21.801000000000002</v>
      </c>
      <c r="BS116" s="32">
        <f t="shared" si="525"/>
        <v>-34.463999999999999</v>
      </c>
      <c r="BT116" s="32">
        <f t="shared" ref="BT116:CA116" si="526">-BT127</f>
        <v>-2.6030000000000002</v>
      </c>
      <c r="BU116" s="32">
        <f t="shared" si="526"/>
        <v>0</v>
      </c>
      <c r="BV116" s="32">
        <f t="shared" si="526"/>
        <v>0</v>
      </c>
      <c r="BW116" s="32">
        <f t="shared" si="526"/>
        <v>0</v>
      </c>
      <c r="BX116" s="32">
        <f t="shared" si="526"/>
        <v>0</v>
      </c>
      <c r="BY116" s="32">
        <f t="shared" si="526"/>
        <v>0</v>
      </c>
      <c r="BZ116" s="32">
        <f t="shared" si="526"/>
        <v>0</v>
      </c>
      <c r="CA116" s="33">
        <f t="shared" si="526"/>
        <v>0</v>
      </c>
      <c r="CB116" s="34"/>
      <c r="CC116" s="32"/>
      <c r="CD116" s="32"/>
      <c r="CE116" s="260"/>
      <c r="CF116" s="34">
        <f t="shared" ref="CF116:CL116" si="527">-CF127</f>
        <v>0</v>
      </c>
      <c r="CG116" s="32">
        <f t="shared" si="527"/>
        <v>0</v>
      </c>
      <c r="CH116" s="32">
        <f t="shared" si="527"/>
        <v>0</v>
      </c>
      <c r="CI116" s="32">
        <f t="shared" si="527"/>
        <v>54.080999999999996</v>
      </c>
      <c r="CJ116" s="32">
        <f t="shared" si="527"/>
        <v>36.332999999999998</v>
      </c>
      <c r="CK116" s="32">
        <f t="shared" si="527"/>
        <v>19.146000000000001</v>
      </c>
      <c r="CL116" s="32">
        <f t="shared" si="527"/>
        <v>0</v>
      </c>
      <c r="CM116" s="32">
        <f t="shared" ref="CM116:CR116" si="528">-CM127</f>
        <v>0</v>
      </c>
      <c r="CN116" s="32">
        <f t="shared" si="528"/>
        <v>0</v>
      </c>
      <c r="CO116" s="32">
        <f t="shared" si="528"/>
        <v>0</v>
      </c>
      <c r="CP116" s="32">
        <f t="shared" si="528"/>
        <v>0</v>
      </c>
      <c r="CQ116" s="32">
        <f t="shared" si="528"/>
        <v>0</v>
      </c>
      <c r="CR116" s="32">
        <f t="shared" si="528"/>
        <v>0</v>
      </c>
      <c r="CS116" s="33">
        <f>-CS127</f>
        <v>0</v>
      </c>
      <c r="CT116" s="32"/>
    </row>
    <row r="117" spans="1:104" ht="14.25" hidden="1" customHeight="1" outlineLevel="1">
      <c r="A117" s="8"/>
      <c r="B117" s="47" t="s">
        <v>352</v>
      </c>
      <c r="C117" s="48"/>
      <c r="D117" s="50">
        <f t="shared" ref="D117:AA117" si="529">D98-D108+D116</f>
        <v>148.44399999999999</v>
      </c>
      <c r="E117" s="50">
        <f t="shared" si="529"/>
        <v>158.239</v>
      </c>
      <c r="F117" s="50">
        <f t="shared" si="529"/>
        <v>167.42900000000003</v>
      </c>
      <c r="G117" s="51">
        <f t="shared" si="529"/>
        <v>161.71699999999981</v>
      </c>
      <c r="H117" s="50">
        <f t="shared" si="529"/>
        <v>210.22299999999998</v>
      </c>
      <c r="I117" s="50">
        <f t="shared" si="529"/>
        <v>159.74099999999993</v>
      </c>
      <c r="J117" s="50">
        <f t="shared" si="529"/>
        <v>120.27399999999997</v>
      </c>
      <c r="K117" s="51">
        <f t="shared" si="529"/>
        <v>211.6459999999999</v>
      </c>
      <c r="L117" s="50">
        <f t="shared" si="529"/>
        <v>163.839</v>
      </c>
      <c r="M117" s="50">
        <f t="shared" si="529"/>
        <v>163.88099999999997</v>
      </c>
      <c r="N117" s="50">
        <f t="shared" si="529"/>
        <v>138.47400000000002</v>
      </c>
      <c r="O117" s="51">
        <f t="shared" si="529"/>
        <v>143.14199999999991</v>
      </c>
      <c r="P117" s="50">
        <f t="shared" si="529"/>
        <v>125.26399999999998</v>
      </c>
      <c r="Q117" s="50">
        <f t="shared" si="529"/>
        <v>171.01100000000002</v>
      </c>
      <c r="R117" s="50">
        <f t="shared" si="529"/>
        <v>49.684000000000012</v>
      </c>
      <c r="S117" s="51">
        <f>S98-S108+S116</f>
        <v>75.175000000000196</v>
      </c>
      <c r="T117" s="50">
        <f t="shared" si="529"/>
        <v>80.820999999999984</v>
      </c>
      <c r="U117" s="50">
        <f t="shared" si="529"/>
        <v>103.03599999999992</v>
      </c>
      <c r="V117" s="50">
        <f t="shared" si="529"/>
        <v>100.32600000000004</v>
      </c>
      <c r="W117" s="51">
        <f t="shared" si="529"/>
        <v>127.14599999999993</v>
      </c>
      <c r="X117" s="50">
        <f t="shared" si="529"/>
        <v>156.15200000000002</v>
      </c>
      <c r="Y117" s="50">
        <f t="shared" si="529"/>
        <v>156.90600000000006</v>
      </c>
      <c r="Z117" s="50">
        <f t="shared" si="529"/>
        <v>142.95899999999997</v>
      </c>
      <c r="AA117" s="51">
        <f t="shared" si="529"/>
        <v>158.62299999999973</v>
      </c>
      <c r="AB117" s="50">
        <f>AB98-AB108+AB116</f>
        <v>160.63999999999996</v>
      </c>
      <c r="AC117" s="50">
        <f>AC98-AC108+AC116</f>
        <v>124.14700000000005</v>
      </c>
      <c r="AD117" s="50">
        <f>AD98-AD108+AD116</f>
        <v>89.75800000000001</v>
      </c>
      <c r="AE117" s="51">
        <f t="shared" ref="AE117:AN117" si="530">AE98-AE108+AE116+AE127</f>
        <v>155.58499999999998</v>
      </c>
      <c r="AF117" s="50">
        <f t="shared" si="530"/>
        <v>160.26970000000003</v>
      </c>
      <c r="AG117" s="50">
        <f t="shared" si="530"/>
        <v>147.65100000000001</v>
      </c>
      <c r="AH117" s="50">
        <f t="shared" si="530"/>
        <v>154.20199999999997</v>
      </c>
      <c r="AI117" s="51">
        <f t="shared" si="530"/>
        <v>148.33000000000001</v>
      </c>
      <c r="AJ117" s="49">
        <f t="shared" si="530"/>
        <v>131.607125</v>
      </c>
      <c r="AK117" s="50">
        <f t="shared" si="530"/>
        <v>126.36000000000001</v>
      </c>
      <c r="AL117" s="50">
        <f t="shared" si="530"/>
        <v>145.18999999999997</v>
      </c>
      <c r="AM117" s="51">
        <f t="shared" si="530"/>
        <v>145.69799999999998</v>
      </c>
      <c r="AN117" s="49">
        <f t="shared" si="530"/>
        <v>126.80816783559658</v>
      </c>
      <c r="AO117" s="50">
        <f t="shared" ref="AO117:AT117" si="531">AO98-AO108+AO116+AO127</f>
        <v>114.45399999999998</v>
      </c>
      <c r="AP117" s="50">
        <f t="shared" si="531"/>
        <v>132.83300000000003</v>
      </c>
      <c r="AQ117" s="51">
        <f t="shared" si="531"/>
        <v>145.88100000000006</v>
      </c>
      <c r="AR117" s="49">
        <f t="shared" si="531"/>
        <v>140.17680000000001</v>
      </c>
      <c r="AS117" s="50">
        <f t="shared" si="531"/>
        <v>92.82</v>
      </c>
      <c r="AT117" s="50">
        <f t="shared" si="531"/>
        <v>117.6579999999999</v>
      </c>
      <c r="AU117" s="50">
        <f t="shared" ref="AU117:BG117" si="532">AU98-AU108+AU116+AU127</f>
        <v>140.47099999999995</v>
      </c>
      <c r="AV117" s="49">
        <f t="shared" si="532"/>
        <v>135.81192499999995</v>
      </c>
      <c r="AW117" s="50">
        <f t="shared" si="532"/>
        <v>132.69500000000005</v>
      </c>
      <c r="AX117" s="50">
        <f t="shared" si="532"/>
        <v>159.79100000000005</v>
      </c>
      <c r="AY117" s="50">
        <f>AY98-AY108+AY116+AY127</f>
        <v>179.93000000000004</v>
      </c>
      <c r="AZ117" s="49">
        <f>AZ98-AZ108+AZ116+AZ127</f>
        <v>170.55100000000004</v>
      </c>
      <c r="BA117" s="50">
        <f>BA98-BA108+BA116+BA127</f>
        <v>186.06699999999995</v>
      </c>
      <c r="BB117" s="50">
        <f t="shared" ref="BB117" si="533">BB98-BB108+BB116+BB127</f>
        <v>209.196</v>
      </c>
      <c r="BC117" s="51">
        <f t="shared" si="532"/>
        <v>196.77892322436003</v>
      </c>
      <c r="BD117" s="49">
        <f t="shared" si="532"/>
        <v>187.08539697383242</v>
      </c>
      <c r="BE117" s="50">
        <f t="shared" si="532"/>
        <v>188.19633741411627</v>
      </c>
      <c r="BF117" s="50">
        <f t="shared" si="532"/>
        <v>205.80541612000061</v>
      </c>
      <c r="BG117" s="51">
        <f t="shared" si="532"/>
        <v>211.21271092537398</v>
      </c>
      <c r="BH117" s="49">
        <f>BH98-BH108+BH116+BH127</f>
        <v>205.44679040010345</v>
      </c>
      <c r="BI117" s="50">
        <f>BI98-BI108+BI116+BI127</f>
        <v>205.20279207252673</v>
      </c>
      <c r="BJ117" s="50">
        <f>BJ98-BJ108+BJ116+BJ127</f>
        <v>219.09092118235179</v>
      </c>
      <c r="BK117" s="51">
        <f>BK98-BK108+BK116+BK127</f>
        <v>229.28602664470762</v>
      </c>
      <c r="BL117" s="20"/>
      <c r="BM117" s="50">
        <f t="shared" ref="BM117:BW117" si="534">BM98-BM108+BM116+BM127</f>
        <v>637.47199999999998</v>
      </c>
      <c r="BN117" s="50">
        <f t="shared" si="534"/>
        <v>701.8839999999999</v>
      </c>
      <c r="BO117" s="50">
        <f t="shared" si="534"/>
        <v>609.33600000000001</v>
      </c>
      <c r="BP117" s="50">
        <f t="shared" si="534"/>
        <v>396.43400000000031</v>
      </c>
      <c r="BQ117" s="50">
        <f t="shared" si="534"/>
        <v>345.61500000000001</v>
      </c>
      <c r="BR117" s="50">
        <f>BR98-BR108+BR116+BR127</f>
        <v>592.83899999999949</v>
      </c>
      <c r="BS117" s="50">
        <f>+SUM(AB117:AE117)</f>
        <v>530.13000000000011</v>
      </c>
      <c r="BT117" s="50">
        <f>+SUM(AF117:AI117)</f>
        <v>610.45270000000005</v>
      </c>
      <c r="BU117" s="50">
        <f>+SUM(AJ117:AM117)</f>
        <v>548.85512499999993</v>
      </c>
      <c r="BV117" s="50">
        <f t="shared" si="534"/>
        <v>525.51489283559613</v>
      </c>
      <c r="BW117" s="50">
        <f t="shared" si="534"/>
        <v>493.68100000000027</v>
      </c>
      <c r="BX117" s="50">
        <f>BX98-BX108+BX116+BX127</f>
        <v>610.64600000000007</v>
      </c>
      <c r="BY117" s="50">
        <f>BY98-BY108+BY116+BY127</f>
        <v>762.59292322436033</v>
      </c>
      <c r="BZ117" s="50">
        <f>BZ98-BZ108+BZ116+BZ127</f>
        <v>792.29986143332314</v>
      </c>
      <c r="CA117" s="51">
        <f>CA98-CA108+CA116+CA127</f>
        <v>859.02653029968917</v>
      </c>
      <c r="CB117" s="49"/>
      <c r="CC117" s="50"/>
      <c r="CD117" s="50"/>
      <c r="CE117" s="260"/>
      <c r="CF117" s="49">
        <f t="shared" ref="CF117:CN117" si="535">CF98-CF108+CF116+CF127</f>
        <v>699.1099999999999</v>
      </c>
      <c r="CG117" s="50">
        <f t="shared" si="535"/>
        <v>659.6400000000001</v>
      </c>
      <c r="CH117" s="50">
        <f t="shared" si="535"/>
        <v>577.89099999999974</v>
      </c>
      <c r="CI117" s="50">
        <f t="shared" si="535"/>
        <v>254.63499999999996</v>
      </c>
      <c r="CJ117" s="50">
        <f t="shared" si="535"/>
        <v>504.19700000000034</v>
      </c>
      <c r="CK117" s="50">
        <f t="shared" si="535"/>
        <v>567.22299999999927</v>
      </c>
      <c r="CL117" s="50">
        <f t="shared" si="535"/>
        <v>587.44200000000001</v>
      </c>
      <c r="CM117" s="50">
        <f t="shared" si="535"/>
        <v>567.11799999999982</v>
      </c>
      <c r="CN117" s="50">
        <f t="shared" si="535"/>
        <v>537.68889283559656</v>
      </c>
      <c r="CO117" s="50">
        <f>CO98-CO108+CO116+CO127</f>
        <v>514.2660000000003</v>
      </c>
      <c r="CP117" s="50">
        <f>CP98-CP108+CP116+CP127</f>
        <v>529.05400000000009</v>
      </c>
      <c r="CQ117" s="50">
        <f>CQ98-CQ108+CQ116+CQ127</f>
        <v>696.3389999999996</v>
      </c>
      <c r="CR117" s="50">
        <f>CR98-CR108+CR116+CR127</f>
        <v>781.25665761230869</v>
      </c>
      <c r="CS117" s="51">
        <f>CS98-CS108+CS116+CS127</f>
        <v>827.6677095180047</v>
      </c>
      <c r="CT117" s="50"/>
    </row>
    <row r="118" spans="1:104" ht="14.25" hidden="1" customHeight="1" outlineLevel="1">
      <c r="A118" s="8"/>
      <c r="B118" s="35" t="s">
        <v>353</v>
      </c>
      <c r="C118" s="36"/>
      <c r="D118" s="37">
        <f t="shared" ref="D118:W118" si="536">D117/D$10</f>
        <v>0.35002534809417696</v>
      </c>
      <c r="E118" s="37">
        <f t="shared" si="536"/>
        <v>0.35517821871072008</v>
      </c>
      <c r="F118" s="37">
        <f t="shared" si="536"/>
        <v>0.35014534579751977</v>
      </c>
      <c r="G118" s="38">
        <f t="shared" si="536"/>
        <v>0.31761528792520988</v>
      </c>
      <c r="H118" s="37">
        <f t="shared" si="536"/>
        <v>0.41815035455350125</v>
      </c>
      <c r="I118" s="37">
        <f t="shared" si="536"/>
        <v>0.32111777394045254</v>
      </c>
      <c r="J118" s="37">
        <f t="shared" si="536"/>
        <v>0.25238167182870425</v>
      </c>
      <c r="K118" s="38">
        <f t="shared" si="536"/>
        <v>0.39755433251310163</v>
      </c>
      <c r="L118" s="37">
        <f t="shared" si="536"/>
        <v>0.31262152224560708</v>
      </c>
      <c r="M118" s="37">
        <f t="shared" si="536"/>
        <v>0.30346928382945232</v>
      </c>
      <c r="N118" s="37">
        <f t="shared" si="536"/>
        <v>0.28410168031021116</v>
      </c>
      <c r="O118" s="38">
        <f t="shared" si="536"/>
        <v>0.28556038997181127</v>
      </c>
      <c r="P118" s="37">
        <f t="shared" si="536"/>
        <v>0.24992617776394438</v>
      </c>
      <c r="Q118" s="37">
        <f t="shared" si="536"/>
        <v>0.41641443964205277</v>
      </c>
      <c r="R118" s="37">
        <f t="shared" si="536"/>
        <v>0.14627353421753789</v>
      </c>
      <c r="S118" s="38">
        <f t="shared" si="536"/>
        <v>0.19057167700540764</v>
      </c>
      <c r="T118" s="37">
        <f t="shared" si="536"/>
        <v>0.17990366080054132</v>
      </c>
      <c r="U118" s="37">
        <f t="shared" si="536"/>
        <v>0.21759817534819365</v>
      </c>
      <c r="V118" s="37">
        <f t="shared" si="536"/>
        <v>0.19715060525074682</v>
      </c>
      <c r="W118" s="38">
        <f t="shared" si="536"/>
        <v>0.22465465879334642</v>
      </c>
      <c r="X118" s="37">
        <f t="shared" ref="X118:AK118" si="537">X117/X$10</f>
        <v>0.24938871400759258</v>
      </c>
      <c r="Y118" s="37">
        <f t="shared" si="537"/>
        <v>0.25599083754258201</v>
      </c>
      <c r="Z118" s="37">
        <f t="shared" si="537"/>
        <v>0.2356046310411602</v>
      </c>
      <c r="AA118" s="38">
        <f t="shared" si="537"/>
        <v>0.2531927832961684</v>
      </c>
      <c r="AB118" s="37">
        <f t="shared" si="537"/>
        <v>0.25257782208232044</v>
      </c>
      <c r="AC118" s="37">
        <f t="shared" si="537"/>
        <v>0.20993508173546024</v>
      </c>
      <c r="AD118" s="37">
        <f t="shared" si="537"/>
        <v>0.15713605456468002</v>
      </c>
      <c r="AE118" s="38">
        <f>AE117/AE$10</f>
        <v>0.25718399354663807</v>
      </c>
      <c r="AF118" s="37">
        <f>AF117/AF$10</f>
        <v>0.25722376920916423</v>
      </c>
      <c r="AG118" s="37">
        <f t="shared" si="537"/>
        <v>0.24392786458419377</v>
      </c>
      <c r="AH118" s="37">
        <f t="shared" si="537"/>
        <v>0.25492821764172957</v>
      </c>
      <c r="AI118" s="38">
        <f>AI117/AI$10</f>
        <v>0.24388599690230423</v>
      </c>
      <c r="AJ118" s="39">
        <f>AJ117/AJ$10</f>
        <v>0.22487680288974971</v>
      </c>
      <c r="AK118" s="37">
        <f t="shared" si="537"/>
        <v>0.20371642209733121</v>
      </c>
      <c r="AL118" s="37">
        <f t="shared" ref="AL118:AQ118" si="538">AL117/AL$10</f>
        <v>0.23971364464132103</v>
      </c>
      <c r="AM118" s="38">
        <f t="shared" si="538"/>
        <v>0.22677896296619124</v>
      </c>
      <c r="AN118" s="39">
        <f t="shared" si="538"/>
        <v>0.21853115821911437</v>
      </c>
      <c r="AO118" s="37">
        <f t="shared" si="538"/>
        <v>0.20192692776579058</v>
      </c>
      <c r="AP118" s="37">
        <f t="shared" si="538"/>
        <v>0.23010828686404641</v>
      </c>
      <c r="AQ118" s="38">
        <f t="shared" si="538"/>
        <v>0.2504321762283333</v>
      </c>
      <c r="AR118" s="39">
        <f>AR117/AR$10</f>
        <v>0.24919876979964803</v>
      </c>
      <c r="AS118" s="37">
        <f>AS117/AS$10</f>
        <v>0.18170392947961261</v>
      </c>
      <c r="AT118" s="37">
        <f>AT117/AT$10</f>
        <v>0.21190018225958648</v>
      </c>
      <c r="AU118" s="37">
        <f t="shared" ref="AU118:AZ118" si="539">AU117/AU$10</f>
        <v>0.24812674210334792</v>
      </c>
      <c r="AV118" s="39">
        <f t="shared" si="539"/>
        <v>0.24191822706253688</v>
      </c>
      <c r="AW118" s="37">
        <f t="shared" si="539"/>
        <v>0.24082664546876764</v>
      </c>
      <c r="AX118" s="37">
        <f t="shared" si="539"/>
        <v>0.27492532896547933</v>
      </c>
      <c r="AY118" s="37">
        <f t="shared" si="539"/>
        <v>0.29888456075946218</v>
      </c>
      <c r="AZ118" s="39">
        <f t="shared" si="539"/>
        <v>0.29626213356123937</v>
      </c>
      <c r="BA118" s="37">
        <f>BA117/BA$10</f>
        <v>0.29883704309252418</v>
      </c>
      <c r="BB118" s="37">
        <f t="shared" ref="BB118" si="540">BB117/BB$10</f>
        <v>0.32253518738080073</v>
      </c>
      <c r="BC118" s="38">
        <f>BC117/BC$10</f>
        <v>0.31240357171351346</v>
      </c>
      <c r="BD118" s="39">
        <f t="shared" ref="BD118:BK118" si="541">BD117/BD$10</f>
        <v>0.30449984843508771</v>
      </c>
      <c r="BE118" s="37">
        <f t="shared" si="541"/>
        <v>0.30573540548086242</v>
      </c>
      <c r="BF118" s="37">
        <f t="shared" si="541"/>
        <v>0.31773150669647365</v>
      </c>
      <c r="BG118" s="38">
        <f t="shared" si="541"/>
        <v>0.32266719207860106</v>
      </c>
      <c r="BH118" s="39">
        <f t="shared" si="541"/>
        <v>0.31897708270150632</v>
      </c>
      <c r="BI118" s="37">
        <f t="shared" si="541"/>
        <v>0.31884315609381714</v>
      </c>
      <c r="BJ118" s="37">
        <f t="shared" si="541"/>
        <v>0.32711624789077048</v>
      </c>
      <c r="BK118" s="38">
        <f t="shared" si="541"/>
        <v>0.33347231782747111</v>
      </c>
      <c r="BL118" s="20"/>
      <c r="BM118" s="37">
        <f t="shared" ref="BM118:BR118" si="542">BM117/BM$10</f>
        <v>0.34329072751212342</v>
      </c>
      <c r="BN118" s="37">
        <f t="shared" si="542"/>
        <v>0.34934827317776301</v>
      </c>
      <c r="BO118" s="37">
        <f t="shared" si="542"/>
        <v>0.29683410277657213</v>
      </c>
      <c r="BP118" s="37">
        <f t="shared" si="542"/>
        <v>0.24084470676148165</v>
      </c>
      <c r="BQ118" s="37">
        <f t="shared" si="542"/>
        <v>0.17301485830768176</v>
      </c>
      <c r="BR118" s="37">
        <f t="shared" si="542"/>
        <v>0.2397885243176405</v>
      </c>
      <c r="BS118" s="37">
        <f t="shared" ref="BS118:CA118" si="543">BS117/BS$10</f>
        <v>0.22056318022374605</v>
      </c>
      <c r="BT118" s="37">
        <f t="shared" si="543"/>
        <v>0.25003602354166099</v>
      </c>
      <c r="BU118" s="37">
        <f t="shared" si="543"/>
        <v>0.22368806351972537</v>
      </c>
      <c r="BV118" s="37">
        <f t="shared" si="543"/>
        <v>0.22780488699619753</v>
      </c>
      <c r="BW118" s="37">
        <f t="shared" si="543"/>
        <v>0.22494041378417931</v>
      </c>
      <c r="BX118" s="37">
        <f t="shared" si="543"/>
        <v>0.26600540595875177</v>
      </c>
      <c r="BY118" s="37">
        <f t="shared" si="543"/>
        <v>0.30789456399570736</v>
      </c>
      <c r="BZ118" s="37">
        <f t="shared" si="543"/>
        <v>0.31288093246897358</v>
      </c>
      <c r="CA118" s="38">
        <f t="shared" si="543"/>
        <v>0.32477354104428446</v>
      </c>
      <c r="CB118" s="39"/>
      <c r="CC118" s="37"/>
      <c r="CD118" s="37"/>
      <c r="CE118" s="260"/>
      <c r="CF118" s="39">
        <f t="shared" ref="CF118:CL118" si="544">CF117/CF$10</f>
        <v>0.35174850366887911</v>
      </c>
      <c r="CG118" s="37">
        <f t="shared" si="544"/>
        <v>0.31820058735224543</v>
      </c>
      <c r="CH118" s="37">
        <f t="shared" si="544"/>
        <v>0.30406417911390132</v>
      </c>
      <c r="CI118" s="37">
        <f t="shared" si="544"/>
        <v>0.15368185228170489</v>
      </c>
      <c r="CJ118" s="37">
        <f t="shared" si="544"/>
        <v>0.21789761689809975</v>
      </c>
      <c r="CK118" s="37">
        <f t="shared" si="544"/>
        <v>0.23051970087298862</v>
      </c>
      <c r="CL118" s="37">
        <f t="shared" si="544"/>
        <v>0.24430444129023779</v>
      </c>
      <c r="CM118" s="37">
        <f t="shared" ref="CM118:CR118" si="545">CM117/CM$10</f>
        <v>0.23448261034411325</v>
      </c>
      <c r="CN118" s="37">
        <f t="shared" si="545"/>
        <v>0.22448301159787301</v>
      </c>
      <c r="CO118" s="37">
        <f t="shared" si="545"/>
        <v>0.23029025296882716</v>
      </c>
      <c r="CP118" s="37">
        <f t="shared" si="545"/>
        <v>0.23684333047419348</v>
      </c>
      <c r="CQ118" s="37">
        <f t="shared" si="545"/>
        <v>0.29239095473757659</v>
      </c>
      <c r="CR118" s="37">
        <f t="shared" si="545"/>
        <v>0.31145106013534318</v>
      </c>
      <c r="CS118" s="38">
        <f>CS117/CS$10</f>
        <v>0.31956492090412814</v>
      </c>
      <c r="CT118" s="37"/>
    </row>
    <row r="119" spans="1:104" ht="14.25" customHeight="1" collapsed="1">
      <c r="A119" s="8"/>
      <c r="B119" s="47" t="s">
        <v>209</v>
      </c>
      <c r="C119" s="48"/>
      <c r="D119" s="50">
        <f t="shared" ref="D119:AA119" si="546">D100-D110</f>
        <v>85.135000000000034</v>
      </c>
      <c r="E119" s="50">
        <f t="shared" si="546"/>
        <v>97.670999999999964</v>
      </c>
      <c r="F119" s="50">
        <f t="shared" si="546"/>
        <v>107.11000000000001</v>
      </c>
      <c r="G119" s="51">
        <f t="shared" si="546"/>
        <v>96.141999999999811</v>
      </c>
      <c r="H119" s="50">
        <f t="shared" si="546"/>
        <v>20.337999999999994</v>
      </c>
      <c r="I119" s="50">
        <f t="shared" si="546"/>
        <v>97.567999999999998</v>
      </c>
      <c r="J119" s="50">
        <f t="shared" si="546"/>
        <v>76.067999999999969</v>
      </c>
      <c r="K119" s="51">
        <f t="shared" si="546"/>
        <v>154.14899999999986</v>
      </c>
      <c r="L119" s="50">
        <f t="shared" si="546"/>
        <v>91.186000000000035</v>
      </c>
      <c r="M119" s="50">
        <f t="shared" si="546"/>
        <v>122.16499999999996</v>
      </c>
      <c r="N119" s="50">
        <f t="shared" si="546"/>
        <v>102.82100000000005</v>
      </c>
      <c r="O119" s="51">
        <f t="shared" si="546"/>
        <v>103.4549999999999</v>
      </c>
      <c r="P119" s="50">
        <f t="shared" si="546"/>
        <v>87.703000000000031</v>
      </c>
      <c r="Q119" s="50">
        <f t="shared" si="546"/>
        <v>87.073000000000022</v>
      </c>
      <c r="R119" s="50">
        <f t="shared" si="546"/>
        <v>0.87099999999998978</v>
      </c>
      <c r="S119" s="51">
        <f t="shared" si="546"/>
        <v>24.679000000000215</v>
      </c>
      <c r="T119" s="50">
        <f t="shared" si="546"/>
        <v>37.512999999999984</v>
      </c>
      <c r="U119" s="50">
        <f t="shared" si="546"/>
        <v>63.564999999999927</v>
      </c>
      <c r="V119" s="697">
        <f t="shared" si="546"/>
        <v>81.876000000000005</v>
      </c>
      <c r="W119" s="51">
        <f t="shared" si="546"/>
        <v>69.135999999999953</v>
      </c>
      <c r="X119" s="50">
        <f t="shared" si="546"/>
        <v>129.01299999999998</v>
      </c>
      <c r="Y119" s="50">
        <f t="shared" si="546"/>
        <v>132.38400000000001</v>
      </c>
      <c r="Z119" s="50">
        <f t="shared" si="546"/>
        <v>106.72099999999998</v>
      </c>
      <c r="AA119" s="51">
        <f t="shared" si="546"/>
        <v>130.42399999999969</v>
      </c>
      <c r="AB119" s="50">
        <f t="shared" ref="AB119:AH119" si="547">AB100-AB110</f>
        <v>139.82999999999993</v>
      </c>
      <c r="AC119" s="50">
        <f t="shared" si="547"/>
        <v>100.67300000000003</v>
      </c>
      <c r="AD119" s="50">
        <f t="shared" si="547"/>
        <v>99.529000000000025</v>
      </c>
      <c r="AE119" s="51">
        <f t="shared" si="547"/>
        <v>134.69499999999996</v>
      </c>
      <c r="AF119" s="50">
        <f t="shared" si="547"/>
        <v>139.14200000000008</v>
      </c>
      <c r="AG119" s="50">
        <f t="shared" si="547"/>
        <v>124.80599999999998</v>
      </c>
      <c r="AH119" s="50">
        <f t="shared" si="547"/>
        <v>134.58900000000003</v>
      </c>
      <c r="AI119" s="51">
        <f t="shared" ref="AI119:AN119" si="548">AI100-AI110</f>
        <v>129.47699999999995</v>
      </c>
      <c r="AJ119" s="49">
        <f t="shared" si="548"/>
        <v>119.48600000000002</v>
      </c>
      <c r="AK119" s="50">
        <f t="shared" si="548"/>
        <v>103.49100000000001</v>
      </c>
      <c r="AL119" s="50">
        <f t="shared" si="548"/>
        <v>123.13300000000001</v>
      </c>
      <c r="AM119" s="51">
        <f t="shared" si="548"/>
        <v>123.91000000000004</v>
      </c>
      <c r="AN119" s="49">
        <f t="shared" si="548"/>
        <v>108.62200000000001</v>
      </c>
      <c r="AO119" s="50">
        <f t="shared" ref="AO119:AT119" si="549">AO100-AO110</f>
        <v>93.677999999999969</v>
      </c>
      <c r="AP119" s="50">
        <f t="shared" si="549"/>
        <v>114.24600000000004</v>
      </c>
      <c r="AQ119" s="51">
        <f t="shared" si="549"/>
        <v>124.09300000000012</v>
      </c>
      <c r="AR119" s="49">
        <f t="shared" si="549"/>
        <v>120.31200000000001</v>
      </c>
      <c r="AS119" s="50">
        <f t="shared" si="549"/>
        <v>92.82</v>
      </c>
      <c r="AT119" s="50">
        <f t="shared" si="549"/>
        <v>117.6579999999999</v>
      </c>
      <c r="AU119" s="50">
        <f t="shared" ref="AU119:BG119" si="550">AU100-AU110</f>
        <v>140.47099999999995</v>
      </c>
      <c r="AV119" s="49">
        <f t="shared" si="550"/>
        <v>138.22999999999993</v>
      </c>
      <c r="AW119" s="50">
        <f t="shared" si="550"/>
        <v>132.69500000000005</v>
      </c>
      <c r="AX119" s="50">
        <f t="shared" si="550"/>
        <v>159.79100000000005</v>
      </c>
      <c r="AY119" s="50">
        <f>AY100-AY110</f>
        <v>179.93000000000004</v>
      </c>
      <c r="AZ119" s="49">
        <f>AZ100-AZ110</f>
        <v>170.55100000000004</v>
      </c>
      <c r="BA119" s="50">
        <f>BA100-BA110</f>
        <v>186.06699999999995</v>
      </c>
      <c r="BB119" s="50">
        <f t="shared" ref="BB119" si="551">BB100-BB110</f>
        <v>209.196</v>
      </c>
      <c r="BC119" s="51">
        <f t="shared" si="550"/>
        <v>196.77892322436003</v>
      </c>
      <c r="BD119" s="49">
        <f t="shared" si="550"/>
        <v>187.08539697383242</v>
      </c>
      <c r="BE119" s="50">
        <f t="shared" si="550"/>
        <v>188.19633741411627</v>
      </c>
      <c r="BF119" s="50">
        <f t="shared" si="550"/>
        <v>205.80541612000061</v>
      </c>
      <c r="BG119" s="51">
        <f t="shared" si="550"/>
        <v>211.21271092537398</v>
      </c>
      <c r="BH119" s="49">
        <f>BH100-BH110</f>
        <v>205.44679040010345</v>
      </c>
      <c r="BI119" s="50">
        <f>BI100-BI110</f>
        <v>205.20279207252673</v>
      </c>
      <c r="BJ119" s="50">
        <f>BJ100-BJ110</f>
        <v>219.09092118235179</v>
      </c>
      <c r="BK119" s="51">
        <f>BK100-BK110</f>
        <v>229.28602664470762</v>
      </c>
      <c r="BL119" s="20"/>
      <c r="BM119" s="50">
        <f t="shared" ref="BM119:BV119" si="552">BM100-BM110+BM116+BM127</f>
        <v>386.05799999999994</v>
      </c>
      <c r="BN119" s="50">
        <f t="shared" si="552"/>
        <v>348.12299999999959</v>
      </c>
      <c r="BO119" s="50">
        <f t="shared" si="552"/>
        <v>419.6269999999999</v>
      </c>
      <c r="BP119" s="50">
        <f t="shared" si="552"/>
        <v>200.32600000000039</v>
      </c>
      <c r="BQ119" s="50">
        <f t="shared" si="552"/>
        <v>252.0900000000002</v>
      </c>
      <c r="BR119" s="50">
        <f t="shared" si="552"/>
        <v>498.54199999999929</v>
      </c>
      <c r="BS119" s="50">
        <f>+SUM(AB119:AE119)</f>
        <v>474.72699999999998</v>
      </c>
      <c r="BT119" s="50">
        <f>+SUM(AF119:AI119)</f>
        <v>528.01400000000012</v>
      </c>
      <c r="BU119" s="50">
        <f>+SUM(AJ119:AM119)</f>
        <v>470.02000000000004</v>
      </c>
      <c r="BV119" s="50">
        <f t="shared" si="552"/>
        <v>440.63899999999933</v>
      </c>
      <c r="BW119" s="50">
        <f>BW100-BW110+BW116+BW127</f>
        <v>471.26100000000019</v>
      </c>
      <c r="BX119" s="50">
        <f>BX100-BX110+BX116+BX127</f>
        <v>610.64600000000007</v>
      </c>
      <c r="BY119" s="50">
        <f>BY100-BY110+BY116+BY127</f>
        <v>762.59292322436033</v>
      </c>
      <c r="BZ119" s="50">
        <f>BZ100-BZ110+BZ116+BZ127</f>
        <v>792.29986143332314</v>
      </c>
      <c r="CA119" s="51">
        <f>CA100-CA110+CA116+CA127</f>
        <v>859.02653029968917</v>
      </c>
      <c r="CB119" s="49"/>
      <c r="CC119" s="50"/>
      <c r="CD119" s="50"/>
      <c r="CE119" s="260"/>
      <c r="CF119" s="49">
        <f t="shared" ref="CF119:CN119" si="553">CF100-CF110+CF116+CF127</f>
        <v>321.1579999999999</v>
      </c>
      <c r="CG119" s="50">
        <f t="shared" si="553"/>
        <v>443.56799999999998</v>
      </c>
      <c r="CH119" s="50">
        <f t="shared" si="553"/>
        <v>381.05199999999979</v>
      </c>
      <c r="CI119" s="50">
        <f t="shared" si="553"/>
        <v>126.62799999999999</v>
      </c>
      <c r="CJ119" s="50">
        <f t="shared" si="553"/>
        <v>412.40900000000045</v>
      </c>
      <c r="CK119" s="50">
        <f t="shared" si="553"/>
        <v>477.64799999999957</v>
      </c>
      <c r="CL119" s="50">
        <f t="shared" si="553"/>
        <v>498.17199999999985</v>
      </c>
      <c r="CM119" s="50">
        <f t="shared" si="553"/>
        <v>487.04299999999989</v>
      </c>
      <c r="CN119" s="50">
        <f t="shared" si="553"/>
        <v>449.34300000000007</v>
      </c>
      <c r="CO119" s="50">
        <f>CO100-CO110+CO116+CO127</f>
        <v>451.47100000000017</v>
      </c>
      <c r="CP119" s="50">
        <f>CP100-CP110+CP116+CP127</f>
        <v>529.05400000000009</v>
      </c>
      <c r="CQ119" s="50">
        <f>CQ100-CQ110+CQ116+CQ127</f>
        <v>696.3389999999996</v>
      </c>
      <c r="CR119" s="50">
        <f>CR100-CR110+CR116+CR127</f>
        <v>781.25665761230869</v>
      </c>
      <c r="CS119" s="51">
        <f>CS100-CS110+CS116+CS127</f>
        <v>827.6677095180047</v>
      </c>
      <c r="CT119" s="50"/>
    </row>
    <row r="120" spans="1:104" ht="14.25" hidden="1" customHeight="1" outlineLevel="1">
      <c r="A120" s="8"/>
      <c r="B120" s="35" t="s">
        <v>354</v>
      </c>
      <c r="C120" s="36"/>
      <c r="D120" s="37">
        <f t="shared" ref="D120:AQ120" si="554">D119/D17</f>
        <v>0.20074511607069179</v>
      </c>
      <c r="E120" s="37">
        <f t="shared" si="554"/>
        <v>0.2192292152989764</v>
      </c>
      <c r="F120" s="37">
        <f t="shared" si="554"/>
        <v>0.2239998326954849</v>
      </c>
      <c r="G120" s="38">
        <f t="shared" si="554"/>
        <v>0.18882473092937355</v>
      </c>
      <c r="H120" s="37">
        <f t="shared" si="554"/>
        <v>4.0453908044833849E-2</v>
      </c>
      <c r="I120" s="37">
        <f t="shared" si="554"/>
        <v>0.19613511226186192</v>
      </c>
      <c r="J120" s="37">
        <f t="shared" si="554"/>
        <v>0.15962027547654414</v>
      </c>
      <c r="K120" s="38">
        <f t="shared" si="554"/>
        <v>0.28955237898454056</v>
      </c>
      <c r="L120" s="37">
        <f t="shared" si="554"/>
        <v>0.17399218823044535</v>
      </c>
      <c r="M120" s="37">
        <f t="shared" si="554"/>
        <v>0.22622100828665334</v>
      </c>
      <c r="N120" s="37">
        <f t="shared" si="554"/>
        <v>0.21095381711495464</v>
      </c>
      <c r="O120" s="38">
        <f t="shared" si="554"/>
        <v>0.20638701530322145</v>
      </c>
      <c r="P120" s="37">
        <f t="shared" si="554"/>
        <v>0.17498463699411823</v>
      </c>
      <c r="Q120" s="37">
        <f t="shared" si="554"/>
        <v>0.21202410665367996</v>
      </c>
      <c r="R120" s="37">
        <f t="shared" si="554"/>
        <v>2.5642912870033406E-3</v>
      </c>
      <c r="S120" s="38">
        <f t="shared" si="554"/>
        <v>6.2562266934705471E-2</v>
      </c>
      <c r="T120" s="37">
        <f t="shared" si="554"/>
        <v>8.3502134687899243E-2</v>
      </c>
      <c r="U120" s="37">
        <f t="shared" si="554"/>
        <v>0.13424073155021474</v>
      </c>
      <c r="V120" s="37">
        <f t="shared" si="554"/>
        <v>0.16089451344128283</v>
      </c>
      <c r="W120" s="38">
        <f t="shared" si="554"/>
        <v>0.12215661122124799</v>
      </c>
      <c r="X120" s="37">
        <f t="shared" si="554"/>
        <v>0.20604530303974034</v>
      </c>
      <c r="Y120" s="37">
        <f t="shared" si="554"/>
        <v>0.21598339794040489</v>
      </c>
      <c r="Z120" s="37">
        <f t="shared" si="554"/>
        <v>0.17588232870503889</v>
      </c>
      <c r="AA120" s="38">
        <f t="shared" si="554"/>
        <v>0.20818176158955159</v>
      </c>
      <c r="AB120" s="37">
        <f t="shared" si="554"/>
        <v>0.21985779918931062</v>
      </c>
      <c r="AC120" s="37">
        <f t="shared" si="554"/>
        <v>0.17024007413432454</v>
      </c>
      <c r="AD120" s="37">
        <f t="shared" si="554"/>
        <v>0.17424178763751466</v>
      </c>
      <c r="AE120" s="38">
        <f t="shared" si="554"/>
        <v>0.22265255654956717</v>
      </c>
      <c r="AF120" s="37">
        <f t="shared" si="554"/>
        <v>0.22331501023151318</v>
      </c>
      <c r="AG120" s="37">
        <f t="shared" si="554"/>
        <v>0.20618662296425275</v>
      </c>
      <c r="AH120" s="37">
        <f t="shared" si="554"/>
        <v>0.22250381891403975</v>
      </c>
      <c r="AI120" s="38">
        <f t="shared" si="554"/>
        <v>0.21288766413348365</v>
      </c>
      <c r="AJ120" s="39">
        <f t="shared" si="554"/>
        <v>0.20416546345864356</v>
      </c>
      <c r="AK120" s="37">
        <f t="shared" si="554"/>
        <v>0.16684723202971591</v>
      </c>
      <c r="AL120" s="37">
        <f t="shared" si="554"/>
        <v>0.20329678494124795</v>
      </c>
      <c r="AM120" s="38">
        <f t="shared" si="554"/>
        <v>0.19286593708314986</v>
      </c>
      <c r="AN120" s="39">
        <f t="shared" si="554"/>
        <v>0.18719055620180089</v>
      </c>
      <c r="AO120" s="37">
        <f t="shared" si="554"/>
        <v>0.16527260505743552</v>
      </c>
      <c r="AP120" s="37">
        <f t="shared" si="554"/>
        <v>0.19790979155081831</v>
      </c>
      <c r="AQ120" s="38">
        <f t="shared" si="554"/>
        <v>0.21302897597838363</v>
      </c>
      <c r="AR120" s="39">
        <f t="shared" ref="AR120:AW120" si="555">AR119/AR17</f>
        <v>0.21388419761426467</v>
      </c>
      <c r="AS120" s="37">
        <f t="shared" si="555"/>
        <v>0.18170392947961261</v>
      </c>
      <c r="AT120" s="37">
        <f t="shared" si="555"/>
        <v>0.21190018225958648</v>
      </c>
      <c r="AU120" s="37">
        <f t="shared" si="555"/>
        <v>0.24812674210334792</v>
      </c>
      <c r="AV120" s="39">
        <f t="shared" si="555"/>
        <v>0.24622548076580514</v>
      </c>
      <c r="AW120" s="37">
        <f t="shared" si="555"/>
        <v>0.24082664546876764</v>
      </c>
      <c r="AX120" s="37">
        <f>AX119/AX17</f>
        <v>0.27492532896547933</v>
      </c>
      <c r="AY120" s="37">
        <f>AY119/AY17</f>
        <v>0.29888456075946218</v>
      </c>
      <c r="AZ120" s="39">
        <f>AZ119/AZ17</f>
        <v>0.29626213356123937</v>
      </c>
      <c r="BA120" s="37">
        <f>BA119/BA17</f>
        <v>0.29883704309252418</v>
      </c>
      <c r="BB120" s="37">
        <f>BB119/BB17</f>
        <v>0.32253518738080073</v>
      </c>
      <c r="BC120" s="38">
        <f t="shared" ref="BC120:BG120" si="556">BC119/BC17</f>
        <v>0.31240357171351346</v>
      </c>
      <c r="BD120" s="39">
        <f t="shared" si="556"/>
        <v>0.30449984843508771</v>
      </c>
      <c r="BE120" s="37">
        <f t="shared" si="556"/>
        <v>0.30573540548086242</v>
      </c>
      <c r="BF120" s="37">
        <f t="shared" si="556"/>
        <v>0.31773150669647365</v>
      </c>
      <c r="BG120" s="38">
        <f t="shared" si="556"/>
        <v>0.32266719207860106</v>
      </c>
      <c r="BH120" s="39">
        <f>BH119/BH17</f>
        <v>0.31897708270150632</v>
      </c>
      <c r="BI120" s="37">
        <f>BI119/BI17</f>
        <v>0.31884315609381714</v>
      </c>
      <c r="BJ120" s="37">
        <f>BJ119/BJ17</f>
        <v>0.32711624789077048</v>
      </c>
      <c r="BK120" s="38">
        <f>BK119/BK17</f>
        <v>0.33347231782747111</v>
      </c>
      <c r="BL120" s="20"/>
      <c r="BM120" s="37">
        <f t="shared" ref="BM120:BX120" si="557">BM119/BM17</f>
        <v>0.20789953391188212</v>
      </c>
      <c r="BN120" s="37">
        <f t="shared" si="557"/>
        <v>0.17327103752680253</v>
      </c>
      <c r="BO120" s="37">
        <f t="shared" si="557"/>
        <v>0.20441858686475867</v>
      </c>
      <c r="BP120" s="37">
        <f t="shared" si="557"/>
        <v>0.12170362967530694</v>
      </c>
      <c r="BQ120" s="37">
        <f t="shared" si="557"/>
        <v>0.12619624620107209</v>
      </c>
      <c r="BR120" s="37">
        <f t="shared" si="557"/>
        <v>0.20164775004742444</v>
      </c>
      <c r="BS120" s="37">
        <f t="shared" si="557"/>
        <v>0.19751249100801363</v>
      </c>
      <c r="BT120" s="37">
        <f t="shared" si="557"/>
        <v>0.21626986158686268</v>
      </c>
      <c r="BU120" s="37">
        <f t="shared" si="557"/>
        <v>0.1915584984572046</v>
      </c>
      <c r="BV120" s="37">
        <f t="shared" si="557"/>
        <v>0.19101212728622036</v>
      </c>
      <c r="BW120" s="37">
        <f t="shared" si="557"/>
        <v>0.21472498301604906</v>
      </c>
      <c r="BX120" s="37">
        <f t="shared" si="557"/>
        <v>0.26600540595875177</v>
      </c>
      <c r="BY120" s="37">
        <f>BY119/BY17</f>
        <v>0.30789456399570736</v>
      </c>
      <c r="BZ120" s="37">
        <f>BZ119/BZ17</f>
        <v>0.31288093246897358</v>
      </c>
      <c r="CA120" s="38">
        <f>CA119/CA17</f>
        <v>0.32477354104428446</v>
      </c>
      <c r="CB120" s="39"/>
      <c r="CC120" s="37"/>
      <c r="CD120" s="37"/>
      <c r="CE120" s="260"/>
      <c r="CF120" s="39">
        <f t="shared" ref="CF120:CP120" si="558">CF119/CF17</f>
        <v>0.16158665437669303</v>
      </c>
      <c r="CG120" s="37">
        <f t="shared" si="558"/>
        <v>0.21397064782405673</v>
      </c>
      <c r="CH120" s="37">
        <f t="shared" si="558"/>
        <v>0.20049501303828976</v>
      </c>
      <c r="CI120" s="37">
        <f t="shared" si="558"/>
        <v>7.6424786815354237E-2</v>
      </c>
      <c r="CJ120" s="37">
        <f t="shared" si="558"/>
        <v>0.17822981550332201</v>
      </c>
      <c r="CK120" s="37">
        <f t="shared" si="558"/>
        <v>0.19411637765496342</v>
      </c>
      <c r="CL120" s="37">
        <f t="shared" si="558"/>
        <v>0.20717897618222789</v>
      </c>
      <c r="CM120" s="37">
        <f t="shared" si="558"/>
        <v>0.2013745181599384</v>
      </c>
      <c r="CN120" s="37">
        <f t="shared" si="558"/>
        <v>0.18759894657386011</v>
      </c>
      <c r="CO120" s="37">
        <f t="shared" si="558"/>
        <v>0.20217041530664936</v>
      </c>
      <c r="CP120" s="37">
        <f t="shared" si="558"/>
        <v>0.23684333047419348</v>
      </c>
      <c r="CQ120" s="37">
        <f>CQ119/CQ17</f>
        <v>0.29239095473757659</v>
      </c>
      <c r="CR120" s="37">
        <f>CR119/CR17</f>
        <v>0.31145106013534318</v>
      </c>
      <c r="CS120" s="38">
        <f>CS119/CS17</f>
        <v>0.31956492090412814</v>
      </c>
      <c r="CT120" s="37"/>
    </row>
    <row r="121" spans="1:104" ht="14.25" hidden="1" customHeight="1" outlineLevel="1">
      <c r="A121" s="8"/>
      <c r="B121" s="35"/>
      <c r="C121" s="36"/>
      <c r="D121" s="37"/>
      <c r="E121" s="37"/>
      <c r="F121" s="37"/>
      <c r="G121" s="38"/>
      <c r="H121" s="37"/>
      <c r="I121" s="37"/>
      <c r="J121" s="37"/>
      <c r="K121" s="38"/>
      <c r="L121" s="37"/>
      <c r="M121" s="37"/>
      <c r="N121" s="37"/>
      <c r="O121" s="38"/>
      <c r="P121" s="37"/>
      <c r="Q121" s="37"/>
      <c r="R121" s="37"/>
      <c r="S121" s="38"/>
      <c r="T121" s="37"/>
      <c r="U121" s="37"/>
      <c r="V121" s="37"/>
      <c r="W121" s="38"/>
      <c r="X121" s="37"/>
      <c r="Y121" s="37"/>
      <c r="Z121" s="37"/>
      <c r="AA121" s="38"/>
      <c r="AB121" s="37"/>
      <c r="AC121" s="37"/>
      <c r="AD121" s="770"/>
      <c r="AE121" s="38"/>
      <c r="AF121" s="37"/>
      <c r="AG121" s="37"/>
      <c r="AH121" s="37"/>
      <c r="AI121" s="38"/>
      <c r="AJ121" s="39"/>
      <c r="AK121" s="37"/>
      <c r="AL121" s="37"/>
      <c r="AM121" s="38"/>
      <c r="AN121" s="39"/>
      <c r="AO121" s="37"/>
      <c r="AP121" s="37"/>
      <c r="AQ121" s="38"/>
      <c r="AR121" s="39"/>
      <c r="AS121" s="37"/>
      <c r="AT121" s="37"/>
      <c r="AU121" s="37"/>
      <c r="AV121" s="39"/>
      <c r="AW121" s="37"/>
      <c r="AX121" s="37"/>
      <c r="AY121" s="37"/>
      <c r="AZ121" s="39"/>
      <c r="BA121" s="37"/>
      <c r="BB121" s="37"/>
      <c r="BC121" s="38"/>
      <c r="BD121" s="39"/>
      <c r="BE121" s="37"/>
      <c r="BF121" s="37"/>
      <c r="BG121" s="38"/>
      <c r="BH121" s="39"/>
      <c r="BI121" s="37"/>
      <c r="BJ121" s="37"/>
      <c r="BK121" s="38"/>
      <c r="BL121" s="20"/>
      <c r="BM121" s="37"/>
      <c r="BN121" s="37"/>
      <c r="BO121" s="37"/>
      <c r="BP121" s="37"/>
      <c r="BQ121" s="37"/>
      <c r="BR121" s="37"/>
      <c r="BS121" s="37"/>
      <c r="BT121" s="37"/>
      <c r="BU121" s="37"/>
      <c r="BV121" s="37"/>
      <c r="BW121" s="37"/>
      <c r="BX121" s="37"/>
      <c r="BY121" s="37"/>
      <c r="BZ121" s="37"/>
      <c r="CA121" s="38"/>
      <c r="CB121" s="39"/>
      <c r="CC121" s="37"/>
      <c r="CD121" s="37"/>
      <c r="CE121" s="260"/>
      <c r="CF121" s="39"/>
      <c r="CG121" s="37"/>
      <c r="CH121" s="37"/>
      <c r="CI121" s="37"/>
      <c r="CJ121" s="37"/>
      <c r="CK121" s="37"/>
      <c r="CL121" s="37"/>
      <c r="CM121" s="37"/>
      <c r="CN121" s="37"/>
      <c r="CO121" s="37"/>
      <c r="CP121" s="37"/>
      <c r="CQ121" s="37"/>
      <c r="CR121" s="37"/>
      <c r="CS121" s="38"/>
      <c r="CT121" s="37"/>
    </row>
    <row r="122" spans="1:104" ht="14.25" hidden="1" customHeight="1" outlineLevel="1">
      <c r="A122" s="8"/>
      <c r="B122" s="23" t="s">
        <v>355</v>
      </c>
      <c r="C122" s="24"/>
      <c r="D122" s="32">
        <f t="shared" ref="D122:AQ122" si="559">(D23+D41+D53+D66)-D105</f>
        <v>64.951999999999998</v>
      </c>
      <c r="E122" s="32">
        <f t="shared" si="559"/>
        <v>60.567999999999998</v>
      </c>
      <c r="F122" s="32">
        <f t="shared" si="559"/>
        <v>60.319000000000003</v>
      </c>
      <c r="G122" s="33">
        <f t="shared" si="559"/>
        <v>65.575000000000003</v>
      </c>
      <c r="H122" s="32">
        <f t="shared" si="559"/>
        <v>189.88499999999999</v>
      </c>
      <c r="I122" s="32">
        <f t="shared" si="559"/>
        <v>62.173000000000002</v>
      </c>
      <c r="J122" s="32">
        <f t="shared" si="559"/>
        <v>44.205999999999996</v>
      </c>
      <c r="K122" s="33">
        <f t="shared" si="559"/>
        <v>57.497000000000014</v>
      </c>
      <c r="L122" s="32">
        <f t="shared" si="559"/>
        <v>72.653000000000006</v>
      </c>
      <c r="M122" s="32">
        <f t="shared" si="559"/>
        <v>41.716000000000001</v>
      </c>
      <c r="N122" s="32">
        <f t="shared" si="559"/>
        <v>35.653000000000006</v>
      </c>
      <c r="O122" s="33">
        <f t="shared" si="559"/>
        <v>39.687000000000012</v>
      </c>
      <c r="P122" s="32">
        <f t="shared" si="559"/>
        <v>37.561</v>
      </c>
      <c r="Q122" s="32">
        <f t="shared" si="559"/>
        <v>83.938000000000002</v>
      </c>
      <c r="R122" s="32">
        <f t="shared" si="559"/>
        <v>39.613</v>
      </c>
      <c r="S122" s="33">
        <f t="shared" si="559"/>
        <v>34.995999999999995</v>
      </c>
      <c r="T122" s="32">
        <f t="shared" si="559"/>
        <v>26.464999999999996</v>
      </c>
      <c r="U122" s="32">
        <f t="shared" si="559"/>
        <v>26.933</v>
      </c>
      <c r="V122" s="32">
        <f t="shared" si="559"/>
        <v>15.279</v>
      </c>
      <c r="W122" s="33">
        <f t="shared" si="559"/>
        <v>24.847999999999999</v>
      </c>
      <c r="X122" s="32">
        <f t="shared" si="559"/>
        <v>27.138999999999999</v>
      </c>
      <c r="Y122" s="32">
        <f t="shared" si="559"/>
        <v>24.522000000000002</v>
      </c>
      <c r="Z122" s="32">
        <f t="shared" si="559"/>
        <v>21.228000000000002</v>
      </c>
      <c r="AA122" s="33">
        <f t="shared" si="559"/>
        <v>21.407999999999994</v>
      </c>
      <c r="AB122" s="32">
        <f t="shared" si="559"/>
        <v>23.465</v>
      </c>
      <c r="AC122" s="32">
        <f t="shared" si="559"/>
        <v>23.474</v>
      </c>
      <c r="AD122" s="32">
        <f t="shared" si="559"/>
        <v>22.038</v>
      </c>
      <c r="AE122" s="33">
        <f t="shared" si="559"/>
        <v>20.89</v>
      </c>
      <c r="AF122" s="32">
        <f t="shared" si="559"/>
        <v>23.497</v>
      </c>
      <c r="AG122" s="32">
        <f t="shared" si="559"/>
        <v>22.844999999999999</v>
      </c>
      <c r="AH122" s="32">
        <f t="shared" si="559"/>
        <v>19.613</v>
      </c>
      <c r="AI122" s="33">
        <f t="shared" si="559"/>
        <v>18.853000000000002</v>
      </c>
      <c r="AJ122" s="34">
        <f t="shared" si="559"/>
        <v>18.740000000000002</v>
      </c>
      <c r="AK122" s="32">
        <f t="shared" si="559"/>
        <v>22.869</v>
      </c>
      <c r="AL122" s="32">
        <f t="shared" si="559"/>
        <v>22.057000000000002</v>
      </c>
      <c r="AM122" s="33">
        <f t="shared" si="559"/>
        <v>21.788</v>
      </c>
      <c r="AN122" s="34">
        <f t="shared" si="559"/>
        <v>21.115107164403423</v>
      </c>
      <c r="AO122" s="32">
        <f t="shared" si="559"/>
        <v>20.776</v>
      </c>
      <c r="AP122" s="32">
        <f t="shared" si="559"/>
        <v>18.587</v>
      </c>
      <c r="AQ122" s="33">
        <f t="shared" si="559"/>
        <v>21.788</v>
      </c>
      <c r="AR122" s="34">
        <f t="shared" ref="AR122:AW122" si="560">(AR23+AR41+AR53+AR66)-AR105</f>
        <v>22.419999999999998</v>
      </c>
      <c r="AS122" s="32">
        <f t="shared" si="560"/>
        <v>0</v>
      </c>
      <c r="AT122" s="32">
        <f t="shared" si="560"/>
        <v>0</v>
      </c>
      <c r="AU122" s="32">
        <f t="shared" si="560"/>
        <v>0</v>
      </c>
      <c r="AV122" s="34">
        <f t="shared" si="560"/>
        <v>0</v>
      </c>
      <c r="AW122" s="32">
        <f t="shared" si="560"/>
        <v>0</v>
      </c>
      <c r="AX122" s="32">
        <f>(AX23+AX41+AX53+AX66)-AX105</f>
        <v>0</v>
      </c>
      <c r="AY122" s="32">
        <f>(AY23+AY41+AY53+AY66)-AY105</f>
        <v>0</v>
      </c>
      <c r="AZ122" s="34">
        <f>(AZ23+AZ41+AZ53+AZ66)-AZ105</f>
        <v>0</v>
      </c>
      <c r="BA122" s="32">
        <f>(BA23+BA41+BA53+BA66)-BA105</f>
        <v>0</v>
      </c>
      <c r="BB122" s="32">
        <f>(BB23+BB41+BB53+BB66)-BB105</f>
        <v>0</v>
      </c>
      <c r="BC122" s="33">
        <f t="shared" ref="BC122:BG122" si="561">(BC23+BC41+BC53+BC66)-BC105</f>
        <v>0</v>
      </c>
      <c r="BD122" s="34">
        <f t="shared" si="561"/>
        <v>0</v>
      </c>
      <c r="BE122" s="32">
        <f t="shared" si="561"/>
        <v>0</v>
      </c>
      <c r="BF122" s="32">
        <f t="shared" si="561"/>
        <v>0</v>
      </c>
      <c r="BG122" s="33">
        <f t="shared" si="561"/>
        <v>0</v>
      </c>
      <c r="BH122" s="34">
        <f>(BH23+BH41+BH53+BH66)-BH105</f>
        <v>0</v>
      </c>
      <c r="BI122" s="32">
        <f>(BI23+BI41+BI53+BI66)-BI105</f>
        <v>0</v>
      </c>
      <c r="BJ122" s="32">
        <f>(BJ23+BJ41+BJ53+BJ66)-BJ105</f>
        <v>0</v>
      </c>
      <c r="BK122" s="33">
        <f>(BK23+BK41+BK53+BK66)-BK105</f>
        <v>0</v>
      </c>
      <c r="BL122" s="20"/>
      <c r="BM122" s="32">
        <f t="shared" ref="BM122:BX122" si="562">(BM23+BM41+BM53+BM66)-BM105</f>
        <v>251.41400000000002</v>
      </c>
      <c r="BN122" s="32">
        <f t="shared" si="562"/>
        <v>353.76100000000002</v>
      </c>
      <c r="BO122" s="32">
        <f t="shared" si="562"/>
        <v>189.709</v>
      </c>
      <c r="BP122" s="32">
        <f t="shared" si="562"/>
        <v>196.108</v>
      </c>
      <c r="BQ122" s="32">
        <f t="shared" si="562"/>
        <v>93.524999999999991</v>
      </c>
      <c r="BR122" s="32">
        <f t="shared" si="562"/>
        <v>94.296999999999997</v>
      </c>
      <c r="BS122" s="32">
        <f t="shared" si="562"/>
        <v>89.86699999999999</v>
      </c>
      <c r="BT122" s="32">
        <f t="shared" si="562"/>
        <v>84.807999999999993</v>
      </c>
      <c r="BU122" s="32">
        <f t="shared" si="562"/>
        <v>85.454000000000008</v>
      </c>
      <c r="BV122" s="32">
        <f t="shared" si="562"/>
        <v>82.266107164403422</v>
      </c>
      <c r="BW122" s="32">
        <f t="shared" si="562"/>
        <v>22.419999999999998</v>
      </c>
      <c r="BX122" s="32">
        <f t="shared" si="562"/>
        <v>0</v>
      </c>
      <c r="BY122" s="32">
        <f>(BY23+BY41+BY53+BY66)-BY105</f>
        <v>0</v>
      </c>
      <c r="BZ122" s="32">
        <f>(BZ23+BZ41+BZ53+BZ66)-BZ105</f>
        <v>0</v>
      </c>
      <c r="CA122" s="33">
        <f>(CA23+CA41+CA53+CA66)-CA105</f>
        <v>0</v>
      </c>
      <c r="CB122" s="34"/>
      <c r="CC122" s="32"/>
      <c r="CD122" s="32"/>
      <c r="CE122" s="260"/>
      <c r="CF122" s="34">
        <f t="shared" ref="CF122:CP122" si="563">(CF23+CF41+CF53+CF66)-CF105</f>
        <v>377.952</v>
      </c>
      <c r="CG122" s="32">
        <f t="shared" si="563"/>
        <v>216.072</v>
      </c>
      <c r="CH122" s="32">
        <f t="shared" si="563"/>
        <v>196.839</v>
      </c>
      <c r="CI122" s="32">
        <f t="shared" si="563"/>
        <v>128.00700000000001</v>
      </c>
      <c r="CJ122" s="32">
        <f t="shared" si="563"/>
        <v>91.787999999999997</v>
      </c>
      <c r="CK122" s="32">
        <f t="shared" si="563"/>
        <v>89.574999999999989</v>
      </c>
      <c r="CL122" s="32">
        <f t="shared" si="563"/>
        <v>89.27000000000001</v>
      </c>
      <c r="CM122" s="32">
        <f t="shared" si="563"/>
        <v>80.075000000000003</v>
      </c>
      <c r="CN122" s="32">
        <f t="shared" si="563"/>
        <v>85.736107164403421</v>
      </c>
      <c r="CO122" s="32">
        <f t="shared" si="563"/>
        <v>62.794999999999995</v>
      </c>
      <c r="CP122" s="32">
        <f t="shared" si="563"/>
        <v>0</v>
      </c>
      <c r="CQ122" s="32">
        <f>(CQ23+CQ41+CQ53+CQ66)-CQ105</f>
        <v>0</v>
      </c>
      <c r="CR122" s="32">
        <f>(CR23+CR41+CR53+CR66)-CR105</f>
        <v>0</v>
      </c>
      <c r="CS122" s="33">
        <f>(CS23+CS41+CS53+CS66)-CS105</f>
        <v>0</v>
      </c>
      <c r="CT122" s="32"/>
    </row>
    <row r="123" spans="1:104" ht="14.25" hidden="1" customHeight="1" outlineLevel="1">
      <c r="A123" s="8"/>
      <c r="B123" s="35" t="s">
        <v>298</v>
      </c>
      <c r="C123" s="36"/>
      <c r="D123" s="37">
        <f t="shared" ref="D123:AQ123" si="564">D122/D10</f>
        <v>0.15315436399863236</v>
      </c>
      <c r="E123" s="37">
        <f t="shared" si="564"/>
        <v>0.13594900341174357</v>
      </c>
      <c r="F123" s="37">
        <f t="shared" si="564"/>
        <v>0.12614551310203484</v>
      </c>
      <c r="G123" s="38">
        <f t="shared" si="564"/>
        <v>0.12879055699583633</v>
      </c>
      <c r="H123" s="37">
        <f t="shared" si="564"/>
        <v>0.3776964465086674</v>
      </c>
      <c r="I123" s="37">
        <f t="shared" si="564"/>
        <v>0.12498266167859075</v>
      </c>
      <c r="J123" s="37">
        <f t="shared" si="564"/>
        <v>9.2761396352160075E-2</v>
      </c>
      <c r="K123" s="38">
        <f t="shared" si="564"/>
        <v>0.10800195352856098</v>
      </c>
      <c r="L123" s="37">
        <f t="shared" si="564"/>
        <v>0.13862933401516178</v>
      </c>
      <c r="M123" s="37">
        <f t="shared" si="564"/>
        <v>7.724827554279895E-2</v>
      </c>
      <c r="N123" s="37">
        <f t="shared" si="564"/>
        <v>7.3147863195256568E-2</v>
      </c>
      <c r="O123" s="38">
        <f t="shared" si="564"/>
        <v>7.9173374668589827E-2</v>
      </c>
      <c r="P123" s="37">
        <f t="shared" si="564"/>
        <v>7.4941540769826259E-2</v>
      </c>
      <c r="Q123" s="37">
        <f t="shared" si="564"/>
        <v>0.20439033298837281</v>
      </c>
      <c r="R123" s="37">
        <f t="shared" si="564"/>
        <v>0.1166237322067331</v>
      </c>
      <c r="S123" s="38">
        <f t="shared" si="564"/>
        <v>8.8716280791236821E-2</v>
      </c>
      <c r="T123" s="37">
        <f t="shared" si="564"/>
        <v>5.8909817783575139E-2</v>
      </c>
      <c r="U123" s="37">
        <f t="shared" si="564"/>
        <v>5.6878873953306652E-2</v>
      </c>
      <c r="V123" s="37">
        <f t="shared" si="564"/>
        <v>3.0024760257821099E-2</v>
      </c>
      <c r="W123" s="38">
        <f t="shared" si="564"/>
        <v>4.3904007689562194E-2</v>
      </c>
      <c r="X123" s="37">
        <f t="shared" si="564"/>
        <v>4.3343410967852186E-2</v>
      </c>
      <c r="Y123" s="37">
        <f t="shared" si="564"/>
        <v>4.0007439602177064E-2</v>
      </c>
      <c r="Z123" s="37">
        <f t="shared" si="564"/>
        <v>3.4984961476659394E-2</v>
      </c>
      <c r="AA123" s="38">
        <f t="shared" si="564"/>
        <v>3.4171280992065338E-2</v>
      </c>
      <c r="AB123" s="37">
        <f t="shared" si="564"/>
        <v>3.6894538067490358E-2</v>
      </c>
      <c r="AC123" s="37">
        <f t="shared" si="564"/>
        <v>3.9695007601135687E-2</v>
      </c>
      <c r="AD123" s="37">
        <f t="shared" si="564"/>
        <v>3.858112224533098E-2</v>
      </c>
      <c r="AE123" s="38">
        <f t="shared" si="564"/>
        <v>3.4531436997070862E-2</v>
      </c>
      <c r="AF123" s="37">
        <f t="shared" si="564"/>
        <v>3.7711350960959754E-2</v>
      </c>
      <c r="AG123" s="37">
        <f t="shared" si="564"/>
        <v>3.7741241619940982E-2</v>
      </c>
      <c r="AH123" s="37">
        <f t="shared" si="564"/>
        <v>3.2424398727689936E-2</v>
      </c>
      <c r="AI123" s="38">
        <f t="shared" si="564"/>
        <v>3.0998332768820479E-2</v>
      </c>
      <c r="AJ123" s="39">
        <f t="shared" si="564"/>
        <v>3.2020996478373871E-2</v>
      </c>
      <c r="AK123" s="37">
        <f t="shared" si="564"/>
        <v>3.6869190067615278E-2</v>
      </c>
      <c r="AL123" s="37">
        <f t="shared" si="564"/>
        <v>3.6416859700073141E-2</v>
      </c>
      <c r="AM123" s="38">
        <f t="shared" si="564"/>
        <v>3.3913025883041466E-2</v>
      </c>
      <c r="AN123" s="39">
        <f t="shared" si="564"/>
        <v>3.6388104199566451E-2</v>
      </c>
      <c r="AO123" s="37">
        <f t="shared" si="564"/>
        <v>3.6654322708355024E-2</v>
      </c>
      <c r="AP123" s="37">
        <f t="shared" si="564"/>
        <v>3.2198495313228111E-2</v>
      </c>
      <c r="AQ123" s="38">
        <f t="shared" si="564"/>
        <v>3.7403200249949781E-2</v>
      </c>
      <c r="AR123" s="39">
        <f t="shared" ref="AR123:AW123" si="565">AR122/AR10</f>
        <v>3.9857069207658531E-2</v>
      </c>
      <c r="AS123" s="37">
        <f t="shared" si="565"/>
        <v>0</v>
      </c>
      <c r="AT123" s="37">
        <f t="shared" si="565"/>
        <v>0</v>
      </c>
      <c r="AU123" s="37">
        <f t="shared" si="565"/>
        <v>0</v>
      </c>
      <c r="AV123" s="39">
        <f t="shared" si="565"/>
        <v>0</v>
      </c>
      <c r="AW123" s="37">
        <f t="shared" si="565"/>
        <v>0</v>
      </c>
      <c r="AX123" s="37">
        <f>AX122/AX10</f>
        <v>0</v>
      </c>
      <c r="AY123" s="37">
        <f>AY122/AY10</f>
        <v>0</v>
      </c>
      <c r="AZ123" s="39">
        <f>AZ122/AZ10</f>
        <v>0</v>
      </c>
      <c r="BA123" s="37">
        <f>BA122/BA10</f>
        <v>0</v>
      </c>
      <c r="BB123" s="37">
        <f>BB122/BB10</f>
        <v>0</v>
      </c>
      <c r="BC123" s="38">
        <f t="shared" ref="BC123:BG123" si="566">BC122/BC10</f>
        <v>0</v>
      </c>
      <c r="BD123" s="39">
        <f t="shared" si="566"/>
        <v>0</v>
      </c>
      <c r="BE123" s="37">
        <f t="shared" si="566"/>
        <v>0</v>
      </c>
      <c r="BF123" s="37">
        <f t="shared" si="566"/>
        <v>0</v>
      </c>
      <c r="BG123" s="38">
        <f t="shared" si="566"/>
        <v>0</v>
      </c>
      <c r="BH123" s="39">
        <f>BH122/BH10</f>
        <v>0</v>
      </c>
      <c r="BI123" s="37">
        <f>BI122/BI10</f>
        <v>0</v>
      </c>
      <c r="BJ123" s="37">
        <f>BJ122/BJ10</f>
        <v>0</v>
      </c>
      <c r="BK123" s="38">
        <f>BK122/BK10</f>
        <v>0</v>
      </c>
      <c r="BL123" s="20"/>
      <c r="BM123" s="37">
        <f t="shared" ref="BM123:BX123" si="567">BM122/BM10</f>
        <v>0.13539119360024127</v>
      </c>
      <c r="BN123" s="37">
        <f t="shared" si="567"/>
        <v>0.17607723565096034</v>
      </c>
      <c r="BO123" s="37">
        <f t="shared" si="567"/>
        <v>9.2415515911813378E-2</v>
      </c>
      <c r="BP123" s="37">
        <f t="shared" si="567"/>
        <v>0.11914107708617477</v>
      </c>
      <c r="BQ123" s="37">
        <f t="shared" si="567"/>
        <v>4.6818612106609765E-2</v>
      </c>
      <c r="BR123" s="37">
        <f t="shared" si="567"/>
        <v>3.814077427021597E-2</v>
      </c>
      <c r="BS123" s="37">
        <f t="shared" si="567"/>
        <v>3.7389605034929885E-2</v>
      </c>
      <c r="BT123" s="37">
        <f t="shared" si="567"/>
        <v>3.473660626699035E-2</v>
      </c>
      <c r="BU123" s="37">
        <f t="shared" si="567"/>
        <v>3.4827113584872907E-2</v>
      </c>
      <c r="BV123" s="37">
        <f t="shared" si="567"/>
        <v>3.566144651977899E-2</v>
      </c>
      <c r="BW123" s="37">
        <f t="shared" si="567"/>
        <v>1.0215430768130224E-2</v>
      </c>
      <c r="BX123" s="37">
        <f t="shared" si="567"/>
        <v>0</v>
      </c>
      <c r="BY123" s="37">
        <f>BY122/BY10</f>
        <v>0</v>
      </c>
      <c r="BZ123" s="37">
        <f>BZ122/BZ10</f>
        <v>0</v>
      </c>
      <c r="CA123" s="38">
        <f>CA122/CA10</f>
        <v>0</v>
      </c>
      <c r="CB123" s="39"/>
      <c r="CC123" s="37"/>
      <c r="CD123" s="37"/>
      <c r="CE123" s="260"/>
      <c r="CF123" s="39">
        <f t="shared" ref="CF123:CP123" si="568">CF122/CF10</f>
        <v>0.1901618492921861</v>
      </c>
      <c r="CG123" s="37">
        <f t="shared" si="568"/>
        <v>0.10422993952818865</v>
      </c>
      <c r="CH123" s="37">
        <f t="shared" si="568"/>
        <v>0.10356916607561156</v>
      </c>
      <c r="CI123" s="37">
        <f t="shared" si="568"/>
        <v>7.7257065466350666E-2</v>
      </c>
      <c r="CJ123" s="37">
        <f t="shared" si="568"/>
        <v>3.9667801394777769E-2</v>
      </c>
      <c r="CK123" s="37">
        <f t="shared" si="568"/>
        <v>3.6403323218025328E-2</v>
      </c>
      <c r="CL123" s="37">
        <f t="shared" si="568"/>
        <v>3.7125465108009861E-2</v>
      </c>
      <c r="CM123" s="37">
        <f t="shared" si="568"/>
        <v>3.3108092184174855E-2</v>
      </c>
      <c r="CN123" s="37">
        <f t="shared" si="568"/>
        <v>3.5794489704714792E-2</v>
      </c>
      <c r="CO123" s="37">
        <f t="shared" si="568"/>
        <v>2.8119837662177728E-2</v>
      </c>
      <c r="CP123" s="37">
        <f t="shared" si="568"/>
        <v>0</v>
      </c>
      <c r="CQ123" s="37">
        <f>CQ122/CQ10</f>
        <v>0</v>
      </c>
      <c r="CR123" s="37">
        <f>CR122/CR10</f>
        <v>0</v>
      </c>
      <c r="CS123" s="38">
        <f>CS122/CS10</f>
        <v>0</v>
      </c>
      <c r="CT123" s="37"/>
    </row>
    <row r="124" spans="1:104" ht="14.25" customHeight="1" collapsed="1">
      <c r="A124" s="8"/>
      <c r="B124" s="23"/>
      <c r="C124" s="24"/>
      <c r="D124" s="65"/>
      <c r="E124" s="44"/>
      <c r="F124" s="66"/>
      <c r="G124" s="45"/>
      <c r="H124" s="65"/>
      <c r="I124" s="44"/>
      <c r="J124" s="66"/>
      <c r="K124" s="45"/>
      <c r="L124" s="65"/>
      <c r="M124" s="44"/>
      <c r="N124" s="66"/>
      <c r="O124" s="45"/>
      <c r="P124" s="65"/>
      <c r="Q124" s="44"/>
      <c r="R124" s="66"/>
      <c r="S124" s="45"/>
      <c r="T124" s="65"/>
      <c r="U124" s="44"/>
      <c r="V124" s="66"/>
      <c r="W124" s="45"/>
      <c r="X124" s="65"/>
      <c r="Y124" s="44"/>
      <c r="Z124" s="66"/>
      <c r="AA124" s="45"/>
      <c r="AB124" s="65"/>
      <c r="AC124" s="44"/>
      <c r="AD124" s="66"/>
      <c r="AE124" s="45"/>
      <c r="AF124" s="44"/>
      <c r="AG124" s="44"/>
      <c r="AH124" s="44"/>
      <c r="AI124" s="45"/>
      <c r="AJ124" s="54"/>
      <c r="AK124" s="44"/>
      <c r="AL124" s="44"/>
      <c r="AM124" s="45"/>
      <c r="AN124" s="54"/>
      <c r="AO124" s="44"/>
      <c r="AP124" s="44"/>
      <c r="AQ124" s="45"/>
      <c r="AR124" s="54"/>
      <c r="AS124" s="44"/>
      <c r="AT124" s="44"/>
      <c r="AU124" s="44"/>
      <c r="AV124" s="54"/>
      <c r="AW124" s="44"/>
      <c r="AX124" s="44"/>
      <c r="AY124" s="44"/>
      <c r="AZ124" s="54"/>
      <c r="BA124" s="44"/>
      <c r="BB124" s="44"/>
      <c r="BC124" s="45"/>
      <c r="BD124" s="54"/>
      <c r="BE124" s="44"/>
      <c r="BF124" s="44"/>
      <c r="BG124" s="45"/>
      <c r="BH124" s="54"/>
      <c r="BI124" s="44"/>
      <c r="BJ124" s="44"/>
      <c r="BK124" s="45"/>
      <c r="BL124" s="20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45"/>
      <c r="CB124" s="54"/>
      <c r="CC124" s="44"/>
      <c r="CD124" s="44"/>
      <c r="CE124" s="260"/>
      <c r="CF124" s="400"/>
      <c r="CG124" s="399"/>
      <c r="CH124" s="399"/>
      <c r="CI124" s="399"/>
      <c r="CJ124" s="399"/>
      <c r="CK124" s="399"/>
      <c r="CL124" s="399"/>
      <c r="CM124" s="399"/>
      <c r="CN124" s="399"/>
      <c r="CO124" s="112"/>
      <c r="CP124" s="112"/>
      <c r="CQ124" s="112"/>
      <c r="CR124" s="112"/>
      <c r="CS124" s="113"/>
      <c r="CT124" s="112"/>
    </row>
    <row r="125" spans="1:104" s="735" customFormat="1" ht="14.25" hidden="1" customHeight="1" outlineLevel="1">
      <c r="A125" s="731"/>
      <c r="B125" s="714" t="s">
        <v>356</v>
      </c>
      <c r="C125" s="715"/>
      <c r="D125" s="716">
        <v>1.643</v>
      </c>
      <c r="E125" s="716">
        <v>0</v>
      </c>
      <c r="F125" s="716">
        <v>0</v>
      </c>
      <c r="G125" s="717">
        <f>1.643-F125-E125-D125</f>
        <v>0</v>
      </c>
      <c r="H125" s="716">
        <v>0</v>
      </c>
      <c r="I125" s="716">
        <v>0</v>
      </c>
      <c r="J125" s="716">
        <v>0</v>
      </c>
      <c r="K125" s="732">
        <v>0</v>
      </c>
      <c r="L125" s="716">
        <v>0</v>
      </c>
      <c r="M125" s="716">
        <v>0</v>
      </c>
      <c r="N125" s="716">
        <v>0</v>
      </c>
      <c r="O125" s="732">
        <v>0</v>
      </c>
      <c r="P125" s="716">
        <v>0</v>
      </c>
      <c r="Q125" s="716">
        <v>0</v>
      </c>
      <c r="R125" s="716">
        <v>0</v>
      </c>
      <c r="S125" s="732">
        <v>0</v>
      </c>
      <c r="T125" s="716">
        <v>0</v>
      </c>
      <c r="U125" s="716">
        <v>0</v>
      </c>
      <c r="V125" s="716">
        <v>0</v>
      </c>
      <c r="W125" s="732">
        <v>0</v>
      </c>
      <c r="X125" s="716">
        <v>0</v>
      </c>
      <c r="Y125" s="716">
        <v>0</v>
      </c>
      <c r="Z125" s="716">
        <v>0</v>
      </c>
      <c r="AA125" s="732">
        <v>0</v>
      </c>
      <c r="AB125" s="716">
        <v>0</v>
      </c>
      <c r="AC125" s="716">
        <v>0</v>
      </c>
      <c r="AD125" s="716">
        <f>31.809</f>
        <v>31.809000000000001</v>
      </c>
      <c r="AE125" s="718">
        <f>AE25+AE43+AE55+AE69-AE107</f>
        <v>0</v>
      </c>
      <c r="AF125" s="719">
        <f>AF25+AF43+AF55+AF69-AF107</f>
        <v>0</v>
      </c>
      <c r="AG125" s="719">
        <f>AG25+AG43+AG55+AG69-AG107</f>
        <v>0</v>
      </c>
      <c r="AH125" s="716">
        <v>2.6030000000000002</v>
      </c>
      <c r="AI125" s="718">
        <f t="shared" ref="AI125:AQ125" si="569">AI25+AI43+AI55+AI69-AI107</f>
        <v>0</v>
      </c>
      <c r="AJ125" s="733">
        <f t="shared" si="569"/>
        <v>0</v>
      </c>
      <c r="AK125" s="719">
        <f t="shared" si="569"/>
        <v>0</v>
      </c>
      <c r="AL125" s="719">
        <f t="shared" si="569"/>
        <v>0</v>
      </c>
      <c r="AM125" s="718">
        <f t="shared" si="569"/>
        <v>0</v>
      </c>
      <c r="AN125" s="733">
        <f t="shared" si="569"/>
        <v>0</v>
      </c>
      <c r="AO125" s="719">
        <f t="shared" si="569"/>
        <v>0</v>
      </c>
      <c r="AP125" s="719">
        <f t="shared" si="569"/>
        <v>0</v>
      </c>
      <c r="AQ125" s="718">
        <f t="shared" si="569"/>
        <v>0</v>
      </c>
      <c r="AR125" s="733">
        <f t="shared" ref="AR125:AW125" si="570">AR25+AR43+AR55+AR69-AR107</f>
        <v>0</v>
      </c>
      <c r="AS125" s="719">
        <f t="shared" si="570"/>
        <v>0</v>
      </c>
      <c r="AT125" s="719">
        <f t="shared" si="570"/>
        <v>0</v>
      </c>
      <c r="AU125" s="719">
        <f t="shared" si="570"/>
        <v>0</v>
      </c>
      <c r="AV125" s="733">
        <f t="shared" si="570"/>
        <v>0</v>
      </c>
      <c r="AW125" s="719">
        <f t="shared" si="570"/>
        <v>0</v>
      </c>
      <c r="AX125" s="719">
        <f>AX25+AX43+AX55+AX69-AX107</f>
        <v>0</v>
      </c>
      <c r="AY125" s="719">
        <f>AY25+AY43+AY55+AY69-AY107</f>
        <v>0</v>
      </c>
      <c r="AZ125" s="733">
        <f>AZ25+AZ43+AZ55+AZ69-AZ107</f>
        <v>0</v>
      </c>
      <c r="BA125" s="719">
        <f>BA25+BA43+BA55+BA69-BA107</f>
        <v>0</v>
      </c>
      <c r="BB125" s="719">
        <f>BB25+BB43+BB55+BB69-BB107</f>
        <v>0</v>
      </c>
      <c r="BC125" s="718">
        <f t="shared" ref="BC125:BG125" si="571">BC25+BC43+BC55+BC69-BC107</f>
        <v>0</v>
      </c>
      <c r="BD125" s="733">
        <f t="shared" si="571"/>
        <v>0</v>
      </c>
      <c r="BE125" s="719">
        <f t="shared" si="571"/>
        <v>0</v>
      </c>
      <c r="BF125" s="719">
        <f t="shared" si="571"/>
        <v>0</v>
      </c>
      <c r="BG125" s="718">
        <f t="shared" si="571"/>
        <v>0</v>
      </c>
      <c r="BH125" s="733">
        <f>BH25+BH43+BH55+BH69-BH107</f>
        <v>0</v>
      </c>
      <c r="BI125" s="719">
        <f>BI25+BI43+BI55+BI69-BI107</f>
        <v>0</v>
      </c>
      <c r="BJ125" s="719">
        <f>BJ25+BJ43+BJ55+BJ69-BJ107</f>
        <v>0</v>
      </c>
      <c r="BK125" s="718">
        <f>BK25+BK43+BK55+BK69-BK107</f>
        <v>0</v>
      </c>
      <c r="BL125" s="720"/>
      <c r="BM125" s="719">
        <f>BM25+BM43+BM55+BM69-BM107</f>
        <v>0</v>
      </c>
      <c r="BN125" s="719">
        <f>BN25+BN43+BN55+BN69-BN107</f>
        <v>0</v>
      </c>
      <c r="BO125" s="719">
        <f>BO25+BO43+BO55+BO69-BO107</f>
        <v>0</v>
      </c>
      <c r="BP125" s="719">
        <f>BP25+BP43+BP55+BP69-BP107</f>
        <v>0</v>
      </c>
      <c r="BQ125" s="719">
        <f>BQ25+BQ43+BQ55+BQ69-BQ107</f>
        <v>0</v>
      </c>
      <c r="BR125" s="719">
        <f>SUM(X125:AA125)</f>
        <v>0</v>
      </c>
      <c r="BS125" s="719">
        <f>SUM(AB125:AE125)</f>
        <v>31.809000000000001</v>
      </c>
      <c r="BT125" s="719">
        <f>SUM(AF125:AI125)</f>
        <v>2.6030000000000002</v>
      </c>
      <c r="BU125" s="719">
        <f>SUM(AJ125:AM125)</f>
        <v>0</v>
      </c>
      <c r="BV125" s="719">
        <f t="shared" ref="BV125:CA125" si="572">BV25+BV43+BV55+BV69-BV107</f>
        <v>0</v>
      </c>
      <c r="BW125" s="719">
        <f t="shared" si="572"/>
        <v>0</v>
      </c>
      <c r="BX125" s="719">
        <f t="shared" si="572"/>
        <v>0</v>
      </c>
      <c r="BY125" s="719">
        <f t="shared" si="572"/>
        <v>0</v>
      </c>
      <c r="BZ125" s="719">
        <f t="shared" si="572"/>
        <v>0</v>
      </c>
      <c r="CA125" s="718">
        <f t="shared" si="572"/>
        <v>0</v>
      </c>
      <c r="CB125" s="733"/>
      <c r="CC125" s="719"/>
      <c r="CD125" s="719"/>
      <c r="CE125" s="881"/>
      <c r="CF125" s="733">
        <f t="shared" ref="CF125:CP125" si="573">CF25+CF43+CF55+CF69-CF107</f>
        <v>0</v>
      </c>
      <c r="CG125" s="719">
        <f t="shared" si="573"/>
        <v>0</v>
      </c>
      <c r="CH125" s="719">
        <f t="shared" si="573"/>
        <v>0</v>
      </c>
      <c r="CI125" s="719">
        <f t="shared" si="573"/>
        <v>0</v>
      </c>
      <c r="CJ125" s="719">
        <f t="shared" si="573"/>
        <v>0</v>
      </c>
      <c r="CK125" s="719">
        <f t="shared" si="573"/>
        <v>0</v>
      </c>
      <c r="CL125" s="719">
        <f t="shared" si="573"/>
        <v>0</v>
      </c>
      <c r="CM125" s="719">
        <f t="shared" si="573"/>
        <v>0</v>
      </c>
      <c r="CN125" s="719">
        <f t="shared" si="573"/>
        <v>0</v>
      </c>
      <c r="CO125" s="719">
        <f t="shared" si="573"/>
        <v>0</v>
      </c>
      <c r="CP125" s="719">
        <f t="shared" si="573"/>
        <v>0</v>
      </c>
      <c r="CQ125" s="719">
        <f>CQ25+CQ43+CQ55+CQ69-CQ107</f>
        <v>0</v>
      </c>
      <c r="CR125" s="719">
        <f>CR25+CR43+CR55+CR69-CR107</f>
        <v>0</v>
      </c>
      <c r="CS125" s="718">
        <f>CS25+CS43+CS55+CS69-CS107</f>
        <v>0</v>
      </c>
      <c r="CT125" s="719"/>
      <c r="CU125"/>
      <c r="CV125"/>
      <c r="CW125"/>
      <c r="CX125"/>
      <c r="CY125"/>
      <c r="CZ125"/>
    </row>
    <row r="126" spans="1:104" ht="14.25" hidden="1" customHeight="1" outlineLevel="1">
      <c r="A126" s="8"/>
      <c r="B126" s="28" t="s">
        <v>357</v>
      </c>
      <c r="C126" s="29"/>
      <c r="D126" s="30">
        <v>0</v>
      </c>
      <c r="E126" s="30">
        <v>0</v>
      </c>
      <c r="F126" s="30">
        <v>0</v>
      </c>
      <c r="G126" s="31">
        <v>0</v>
      </c>
      <c r="H126" s="30">
        <v>0</v>
      </c>
      <c r="I126" s="30">
        <v>0</v>
      </c>
      <c r="J126" s="30">
        <v>0</v>
      </c>
      <c r="K126" s="31">
        <v>0</v>
      </c>
      <c r="L126" s="30">
        <v>0</v>
      </c>
      <c r="M126" s="30">
        <v>0</v>
      </c>
      <c r="N126" s="30">
        <v>0</v>
      </c>
      <c r="O126" s="31">
        <v>0</v>
      </c>
      <c r="P126" s="30">
        <v>0</v>
      </c>
      <c r="Q126" s="30">
        <v>0</v>
      </c>
      <c r="R126" s="30">
        <v>-9.1999999999999993</v>
      </c>
      <c r="S126" s="31">
        <v>-15.5</v>
      </c>
      <c r="T126" s="30">
        <v>-16.843</v>
      </c>
      <c r="U126" s="30">
        <f>-13.758+1.22</f>
        <v>-12.537999999999998</v>
      </c>
      <c r="V126" s="30">
        <v>-3.1709999999999998</v>
      </c>
      <c r="W126" s="31">
        <v>-33.161999999999999</v>
      </c>
      <c r="X126" s="30">
        <v>0</v>
      </c>
      <c r="Y126" s="30">
        <v>0</v>
      </c>
      <c r="Z126" s="30">
        <v>-15.01</v>
      </c>
      <c r="AA126" s="31">
        <v>-6.7910000000000004</v>
      </c>
      <c r="AB126" s="30">
        <v>2.6549999999999998</v>
      </c>
      <c r="AC126" s="30">
        <v>0</v>
      </c>
      <c r="AD126" s="30">
        <v>0</v>
      </c>
      <c r="AE126" s="31">
        <v>0</v>
      </c>
      <c r="AF126" s="30">
        <v>0</v>
      </c>
      <c r="AG126" s="30">
        <v>0</v>
      </c>
      <c r="AH126" s="30">
        <v>0</v>
      </c>
      <c r="AI126" s="31">
        <v>0</v>
      </c>
      <c r="AJ126" s="1255">
        <v>0</v>
      </c>
      <c r="AK126" s="30">
        <v>0</v>
      </c>
      <c r="AL126" s="30">
        <v>0</v>
      </c>
      <c r="AM126" s="31">
        <v>0</v>
      </c>
      <c r="AN126" s="1255">
        <v>0</v>
      </c>
      <c r="AO126" s="30">
        <v>0</v>
      </c>
      <c r="AP126" s="30">
        <v>0</v>
      </c>
      <c r="AQ126" s="31">
        <v>0</v>
      </c>
      <c r="AR126" s="1255">
        <v>0</v>
      </c>
      <c r="AS126" s="30">
        <v>0</v>
      </c>
      <c r="AT126" s="30">
        <v>0</v>
      </c>
      <c r="AU126" s="30">
        <v>0</v>
      </c>
      <c r="AV126" s="1255">
        <v>0</v>
      </c>
      <c r="AW126" s="30">
        <v>0</v>
      </c>
      <c r="AX126" s="30">
        <v>0</v>
      </c>
      <c r="AY126" s="30">
        <v>0</v>
      </c>
      <c r="AZ126" s="1255">
        <v>0</v>
      </c>
      <c r="BA126" s="30">
        <v>0</v>
      </c>
      <c r="BB126" s="30">
        <v>0</v>
      </c>
      <c r="BC126" s="31">
        <v>0</v>
      </c>
      <c r="BD126" s="1255">
        <v>0</v>
      </c>
      <c r="BE126" s="30">
        <v>0</v>
      </c>
      <c r="BF126" s="30">
        <v>0</v>
      </c>
      <c r="BG126" s="31">
        <v>0</v>
      </c>
      <c r="BH126" s="1255">
        <v>0</v>
      </c>
      <c r="BI126" s="30">
        <v>0</v>
      </c>
      <c r="BJ126" s="30">
        <v>0</v>
      </c>
      <c r="BK126" s="31">
        <v>0</v>
      </c>
      <c r="BL126" s="20"/>
      <c r="BM126" s="32">
        <f>SUM(D126:G126)</f>
        <v>0</v>
      </c>
      <c r="BN126" s="32">
        <f>SUM(H126:K126)</f>
        <v>0</v>
      </c>
      <c r="BO126" s="32">
        <f>SUM(L126:O126)</f>
        <v>0</v>
      </c>
      <c r="BP126" s="32">
        <f>SUM(P126:S126)</f>
        <v>-24.7</v>
      </c>
      <c r="BQ126" s="32">
        <f>SUM(T126:W126)</f>
        <v>-65.713999999999999</v>
      </c>
      <c r="BR126" s="32">
        <f>SUM(X126:AA126)</f>
        <v>-21.801000000000002</v>
      </c>
      <c r="BS126" s="32">
        <f>SUM(AB126:AE126)</f>
        <v>2.6549999999999998</v>
      </c>
      <c r="BT126" s="32">
        <f>SUM(AF126:AI126)</f>
        <v>0</v>
      </c>
      <c r="BU126" s="32">
        <f>SUM(AJ126:AM126)</f>
        <v>0</v>
      </c>
      <c r="BV126" s="32">
        <f>SUM(AN126:AQ126)</f>
        <v>0</v>
      </c>
      <c r="BW126" s="32">
        <f>SUM(AR126:AU126)</f>
        <v>0</v>
      </c>
      <c r="BX126" s="32">
        <f>SUM(AV126:AY126)</f>
        <v>0</v>
      </c>
      <c r="BY126" s="32">
        <f>SUM(AZ126:BC126)</f>
        <v>0</v>
      </c>
      <c r="BZ126" s="32">
        <f>SUM(BD126:BG126)</f>
        <v>0</v>
      </c>
      <c r="CA126" s="33">
        <f>SUM(BH126:BK126)</f>
        <v>0</v>
      </c>
      <c r="CB126" s="34"/>
      <c r="CC126" s="32"/>
      <c r="CD126" s="32"/>
      <c r="CE126" s="260"/>
      <c r="CF126" s="34">
        <f>SUM(F126:I126)</f>
        <v>0</v>
      </c>
      <c r="CG126" s="32">
        <f>SUM(J126:M126)</f>
        <v>0</v>
      </c>
      <c r="CH126" s="32">
        <f>SUM(N126:Q126)</f>
        <v>0</v>
      </c>
      <c r="CI126" s="32">
        <f>SUM(R126:U126)</f>
        <v>-54.080999999999996</v>
      </c>
      <c r="CJ126" s="32">
        <f>SUM(V126:Y126)</f>
        <v>-36.332999999999998</v>
      </c>
      <c r="CK126" s="32">
        <f>SUM(Z126:AC126)</f>
        <v>-19.146000000000001</v>
      </c>
      <c r="CL126" s="32">
        <f>SUM(AD126:AG126)</f>
        <v>0</v>
      </c>
      <c r="CM126" s="32">
        <f>SUM(AH126:AK126)</f>
        <v>0</v>
      </c>
      <c r="CN126" s="32">
        <f>SUM(AL126:AO126)</f>
        <v>0</v>
      </c>
      <c r="CO126" s="32">
        <f>SUM(AP126:AS126)</f>
        <v>0</v>
      </c>
      <c r="CP126" s="32">
        <f>SUM(AQ126:AT126)</f>
        <v>0</v>
      </c>
      <c r="CQ126" s="32">
        <f>SUM(AX126:BA126)</f>
        <v>0</v>
      </c>
      <c r="CR126" s="32">
        <f>SUM(BB126:BE126)</f>
        <v>0</v>
      </c>
      <c r="CS126" s="33">
        <f>SUM(BF126:BI126)</f>
        <v>0</v>
      </c>
      <c r="CT126" s="32"/>
    </row>
    <row r="127" spans="1:104" ht="14.25" hidden="1" customHeight="1" outlineLevel="1">
      <c r="A127" s="8"/>
      <c r="B127" s="23" t="s">
        <v>358</v>
      </c>
      <c r="C127" s="24"/>
      <c r="D127" s="32">
        <f t="shared" ref="D127:W127" si="574">D125+D126</f>
        <v>1.643</v>
      </c>
      <c r="E127" s="32">
        <f t="shared" si="574"/>
        <v>0</v>
      </c>
      <c r="F127" s="32">
        <f t="shared" si="574"/>
        <v>0</v>
      </c>
      <c r="G127" s="33">
        <f t="shared" si="574"/>
        <v>0</v>
      </c>
      <c r="H127" s="32">
        <f t="shared" si="574"/>
        <v>0</v>
      </c>
      <c r="I127" s="32">
        <f t="shared" si="574"/>
        <v>0</v>
      </c>
      <c r="J127" s="32">
        <f t="shared" si="574"/>
        <v>0</v>
      </c>
      <c r="K127" s="33">
        <f t="shared" si="574"/>
        <v>0</v>
      </c>
      <c r="L127" s="32">
        <f t="shared" si="574"/>
        <v>0</v>
      </c>
      <c r="M127" s="32">
        <f t="shared" si="574"/>
        <v>0</v>
      </c>
      <c r="N127" s="32">
        <f t="shared" si="574"/>
        <v>0</v>
      </c>
      <c r="O127" s="33">
        <f t="shared" si="574"/>
        <v>0</v>
      </c>
      <c r="P127" s="32">
        <f t="shared" si="574"/>
        <v>0</v>
      </c>
      <c r="Q127" s="32">
        <f t="shared" si="574"/>
        <v>0</v>
      </c>
      <c r="R127" s="32">
        <f t="shared" si="574"/>
        <v>-9.1999999999999993</v>
      </c>
      <c r="S127" s="33">
        <f t="shared" si="574"/>
        <v>-15.5</v>
      </c>
      <c r="T127" s="32">
        <f t="shared" si="574"/>
        <v>-16.843</v>
      </c>
      <c r="U127" s="32">
        <f t="shared" si="574"/>
        <v>-12.537999999999998</v>
      </c>
      <c r="V127" s="32">
        <f t="shared" si="574"/>
        <v>-3.1709999999999998</v>
      </c>
      <c r="W127" s="33">
        <f t="shared" si="574"/>
        <v>-33.161999999999999</v>
      </c>
      <c r="X127" s="32">
        <f t="shared" ref="X127:AK127" si="575">X125+X126</f>
        <v>0</v>
      </c>
      <c r="Y127" s="32">
        <f t="shared" si="575"/>
        <v>0</v>
      </c>
      <c r="Z127" s="32">
        <f t="shared" si="575"/>
        <v>-15.01</v>
      </c>
      <c r="AA127" s="33">
        <f t="shared" si="575"/>
        <v>-6.7910000000000004</v>
      </c>
      <c r="AB127" s="32">
        <f t="shared" si="575"/>
        <v>2.6549999999999998</v>
      </c>
      <c r="AC127" s="32">
        <f t="shared" si="575"/>
        <v>0</v>
      </c>
      <c r="AD127" s="32">
        <f t="shared" si="575"/>
        <v>31.809000000000001</v>
      </c>
      <c r="AE127" s="33">
        <f>AE125+AE126</f>
        <v>0</v>
      </c>
      <c r="AF127" s="32">
        <f>AF125+AF126</f>
        <v>0</v>
      </c>
      <c r="AG127" s="32">
        <f t="shared" si="575"/>
        <v>0</v>
      </c>
      <c r="AH127" s="32">
        <f t="shared" si="575"/>
        <v>2.6030000000000002</v>
      </c>
      <c r="AI127" s="33">
        <f>AI125+AI126</f>
        <v>0</v>
      </c>
      <c r="AJ127" s="34">
        <f>AJ125+AJ126</f>
        <v>0</v>
      </c>
      <c r="AK127" s="32">
        <f t="shared" si="575"/>
        <v>0</v>
      </c>
      <c r="AL127" s="32">
        <f t="shared" ref="AL127:AQ127" si="576">AL125+AL126</f>
        <v>0</v>
      </c>
      <c r="AM127" s="33">
        <f t="shared" si="576"/>
        <v>0</v>
      </c>
      <c r="AN127" s="34">
        <f t="shared" si="576"/>
        <v>0</v>
      </c>
      <c r="AO127" s="32">
        <f t="shared" si="576"/>
        <v>0</v>
      </c>
      <c r="AP127" s="32">
        <f t="shared" si="576"/>
        <v>0</v>
      </c>
      <c r="AQ127" s="33">
        <f t="shared" si="576"/>
        <v>0</v>
      </c>
      <c r="AR127" s="34">
        <f>AR125+AR126</f>
        <v>0</v>
      </c>
      <c r="AS127" s="32">
        <f>AS125+AS126</f>
        <v>0</v>
      </c>
      <c r="AT127" s="32">
        <f>AT125+AT126</f>
        <v>0</v>
      </c>
      <c r="AU127" s="32">
        <f t="shared" ref="AU127:AZ127" si="577">AU125+AU126</f>
        <v>0</v>
      </c>
      <c r="AV127" s="34">
        <f t="shared" si="577"/>
        <v>0</v>
      </c>
      <c r="AW127" s="32">
        <f t="shared" si="577"/>
        <v>0</v>
      </c>
      <c r="AX127" s="32">
        <f t="shared" si="577"/>
        <v>0</v>
      </c>
      <c r="AY127" s="32">
        <f t="shared" si="577"/>
        <v>0</v>
      </c>
      <c r="AZ127" s="34">
        <f t="shared" si="577"/>
        <v>0</v>
      </c>
      <c r="BA127" s="32">
        <f>BA125+BA126</f>
        <v>0</v>
      </c>
      <c r="BB127" s="32">
        <f t="shared" ref="BB127" si="578">BB125+BB126</f>
        <v>0</v>
      </c>
      <c r="BC127" s="33">
        <f>BC125+BC126</f>
        <v>0</v>
      </c>
      <c r="BD127" s="34">
        <f t="shared" ref="BD127:BK127" si="579">BD125+BD126</f>
        <v>0</v>
      </c>
      <c r="BE127" s="32">
        <f t="shared" si="579"/>
        <v>0</v>
      </c>
      <c r="BF127" s="32">
        <f t="shared" si="579"/>
        <v>0</v>
      </c>
      <c r="BG127" s="33">
        <f t="shared" si="579"/>
        <v>0</v>
      </c>
      <c r="BH127" s="34">
        <f t="shared" si="579"/>
        <v>0</v>
      </c>
      <c r="BI127" s="32">
        <f t="shared" si="579"/>
        <v>0</v>
      </c>
      <c r="BJ127" s="32">
        <f t="shared" si="579"/>
        <v>0</v>
      </c>
      <c r="BK127" s="33">
        <f t="shared" si="579"/>
        <v>0</v>
      </c>
      <c r="BL127" s="20"/>
      <c r="BM127" s="32">
        <f t="shared" ref="BM127:BR127" si="580">BM125+BM126</f>
        <v>0</v>
      </c>
      <c r="BN127" s="32">
        <f t="shared" si="580"/>
        <v>0</v>
      </c>
      <c r="BO127" s="32">
        <f t="shared" si="580"/>
        <v>0</v>
      </c>
      <c r="BP127" s="32">
        <f t="shared" si="580"/>
        <v>-24.7</v>
      </c>
      <c r="BQ127" s="32">
        <f t="shared" si="580"/>
        <v>-65.713999999999999</v>
      </c>
      <c r="BR127" s="32">
        <f t="shared" si="580"/>
        <v>-21.801000000000002</v>
      </c>
      <c r="BS127" s="32">
        <f t="shared" ref="BS127:CA127" si="581">BS125+BS126</f>
        <v>34.463999999999999</v>
      </c>
      <c r="BT127" s="32">
        <f t="shared" si="581"/>
        <v>2.6030000000000002</v>
      </c>
      <c r="BU127" s="32">
        <f t="shared" si="581"/>
        <v>0</v>
      </c>
      <c r="BV127" s="32">
        <f t="shared" si="581"/>
        <v>0</v>
      </c>
      <c r="BW127" s="32">
        <f t="shared" si="581"/>
        <v>0</v>
      </c>
      <c r="BX127" s="32">
        <f t="shared" si="581"/>
        <v>0</v>
      </c>
      <c r="BY127" s="32">
        <f t="shared" si="581"/>
        <v>0</v>
      </c>
      <c r="BZ127" s="32">
        <f t="shared" si="581"/>
        <v>0</v>
      </c>
      <c r="CA127" s="33">
        <f t="shared" si="581"/>
        <v>0</v>
      </c>
      <c r="CB127" s="34"/>
      <c r="CC127" s="32"/>
      <c r="CD127" s="32"/>
      <c r="CE127" s="260"/>
      <c r="CF127" s="34">
        <f t="shared" ref="CF127:CL127" si="582">CF125+CF126</f>
        <v>0</v>
      </c>
      <c r="CG127" s="32">
        <f t="shared" si="582"/>
        <v>0</v>
      </c>
      <c r="CH127" s="32">
        <f t="shared" si="582"/>
        <v>0</v>
      </c>
      <c r="CI127" s="32">
        <f t="shared" si="582"/>
        <v>-54.080999999999996</v>
      </c>
      <c r="CJ127" s="32">
        <f t="shared" si="582"/>
        <v>-36.332999999999998</v>
      </c>
      <c r="CK127" s="32">
        <f t="shared" si="582"/>
        <v>-19.146000000000001</v>
      </c>
      <c r="CL127" s="32">
        <f t="shared" si="582"/>
        <v>0</v>
      </c>
      <c r="CM127" s="32">
        <f t="shared" ref="CM127:CR127" si="583">CM125+CM126</f>
        <v>0</v>
      </c>
      <c r="CN127" s="32">
        <f t="shared" si="583"/>
        <v>0</v>
      </c>
      <c r="CO127" s="32">
        <f t="shared" si="583"/>
        <v>0</v>
      </c>
      <c r="CP127" s="32">
        <f t="shared" si="583"/>
        <v>0</v>
      </c>
      <c r="CQ127" s="32">
        <f t="shared" si="583"/>
        <v>0</v>
      </c>
      <c r="CR127" s="32">
        <f t="shared" si="583"/>
        <v>0</v>
      </c>
      <c r="CS127" s="33">
        <f>CS125+CS126</f>
        <v>0</v>
      </c>
      <c r="CT127" s="32"/>
    </row>
    <row r="128" spans="1:104" ht="14.25" hidden="1" customHeight="1" outlineLevel="1">
      <c r="A128" s="8"/>
      <c r="B128" s="23"/>
      <c r="C128" s="24"/>
      <c r="D128" s="46"/>
      <c r="E128" s="46"/>
      <c r="F128" s="46"/>
      <c r="G128" s="67"/>
      <c r="H128" s="46"/>
      <c r="I128" s="46"/>
      <c r="J128" s="46"/>
      <c r="K128" s="67"/>
      <c r="L128" s="46"/>
      <c r="M128" s="46"/>
      <c r="N128" s="46"/>
      <c r="O128" s="67"/>
      <c r="P128" s="46"/>
      <c r="Q128" s="46"/>
      <c r="R128" s="46"/>
      <c r="S128" s="67"/>
      <c r="T128" s="46"/>
      <c r="U128" s="46"/>
      <c r="V128" s="46"/>
      <c r="W128" s="67"/>
      <c r="X128" s="46"/>
      <c r="Y128" s="46"/>
      <c r="Z128" s="46"/>
      <c r="AA128" s="67"/>
      <c r="AB128" s="46"/>
      <c r="AC128" s="46"/>
      <c r="AD128" s="46"/>
      <c r="AE128" s="69"/>
      <c r="AF128" s="68"/>
      <c r="AG128" s="68"/>
      <c r="AH128" s="68"/>
      <c r="AI128" s="69"/>
      <c r="AJ128" s="1249"/>
      <c r="AK128" s="68"/>
      <c r="AL128" s="68"/>
      <c r="AM128" s="69"/>
      <c r="AN128" s="1249"/>
      <c r="AO128" s="68"/>
      <c r="AP128" s="68"/>
      <c r="AQ128" s="69"/>
      <c r="AR128" s="1249"/>
      <c r="AS128" s="68"/>
      <c r="AT128" s="68"/>
      <c r="AU128" s="68"/>
      <c r="AV128" s="1249"/>
      <c r="AW128" s="68"/>
      <c r="AX128" s="68"/>
      <c r="AY128" s="68"/>
      <c r="AZ128" s="1249"/>
      <c r="BA128" s="68"/>
      <c r="BB128" s="68"/>
      <c r="BC128" s="69"/>
      <c r="BD128" s="1249"/>
      <c r="BE128" s="68"/>
      <c r="BF128" s="68"/>
      <c r="BG128" s="69"/>
      <c r="BH128" s="1249"/>
      <c r="BI128" s="68"/>
      <c r="BJ128" s="68"/>
      <c r="BK128" s="69"/>
      <c r="BL128" s="20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5"/>
      <c r="CB128" s="54"/>
      <c r="CC128" s="44"/>
      <c r="CD128" s="44"/>
      <c r="CE128" s="260"/>
      <c r="CF128" s="111"/>
      <c r="CG128" s="112"/>
      <c r="CH128" s="112"/>
      <c r="CI128" s="112"/>
      <c r="CJ128" s="112"/>
      <c r="CK128" s="112"/>
      <c r="CL128" s="112"/>
      <c r="CM128" s="112"/>
      <c r="CN128" s="112"/>
      <c r="CO128" s="112"/>
      <c r="CP128" s="112"/>
      <c r="CQ128" s="112"/>
      <c r="CR128" s="112"/>
      <c r="CS128" s="113"/>
      <c r="CT128" s="112"/>
    </row>
    <row r="129" spans="1:104" ht="14.25" customHeight="1" collapsed="1">
      <c r="A129" s="8"/>
      <c r="B129" s="714" t="s">
        <v>350</v>
      </c>
      <c r="C129" s="24"/>
      <c r="D129" s="719">
        <f t="shared" ref="D129:AB129" si="584">+D115</f>
        <v>0</v>
      </c>
      <c r="E129" s="719">
        <f t="shared" si="584"/>
        <v>0</v>
      </c>
      <c r="F129" s="719">
        <f t="shared" si="584"/>
        <v>0</v>
      </c>
      <c r="G129" s="718">
        <f t="shared" si="584"/>
        <v>0</v>
      </c>
      <c r="H129" s="719">
        <f t="shared" si="584"/>
        <v>0</v>
      </c>
      <c r="I129" s="719">
        <f t="shared" si="584"/>
        <v>0</v>
      </c>
      <c r="J129" s="719">
        <f t="shared" si="584"/>
        <v>0</v>
      </c>
      <c r="K129" s="718">
        <f t="shared" si="584"/>
        <v>61.896000000000001</v>
      </c>
      <c r="L129" s="719">
        <f t="shared" si="584"/>
        <v>7.5600000000000005</v>
      </c>
      <c r="M129" s="719">
        <f t="shared" si="584"/>
        <v>15.145</v>
      </c>
      <c r="N129" s="719">
        <f t="shared" si="584"/>
        <v>41.789000000000001</v>
      </c>
      <c r="O129" s="718">
        <f t="shared" si="584"/>
        <v>37.408000000000001</v>
      </c>
      <c r="P129" s="719">
        <f t="shared" si="584"/>
        <v>20.135999999999999</v>
      </c>
      <c r="Q129" s="719">
        <f t="shared" si="584"/>
        <v>125.857</v>
      </c>
      <c r="R129" s="719">
        <f t="shared" si="584"/>
        <v>27.296999999999997</v>
      </c>
      <c r="S129" s="718">
        <f t="shared" si="584"/>
        <v>16.580999999999996</v>
      </c>
      <c r="T129" s="719">
        <f t="shared" si="584"/>
        <v>-4.4390000000000018</v>
      </c>
      <c r="U129" s="719">
        <f t="shared" si="584"/>
        <v>4.93</v>
      </c>
      <c r="V129" s="719">
        <f t="shared" si="584"/>
        <v>115.779</v>
      </c>
      <c r="W129" s="718">
        <f t="shared" si="584"/>
        <v>10.681000000000019</v>
      </c>
      <c r="X129" s="719">
        <f t="shared" si="584"/>
        <v>11.462999999999999</v>
      </c>
      <c r="Y129" s="719">
        <f t="shared" si="584"/>
        <v>22.794</v>
      </c>
      <c r="Z129" s="719">
        <f t="shared" si="584"/>
        <v>-29.554999999999996</v>
      </c>
      <c r="AA129" s="718">
        <f t="shared" si="584"/>
        <v>4.8309999999999977</v>
      </c>
      <c r="AB129" s="719">
        <f t="shared" si="584"/>
        <v>6.3839999999999986</v>
      </c>
      <c r="AC129" s="719">
        <f>+AC115</f>
        <v>12.542999999999999</v>
      </c>
      <c r="AD129" s="719">
        <f>AD127</f>
        <v>31.809000000000001</v>
      </c>
      <c r="AE129" s="718">
        <f>+AE115</f>
        <v>24.061</v>
      </c>
      <c r="AF129" s="719">
        <f>+AF115</f>
        <v>11.254</v>
      </c>
      <c r="AG129" s="719">
        <f>+AG115</f>
        <v>48.184000000000005</v>
      </c>
      <c r="AH129" s="719">
        <f>+AH115</f>
        <v>5.8040000000000003</v>
      </c>
      <c r="AI129" s="718">
        <f t="shared" ref="AI129:AN129" si="585">+AI115</f>
        <v>10.462999999999999</v>
      </c>
      <c r="AJ129" s="733">
        <f t="shared" si="585"/>
        <v>16.366</v>
      </c>
      <c r="AK129" s="719">
        <f t="shared" si="585"/>
        <v>59.137999999999998</v>
      </c>
      <c r="AL129" s="719">
        <f t="shared" si="585"/>
        <v>0.58899999999999864</v>
      </c>
      <c r="AM129" s="718">
        <f t="shared" si="585"/>
        <v>39.117000000000004</v>
      </c>
      <c r="AN129" s="733">
        <f t="shared" si="585"/>
        <v>8.6419999999999995</v>
      </c>
      <c r="AO129" s="719">
        <f t="shared" ref="AO129:AT129" si="586">+AO115</f>
        <v>165.71199999999999</v>
      </c>
      <c r="AP129" s="719">
        <f t="shared" si="586"/>
        <v>34.813000000000002</v>
      </c>
      <c r="AQ129" s="718">
        <f t="shared" si="586"/>
        <v>25.434000000000001</v>
      </c>
      <c r="AR129" s="733">
        <f t="shared" si="586"/>
        <v>192.45500000000001</v>
      </c>
      <c r="AS129" s="719">
        <f t="shared" si="586"/>
        <v>25.350999999999999</v>
      </c>
      <c r="AT129" s="719">
        <f t="shared" si="586"/>
        <v>-22.152000000000001</v>
      </c>
      <c r="AU129" s="719">
        <f t="shared" ref="AU129:BG129" si="587">+AU115</f>
        <v>48.131999999999998</v>
      </c>
      <c r="AV129" s="733">
        <f t="shared" si="587"/>
        <v>0.61599999999999921</v>
      </c>
      <c r="AW129" s="719">
        <f t="shared" si="587"/>
        <v>2.2179999999999982</v>
      </c>
      <c r="AX129" s="719">
        <f t="shared" si="587"/>
        <v>19.578000000000003</v>
      </c>
      <c r="AY129" s="719">
        <f>+AY115</f>
        <v>16.620999999999999</v>
      </c>
      <c r="AZ129" s="733">
        <f>+AZ115</f>
        <v>16.018000000000001</v>
      </c>
      <c r="BA129" s="719">
        <f>+BA115</f>
        <v>261.08199999999999</v>
      </c>
      <c r="BB129" s="719">
        <f t="shared" ref="BB129" si="588">+BB115</f>
        <v>15.569000000000001</v>
      </c>
      <c r="BC129" s="718">
        <f t="shared" si="587"/>
        <v>10.555999999999999</v>
      </c>
      <c r="BD129" s="733">
        <f t="shared" si="587"/>
        <v>0.876</v>
      </c>
      <c r="BE129" s="719">
        <f t="shared" si="587"/>
        <v>0.876</v>
      </c>
      <c r="BF129" s="719">
        <f t="shared" si="587"/>
        <v>0.876</v>
      </c>
      <c r="BG129" s="718">
        <f t="shared" si="587"/>
        <v>0.876</v>
      </c>
      <c r="BH129" s="733">
        <f>+BH115</f>
        <v>0.876</v>
      </c>
      <c r="BI129" s="719">
        <f>+BI115</f>
        <v>0.876</v>
      </c>
      <c r="BJ129" s="719">
        <f>+BJ115</f>
        <v>0.876</v>
      </c>
      <c r="BK129" s="718">
        <f>+BK115</f>
        <v>0.876</v>
      </c>
      <c r="BL129" s="20"/>
      <c r="BM129" s="1476"/>
      <c r="BN129" s="1476"/>
      <c r="BO129" s="1476"/>
      <c r="BP129" s="1476"/>
      <c r="BQ129" s="1476"/>
      <c r="BR129" s="1476">
        <f>+SUM(X129:AA129)</f>
        <v>9.5329999999999995</v>
      </c>
      <c r="BS129" s="1476">
        <f>+SUM(AB129:AE129)</f>
        <v>74.796999999999997</v>
      </c>
      <c r="BT129" s="1476">
        <f>+SUM(AF129:AI129)</f>
        <v>75.704999999999998</v>
      </c>
      <c r="BU129" s="1476">
        <f>+SUM(AJ129:AM129)</f>
        <v>115.21</v>
      </c>
      <c r="BV129" s="1476">
        <f t="shared" ref="BV129:CA129" si="589">+BV119-BV130</f>
        <v>234.60099999999983</v>
      </c>
      <c r="BW129" s="1476">
        <f t="shared" si="589"/>
        <v>243.78600000000006</v>
      </c>
      <c r="BX129" s="1476">
        <f t="shared" si="589"/>
        <v>39.032999999999902</v>
      </c>
      <c r="BY129" s="1476">
        <f t="shared" si="589"/>
        <v>303.22499999999991</v>
      </c>
      <c r="BZ129" s="1476">
        <f t="shared" si="589"/>
        <v>3.5040000000000191</v>
      </c>
      <c r="CA129" s="1477">
        <f t="shared" si="589"/>
        <v>3.5040000000000191</v>
      </c>
      <c r="CB129" s="54"/>
      <c r="CC129" s="44"/>
      <c r="CD129" s="44"/>
      <c r="CE129" s="260"/>
      <c r="CF129" s="111"/>
      <c r="CG129" s="112"/>
      <c r="CH129" s="112"/>
      <c r="CI129" s="112"/>
      <c r="CJ129" s="112"/>
      <c r="CK129" s="112"/>
      <c r="CL129" s="112"/>
      <c r="CM129" s="112"/>
      <c r="CN129" s="112"/>
      <c r="CO129" s="112"/>
      <c r="CP129" s="112"/>
      <c r="CQ129" s="112"/>
      <c r="CR129" s="112"/>
      <c r="CS129" s="113"/>
      <c r="CT129" s="112"/>
    </row>
    <row r="130" spans="1:104" ht="14.25" customHeight="1">
      <c r="A130" s="8"/>
      <c r="B130" s="47" t="s">
        <v>359</v>
      </c>
      <c r="C130" s="48"/>
      <c r="D130" s="50">
        <f>D113+D125</f>
        <v>86.778000000000034</v>
      </c>
      <c r="E130" s="50">
        <f>E113+E125</f>
        <v>97.670999999999964</v>
      </c>
      <c r="F130" s="50">
        <f>F113+F125</f>
        <v>107.11000000000001</v>
      </c>
      <c r="G130" s="51">
        <f>G113+G125</f>
        <v>96.141999999999811</v>
      </c>
      <c r="H130" s="50">
        <f t="shared" ref="H130:W130" si="590">H113+H125</f>
        <v>20.337999999999994</v>
      </c>
      <c r="I130" s="50">
        <f t="shared" si="590"/>
        <v>97.567999999999998</v>
      </c>
      <c r="J130" s="50">
        <f t="shared" si="590"/>
        <v>76.067999999999969</v>
      </c>
      <c r="K130" s="51">
        <f t="shared" si="590"/>
        <v>92.252999999999844</v>
      </c>
      <c r="L130" s="50">
        <f t="shared" si="590"/>
        <v>83.626000000000033</v>
      </c>
      <c r="M130" s="50">
        <f t="shared" si="590"/>
        <v>107.01999999999995</v>
      </c>
      <c r="N130" s="50">
        <f t="shared" si="590"/>
        <v>61.032000000000018</v>
      </c>
      <c r="O130" s="51">
        <f t="shared" si="590"/>
        <v>66.04699999999994</v>
      </c>
      <c r="P130" s="50">
        <f t="shared" si="590"/>
        <v>67.567000000000036</v>
      </c>
      <c r="Q130" s="50">
        <f t="shared" si="590"/>
        <v>-38.783999999999942</v>
      </c>
      <c r="R130" s="50">
        <f t="shared" si="590"/>
        <v>-26.426000000000009</v>
      </c>
      <c r="S130" s="51">
        <f>S113+S125</f>
        <v>8.0980000000002157</v>
      </c>
      <c r="T130" s="50">
        <f t="shared" si="590"/>
        <v>41.951999999999984</v>
      </c>
      <c r="U130" s="50">
        <f t="shared" si="590"/>
        <v>58.634999999999984</v>
      </c>
      <c r="V130" s="50">
        <f t="shared" si="590"/>
        <v>-33.903000000000027</v>
      </c>
      <c r="W130" s="51">
        <f t="shared" si="590"/>
        <v>58.454999999999956</v>
      </c>
      <c r="X130" s="50">
        <f>X113+X125</f>
        <v>117.55000000000004</v>
      </c>
      <c r="Y130" s="50">
        <f>Y113+Y125</f>
        <v>109.59000000000006</v>
      </c>
      <c r="Z130" s="50">
        <f>Z113+Z125</f>
        <v>136.27599999999998</v>
      </c>
      <c r="AA130" s="51">
        <f t="shared" ref="AA130:AF130" si="591">AA113+AA125</f>
        <v>125.59299999999971</v>
      </c>
      <c r="AB130" s="50">
        <f t="shared" si="591"/>
        <v>133.44599999999997</v>
      </c>
      <c r="AC130" s="50">
        <f t="shared" si="591"/>
        <v>88.130000000000038</v>
      </c>
      <c r="AD130" s="50">
        <f>AD113+AD125</f>
        <v>54.516999999999967</v>
      </c>
      <c r="AE130" s="51">
        <f t="shared" si="591"/>
        <v>110.63400000000001</v>
      </c>
      <c r="AF130" s="50">
        <f t="shared" si="591"/>
        <v>127.88800000000003</v>
      </c>
      <c r="AG130" s="50">
        <f t="shared" ref="AG130:AL130" si="592">AG113+AG125</f>
        <v>76.622</v>
      </c>
      <c r="AH130" s="50">
        <f t="shared" si="592"/>
        <v>131.38799999999998</v>
      </c>
      <c r="AI130" s="51">
        <f t="shared" si="592"/>
        <v>119.014</v>
      </c>
      <c r="AJ130" s="49">
        <f t="shared" si="592"/>
        <v>103.12000000000005</v>
      </c>
      <c r="AK130" s="50">
        <f t="shared" si="592"/>
        <v>44.353000000000009</v>
      </c>
      <c r="AL130" s="50">
        <f t="shared" si="592"/>
        <v>122.54400000000001</v>
      </c>
      <c r="AM130" s="51">
        <f t="shared" ref="AM130:AR130" si="593">AM113+AM125</f>
        <v>84.792999999999978</v>
      </c>
      <c r="AN130" s="49">
        <f t="shared" si="593"/>
        <v>99.980000000000018</v>
      </c>
      <c r="AO130" s="50">
        <f t="shared" si="593"/>
        <v>-72.03400000000002</v>
      </c>
      <c r="AP130" s="50">
        <f t="shared" si="593"/>
        <v>79.433000000000007</v>
      </c>
      <c r="AQ130" s="51">
        <f t="shared" si="593"/>
        <v>98.659000000000063</v>
      </c>
      <c r="AR130" s="49">
        <f t="shared" si="593"/>
        <v>-72.142999999999986</v>
      </c>
      <c r="AS130" s="50">
        <f t="shared" ref="AS130:AX130" si="594">AS113+AS125</f>
        <v>67.46899999999998</v>
      </c>
      <c r="AT130" s="50">
        <f t="shared" si="594"/>
        <v>139.80999999999995</v>
      </c>
      <c r="AU130" s="50">
        <f t="shared" si="594"/>
        <v>92.338999999999999</v>
      </c>
      <c r="AV130" s="49">
        <f t="shared" si="594"/>
        <v>137.61399999999995</v>
      </c>
      <c r="AW130" s="50">
        <f t="shared" si="594"/>
        <v>130.47700000000003</v>
      </c>
      <c r="AX130" s="50">
        <f t="shared" si="594"/>
        <v>140.21300000000002</v>
      </c>
      <c r="AY130" s="50">
        <f>AY113+AY125</f>
        <v>163.30900000000003</v>
      </c>
      <c r="AZ130" s="49">
        <f>AZ113+AZ125</f>
        <v>154.53300000000002</v>
      </c>
      <c r="BA130" s="50">
        <f>BA113+BA125</f>
        <v>-75.015000000000072</v>
      </c>
      <c r="BB130" s="50">
        <f t="shared" ref="BB130" si="595">BB113+BB125</f>
        <v>193.62700000000004</v>
      </c>
      <c r="BC130" s="51">
        <f t="shared" ref="BC130:BG130" si="596">BC113+BC125</f>
        <v>186.22292322436002</v>
      </c>
      <c r="BD130" s="49">
        <f t="shared" si="596"/>
        <v>186.20939697383241</v>
      </c>
      <c r="BE130" s="50">
        <f t="shared" si="596"/>
        <v>187.3203374141163</v>
      </c>
      <c r="BF130" s="50">
        <f t="shared" si="596"/>
        <v>204.92941612000061</v>
      </c>
      <c r="BG130" s="51">
        <f t="shared" si="596"/>
        <v>210.33671092537398</v>
      </c>
      <c r="BH130" s="49">
        <f>BH113+BH125</f>
        <v>204.57079040010345</v>
      </c>
      <c r="BI130" s="50">
        <f>BI113+BI125</f>
        <v>204.32679207252673</v>
      </c>
      <c r="BJ130" s="50">
        <f>BJ113+BJ125</f>
        <v>218.21492118235179</v>
      </c>
      <c r="BK130" s="51">
        <f>BK113+BK125</f>
        <v>228.41002664470759</v>
      </c>
      <c r="BL130" s="20"/>
      <c r="BM130" s="50">
        <f t="shared" ref="BM130:BS130" si="597">BM113+BM125</f>
        <v>386.05799999999994</v>
      </c>
      <c r="BN130" s="50">
        <f t="shared" si="597"/>
        <v>286.22699999999963</v>
      </c>
      <c r="BO130" s="50">
        <f t="shared" si="597"/>
        <v>317.72499999999974</v>
      </c>
      <c r="BP130" s="50">
        <f t="shared" si="597"/>
        <v>10.455000000000382</v>
      </c>
      <c r="BQ130" s="50">
        <f t="shared" si="597"/>
        <v>125.13900000000004</v>
      </c>
      <c r="BR130" s="50">
        <f t="shared" si="597"/>
        <v>489.00899999999933</v>
      </c>
      <c r="BS130" s="50">
        <f t="shared" si="597"/>
        <v>386.72699999999986</v>
      </c>
      <c r="BT130" s="50">
        <f t="shared" ref="BT130:CA130" si="598">BT113+BT125</f>
        <v>454.91200000000003</v>
      </c>
      <c r="BU130" s="50">
        <f t="shared" si="598"/>
        <v>354.81000000000006</v>
      </c>
      <c r="BV130" s="50">
        <f t="shared" si="598"/>
        <v>206.0379999999995</v>
      </c>
      <c r="BW130" s="50">
        <f t="shared" si="598"/>
        <v>227.47500000000014</v>
      </c>
      <c r="BX130" s="50">
        <f t="shared" si="598"/>
        <v>571.61300000000017</v>
      </c>
      <c r="BY130" s="50">
        <f t="shared" si="598"/>
        <v>459.36792322436042</v>
      </c>
      <c r="BZ130" s="50">
        <f t="shared" si="598"/>
        <v>788.79586143332313</v>
      </c>
      <c r="CA130" s="51">
        <f t="shared" si="598"/>
        <v>855.52253029968915</v>
      </c>
      <c r="CB130" s="49"/>
      <c r="CC130" s="50"/>
      <c r="CD130" s="50"/>
      <c r="CE130" s="260"/>
      <c r="CF130" s="49">
        <f t="shared" ref="CF130:CL130" si="599">CF113+CF125</f>
        <v>321.1579999999999</v>
      </c>
      <c r="CG130" s="50">
        <f t="shared" si="599"/>
        <v>358.96699999999998</v>
      </c>
      <c r="CH130" s="50">
        <f t="shared" si="599"/>
        <v>155.86199999999977</v>
      </c>
      <c r="CI130" s="50">
        <f t="shared" si="599"/>
        <v>82.258999999999872</v>
      </c>
      <c r="CJ130" s="50">
        <f t="shared" si="599"/>
        <v>251.69200000000043</v>
      </c>
      <c r="CK130" s="50">
        <f t="shared" si="599"/>
        <v>483.44499999999937</v>
      </c>
      <c r="CL130" s="50">
        <f t="shared" si="599"/>
        <v>337.85199999999992</v>
      </c>
      <c r="CM130" s="50">
        <f t="shared" ref="CM130:CR130" si="600">CM113+CM125</f>
        <v>395.27199999999993</v>
      </c>
      <c r="CN130" s="50">
        <f t="shared" si="600"/>
        <v>235.28300000000007</v>
      </c>
      <c r="CO130" s="50">
        <f t="shared" si="600"/>
        <v>173.41800000000018</v>
      </c>
      <c r="CP130" s="50">
        <f t="shared" si="600"/>
        <v>500.2399999999999</v>
      </c>
      <c r="CQ130" s="50">
        <f t="shared" si="600"/>
        <v>383.03999999999974</v>
      </c>
      <c r="CR130" s="50">
        <f t="shared" si="600"/>
        <v>753.37965761230851</v>
      </c>
      <c r="CS130" s="51">
        <f>CS113+CS125</f>
        <v>824.16370951800468</v>
      </c>
      <c r="CT130" s="50"/>
    </row>
    <row r="131" spans="1:104" ht="14.25" hidden="1" customHeight="1" outlineLevel="1">
      <c r="A131" s="8"/>
      <c r="B131" s="35" t="s">
        <v>360</v>
      </c>
      <c r="C131" s="36"/>
      <c r="D131" s="37">
        <f t="shared" ref="D131:AQ131" si="601">D130/D10</f>
        <v>0.20461924804583886</v>
      </c>
      <c r="E131" s="37">
        <f t="shared" si="601"/>
        <v>0.2192292152989764</v>
      </c>
      <c r="F131" s="37">
        <f t="shared" si="601"/>
        <v>0.2239998326954849</v>
      </c>
      <c r="G131" s="38">
        <f t="shared" si="601"/>
        <v>0.18882473092937355</v>
      </c>
      <c r="H131" s="37">
        <f t="shared" si="601"/>
        <v>4.0453908044833849E-2</v>
      </c>
      <c r="I131" s="37">
        <f t="shared" si="601"/>
        <v>0.19613511226186192</v>
      </c>
      <c r="J131" s="37">
        <f t="shared" si="601"/>
        <v>0.15962027547654414</v>
      </c>
      <c r="K131" s="38">
        <f t="shared" si="601"/>
        <v>0.17328737532167449</v>
      </c>
      <c r="L131" s="37">
        <f t="shared" si="601"/>
        <v>0.15956693717192577</v>
      </c>
      <c r="M131" s="37">
        <f t="shared" si="601"/>
        <v>0.19817601036989022</v>
      </c>
      <c r="N131" s="37">
        <f t="shared" si="601"/>
        <v>0.12521696313165512</v>
      </c>
      <c r="O131" s="38">
        <f t="shared" si="601"/>
        <v>0.13176011985628408</v>
      </c>
      <c r="P131" s="37">
        <f t="shared" si="601"/>
        <v>0.13480937901533116</v>
      </c>
      <c r="Q131" s="37">
        <f t="shared" si="601"/>
        <v>-9.4439642052717945E-2</v>
      </c>
      <c r="R131" s="37">
        <f t="shared" si="601"/>
        <v>-7.7800185476866929E-2</v>
      </c>
      <c r="S131" s="38">
        <f t="shared" si="601"/>
        <v>2.0528758768072208E-2</v>
      </c>
      <c r="T131" s="37">
        <f t="shared" si="601"/>
        <v>9.3383135297810074E-2</v>
      </c>
      <c r="U131" s="37">
        <f t="shared" si="601"/>
        <v>0.12382923455434355</v>
      </c>
      <c r="V131" s="37">
        <f t="shared" si="601"/>
        <v>-6.6622779437195467E-2</v>
      </c>
      <c r="W131" s="38">
        <f t="shared" si="601"/>
        <v>0.10328431944194126</v>
      </c>
      <c r="X131" s="37">
        <f t="shared" si="601"/>
        <v>0.18773786651206847</v>
      </c>
      <c r="Y131" s="37">
        <f t="shared" si="601"/>
        <v>0.17879517600532527</v>
      </c>
      <c r="Z131" s="37">
        <f t="shared" si="601"/>
        <v>0.22459066375509865</v>
      </c>
      <c r="AA131" s="38">
        <f t="shared" si="601"/>
        <v>0.20047055743817513</v>
      </c>
      <c r="AB131" s="37">
        <f t="shared" si="601"/>
        <v>0.20982009490536191</v>
      </c>
      <c r="AC131" s="37">
        <f t="shared" si="601"/>
        <v>0.14902960807225396</v>
      </c>
      <c r="AD131" s="37">
        <f t="shared" si="601"/>
        <v>9.5440922109479437E-2</v>
      </c>
      <c r="AE131" s="38">
        <f t="shared" si="601"/>
        <v>0.18287941602364471</v>
      </c>
      <c r="AF131" s="37">
        <f t="shared" si="601"/>
        <v>0.20525297917586169</v>
      </c>
      <c r="AG131" s="37">
        <f t="shared" si="601"/>
        <v>0.12658390962587518</v>
      </c>
      <c r="AH131" s="37">
        <f t="shared" si="601"/>
        <v>0.21721189517328937</v>
      </c>
      <c r="AI131" s="38">
        <f t="shared" si="601"/>
        <v>0.19568427179485492</v>
      </c>
      <c r="AJ131" s="39">
        <f t="shared" si="601"/>
        <v>0.17620091552027292</v>
      </c>
      <c r="AK131" s="37">
        <f t="shared" si="601"/>
        <v>7.1505495958237825E-2</v>
      </c>
      <c r="AL131" s="37">
        <f t="shared" si="601"/>
        <v>0.20232432584149082</v>
      </c>
      <c r="AM131" s="38">
        <f t="shared" si="601"/>
        <v>0.13198031961174655</v>
      </c>
      <c r="AN131" s="39">
        <f t="shared" si="601"/>
        <v>0.17229761750893977</v>
      </c>
      <c r="AO131" s="37">
        <f t="shared" si="601"/>
        <v>-0.12708690228983666</v>
      </c>
      <c r="AP131" s="37">
        <f t="shared" si="601"/>
        <v>0.13760279110214929</v>
      </c>
      <c r="AQ131" s="38">
        <f t="shared" si="601"/>
        <v>0.16936673092802451</v>
      </c>
      <c r="AR131" s="39">
        <f t="shared" ref="AR131:AW131" si="602">AR130/AR10</f>
        <v>-0.12825194218769442</v>
      </c>
      <c r="AS131" s="37">
        <f t="shared" si="602"/>
        <v>0.13207694912798945</v>
      </c>
      <c r="AT131" s="37">
        <f t="shared" si="602"/>
        <v>0.25179558110551598</v>
      </c>
      <c r="AU131" s="37">
        <f t="shared" si="602"/>
        <v>0.16310679954639073</v>
      </c>
      <c r="AV131" s="39">
        <f t="shared" si="602"/>
        <v>0.24512821608989013</v>
      </c>
      <c r="AW131" s="37">
        <f t="shared" si="602"/>
        <v>0.23680122250897467</v>
      </c>
      <c r="AX131" s="37">
        <f>AX130/AX10</f>
        <v>0.24124077795518364</v>
      </c>
      <c r="AY131" s="37">
        <f>AY130/AY10</f>
        <v>0.27127515552196413</v>
      </c>
      <c r="AZ131" s="39">
        <f>AZ130/AZ10</f>
        <v>0.26843745440143413</v>
      </c>
      <c r="BA131" s="37">
        <f>BA130/BA10</f>
        <v>-0.12047950892735267</v>
      </c>
      <c r="BB131" s="37">
        <f>BB130/BB10</f>
        <v>0.2985311417378072</v>
      </c>
      <c r="BC131" s="38">
        <f t="shared" ref="BC131:BG131" si="603">BC130/BC10</f>
        <v>0.29564500809820238</v>
      </c>
      <c r="BD131" s="39">
        <f t="shared" si="603"/>
        <v>0.30307407244431678</v>
      </c>
      <c r="BE131" s="37">
        <f t="shared" si="603"/>
        <v>0.30431229481419786</v>
      </c>
      <c r="BF131" s="37">
        <f t="shared" si="603"/>
        <v>0.31637909914028073</v>
      </c>
      <c r="BG131" s="38">
        <f t="shared" si="603"/>
        <v>0.32132893710794863</v>
      </c>
      <c r="BH131" s="39">
        <f>BH130/BH10</f>
        <v>0.31761700341332494</v>
      </c>
      <c r="BI131" s="37">
        <f>BI130/BI10</f>
        <v>0.31748203131614128</v>
      </c>
      <c r="BJ131" s="37">
        <f>BJ130/BJ10</f>
        <v>0.32580832590292225</v>
      </c>
      <c r="BK131" s="38">
        <f>BK130/BK10</f>
        <v>0.33219826831520177</v>
      </c>
      <c r="BL131" s="20"/>
      <c r="BM131" s="37">
        <f t="shared" ref="BM131:BX131" si="604">BM130/BM10</f>
        <v>0.20789953391188212</v>
      </c>
      <c r="BN131" s="37">
        <f t="shared" si="604"/>
        <v>0.14246358114282626</v>
      </c>
      <c r="BO131" s="37">
        <f t="shared" si="604"/>
        <v>0.15477768473335943</v>
      </c>
      <c r="BP131" s="37">
        <f t="shared" si="604"/>
        <v>6.3517039638158702E-3</v>
      </c>
      <c r="BQ131" s="37">
        <f t="shared" si="604"/>
        <v>6.2644579528565003E-2</v>
      </c>
      <c r="BR131" s="37">
        <f t="shared" si="604"/>
        <v>0.19779189035816638</v>
      </c>
      <c r="BS131" s="37">
        <f t="shared" si="604"/>
        <v>0.16089966045760207</v>
      </c>
      <c r="BT131" s="37">
        <f t="shared" si="604"/>
        <v>0.18632792932422787</v>
      </c>
      <c r="BU131" s="37">
        <f t="shared" si="604"/>
        <v>0.14460421011361382</v>
      </c>
      <c r="BV131" s="37">
        <f t="shared" si="604"/>
        <v>8.9315191532747293E-2</v>
      </c>
      <c r="BW131" s="37">
        <f t="shared" si="604"/>
        <v>0.10364652604729814</v>
      </c>
      <c r="BX131" s="37">
        <f t="shared" si="604"/>
        <v>0.24900211925780241</v>
      </c>
      <c r="BY131" s="37">
        <f>BY130/BY10</f>
        <v>0.18546839621427524</v>
      </c>
      <c r="BZ131" s="37">
        <f>BZ130/BZ10</f>
        <v>0.31149719527458869</v>
      </c>
      <c r="CA131" s="38">
        <f>CA130/CA10</f>
        <v>0.3234487781322215</v>
      </c>
      <c r="CB131" s="39"/>
      <c r="CC131" s="37"/>
      <c r="CD131" s="37"/>
      <c r="CE131" s="260"/>
      <c r="CF131" s="39">
        <f t="shared" ref="CF131:CP131" si="605">CF130/CF10</f>
        <v>0.16158665437669303</v>
      </c>
      <c r="CG131" s="37">
        <f t="shared" si="605"/>
        <v>0.17316037572020113</v>
      </c>
      <c r="CH131" s="37">
        <f t="shared" si="605"/>
        <v>8.2008633263108158E-2</v>
      </c>
      <c r="CI131" s="37">
        <f t="shared" si="605"/>
        <v>4.9646417369335498E-2</v>
      </c>
      <c r="CJ131" s="37">
        <f t="shared" si="605"/>
        <v>0.10877313231200618</v>
      </c>
      <c r="CK131" s="37">
        <f t="shared" si="605"/>
        <v>0.19647228125189209</v>
      </c>
      <c r="CL131" s="37">
        <f t="shared" si="605"/>
        <v>0.14050535048360416</v>
      </c>
      <c r="CM131" s="37">
        <f t="shared" si="605"/>
        <v>0.16343055652604632</v>
      </c>
      <c r="CN131" s="37">
        <f t="shared" si="605"/>
        <v>9.8229733069698497E-2</v>
      </c>
      <c r="CO131" s="37">
        <f t="shared" si="605"/>
        <v>7.765723397881269E-2</v>
      </c>
      <c r="CP131" s="37">
        <f t="shared" si="605"/>
        <v>0.22394407307460201</v>
      </c>
      <c r="CQ131" s="37">
        <f>CQ130/CQ10</f>
        <v>0.16083751061290738</v>
      </c>
      <c r="CR131" s="37">
        <f>CR130/CR10</f>
        <v>0.30033778369949415</v>
      </c>
      <c r="CS131" s="38">
        <f>CS130/CS10</f>
        <v>0.3182120162662268</v>
      </c>
      <c r="CT131" s="37"/>
    </row>
    <row r="132" spans="1:104" ht="14.25" hidden="1" customHeight="1" outlineLevel="1">
      <c r="A132" s="8"/>
      <c r="B132" s="369" t="s">
        <v>543</v>
      </c>
      <c r="C132" s="48"/>
      <c r="D132" s="374">
        <f>SUM(D133:D134)</f>
        <v>0</v>
      </c>
      <c r="E132" s="374">
        <f>SUM(E133:E134)</f>
        <v>0</v>
      </c>
      <c r="F132" s="374">
        <f>SUM(F133:F134)</f>
        <v>0</v>
      </c>
      <c r="G132" s="375">
        <f>SUM(G133:G134)</f>
        <v>0</v>
      </c>
      <c r="H132" s="374">
        <f t="shared" ref="H132:W132" si="606">SUM(H133:H134)</f>
        <v>0</v>
      </c>
      <c r="I132" s="374">
        <f t="shared" si="606"/>
        <v>0</v>
      </c>
      <c r="J132" s="374">
        <f t="shared" si="606"/>
        <v>0</v>
      </c>
      <c r="K132" s="375">
        <f t="shared" si="606"/>
        <v>0</v>
      </c>
      <c r="L132" s="374">
        <f t="shared" si="606"/>
        <v>0</v>
      </c>
      <c r="M132" s="374">
        <f t="shared" si="606"/>
        <v>0</v>
      </c>
      <c r="N132" s="374">
        <f t="shared" si="606"/>
        <v>0</v>
      </c>
      <c r="O132" s="375">
        <f t="shared" si="606"/>
        <v>0</v>
      </c>
      <c r="P132" s="374">
        <f t="shared" si="606"/>
        <v>0</v>
      </c>
      <c r="Q132" s="374">
        <f t="shared" si="606"/>
        <v>0</v>
      </c>
      <c r="R132" s="374">
        <f t="shared" si="606"/>
        <v>0</v>
      </c>
      <c r="S132" s="375">
        <f t="shared" si="606"/>
        <v>0</v>
      </c>
      <c r="T132" s="374">
        <f t="shared" si="606"/>
        <v>0</v>
      </c>
      <c r="U132" s="374">
        <f t="shared" si="606"/>
        <v>0</v>
      </c>
      <c r="V132" s="374">
        <f t="shared" si="606"/>
        <v>0</v>
      </c>
      <c r="W132" s="375">
        <f t="shared" si="606"/>
        <v>0</v>
      </c>
      <c r="X132" s="374">
        <f t="shared" ref="X132:AH132" si="607">SUM(X133:X134)</f>
        <v>0</v>
      </c>
      <c r="Y132" s="374">
        <f t="shared" si="607"/>
        <v>0</v>
      </c>
      <c r="Z132" s="374">
        <f t="shared" si="607"/>
        <v>0</v>
      </c>
      <c r="AA132" s="375">
        <f t="shared" si="607"/>
        <v>0</v>
      </c>
      <c r="AB132" s="374">
        <f t="shared" si="607"/>
        <v>0</v>
      </c>
      <c r="AC132" s="374">
        <f t="shared" si="607"/>
        <v>0</v>
      </c>
      <c r="AD132" s="374">
        <f t="shared" si="607"/>
        <v>0</v>
      </c>
      <c r="AE132" s="375">
        <f t="shared" si="607"/>
        <v>0</v>
      </c>
      <c r="AF132" s="374">
        <f t="shared" si="607"/>
        <v>0</v>
      </c>
      <c r="AG132" s="374">
        <f t="shared" si="607"/>
        <v>0</v>
      </c>
      <c r="AH132" s="374">
        <f t="shared" si="607"/>
        <v>0</v>
      </c>
      <c r="AI132" s="375">
        <f t="shared" ref="AI132:AN132" si="608">SUM(AI133:AI134)</f>
        <v>0</v>
      </c>
      <c r="AJ132" s="1248">
        <f t="shared" si="608"/>
        <v>0</v>
      </c>
      <c r="AK132" s="374">
        <f t="shared" si="608"/>
        <v>0</v>
      </c>
      <c r="AL132" s="374">
        <f t="shared" si="608"/>
        <v>0</v>
      </c>
      <c r="AM132" s="375">
        <f t="shared" si="608"/>
        <v>0</v>
      </c>
      <c r="AN132" s="1248">
        <f t="shared" si="608"/>
        <v>0</v>
      </c>
      <c r="AO132" s="374">
        <f t="shared" ref="AO132:AT132" si="609">SUM(AO133:AO134)</f>
        <v>0</v>
      </c>
      <c r="AP132" s="374">
        <f t="shared" si="609"/>
        <v>0</v>
      </c>
      <c r="AQ132" s="375">
        <f t="shared" si="609"/>
        <v>0</v>
      </c>
      <c r="AR132" s="1248">
        <f t="shared" si="609"/>
        <v>0</v>
      </c>
      <c r="AS132" s="374">
        <f t="shared" si="609"/>
        <v>0</v>
      </c>
      <c r="AT132" s="374">
        <f t="shared" si="609"/>
        <v>0</v>
      </c>
      <c r="AU132" s="374">
        <f t="shared" ref="AU132:BG132" si="610">SUM(AU133:AU134)</f>
        <v>0</v>
      </c>
      <c r="AV132" s="1248">
        <f t="shared" si="610"/>
        <v>0</v>
      </c>
      <c r="AW132" s="374">
        <f t="shared" si="610"/>
        <v>0</v>
      </c>
      <c r="AX132" s="374">
        <f t="shared" si="610"/>
        <v>0</v>
      </c>
      <c r="AY132" s="374">
        <f>SUM(AY133:AY134)</f>
        <v>0</v>
      </c>
      <c r="AZ132" s="1248">
        <f>SUM(AZ133:AZ134)</f>
        <v>0</v>
      </c>
      <c r="BA132" s="374">
        <f>SUM(BA133:BA134)</f>
        <v>0</v>
      </c>
      <c r="BB132" s="374">
        <f t="shared" ref="BB132" si="611">SUM(BB133:BB134)</f>
        <v>0</v>
      </c>
      <c r="BC132" s="375">
        <f t="shared" si="610"/>
        <v>0</v>
      </c>
      <c r="BD132" s="1248">
        <f t="shared" si="610"/>
        <v>0</v>
      </c>
      <c r="BE132" s="374">
        <f t="shared" si="610"/>
        <v>0</v>
      </c>
      <c r="BF132" s="374">
        <f t="shared" si="610"/>
        <v>0</v>
      </c>
      <c r="BG132" s="375">
        <f t="shared" si="610"/>
        <v>0</v>
      </c>
      <c r="BH132" s="1248">
        <f>SUM(BH133:BH134)</f>
        <v>0</v>
      </c>
      <c r="BI132" s="374">
        <f>SUM(BI133:BI134)</f>
        <v>0</v>
      </c>
      <c r="BJ132" s="374">
        <f>SUM(BJ133:BJ134)</f>
        <v>0</v>
      </c>
      <c r="BK132" s="375">
        <f>SUM(BK133:BK134)</f>
        <v>0</v>
      </c>
      <c r="BL132" s="20"/>
      <c r="BM132" s="374">
        <f>SUM(D132:G132)</f>
        <v>0</v>
      </c>
      <c r="BN132" s="374">
        <f>SUM(H132:K132)</f>
        <v>0</v>
      </c>
      <c r="BO132" s="374">
        <f>SUM(L132:O132)</f>
        <v>0</v>
      </c>
      <c r="BP132" s="374">
        <f>SUM(P132:S132)</f>
        <v>0</v>
      </c>
      <c r="BQ132" s="374">
        <f>SUM(T132:W132)</f>
        <v>0</v>
      </c>
      <c r="BR132" s="374">
        <f>SUM(X132:AA132)</f>
        <v>0</v>
      </c>
      <c r="BS132" s="374">
        <f>SUM(AB132:AE132)</f>
        <v>0</v>
      </c>
      <c r="BT132" s="374">
        <f>SUM(AF132:AI132)</f>
        <v>0</v>
      </c>
      <c r="BU132" s="374">
        <f>SUM(AJ132:AM132)</f>
        <v>0</v>
      </c>
      <c r="BV132" s="374">
        <f>SUM(AN132:AQ132)</f>
        <v>0</v>
      </c>
      <c r="BW132" s="374">
        <f>SUM(AR132:AU132)</f>
        <v>0</v>
      </c>
      <c r="BX132" s="374">
        <f>SUM(AV132:AY132)</f>
        <v>0</v>
      </c>
      <c r="BY132" s="374">
        <f>SUM(AZ132:BC132)</f>
        <v>0</v>
      </c>
      <c r="BZ132" s="374">
        <f>SUM(BD132:BG132)</f>
        <v>0</v>
      </c>
      <c r="CA132" s="375">
        <f>SUM(BH132:BK132)</f>
        <v>0</v>
      </c>
      <c r="CB132" s="1248"/>
      <c r="CC132" s="374"/>
      <c r="CD132" s="374"/>
      <c r="CE132" s="260"/>
      <c r="CF132" s="34">
        <f>SUM(F132:I132)</f>
        <v>0</v>
      </c>
      <c r="CG132" s="32">
        <f>SUM(J132:M132)</f>
        <v>0</v>
      </c>
      <c r="CH132" s="32">
        <f>SUM(N132:Q132)</f>
        <v>0</v>
      </c>
      <c r="CI132" s="32">
        <f>SUM(R132:U132)</f>
        <v>0</v>
      </c>
      <c r="CJ132" s="32">
        <f>SUM(V132:Y132)</f>
        <v>0</v>
      </c>
      <c r="CK132" s="32">
        <f>SUM(Z132:AC132)</f>
        <v>0</v>
      </c>
      <c r="CL132" s="32">
        <f>SUM(AD132:AG132)</f>
        <v>0</v>
      </c>
      <c r="CM132" s="32">
        <f>SUM(AH132:AK132)</f>
        <v>0</v>
      </c>
      <c r="CN132" s="32">
        <f>SUM(AL132:AO132)</f>
        <v>0</v>
      </c>
      <c r="CO132" s="32">
        <f>SUM(AP132:AS132)</f>
        <v>0</v>
      </c>
      <c r="CP132" s="32">
        <f>SUM(AT132:AW132)</f>
        <v>0</v>
      </c>
      <c r="CQ132" s="32">
        <f>SUM(AX132:BA132)</f>
        <v>0</v>
      </c>
      <c r="CR132" s="32">
        <f>SUM(BB132:BE132)</f>
        <v>0</v>
      </c>
      <c r="CS132" s="33">
        <f>SUM(BF132:BI132)</f>
        <v>0</v>
      </c>
      <c r="CT132" s="32"/>
    </row>
    <row r="133" spans="1:104" ht="14.25" hidden="1" customHeight="1" outlineLevel="1">
      <c r="A133" s="8"/>
      <c r="B133" s="376" t="s">
        <v>587</v>
      </c>
      <c r="C133" s="36"/>
      <c r="D133" s="30">
        <v>0</v>
      </c>
      <c r="E133" s="30">
        <v>0</v>
      </c>
      <c r="F133" s="30">
        <v>0</v>
      </c>
      <c r="G133" s="31">
        <v>0</v>
      </c>
      <c r="H133" s="30">
        <v>0</v>
      </c>
      <c r="I133" s="30">
        <v>0</v>
      </c>
      <c r="J133" s="30">
        <v>0</v>
      </c>
      <c r="K133" s="31">
        <v>0</v>
      </c>
      <c r="L133" s="30">
        <v>0</v>
      </c>
      <c r="M133" s="30">
        <v>0</v>
      </c>
      <c r="N133" s="30">
        <v>0</v>
      </c>
      <c r="O133" s="31">
        <v>0</v>
      </c>
      <c r="P133" s="30">
        <v>0</v>
      </c>
      <c r="Q133" s="30">
        <v>0</v>
      </c>
      <c r="R133" s="30">
        <v>0</v>
      </c>
      <c r="S133" s="31">
        <v>0</v>
      </c>
      <c r="T133" s="30">
        <v>0</v>
      </c>
      <c r="U133" s="30">
        <v>0</v>
      </c>
      <c r="V133" s="30">
        <v>0</v>
      </c>
      <c r="W133" s="31">
        <v>0</v>
      </c>
      <c r="X133" s="30">
        <v>0</v>
      </c>
      <c r="Y133" s="30">
        <v>0</v>
      </c>
      <c r="Z133" s="30">
        <v>0</v>
      </c>
      <c r="AA133" s="31">
        <v>0</v>
      </c>
      <c r="AB133" s="30">
        <v>0</v>
      </c>
      <c r="AC133" s="30">
        <v>0</v>
      </c>
      <c r="AD133" s="30">
        <v>0</v>
      </c>
      <c r="AE133" s="31">
        <v>0</v>
      </c>
      <c r="AF133" s="30">
        <v>0</v>
      </c>
      <c r="AG133" s="30">
        <v>0</v>
      </c>
      <c r="AH133" s="30">
        <v>0</v>
      </c>
      <c r="AI133" s="31">
        <v>0</v>
      </c>
      <c r="AJ133" s="1255">
        <v>0</v>
      </c>
      <c r="AK133" s="30">
        <v>0</v>
      </c>
      <c r="AL133" s="30">
        <v>0</v>
      </c>
      <c r="AM133" s="31">
        <v>0</v>
      </c>
      <c r="AN133" s="1255">
        <v>0</v>
      </c>
      <c r="AO133" s="30">
        <v>0</v>
      </c>
      <c r="AP133" s="30">
        <v>0</v>
      </c>
      <c r="AQ133" s="31">
        <v>0</v>
      </c>
      <c r="AR133" s="1255">
        <v>0</v>
      </c>
      <c r="AS133" s="30">
        <v>0</v>
      </c>
      <c r="AT133" s="30">
        <v>0</v>
      </c>
      <c r="AU133" s="30">
        <v>0</v>
      </c>
      <c r="AV133" s="1255">
        <v>0</v>
      </c>
      <c r="AW133" s="30">
        <v>0</v>
      </c>
      <c r="AX133" s="30">
        <v>0</v>
      </c>
      <c r="AY133" s="30">
        <v>0</v>
      </c>
      <c r="AZ133" s="1255">
        <v>0</v>
      </c>
      <c r="BA133" s="30">
        <v>0</v>
      </c>
      <c r="BB133" s="30">
        <v>0</v>
      </c>
      <c r="BC133" s="31">
        <v>0</v>
      </c>
      <c r="BD133" s="1255">
        <v>0</v>
      </c>
      <c r="BE133" s="30">
        <v>0</v>
      </c>
      <c r="BF133" s="30">
        <v>0</v>
      </c>
      <c r="BG133" s="31">
        <v>0</v>
      </c>
      <c r="BH133" s="1255">
        <v>0</v>
      </c>
      <c r="BI133" s="30">
        <v>0</v>
      </c>
      <c r="BJ133" s="30">
        <v>0</v>
      </c>
      <c r="BK133" s="31">
        <v>0</v>
      </c>
      <c r="BL133" s="20"/>
      <c r="BM133" s="32">
        <f>SUM(D133:G133)</f>
        <v>0</v>
      </c>
      <c r="BN133" s="32">
        <f>SUM(H133:K133)</f>
        <v>0</v>
      </c>
      <c r="BO133" s="32">
        <f>SUM(L133:O133)</f>
        <v>0</v>
      </c>
      <c r="BP133" s="32">
        <f>SUM(P133:S133)</f>
        <v>0</v>
      </c>
      <c r="BQ133" s="32">
        <f>SUM(T133:W133)</f>
        <v>0</v>
      </c>
      <c r="BR133" s="32">
        <f>SUM(X133:AA133)</f>
        <v>0</v>
      </c>
      <c r="BS133" s="32">
        <f>SUM(AB133:AE133)</f>
        <v>0</v>
      </c>
      <c r="BT133" s="32">
        <f>SUM(AF133:AI133)</f>
        <v>0</v>
      </c>
      <c r="BU133" s="32">
        <f>SUM(AJ133:AM133)</f>
        <v>0</v>
      </c>
      <c r="BV133" s="32">
        <f>SUM(AN133:AQ133)</f>
        <v>0</v>
      </c>
      <c r="BW133" s="32">
        <f>SUM(AR133:AU133)</f>
        <v>0</v>
      </c>
      <c r="BX133" s="32">
        <f>SUM(AV133:AY133)</f>
        <v>0</v>
      </c>
      <c r="BY133" s="32">
        <f>SUM(AZ133:BC133)</f>
        <v>0</v>
      </c>
      <c r="BZ133" s="32">
        <f>SUM(BD133:BG133)</f>
        <v>0</v>
      </c>
      <c r="CA133" s="33">
        <f>SUM(BH133:BK133)</f>
        <v>0</v>
      </c>
      <c r="CB133" s="34"/>
      <c r="CC133" s="32"/>
      <c r="CD133" s="32"/>
      <c r="CE133" s="260"/>
      <c r="CF133" s="34">
        <f>SUM(F133:I133)</f>
        <v>0</v>
      </c>
      <c r="CG133" s="32">
        <f>SUM(J133:M133)</f>
        <v>0</v>
      </c>
      <c r="CH133" s="32">
        <f>SUM(N133:Q133)</f>
        <v>0</v>
      </c>
      <c r="CI133" s="32">
        <f>SUM(R133:U133)</f>
        <v>0</v>
      </c>
      <c r="CJ133" s="32">
        <f>SUM(V133:Y133)</f>
        <v>0</v>
      </c>
      <c r="CK133" s="32">
        <f>SUM(Z133:AC133)</f>
        <v>0</v>
      </c>
      <c r="CL133" s="32">
        <f>SUM(AD133:AG133)</f>
        <v>0</v>
      </c>
      <c r="CM133" s="32">
        <f>SUM(AH133:AK133)</f>
        <v>0</v>
      </c>
      <c r="CN133" s="32">
        <f>SUM(AL133:AO133)</f>
        <v>0</v>
      </c>
      <c r="CO133" s="32">
        <f>SUM(AP133:AS133)</f>
        <v>0</v>
      </c>
      <c r="CP133" s="32">
        <f>SUM(AT133:AW133)</f>
        <v>0</v>
      </c>
      <c r="CQ133" s="32">
        <f>SUM(AX133:BA133)</f>
        <v>0</v>
      </c>
      <c r="CR133" s="32">
        <f>SUM(BB133:BE133)</f>
        <v>0</v>
      </c>
      <c r="CS133" s="33">
        <f>SUM(BF133:BI133)</f>
        <v>0</v>
      </c>
      <c r="CT133" s="32"/>
    </row>
    <row r="134" spans="1:104" ht="14.25" hidden="1" customHeight="1" outlineLevel="1">
      <c r="A134" s="8"/>
      <c r="B134" s="376" t="s">
        <v>588</v>
      </c>
      <c r="C134" s="36"/>
      <c r="D134" s="30">
        <v>0</v>
      </c>
      <c r="E134" s="30">
        <v>0</v>
      </c>
      <c r="F134" s="30">
        <v>0</v>
      </c>
      <c r="G134" s="31">
        <v>0</v>
      </c>
      <c r="H134" s="30">
        <v>0</v>
      </c>
      <c r="I134" s="30">
        <v>0</v>
      </c>
      <c r="J134" s="30">
        <v>0</v>
      </c>
      <c r="K134" s="31">
        <v>0</v>
      </c>
      <c r="L134" s="30">
        <v>0</v>
      </c>
      <c r="M134" s="30">
        <v>0</v>
      </c>
      <c r="N134" s="30">
        <v>0</v>
      </c>
      <c r="O134" s="31">
        <v>0</v>
      </c>
      <c r="P134" s="30">
        <v>0</v>
      </c>
      <c r="Q134" s="30">
        <v>0</v>
      </c>
      <c r="R134" s="30">
        <v>0</v>
      </c>
      <c r="S134" s="31">
        <v>0</v>
      </c>
      <c r="T134" s="30">
        <v>0</v>
      </c>
      <c r="U134" s="30">
        <v>0</v>
      </c>
      <c r="V134" s="30">
        <v>0</v>
      </c>
      <c r="W134" s="31">
        <v>0</v>
      </c>
      <c r="X134" s="30">
        <v>0</v>
      </c>
      <c r="Y134" s="30">
        <v>0</v>
      </c>
      <c r="Z134" s="30">
        <v>0</v>
      </c>
      <c r="AA134" s="31">
        <v>0</v>
      </c>
      <c r="AB134" s="30">
        <v>0</v>
      </c>
      <c r="AC134" s="30">
        <v>0</v>
      </c>
      <c r="AD134" s="30">
        <v>0</v>
      </c>
      <c r="AE134" s="31">
        <v>0</v>
      </c>
      <c r="AF134" s="30">
        <v>0</v>
      </c>
      <c r="AG134" s="30">
        <v>0</v>
      </c>
      <c r="AH134" s="30">
        <v>0</v>
      </c>
      <c r="AI134" s="31">
        <v>0</v>
      </c>
      <c r="AJ134" s="1255">
        <v>0</v>
      </c>
      <c r="AK134" s="30">
        <v>0</v>
      </c>
      <c r="AL134" s="30">
        <v>0</v>
      </c>
      <c r="AM134" s="31">
        <v>0</v>
      </c>
      <c r="AN134" s="1255">
        <v>0</v>
      </c>
      <c r="AO134" s="30">
        <v>0</v>
      </c>
      <c r="AP134" s="30">
        <v>0</v>
      </c>
      <c r="AQ134" s="31">
        <v>0</v>
      </c>
      <c r="AR134" s="1255">
        <v>0</v>
      </c>
      <c r="AS134" s="30">
        <v>0</v>
      </c>
      <c r="AT134" s="30">
        <v>0</v>
      </c>
      <c r="AU134" s="30">
        <v>0</v>
      </c>
      <c r="AV134" s="1255">
        <v>0</v>
      </c>
      <c r="AW134" s="30">
        <v>0</v>
      </c>
      <c r="AX134" s="30">
        <v>0</v>
      </c>
      <c r="AY134" s="30">
        <v>0</v>
      </c>
      <c r="AZ134" s="1255">
        <v>0</v>
      </c>
      <c r="BA134" s="30">
        <v>0</v>
      </c>
      <c r="BB134" s="30">
        <v>0</v>
      </c>
      <c r="BC134" s="31">
        <v>0</v>
      </c>
      <c r="BD134" s="1255">
        <v>0</v>
      </c>
      <c r="BE134" s="30">
        <v>0</v>
      </c>
      <c r="BF134" s="30">
        <v>0</v>
      </c>
      <c r="BG134" s="31">
        <v>0</v>
      </c>
      <c r="BH134" s="1255">
        <v>0</v>
      </c>
      <c r="BI134" s="30">
        <v>0</v>
      </c>
      <c r="BJ134" s="30">
        <v>0</v>
      </c>
      <c r="BK134" s="31">
        <v>0</v>
      </c>
      <c r="BL134" s="20"/>
      <c r="BM134" s="32">
        <f>SUM(D134:G134)</f>
        <v>0</v>
      </c>
      <c r="BN134" s="32">
        <f>SUM(H134:K134)</f>
        <v>0</v>
      </c>
      <c r="BO134" s="32">
        <f>SUM(L134:O134)</f>
        <v>0</v>
      </c>
      <c r="BP134" s="32">
        <f>SUM(P134:S134)</f>
        <v>0</v>
      </c>
      <c r="BQ134" s="32">
        <f>SUM(T134:W134)</f>
        <v>0</v>
      </c>
      <c r="BR134" s="32">
        <f>SUM(X134:AA134)</f>
        <v>0</v>
      </c>
      <c r="BS134" s="32">
        <f>SUM(AB134:AE134)</f>
        <v>0</v>
      </c>
      <c r="BT134" s="32">
        <f>SUM(AF134:AI134)</f>
        <v>0</v>
      </c>
      <c r="BU134" s="32">
        <f>SUM(AJ134:AM134)</f>
        <v>0</v>
      </c>
      <c r="BV134" s="32">
        <f>SUM(AN134:AQ134)</f>
        <v>0</v>
      </c>
      <c r="BW134" s="32">
        <f>SUM(AR134:AU134)</f>
        <v>0</v>
      </c>
      <c r="BX134" s="32">
        <f>SUM(AV134:AY134)</f>
        <v>0</v>
      </c>
      <c r="BY134" s="32">
        <f>SUM(AZ134:BC134)</f>
        <v>0</v>
      </c>
      <c r="BZ134" s="32">
        <f>SUM(BD134:BG134)</f>
        <v>0</v>
      </c>
      <c r="CA134" s="33">
        <f>SUM(BH134:BK134)</f>
        <v>0</v>
      </c>
      <c r="CB134" s="34"/>
      <c r="CC134" s="32"/>
      <c r="CD134" s="32"/>
      <c r="CE134" s="260"/>
      <c r="CF134" s="34">
        <f>SUM(F134:I134)</f>
        <v>0</v>
      </c>
      <c r="CG134" s="32">
        <f>SUM(J134:M134)</f>
        <v>0</v>
      </c>
      <c r="CH134" s="32">
        <f>SUM(N134:Q134)</f>
        <v>0</v>
      </c>
      <c r="CI134" s="32">
        <f>SUM(R134:U134)</f>
        <v>0</v>
      </c>
      <c r="CJ134" s="32">
        <f>SUM(V134:Y134)</f>
        <v>0</v>
      </c>
      <c r="CK134" s="32">
        <f>SUM(Z134:AC134)</f>
        <v>0</v>
      </c>
      <c r="CL134" s="32">
        <f>SUM(AD134:AG134)</f>
        <v>0</v>
      </c>
      <c r="CM134" s="32">
        <f>SUM(AH134:AK134)</f>
        <v>0</v>
      </c>
      <c r="CN134" s="32">
        <f>SUM(AL134:AO134)</f>
        <v>0</v>
      </c>
      <c r="CO134" s="32">
        <f>SUM(AP134:AS134)</f>
        <v>0</v>
      </c>
      <c r="CP134" s="32">
        <f>SUM(AT134:AW134)</f>
        <v>0</v>
      </c>
      <c r="CQ134" s="32">
        <f>SUM(AX134:BA134)</f>
        <v>0</v>
      </c>
      <c r="CR134" s="32">
        <f>SUM(BB134:BE134)</f>
        <v>0</v>
      </c>
      <c r="CS134" s="33">
        <f>SUM(BF134:BI134)</f>
        <v>0</v>
      </c>
      <c r="CT134" s="32"/>
    </row>
    <row r="135" spans="1:104" ht="14.25" hidden="1" customHeight="1" outlineLevel="1">
      <c r="A135" s="8"/>
      <c r="B135" s="47" t="s">
        <v>544</v>
      </c>
      <c r="C135" s="48"/>
      <c r="D135" s="50">
        <f>D130-D132</f>
        <v>86.778000000000034</v>
      </c>
      <c r="E135" s="50">
        <f>E130-E132</f>
        <v>97.670999999999964</v>
      </c>
      <c r="F135" s="50">
        <f>F130-F132</f>
        <v>107.11000000000001</v>
      </c>
      <c r="G135" s="51">
        <f>G130-G132</f>
        <v>96.141999999999811</v>
      </c>
      <c r="H135" s="50">
        <f t="shared" ref="H135:W135" si="612">H130-H132</f>
        <v>20.337999999999994</v>
      </c>
      <c r="I135" s="50">
        <f t="shared" si="612"/>
        <v>97.567999999999998</v>
      </c>
      <c r="J135" s="50">
        <f t="shared" si="612"/>
        <v>76.067999999999969</v>
      </c>
      <c r="K135" s="51">
        <f t="shared" si="612"/>
        <v>92.252999999999844</v>
      </c>
      <c r="L135" s="50">
        <f t="shared" si="612"/>
        <v>83.626000000000033</v>
      </c>
      <c r="M135" s="50">
        <f t="shared" si="612"/>
        <v>107.01999999999995</v>
      </c>
      <c r="N135" s="50">
        <f t="shared" si="612"/>
        <v>61.032000000000018</v>
      </c>
      <c r="O135" s="51">
        <f t="shared" si="612"/>
        <v>66.04699999999994</v>
      </c>
      <c r="P135" s="50">
        <f t="shared" si="612"/>
        <v>67.567000000000036</v>
      </c>
      <c r="Q135" s="50">
        <f t="shared" si="612"/>
        <v>-38.783999999999942</v>
      </c>
      <c r="R135" s="50">
        <f t="shared" si="612"/>
        <v>-26.426000000000009</v>
      </c>
      <c r="S135" s="51">
        <f t="shared" si="612"/>
        <v>8.0980000000002157</v>
      </c>
      <c r="T135" s="50">
        <f t="shared" si="612"/>
        <v>41.951999999999984</v>
      </c>
      <c r="U135" s="50">
        <f t="shared" si="612"/>
        <v>58.634999999999984</v>
      </c>
      <c r="V135" s="50">
        <f t="shared" si="612"/>
        <v>-33.903000000000027</v>
      </c>
      <c r="W135" s="51">
        <f t="shared" si="612"/>
        <v>58.454999999999956</v>
      </c>
      <c r="X135" s="50">
        <f t="shared" ref="X135:AH135" si="613">X130-X132</f>
        <v>117.55000000000004</v>
      </c>
      <c r="Y135" s="50">
        <f t="shared" si="613"/>
        <v>109.59000000000006</v>
      </c>
      <c r="Z135" s="50">
        <f t="shared" si="613"/>
        <v>136.27599999999998</v>
      </c>
      <c r="AA135" s="51">
        <f t="shared" si="613"/>
        <v>125.59299999999971</v>
      </c>
      <c r="AB135" s="50">
        <f t="shared" si="613"/>
        <v>133.44599999999997</v>
      </c>
      <c r="AC135" s="50">
        <f t="shared" si="613"/>
        <v>88.130000000000038</v>
      </c>
      <c r="AD135" s="50">
        <f t="shared" si="613"/>
        <v>54.516999999999967</v>
      </c>
      <c r="AE135" s="51">
        <f t="shared" si="613"/>
        <v>110.63400000000001</v>
      </c>
      <c r="AF135" s="50">
        <f t="shared" si="613"/>
        <v>127.88800000000003</v>
      </c>
      <c r="AG135" s="50">
        <f t="shared" si="613"/>
        <v>76.622</v>
      </c>
      <c r="AH135" s="50">
        <f t="shared" si="613"/>
        <v>131.38799999999998</v>
      </c>
      <c r="AI135" s="51">
        <f t="shared" ref="AI135:AN135" si="614">AI130-AI132</f>
        <v>119.014</v>
      </c>
      <c r="AJ135" s="49">
        <f t="shared" si="614"/>
        <v>103.12000000000005</v>
      </c>
      <c r="AK135" s="50">
        <f t="shared" si="614"/>
        <v>44.353000000000009</v>
      </c>
      <c r="AL135" s="50">
        <f t="shared" si="614"/>
        <v>122.54400000000001</v>
      </c>
      <c r="AM135" s="51">
        <f t="shared" si="614"/>
        <v>84.792999999999978</v>
      </c>
      <c r="AN135" s="49">
        <f t="shared" si="614"/>
        <v>99.980000000000018</v>
      </c>
      <c r="AO135" s="50">
        <f t="shared" ref="AO135:AT135" si="615">AO130-AO132</f>
        <v>-72.03400000000002</v>
      </c>
      <c r="AP135" s="50">
        <f t="shared" si="615"/>
        <v>79.433000000000007</v>
      </c>
      <c r="AQ135" s="51">
        <f t="shared" si="615"/>
        <v>98.659000000000063</v>
      </c>
      <c r="AR135" s="49">
        <f t="shared" si="615"/>
        <v>-72.142999999999986</v>
      </c>
      <c r="AS135" s="50">
        <f t="shared" si="615"/>
        <v>67.46899999999998</v>
      </c>
      <c r="AT135" s="50">
        <f t="shared" si="615"/>
        <v>139.80999999999995</v>
      </c>
      <c r="AU135" s="50">
        <f t="shared" ref="AU135:BG135" si="616">AU130-AU132</f>
        <v>92.338999999999999</v>
      </c>
      <c r="AV135" s="49">
        <f t="shared" si="616"/>
        <v>137.61399999999995</v>
      </c>
      <c r="AW135" s="50">
        <f t="shared" si="616"/>
        <v>130.47700000000003</v>
      </c>
      <c r="AX135" s="50">
        <f t="shared" si="616"/>
        <v>140.21300000000002</v>
      </c>
      <c r="AY135" s="50">
        <f>AY130-AY132</f>
        <v>163.30900000000003</v>
      </c>
      <c r="AZ135" s="49">
        <f>AZ130-AZ132</f>
        <v>154.53300000000002</v>
      </c>
      <c r="BA135" s="50">
        <f>BA130-BA132</f>
        <v>-75.015000000000072</v>
      </c>
      <c r="BB135" s="50">
        <f t="shared" ref="BB135" si="617">BB130-BB132</f>
        <v>193.62700000000004</v>
      </c>
      <c r="BC135" s="51">
        <f t="shared" si="616"/>
        <v>186.22292322436002</v>
      </c>
      <c r="BD135" s="49">
        <f t="shared" si="616"/>
        <v>186.20939697383241</v>
      </c>
      <c r="BE135" s="50">
        <f t="shared" si="616"/>
        <v>187.3203374141163</v>
      </c>
      <c r="BF135" s="50">
        <f t="shared" si="616"/>
        <v>204.92941612000061</v>
      </c>
      <c r="BG135" s="51">
        <f t="shared" si="616"/>
        <v>210.33671092537398</v>
      </c>
      <c r="BH135" s="49">
        <f>BH130-BH132</f>
        <v>204.57079040010345</v>
      </c>
      <c r="BI135" s="50">
        <f>BI130-BI132</f>
        <v>204.32679207252673</v>
      </c>
      <c r="BJ135" s="50">
        <f>BJ130-BJ132</f>
        <v>218.21492118235179</v>
      </c>
      <c r="BK135" s="51">
        <f>BK130-BK132</f>
        <v>228.41002664470759</v>
      </c>
      <c r="BL135" s="20"/>
      <c r="BM135" s="50">
        <f t="shared" ref="BM135:BS135" si="618">BM130-BM132</f>
        <v>386.05799999999994</v>
      </c>
      <c r="BN135" s="50">
        <f t="shared" si="618"/>
        <v>286.22699999999963</v>
      </c>
      <c r="BO135" s="50">
        <f t="shared" si="618"/>
        <v>317.72499999999974</v>
      </c>
      <c r="BP135" s="50">
        <f t="shared" si="618"/>
        <v>10.455000000000382</v>
      </c>
      <c r="BQ135" s="50">
        <f t="shared" si="618"/>
        <v>125.13900000000004</v>
      </c>
      <c r="BR135" s="50">
        <f t="shared" si="618"/>
        <v>489.00899999999933</v>
      </c>
      <c r="BS135" s="50">
        <f t="shared" si="618"/>
        <v>386.72699999999986</v>
      </c>
      <c r="BT135" s="50">
        <f t="shared" ref="BT135:CA135" si="619">BT130-BT132</f>
        <v>454.91200000000003</v>
      </c>
      <c r="BU135" s="50">
        <f t="shared" si="619"/>
        <v>354.81000000000006</v>
      </c>
      <c r="BV135" s="50">
        <f t="shared" si="619"/>
        <v>206.0379999999995</v>
      </c>
      <c r="BW135" s="50">
        <f t="shared" si="619"/>
        <v>227.47500000000014</v>
      </c>
      <c r="BX135" s="50">
        <f t="shared" si="619"/>
        <v>571.61300000000017</v>
      </c>
      <c r="BY135" s="50">
        <f t="shared" si="619"/>
        <v>459.36792322436042</v>
      </c>
      <c r="BZ135" s="50">
        <f t="shared" si="619"/>
        <v>788.79586143332313</v>
      </c>
      <c r="CA135" s="51">
        <f t="shared" si="619"/>
        <v>855.52253029968915</v>
      </c>
      <c r="CB135" s="49"/>
      <c r="CC135" s="50"/>
      <c r="CD135" s="50"/>
      <c r="CE135" s="260"/>
      <c r="CF135" s="49">
        <f t="shared" ref="CF135:CL135" si="620">CF130-CF132</f>
        <v>321.1579999999999</v>
      </c>
      <c r="CG135" s="50">
        <f t="shared" si="620"/>
        <v>358.96699999999998</v>
      </c>
      <c r="CH135" s="50">
        <f t="shared" si="620"/>
        <v>155.86199999999977</v>
      </c>
      <c r="CI135" s="50">
        <f t="shared" si="620"/>
        <v>82.258999999999872</v>
      </c>
      <c r="CJ135" s="50">
        <f t="shared" si="620"/>
        <v>251.69200000000043</v>
      </c>
      <c r="CK135" s="50">
        <f t="shared" si="620"/>
        <v>483.44499999999937</v>
      </c>
      <c r="CL135" s="50">
        <f t="shared" si="620"/>
        <v>337.85199999999992</v>
      </c>
      <c r="CM135" s="50">
        <f t="shared" ref="CM135:CR135" si="621">CM130-CM132</f>
        <v>395.27199999999993</v>
      </c>
      <c r="CN135" s="50">
        <f t="shared" si="621"/>
        <v>235.28300000000007</v>
      </c>
      <c r="CO135" s="50">
        <f t="shared" si="621"/>
        <v>173.41800000000018</v>
      </c>
      <c r="CP135" s="50">
        <f t="shared" si="621"/>
        <v>500.2399999999999</v>
      </c>
      <c r="CQ135" s="50">
        <f t="shared" si="621"/>
        <v>383.03999999999974</v>
      </c>
      <c r="CR135" s="50">
        <f t="shared" si="621"/>
        <v>753.37965761230851</v>
      </c>
      <c r="CS135" s="51">
        <f>CS130-CS132</f>
        <v>824.16370951800468</v>
      </c>
      <c r="CT135" s="50"/>
    </row>
    <row r="136" spans="1:104" ht="14.25" customHeight="1" collapsed="1">
      <c r="A136" s="8"/>
      <c r="B136" s="35"/>
      <c r="C136" s="36"/>
      <c r="D136" s="344"/>
      <c r="E136" s="345"/>
      <c r="F136" s="345"/>
      <c r="G136" s="346"/>
      <c r="H136" s="344"/>
      <c r="I136" s="345"/>
      <c r="J136" s="345"/>
      <c r="K136" s="346"/>
      <c r="L136" s="344"/>
      <c r="M136" s="345"/>
      <c r="N136" s="345"/>
      <c r="O136" s="346"/>
      <c r="P136" s="344"/>
      <c r="Q136" s="345"/>
      <c r="R136" s="345"/>
      <c r="S136" s="346"/>
      <c r="T136" s="344"/>
      <c r="U136" s="345"/>
      <c r="V136" s="345"/>
      <c r="W136" s="346"/>
      <c r="X136" s="344"/>
      <c r="Y136" s="345"/>
      <c r="Z136" s="345"/>
      <c r="AA136" s="346"/>
      <c r="AB136" s="344"/>
      <c r="AC136" s="345"/>
      <c r="AD136" s="345"/>
      <c r="AE136" s="70"/>
      <c r="AF136" s="40"/>
      <c r="AG136" s="40"/>
      <c r="AH136" s="40"/>
      <c r="AI136" s="70"/>
      <c r="AJ136" s="1247"/>
      <c r="AK136" s="40"/>
      <c r="AL136" s="40"/>
      <c r="AM136" s="70"/>
      <c r="AN136" s="1247"/>
      <c r="AO136" s="40"/>
      <c r="AP136" s="40"/>
      <c r="AQ136" s="70"/>
      <c r="AR136" s="1247"/>
      <c r="AS136" s="40"/>
      <c r="AT136" s="40"/>
      <c r="AU136" s="40"/>
      <c r="AV136" s="1247"/>
      <c r="AW136" s="40"/>
      <c r="AX136" s="40"/>
      <c r="AY136" s="40"/>
      <c r="AZ136" s="1247"/>
      <c r="BA136" s="40"/>
      <c r="BB136" s="40"/>
      <c r="BC136" s="70"/>
      <c r="BD136" s="1247"/>
      <c r="BE136" s="40"/>
      <c r="BF136" s="40"/>
      <c r="BG136" s="70"/>
      <c r="BH136" s="1247"/>
      <c r="BI136" s="40"/>
      <c r="BJ136" s="40"/>
      <c r="BK136" s="70"/>
      <c r="BL136" s="2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1"/>
      <c r="CB136" s="1247"/>
      <c r="CC136" s="40"/>
      <c r="CD136" s="40"/>
      <c r="CE136" s="260"/>
      <c r="CF136" s="39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Q136" s="37"/>
      <c r="CR136" s="37"/>
      <c r="CS136" s="38"/>
      <c r="CT136" s="37"/>
    </row>
    <row r="137" spans="1:104" ht="14.25" customHeight="1">
      <c r="A137" s="8"/>
      <c r="B137" s="369" t="s">
        <v>361</v>
      </c>
      <c r="C137" s="492"/>
      <c r="D137" s="596">
        <f>D135/D147</f>
        <v>0.25030069657768367</v>
      </c>
      <c r="E137" s="596">
        <f>E135/E147</f>
        <v>0.28833703825068852</v>
      </c>
      <c r="F137" s="596">
        <f>F135/F147</f>
        <v>0.31866595263596337</v>
      </c>
      <c r="G137" s="597">
        <f>G135/G147</f>
        <v>0.28391711233894462</v>
      </c>
      <c r="H137" s="596">
        <f t="shared" ref="H137:W137" si="622">H135/H147</f>
        <v>6.1966423935894688E-2</v>
      </c>
      <c r="I137" s="596">
        <f t="shared" si="622"/>
        <v>0.29600145622231661</v>
      </c>
      <c r="J137" s="596">
        <f t="shared" si="622"/>
        <v>0.2302544155706566</v>
      </c>
      <c r="K137" s="597">
        <f t="shared" si="622"/>
        <v>0.2796536954010963</v>
      </c>
      <c r="L137" s="596">
        <f t="shared" si="622"/>
        <v>0.25428052774171195</v>
      </c>
      <c r="M137" s="596">
        <f t="shared" si="622"/>
        <v>0.32799646933346399</v>
      </c>
      <c r="N137" s="596">
        <f t="shared" si="622"/>
        <v>0.189258248573555</v>
      </c>
      <c r="O137" s="597">
        <f t="shared" si="622"/>
        <v>0.20394759188866191</v>
      </c>
      <c r="P137" s="596">
        <f t="shared" si="622"/>
        <v>0.20865926532124834</v>
      </c>
      <c r="Q137" s="596">
        <f t="shared" si="622"/>
        <v>-0.12402228205603752</v>
      </c>
      <c r="R137" s="596">
        <f t="shared" si="622"/>
        <v>-8.6809125700113357E-2</v>
      </c>
      <c r="S137" s="597">
        <f t="shared" si="622"/>
        <v>2.6254530835619714E-2</v>
      </c>
      <c r="T137" s="596">
        <f t="shared" si="622"/>
        <v>0.1343917581255886</v>
      </c>
      <c r="U137" s="596">
        <f t="shared" si="622"/>
        <v>0.18909026411686927</v>
      </c>
      <c r="V137" s="596">
        <f t="shared" si="622"/>
        <v>-0.11133332019782091</v>
      </c>
      <c r="W137" s="597">
        <f t="shared" si="622"/>
        <v>0.19052756464997411</v>
      </c>
      <c r="X137" s="596">
        <f t="shared" ref="X137:AH137" si="623">X135/X147</f>
        <v>0.38964095356792461</v>
      </c>
      <c r="Y137" s="596">
        <f t="shared" si="623"/>
        <v>0.36137307920596207</v>
      </c>
      <c r="Z137" s="596">
        <f t="shared" si="623"/>
        <v>0.44751818465428628</v>
      </c>
      <c r="AA137" s="597">
        <f t="shared" si="623"/>
        <v>0.4132109862343053</v>
      </c>
      <c r="AB137" s="596">
        <f t="shared" si="623"/>
        <v>0.44323028072646098</v>
      </c>
      <c r="AC137" s="596">
        <f t="shared" si="623"/>
        <v>0.29446356376758337</v>
      </c>
      <c r="AD137" s="596">
        <f t="shared" si="623"/>
        <v>0.18158956235573118</v>
      </c>
      <c r="AE137" s="597">
        <f t="shared" si="623"/>
        <v>0.36903463389738922</v>
      </c>
      <c r="AF137" s="596">
        <f t="shared" si="623"/>
        <v>0.42803113976076218</v>
      </c>
      <c r="AG137" s="596">
        <f t="shared" si="623"/>
        <v>0.25646758758731952</v>
      </c>
      <c r="AH137" s="596">
        <f t="shared" si="623"/>
        <v>0.43784032364487036</v>
      </c>
      <c r="AI137" s="597">
        <f t="shared" ref="AI137:AN137" si="624">AI135/AI147</f>
        <v>0.40105002089258518</v>
      </c>
      <c r="AJ137" s="614">
        <f t="shared" si="624"/>
        <v>0.35526769103562339</v>
      </c>
      <c r="AK137" s="596">
        <f t="shared" si="624"/>
        <v>0.15370193890457959</v>
      </c>
      <c r="AL137" s="596">
        <f t="shared" si="624"/>
        <v>0.42465217014640916</v>
      </c>
      <c r="AM137" s="597">
        <f t="shared" si="624"/>
        <v>0.29290779896852009</v>
      </c>
      <c r="AN137" s="614">
        <f t="shared" si="624"/>
        <v>0.34543758421725468</v>
      </c>
      <c r="AO137" s="596">
        <f t="shared" ref="AO137:AT137" si="625">AO135/AO147</f>
        <v>-0.25454429807203038</v>
      </c>
      <c r="AP137" s="596">
        <f t="shared" si="625"/>
        <v>0.27500692424871909</v>
      </c>
      <c r="AQ137" s="597">
        <f t="shared" si="625"/>
        <v>0.34097239982581429</v>
      </c>
      <c r="AR137" s="614">
        <f t="shared" si="625"/>
        <v>-0.25349979619660695</v>
      </c>
      <c r="AS137" s="596">
        <f t="shared" si="625"/>
        <v>0.23223450284144684</v>
      </c>
      <c r="AT137" s="596">
        <f t="shared" si="625"/>
        <v>0.4824644647891696</v>
      </c>
      <c r="AU137" s="596">
        <f t="shared" ref="AU137:BG137" si="626">AU135/AU147</f>
        <v>0.32001705112565154</v>
      </c>
      <c r="AV137" s="614">
        <f t="shared" si="626"/>
        <v>0.47687594863016053</v>
      </c>
      <c r="AW137" s="596">
        <f t="shared" si="626"/>
        <v>0.45287845445773445</v>
      </c>
      <c r="AX137" s="596">
        <f t="shared" si="626"/>
        <v>0.48705024975510808</v>
      </c>
      <c r="AY137" s="596">
        <f>AY135/AY147</f>
        <v>0.56804315916158254</v>
      </c>
      <c r="AZ137" s="614">
        <f>AZ135/AZ147</f>
        <v>0.53950083264382742</v>
      </c>
      <c r="BA137" s="596">
        <f>BA135/BA147</f>
        <v>-0.26642633896860374</v>
      </c>
      <c r="BB137" s="596">
        <f t="shared" ref="BB137" si="627">BB135/BB147</f>
        <v>0.67729929586086535</v>
      </c>
      <c r="BC137" s="597">
        <f t="shared" si="626"/>
        <v>0.65208442867123528</v>
      </c>
      <c r="BD137" s="614">
        <f t="shared" si="626"/>
        <v>0.65272274344885373</v>
      </c>
      <c r="BE137" s="596">
        <f t="shared" si="626"/>
        <v>0.65730816234807354</v>
      </c>
      <c r="BF137" s="596">
        <f t="shared" si="626"/>
        <v>0.71985631678967221</v>
      </c>
      <c r="BG137" s="597">
        <f t="shared" si="626"/>
        <v>0.73962997150081766</v>
      </c>
      <c r="BH137" s="614">
        <f>BH135/BH147</f>
        <v>0.72011429979514119</v>
      </c>
      <c r="BI137" s="596">
        <f>BI135/BI147</f>
        <v>0.72001575888634828</v>
      </c>
      <c r="BJ137" s="596">
        <f>BJ135/BJ147</f>
        <v>0.76976912449988488</v>
      </c>
      <c r="BK137" s="597">
        <f>BK135/BK147</f>
        <v>0.80658669418042772</v>
      </c>
      <c r="BL137" s="497"/>
      <c r="BM137" s="596">
        <f t="shared" ref="BM137:BS137" si="628">BM135/BM147</f>
        <v>1.1400685710235743</v>
      </c>
      <c r="BN137" s="596">
        <f t="shared" si="628"/>
        <v>0.86766217113340083</v>
      </c>
      <c r="BO137" s="596">
        <f t="shared" si="628"/>
        <v>0.97507718370027474</v>
      </c>
      <c r="BP137" s="596">
        <f t="shared" si="628"/>
        <v>3.3565665743117139E-2</v>
      </c>
      <c r="BQ137" s="596">
        <f t="shared" si="628"/>
        <v>0.40365335982658967</v>
      </c>
      <c r="BR137" s="596">
        <f t="shared" si="628"/>
        <v>1.6118855417516798</v>
      </c>
      <c r="BS137" s="596">
        <f t="shared" si="628"/>
        <v>1.288681917392825</v>
      </c>
      <c r="BT137" s="596">
        <f t="shared" ref="BT137:CA137" si="629">BT135/BT147</f>
        <v>1.5235097067178847</v>
      </c>
      <c r="BU137" s="596">
        <f t="shared" si="629"/>
        <v>1.2267749572775906</v>
      </c>
      <c r="BV137" s="596">
        <f t="shared" si="629"/>
        <v>0.71627522144813704</v>
      </c>
      <c r="BW137" s="596">
        <f t="shared" si="629"/>
        <v>0.78886041358168157</v>
      </c>
      <c r="BX137" s="596">
        <f t="shared" si="629"/>
        <v>1.984670884054248</v>
      </c>
      <c r="BY137" s="596">
        <f t="shared" si="629"/>
        <v>1.61258254390675</v>
      </c>
      <c r="BZ137" s="596">
        <f t="shared" si="629"/>
        <v>2.7693469511160065</v>
      </c>
      <c r="CA137" s="597">
        <f t="shared" si="629"/>
        <v>3.0163223706142466</v>
      </c>
      <c r="CB137" s="614"/>
      <c r="CC137" s="596"/>
      <c r="CD137" s="596"/>
      <c r="CE137" s="941"/>
      <c r="CF137" s="614">
        <f t="shared" ref="CF137:CL137" si="630">CF135/CF147</f>
        <v>0.96402084082195583</v>
      </c>
      <c r="CG137" s="596">
        <f t="shared" si="630"/>
        <v>1.091578639278397</v>
      </c>
      <c r="CH137" s="596">
        <f t="shared" si="630"/>
        <v>0.48598439731349347</v>
      </c>
      <c r="CI137" s="596">
        <f t="shared" si="630"/>
        <v>0.2664023984927642</v>
      </c>
      <c r="CJ137" s="596">
        <f t="shared" si="630"/>
        <v>0.82774905613218241</v>
      </c>
      <c r="CK137" s="596">
        <f t="shared" si="630"/>
        <v>1.5997187351353566</v>
      </c>
      <c r="CL137" s="596">
        <f t="shared" si="630"/>
        <v>1.1284725962481887</v>
      </c>
      <c r="CM137" s="596">
        <f t="shared" ref="CM137:CR137" si="631">CM135/CM147</f>
        <v>1.3448479708896171</v>
      </c>
      <c r="CN137" s="596">
        <f t="shared" si="631"/>
        <v>0.81803136766786877</v>
      </c>
      <c r="CO137" s="596">
        <f t="shared" si="631"/>
        <v>0.60146970202766925</v>
      </c>
      <c r="CP137" s="596">
        <f t="shared" si="631"/>
        <v>1.7324224009031974</v>
      </c>
      <c r="CQ137" s="596">
        <f t="shared" si="631"/>
        <v>1.3400351416379421</v>
      </c>
      <c r="CR137" s="596">
        <f t="shared" si="631"/>
        <v>2.6394458121658424</v>
      </c>
      <c r="CS137" s="597">
        <f>CS135/CS147</f>
        <v>2.899626393736098</v>
      </c>
      <c r="CT137" s="596"/>
    </row>
    <row r="138" spans="1:104" s="302" customFormat="1" ht="14.25" customHeight="1">
      <c r="A138" s="308"/>
      <c r="B138" s="369" t="s">
        <v>362</v>
      </c>
      <c r="C138" s="492"/>
      <c r="D138" s="596">
        <f>(D117)/D148</f>
        <v>0.4281688515842455</v>
      </c>
      <c r="E138" s="596">
        <f>(E117)/E148</f>
        <v>0.46714136842819992</v>
      </c>
      <c r="F138" s="596">
        <f>(F117)/F148</f>
        <v>0.49812269427585393</v>
      </c>
      <c r="G138" s="597">
        <f>(G117)/G148</f>
        <v>0.47756676224872741</v>
      </c>
      <c r="H138" s="596">
        <f t="shared" ref="H138:W138" si="632">(H117)/H148</f>
        <v>0.64051369549983239</v>
      </c>
      <c r="I138" s="596">
        <f t="shared" si="632"/>
        <v>0.48462168557733126</v>
      </c>
      <c r="J138" s="596">
        <f t="shared" si="632"/>
        <v>0.364063989829431</v>
      </c>
      <c r="K138" s="597">
        <f t="shared" si="632"/>
        <v>0.64157898406404668</v>
      </c>
      <c r="L138" s="596">
        <f t="shared" si="632"/>
        <v>0.49818318925542687</v>
      </c>
      <c r="M138" s="596">
        <f t="shared" si="632"/>
        <v>0.502264898064263</v>
      </c>
      <c r="N138" s="596">
        <f t="shared" si="632"/>
        <v>0.42940337385264205</v>
      </c>
      <c r="O138" s="597">
        <f t="shared" si="632"/>
        <v>0.44201048038710083</v>
      </c>
      <c r="P138" s="596">
        <f t="shared" si="632"/>
        <v>0.386838163766348</v>
      </c>
      <c r="Q138" s="596">
        <f t="shared" si="632"/>
        <v>0.54685371484852174</v>
      </c>
      <c r="R138" s="596">
        <f t="shared" si="632"/>
        <v>0.16321140548264707</v>
      </c>
      <c r="S138" s="597">
        <f t="shared" si="632"/>
        <v>0.24372491424643919</v>
      </c>
      <c r="T138" s="596">
        <f t="shared" si="632"/>
        <v>0.258907234064364</v>
      </c>
      <c r="U138" s="596">
        <f t="shared" si="632"/>
        <v>0.33227772582153542</v>
      </c>
      <c r="V138" s="596">
        <f t="shared" si="632"/>
        <v>0.32421270338832436</v>
      </c>
      <c r="W138" s="597">
        <f t="shared" si="632"/>
        <v>0.41441823171645903</v>
      </c>
      <c r="X138" s="596">
        <f>(X117)/X148</f>
        <v>0.51759433587017056</v>
      </c>
      <c r="Y138" s="596">
        <f>(Y117)/Y148</f>
        <v>0.51739761260964212</v>
      </c>
      <c r="Z138" s="596">
        <f>(Z117)/Z148</f>
        <v>0.46946455839613804</v>
      </c>
      <c r="AA138" s="597">
        <f>(AA117)/AA148</f>
        <v>0.52188232042744631</v>
      </c>
      <c r="AB138" s="596">
        <f t="shared" ref="AB138:AG138" si="633">(AB117)/AB148</f>
        <v>0.53355298994273859</v>
      </c>
      <c r="AC138" s="596">
        <f t="shared" si="633"/>
        <v>0.41480503859133294</v>
      </c>
      <c r="AD138" s="596">
        <f t="shared" si="633"/>
        <v>0.29897308982382981</v>
      </c>
      <c r="AE138" s="597">
        <f t="shared" si="633"/>
        <v>0.51897475925054948</v>
      </c>
      <c r="AF138" s="596">
        <f>(AF117)/AF148</f>
        <v>0.53641015857715668</v>
      </c>
      <c r="AG138" s="596">
        <f t="shared" si="633"/>
        <v>0.49421440023564145</v>
      </c>
      <c r="AH138" s="596">
        <f t="shared" ref="AH138:AN138" si="634">(AH117)/AH148</f>
        <v>0.51386620990262655</v>
      </c>
      <c r="AI138" s="597">
        <f t="shared" si="634"/>
        <v>0.49983825095364554</v>
      </c>
      <c r="AJ138" s="614">
        <f t="shared" si="634"/>
        <v>0.45341116585130575</v>
      </c>
      <c r="AK138" s="596">
        <f t="shared" si="634"/>
        <v>0.43789094311506943</v>
      </c>
      <c r="AL138" s="596">
        <f t="shared" si="634"/>
        <v>0.50312743654162684</v>
      </c>
      <c r="AM138" s="597">
        <f t="shared" si="634"/>
        <v>0.50329721196461319</v>
      </c>
      <c r="AN138" s="614">
        <f t="shared" si="634"/>
        <v>0.43813069770098667</v>
      </c>
      <c r="AO138" s="596">
        <f t="shared" ref="AO138:AT138" si="635">(AO117)/AO148</f>
        <v>0.39747872894599751</v>
      </c>
      <c r="AP138" s="596">
        <f t="shared" si="635"/>
        <v>0.45988436504639257</v>
      </c>
      <c r="AQ138" s="597">
        <f t="shared" si="635"/>
        <v>0.50417493243383371</v>
      </c>
      <c r="AR138" s="614">
        <f t="shared" si="635"/>
        <v>0.48521376130593263</v>
      </c>
      <c r="AS138" s="596">
        <f t="shared" si="635"/>
        <v>0.31949497626677587</v>
      </c>
      <c r="AT138" s="596">
        <f t="shared" si="635"/>
        <v>0.40602105713585646</v>
      </c>
      <c r="AU138" s="596">
        <f t="shared" ref="AU138:BG138" si="636">(AU117)/AU148</f>
        <v>0.48682696573139611</v>
      </c>
      <c r="AV138" s="614">
        <f t="shared" si="636"/>
        <v>0.47010500282107448</v>
      </c>
      <c r="AW138" s="596">
        <f t="shared" si="636"/>
        <v>0.46057700985054129</v>
      </c>
      <c r="AX138" s="596">
        <f t="shared" si="636"/>
        <v>0.55505728041350288</v>
      </c>
      <c r="AY138" s="596">
        <f>(AY117)/AY148</f>
        <v>0.62585653961473986</v>
      </c>
      <c r="AZ138" s="614">
        <f>(AZ117)/AZ148</f>
        <v>0.59542237909208673</v>
      </c>
      <c r="BA138" s="596">
        <f>(BA117)/BA148</f>
        <v>0.66084315953970718</v>
      </c>
      <c r="BB138" s="596">
        <f t="shared" ref="BB138" si="637">(BB117)/BB148</f>
        <v>0.73175901861263959</v>
      </c>
      <c r="BC138" s="597">
        <f t="shared" si="636"/>
        <v>0.68904767202425954</v>
      </c>
      <c r="BD138" s="614">
        <f t="shared" si="636"/>
        <v>0.65579340009966469</v>
      </c>
      <c r="BE138" s="596">
        <f t="shared" si="636"/>
        <v>0.66038205148454221</v>
      </c>
      <c r="BF138" s="596">
        <f t="shared" si="636"/>
        <v>0.7229334452246573</v>
      </c>
      <c r="BG138" s="597">
        <f t="shared" si="636"/>
        <v>0.74271034606873898</v>
      </c>
      <c r="BH138" s="614">
        <f>(BH117)/BH148</f>
        <v>0.72319792735207045</v>
      </c>
      <c r="BI138" s="596">
        <f>(BI117)/BI148</f>
        <v>0.72310264631010113</v>
      </c>
      <c r="BJ138" s="596">
        <f>(BJ117)/BJ148</f>
        <v>0.77285927869011284</v>
      </c>
      <c r="BK138" s="597">
        <f>(BK117)/BK148</f>
        <v>0.80968012205871054</v>
      </c>
      <c r="BL138" s="497"/>
      <c r="BM138" s="596">
        <f t="shared" ref="BM138:BS138" si="638">(BM117)/BM148</f>
        <v>1.8746681507828737</v>
      </c>
      <c r="BN138" s="596">
        <f t="shared" si="638"/>
        <v>2.1300226541980063</v>
      </c>
      <c r="BO138" s="596">
        <f t="shared" si="638"/>
        <v>1.8727479484894121</v>
      </c>
      <c r="BP138" s="596">
        <f t="shared" si="638"/>
        <v>1.2692081735887122</v>
      </c>
      <c r="BQ138" s="596">
        <f t="shared" si="638"/>
        <v>1.1162346800936294</v>
      </c>
      <c r="BR138" s="596">
        <f t="shared" si="638"/>
        <v>1.9542956320509097</v>
      </c>
      <c r="BS138" s="596">
        <f t="shared" si="638"/>
        <v>1.7665405954780988</v>
      </c>
      <c r="BT138" s="596">
        <f t="shared" ref="BT138:CA138" si="639">(BT117)/BT148</f>
        <v>2.0444187314077027</v>
      </c>
      <c r="BU138" s="596">
        <f t="shared" si="639"/>
        <v>1.8976965771073575</v>
      </c>
      <c r="BV138" s="596">
        <f t="shared" si="639"/>
        <v>1.8190735720351623</v>
      </c>
      <c r="BW138" s="596">
        <f t="shared" si="639"/>
        <v>1.7056640279163384</v>
      </c>
      <c r="BX138" s="596">
        <f t="shared" si="639"/>
        <v>2.1196012770104282</v>
      </c>
      <c r="BY138" s="596">
        <f t="shared" si="639"/>
        <v>2.6770350604080018</v>
      </c>
      <c r="BZ138" s="596">
        <f t="shared" si="639"/>
        <v>2.7816489828471034</v>
      </c>
      <c r="CA138" s="597">
        <f t="shared" si="639"/>
        <v>3.028676450386909</v>
      </c>
      <c r="CB138" s="614"/>
      <c r="CC138" s="596"/>
      <c r="CD138" s="596"/>
      <c r="CE138" s="941"/>
      <c r="CF138" s="614">
        <f t="shared" ref="CF138:CL138" si="640">(CF117)/CF148</f>
        <v>2.0985203856887815</v>
      </c>
      <c r="CG138" s="596">
        <f t="shared" si="640"/>
        <v>2.0058917215610403</v>
      </c>
      <c r="CH138" s="596">
        <f t="shared" si="640"/>
        <v>1.8018889103687386</v>
      </c>
      <c r="CI138" s="596">
        <f t="shared" si="640"/>
        <v>0.8246559615386172</v>
      </c>
      <c r="CJ138" s="596">
        <f t="shared" si="640"/>
        <v>1.6514818633162991</v>
      </c>
      <c r="CK138" s="596">
        <f t="shared" si="640"/>
        <v>1.8769400037226207</v>
      </c>
      <c r="CL138" s="596">
        <f t="shared" si="640"/>
        <v>1.9621378558813583</v>
      </c>
      <c r="CM138" s="596">
        <f t="shared" ref="CM138:CR138" si="641">(CM117)/CM148</f>
        <v>1.9295257229325065</v>
      </c>
      <c r="CN138" s="596">
        <f t="shared" si="641"/>
        <v>1.861413702585146</v>
      </c>
      <c r="CO138" s="596">
        <f t="shared" si="641"/>
        <v>1.7770014616397332</v>
      </c>
      <c r="CP138" s="596">
        <f t="shared" si="641"/>
        <v>1.83169830264946</v>
      </c>
      <c r="CQ138" s="596">
        <f t="shared" si="641"/>
        <v>2.436086911270424</v>
      </c>
      <c r="CR138" s="596">
        <f t="shared" si="641"/>
        <v>2.737112148338158</v>
      </c>
      <c r="CS138" s="597">
        <f>(CS117)/CS148</f>
        <v>2.9119543945523354</v>
      </c>
      <c r="CT138" s="596"/>
      <c r="CU138"/>
      <c r="CV138"/>
      <c r="CW138"/>
      <c r="CX138"/>
      <c r="CY138"/>
      <c r="CZ138"/>
    </row>
    <row r="139" spans="1:104" ht="14.25" hidden="1" customHeight="1" outlineLevel="1">
      <c r="A139" s="8"/>
      <c r="B139" s="23" t="s">
        <v>73</v>
      </c>
      <c r="C139" s="48"/>
      <c r="D139" s="596">
        <f t="shared" ref="D139:AD139" si="642">D140</f>
        <v>0.245561660825798</v>
      </c>
      <c r="E139" s="596">
        <f t="shared" si="642"/>
        <v>0.28833703825068852</v>
      </c>
      <c r="F139" s="596">
        <f t="shared" si="642"/>
        <v>0.31866595263596337</v>
      </c>
      <c r="G139" s="597">
        <f t="shared" si="642"/>
        <v>0.28391711233894462</v>
      </c>
      <c r="H139" s="596">
        <f t="shared" si="642"/>
        <v>6.1966423935894688E-2</v>
      </c>
      <c r="I139" s="596">
        <f t="shared" si="642"/>
        <v>0.29600145622231661</v>
      </c>
      <c r="J139" s="596">
        <f t="shared" si="642"/>
        <v>0.2302544155706566</v>
      </c>
      <c r="K139" s="597">
        <f t="shared" si="642"/>
        <v>0.46728385518501975</v>
      </c>
      <c r="L139" s="596">
        <f t="shared" si="642"/>
        <v>0.27726812477764984</v>
      </c>
      <c r="M139" s="596">
        <f t="shared" si="642"/>
        <v>0.37441308798470035</v>
      </c>
      <c r="N139" s="596">
        <f t="shared" si="642"/>
        <v>0.3188445795088069</v>
      </c>
      <c r="O139" s="597">
        <f t="shared" si="642"/>
        <v>0.3194603557896879</v>
      </c>
      <c r="P139" s="596">
        <f t="shared" si="642"/>
        <v>0.27084291956827211</v>
      </c>
      <c r="Q139" s="596">
        <f t="shared" si="642"/>
        <v>0.27843936070197434</v>
      </c>
      <c r="R139" s="596">
        <f t="shared" si="642"/>
        <v>2.8612256294860295E-3</v>
      </c>
      <c r="S139" s="597">
        <f t="shared" si="642"/>
        <v>8.0011801246264169E-2</v>
      </c>
      <c r="T139" s="596">
        <f t="shared" si="642"/>
        <v>0.12017157757830865</v>
      </c>
      <c r="U139" s="596">
        <f t="shared" si="642"/>
        <v>0.20498887419781331</v>
      </c>
      <c r="V139" s="596">
        <f t="shared" si="642"/>
        <v>0.26458983017983811</v>
      </c>
      <c r="W139" s="597">
        <f t="shared" si="642"/>
        <v>0.22534109502421712</v>
      </c>
      <c r="X139" s="596">
        <f t="shared" si="642"/>
        <v>0.42763716157089438</v>
      </c>
      <c r="Y139" s="596">
        <f t="shared" si="642"/>
        <v>0.43653630548044586</v>
      </c>
      <c r="Z139" s="596">
        <f t="shared" si="642"/>
        <v>0.35046221040014441</v>
      </c>
      <c r="AA139" s="597">
        <f t="shared" si="642"/>
        <v>0.42910536151396206</v>
      </c>
      <c r="AB139" s="596">
        <f t="shared" si="642"/>
        <v>0.46443422923115729</v>
      </c>
      <c r="AC139" s="596">
        <f>AC140</f>
        <v>0.33637274883891888</v>
      </c>
      <c r="AD139" s="596">
        <f t="shared" si="642"/>
        <v>0.33151911425250075</v>
      </c>
      <c r="AE139" s="1334" t="s">
        <v>656</v>
      </c>
      <c r="AF139" s="1335" t="s">
        <v>656</v>
      </c>
      <c r="AG139" s="1335" t="s">
        <v>656</v>
      </c>
      <c r="AH139" s="1335" t="s">
        <v>656</v>
      </c>
      <c r="AI139" s="1336" t="s">
        <v>656</v>
      </c>
      <c r="AJ139" s="1337" t="s">
        <v>656</v>
      </c>
      <c r="AK139" s="1335" t="s">
        <v>656</v>
      </c>
      <c r="AL139" s="1335" t="s">
        <v>656</v>
      </c>
      <c r="AM139" s="1336" t="s">
        <v>656</v>
      </c>
      <c r="AN139" s="1337" t="s">
        <v>656</v>
      </c>
      <c r="AO139" s="1335" t="s">
        <v>656</v>
      </c>
      <c r="AP139" s="1335" t="s">
        <v>656</v>
      </c>
      <c r="AQ139" s="1336" t="s">
        <v>656</v>
      </c>
      <c r="AR139" s="1337" t="s">
        <v>656</v>
      </c>
      <c r="AS139" s="1335" t="s">
        <v>656</v>
      </c>
      <c r="AT139" s="1335" t="s">
        <v>656</v>
      </c>
      <c r="AU139" s="1338" t="s">
        <v>656</v>
      </c>
      <c r="AV139" s="1337" t="s">
        <v>656</v>
      </c>
      <c r="AW139" s="1335" t="s">
        <v>656</v>
      </c>
      <c r="AX139" s="1335" t="s">
        <v>656</v>
      </c>
      <c r="AY139" s="1338" t="s">
        <v>656</v>
      </c>
      <c r="AZ139" s="1337" t="s">
        <v>656</v>
      </c>
      <c r="BA139" s="1335" t="s">
        <v>656</v>
      </c>
      <c r="BB139" s="1335" t="s">
        <v>656</v>
      </c>
      <c r="BC139" s="1336"/>
      <c r="BD139" s="1339" t="s">
        <v>656</v>
      </c>
      <c r="BE139" s="1338" t="s">
        <v>656</v>
      </c>
      <c r="BF139" s="1338" t="s">
        <v>656</v>
      </c>
      <c r="BG139" s="1336"/>
      <c r="BH139" s="1339" t="s">
        <v>656</v>
      </c>
      <c r="BI139" s="1338" t="s">
        <v>656</v>
      </c>
      <c r="BJ139" s="1338" t="s">
        <v>656</v>
      </c>
      <c r="BK139" s="1336"/>
      <c r="BL139" s="497"/>
      <c r="BM139" s="596">
        <f t="shared" ref="BM139:BR139" si="643">BM140</f>
        <v>1.1353136089976259</v>
      </c>
      <c r="BN139" s="596">
        <f t="shared" si="643"/>
        <v>1.0564564464318489</v>
      </c>
      <c r="BO139" s="596">
        <f t="shared" si="643"/>
        <v>1.2896917355625899</v>
      </c>
      <c r="BP139" s="596">
        <f t="shared" si="643"/>
        <v>0.64135618181672771</v>
      </c>
      <c r="BQ139" s="596">
        <f t="shared" si="643"/>
        <v>0.81417646949583555</v>
      </c>
      <c r="BR139" s="596">
        <f t="shared" si="643"/>
        <v>1.6434452743391106</v>
      </c>
      <c r="BS139" s="596" t="s">
        <v>656</v>
      </c>
      <c r="BT139" s="596" t="s">
        <v>656</v>
      </c>
      <c r="BU139" s="596" t="s">
        <v>656</v>
      </c>
      <c r="BV139" s="596" t="s">
        <v>656</v>
      </c>
      <c r="BW139" s="596" t="s">
        <v>656</v>
      </c>
      <c r="BX139" s="596" t="s">
        <v>656</v>
      </c>
      <c r="BY139" s="596" t="s">
        <v>656</v>
      </c>
      <c r="BZ139" s="596" t="s">
        <v>656</v>
      </c>
      <c r="CA139" s="1336" t="s">
        <v>656</v>
      </c>
      <c r="CB139" s="1339"/>
      <c r="CC139" s="1338"/>
      <c r="CD139" s="1338"/>
      <c r="CE139" s="260"/>
      <c r="CF139" s="614">
        <f t="shared" ref="CF139:CK139" si="644">CF140</f>
        <v>0.96402084082195583</v>
      </c>
      <c r="CG139" s="596">
        <f t="shared" si="644"/>
        <v>1.3488408512967487</v>
      </c>
      <c r="CH139" s="596">
        <f t="shared" si="644"/>
        <v>1.1881364705001956</v>
      </c>
      <c r="CI139" s="596">
        <f t="shared" si="644"/>
        <v>0.41009497947144746</v>
      </c>
      <c r="CJ139" s="596">
        <f t="shared" si="644"/>
        <v>1.3508330747077271</v>
      </c>
      <c r="CK139" s="596">
        <f t="shared" si="644"/>
        <v>1.5805364713668217</v>
      </c>
      <c r="CL139" s="596" t="s">
        <v>656</v>
      </c>
      <c r="CM139" s="596" t="s">
        <v>656</v>
      </c>
      <c r="CN139" s="596" t="s">
        <v>656</v>
      </c>
      <c r="CO139" s="1338" t="s">
        <v>656</v>
      </c>
      <c r="CP139" s="1338" t="s">
        <v>656</v>
      </c>
      <c r="CQ139" s="1338" t="s">
        <v>656</v>
      </c>
      <c r="CR139" s="1338" t="s">
        <v>656</v>
      </c>
      <c r="CS139" s="1336" t="s">
        <v>656</v>
      </c>
      <c r="CT139" s="1338"/>
    </row>
    <row r="140" spans="1:104" s="121" customFormat="1" ht="14.25" customHeight="1" collapsed="1">
      <c r="A140" s="122"/>
      <c r="B140" s="771" t="s">
        <v>210</v>
      </c>
      <c r="C140" s="772"/>
      <c r="D140" s="773">
        <f>D119/D148</f>
        <v>0.245561660825798</v>
      </c>
      <c r="E140" s="773">
        <f>E119/E148</f>
        <v>0.28833703825068852</v>
      </c>
      <c r="F140" s="773">
        <f>F119/F148</f>
        <v>0.31866595263596337</v>
      </c>
      <c r="G140" s="774">
        <f>G119/G148</f>
        <v>0.28391711233894462</v>
      </c>
      <c r="H140" s="773">
        <f t="shared" ref="H140:W140" si="645">H119/H148</f>
        <v>6.1966423935894688E-2</v>
      </c>
      <c r="I140" s="773">
        <f t="shared" si="645"/>
        <v>0.29600145622231661</v>
      </c>
      <c r="J140" s="773">
        <f t="shared" si="645"/>
        <v>0.2302544155706566</v>
      </c>
      <c r="K140" s="774">
        <f t="shared" si="645"/>
        <v>0.46728385518501975</v>
      </c>
      <c r="L140" s="773">
        <f t="shared" si="645"/>
        <v>0.27726812477764984</v>
      </c>
      <c r="M140" s="773">
        <f t="shared" si="645"/>
        <v>0.37441308798470035</v>
      </c>
      <c r="N140" s="773">
        <f t="shared" si="645"/>
        <v>0.3188445795088069</v>
      </c>
      <c r="O140" s="774">
        <f t="shared" si="645"/>
        <v>0.3194603557896879</v>
      </c>
      <c r="P140" s="773">
        <f t="shared" si="645"/>
        <v>0.27084291956827211</v>
      </c>
      <c r="Q140" s="773">
        <f t="shared" si="645"/>
        <v>0.27843936070197434</v>
      </c>
      <c r="R140" s="773">
        <f t="shared" si="645"/>
        <v>2.8612256294860295E-3</v>
      </c>
      <c r="S140" s="774">
        <f t="shared" si="645"/>
        <v>8.0011801246264169E-2</v>
      </c>
      <c r="T140" s="773">
        <f t="shared" si="645"/>
        <v>0.12017157757830865</v>
      </c>
      <c r="U140" s="773">
        <f t="shared" si="645"/>
        <v>0.20498887419781331</v>
      </c>
      <c r="V140" s="773">
        <f t="shared" si="645"/>
        <v>0.26458983017983811</v>
      </c>
      <c r="W140" s="774">
        <f t="shared" si="645"/>
        <v>0.22534109502421712</v>
      </c>
      <c r="X140" s="773">
        <f t="shared" ref="X140:AH140" si="646">X119/X148</f>
        <v>0.42763716157089438</v>
      </c>
      <c r="Y140" s="773">
        <f t="shared" si="646"/>
        <v>0.43653630548044586</v>
      </c>
      <c r="Z140" s="773">
        <f t="shared" si="646"/>
        <v>0.35046221040014441</v>
      </c>
      <c r="AA140" s="774">
        <f t="shared" si="646"/>
        <v>0.42910536151396206</v>
      </c>
      <c r="AB140" s="773">
        <f t="shared" si="646"/>
        <v>0.46443422923115729</v>
      </c>
      <c r="AC140" s="773">
        <f t="shared" si="646"/>
        <v>0.33637274883891888</v>
      </c>
      <c r="AD140" s="773">
        <f t="shared" si="646"/>
        <v>0.33151911425250075</v>
      </c>
      <c r="AE140" s="774">
        <f t="shared" si="646"/>
        <v>0.44929334574189511</v>
      </c>
      <c r="AF140" s="773">
        <f t="shared" si="646"/>
        <v>0.46569739810296501</v>
      </c>
      <c r="AG140" s="773">
        <f t="shared" si="646"/>
        <v>0.41774808457653151</v>
      </c>
      <c r="AH140" s="773">
        <f t="shared" si="646"/>
        <v>0.44850740797515354</v>
      </c>
      <c r="AI140" s="774">
        <f t="shared" ref="AI140:AN140" si="647">AI119/AI148</f>
        <v>0.43630794322608457</v>
      </c>
      <c r="AJ140" s="1192">
        <f t="shared" si="647"/>
        <v>0.41165162268311178</v>
      </c>
      <c r="AK140" s="773">
        <f t="shared" si="647"/>
        <v>0.35864016772650881</v>
      </c>
      <c r="AL140" s="773">
        <f t="shared" si="647"/>
        <v>0.42669323399462883</v>
      </c>
      <c r="AM140" s="774">
        <f t="shared" si="647"/>
        <v>0.42803303775299073</v>
      </c>
      <c r="AN140" s="1192">
        <f t="shared" si="647"/>
        <v>0.37529627198286292</v>
      </c>
      <c r="AO140" s="773">
        <f t="shared" ref="AO140:AT140" si="648">AO119/AO148</f>
        <v>0.3253273137697516</v>
      </c>
      <c r="AP140" s="773">
        <f t="shared" si="648"/>
        <v>0.39553385957623616</v>
      </c>
      <c r="AQ140" s="774">
        <f t="shared" si="648"/>
        <v>0.42887408154942563</v>
      </c>
      <c r="AR140" s="1192">
        <f t="shared" si="648"/>
        <v>0.41645292266794054</v>
      </c>
      <c r="AS140" s="773">
        <f t="shared" si="648"/>
        <v>0.31949497626677587</v>
      </c>
      <c r="AT140" s="773">
        <f t="shared" si="648"/>
        <v>0.40602105713585646</v>
      </c>
      <c r="AU140" s="773">
        <f t="shared" ref="AU140:BG140" si="649">AU119/AU148</f>
        <v>0.48682696573139611</v>
      </c>
      <c r="AV140" s="1192">
        <f t="shared" si="649"/>
        <v>0.47847502743192188</v>
      </c>
      <c r="AW140" s="773">
        <f t="shared" si="649"/>
        <v>0.46057700985054129</v>
      </c>
      <c r="AX140" s="773">
        <f t="shared" si="649"/>
        <v>0.55505728041350288</v>
      </c>
      <c r="AY140" s="773">
        <f>AY119/AY148</f>
        <v>0.62585653961473986</v>
      </c>
      <c r="AZ140" s="1192">
        <f>AZ119/AZ148</f>
        <v>0.59542237909208673</v>
      </c>
      <c r="BA140" s="773">
        <f>BA119/BA148</f>
        <v>0.66084315953970718</v>
      </c>
      <c r="BB140" s="773">
        <f t="shared" ref="BB140" si="650">BB119/BB148</f>
        <v>0.73175901861263959</v>
      </c>
      <c r="BC140" s="774">
        <f t="shared" si="649"/>
        <v>0.68904767202425954</v>
      </c>
      <c r="BD140" s="1192">
        <f t="shared" si="649"/>
        <v>0.65579340009966469</v>
      </c>
      <c r="BE140" s="773">
        <f t="shared" si="649"/>
        <v>0.66038205148454221</v>
      </c>
      <c r="BF140" s="773">
        <f t="shared" si="649"/>
        <v>0.7229334452246573</v>
      </c>
      <c r="BG140" s="774">
        <f t="shared" si="649"/>
        <v>0.74271034606873898</v>
      </c>
      <c r="BH140" s="1192">
        <f>BH119/BH148</f>
        <v>0.72319792735207045</v>
      </c>
      <c r="BI140" s="773">
        <f>BI119/BI148</f>
        <v>0.72310264631010113</v>
      </c>
      <c r="BJ140" s="773">
        <f>BJ119/BJ148</f>
        <v>0.77285927869011284</v>
      </c>
      <c r="BK140" s="774">
        <f>BK119/BK148</f>
        <v>0.80968012205871054</v>
      </c>
      <c r="BL140" s="353"/>
      <c r="BM140" s="1192">
        <f t="shared" ref="BM140:BS140" si="651">BM119/BM148</f>
        <v>1.1353136089976259</v>
      </c>
      <c r="BN140" s="773">
        <f t="shared" si="651"/>
        <v>1.0564564464318489</v>
      </c>
      <c r="BO140" s="773">
        <f t="shared" si="651"/>
        <v>1.2896917355625899</v>
      </c>
      <c r="BP140" s="773">
        <f t="shared" si="651"/>
        <v>0.64135618181672771</v>
      </c>
      <c r="BQ140" s="773">
        <f t="shared" si="651"/>
        <v>0.81417646949583555</v>
      </c>
      <c r="BR140" s="773">
        <f t="shared" si="651"/>
        <v>1.6434452743391106</v>
      </c>
      <c r="BS140" s="773">
        <f t="shared" si="651"/>
        <v>1.5819223912427729</v>
      </c>
      <c r="BT140" s="773">
        <f t="shared" ref="BT140:CA140" si="652">BT119/BT148</f>
        <v>1.7683298182570195</v>
      </c>
      <c r="BU140" s="773">
        <f t="shared" si="652"/>
        <v>1.6251198258775488</v>
      </c>
      <c r="BV140" s="773">
        <f t="shared" si="652"/>
        <v>1.5252750600138782</v>
      </c>
      <c r="BW140" s="773">
        <f t="shared" si="652"/>
        <v>1.6282031017192913</v>
      </c>
      <c r="BX140" s="773">
        <f t="shared" si="652"/>
        <v>2.1196012770104282</v>
      </c>
      <c r="BY140" s="773">
        <f t="shared" si="652"/>
        <v>2.6770350604080018</v>
      </c>
      <c r="BZ140" s="773">
        <f t="shared" si="652"/>
        <v>2.7816489828471034</v>
      </c>
      <c r="CA140" s="774">
        <f t="shared" si="652"/>
        <v>3.028676450386909</v>
      </c>
      <c r="CB140" s="1373"/>
      <c r="CC140" s="1349"/>
      <c r="CD140" s="1349"/>
      <c r="CE140" s="1424"/>
      <c r="CF140" s="1373">
        <f t="shared" ref="CF140:CL140" si="653">CF119/CF148</f>
        <v>0.96402084082195583</v>
      </c>
      <c r="CG140" s="1349">
        <f t="shared" si="653"/>
        <v>1.3488408512967487</v>
      </c>
      <c r="CH140" s="1349">
        <f t="shared" si="653"/>
        <v>1.1881364705001956</v>
      </c>
      <c r="CI140" s="1349">
        <f t="shared" si="653"/>
        <v>0.41009497947144746</v>
      </c>
      <c r="CJ140" s="1349">
        <f t="shared" si="653"/>
        <v>1.3508330747077271</v>
      </c>
      <c r="CK140" s="1349">
        <f t="shared" si="653"/>
        <v>1.5805364713668217</v>
      </c>
      <c r="CL140" s="1349">
        <f t="shared" si="653"/>
        <v>1.6639636592891345</v>
      </c>
      <c r="CM140" s="1349">
        <f t="shared" ref="CM140:CR140" si="654">CM119/CM148</f>
        <v>1.6570837051093719</v>
      </c>
      <c r="CN140" s="1349">
        <f t="shared" si="654"/>
        <v>1.5555709416829233</v>
      </c>
      <c r="CO140" s="773">
        <f t="shared" si="654"/>
        <v>1.5600187974471418</v>
      </c>
      <c r="CP140" s="773">
        <f t="shared" si="654"/>
        <v>1.83169830264946</v>
      </c>
      <c r="CQ140" s="773">
        <f t="shared" si="654"/>
        <v>2.436086911270424</v>
      </c>
      <c r="CR140" s="773">
        <f t="shared" si="654"/>
        <v>2.737112148338158</v>
      </c>
      <c r="CS140" s="774">
        <f>CS119/CS148</f>
        <v>2.9119543945523354</v>
      </c>
      <c r="CT140" s="1349"/>
      <c r="CU140"/>
      <c r="CV140"/>
      <c r="CW140"/>
      <c r="CX140"/>
      <c r="CY140"/>
      <c r="CZ140"/>
    </row>
    <row r="141" spans="1:104" ht="14.25" customHeight="1">
      <c r="A141" s="8"/>
      <c r="B141" s="74"/>
      <c r="C141" s="7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384"/>
      <c r="AF141" s="384"/>
      <c r="AG141" s="384"/>
      <c r="AH141" s="384"/>
      <c r="AI141" s="384"/>
      <c r="AJ141" s="384"/>
      <c r="AK141" s="384"/>
      <c r="AL141" s="384"/>
      <c r="AM141" s="384"/>
      <c r="AN141" s="384"/>
      <c r="AO141" s="44"/>
      <c r="AP141" s="44"/>
      <c r="AQ141" s="384"/>
      <c r="AR141" s="384"/>
      <c r="AS141" s="44"/>
      <c r="AT141" s="44"/>
      <c r="AU141" s="1362"/>
      <c r="AV141" s="384"/>
      <c r="AW141" s="44"/>
      <c r="AX141" s="1362"/>
      <c r="AY141" s="1362"/>
      <c r="AZ141" s="1362"/>
      <c r="BA141" s="1362"/>
      <c r="BB141" s="1362"/>
      <c r="BC141" s="1362"/>
      <c r="BD141" s="1362"/>
      <c r="BE141" s="1362"/>
      <c r="BF141" s="1362"/>
      <c r="BG141" s="1362"/>
      <c r="BH141" s="1362"/>
      <c r="BI141" s="1362"/>
      <c r="BJ141" s="1362"/>
      <c r="BK141" s="1362"/>
      <c r="BL141" s="1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1362"/>
      <c r="CB141" s="44"/>
      <c r="CC141" s="44"/>
      <c r="CD141" s="44"/>
      <c r="CE141" s="14"/>
      <c r="CF141" s="112"/>
      <c r="CG141" s="112"/>
      <c r="CH141" s="112"/>
      <c r="CI141" s="112"/>
      <c r="CJ141" s="112"/>
      <c r="CK141" s="112"/>
      <c r="CL141" s="112"/>
      <c r="CM141" s="112"/>
      <c r="CN141" s="112"/>
      <c r="CO141" s="877"/>
      <c r="CP141" s="1362"/>
      <c r="CQ141" s="1362"/>
      <c r="CR141" s="1362"/>
      <c r="CS141" s="1362"/>
      <c r="CT141" s="1362"/>
    </row>
    <row r="142" spans="1:104" ht="14.25" customHeight="1">
      <c r="A142" s="8"/>
      <c r="B142" s="74"/>
      <c r="C142" s="74"/>
      <c r="D142" s="44"/>
      <c r="E142" s="44"/>
      <c r="F142" s="76"/>
      <c r="G142" s="76"/>
      <c r="H142" s="44"/>
      <c r="I142" s="44"/>
      <c r="J142" s="76"/>
      <c r="K142" s="76"/>
      <c r="L142" s="44"/>
      <c r="M142" s="44"/>
      <c r="N142" s="76"/>
      <c r="O142" s="76"/>
      <c r="P142" s="44"/>
      <c r="Q142" s="44"/>
      <c r="R142" s="76"/>
      <c r="S142" s="76"/>
      <c r="T142" s="44"/>
      <c r="U142" s="44"/>
      <c r="V142" s="76"/>
      <c r="W142" s="76"/>
      <c r="X142" s="44"/>
      <c r="Y142" s="44"/>
      <c r="Z142" s="76"/>
      <c r="AA142" s="76"/>
      <c r="AB142" s="44"/>
      <c r="AC142" s="44"/>
      <c r="AD142" s="76"/>
      <c r="AE142" s="384"/>
      <c r="AF142" s="44"/>
      <c r="AG142" s="44"/>
      <c r="AH142" s="44"/>
      <c r="AI142" s="38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1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 t="s">
        <v>570</v>
      </c>
      <c r="BW142" s="44"/>
      <c r="BX142" s="44"/>
      <c r="BY142" s="44"/>
      <c r="BZ142" s="44"/>
      <c r="CA142" s="383"/>
      <c r="CB142" s="383"/>
      <c r="CC142" s="383"/>
      <c r="CD142" s="383"/>
      <c r="CE142" s="383"/>
      <c r="CF142" s="401"/>
      <c r="CG142" s="401"/>
      <c r="CH142" s="401"/>
      <c r="CI142" s="401"/>
      <c r="CJ142" s="401"/>
      <c r="CK142" s="401"/>
      <c r="CL142" s="401"/>
      <c r="CM142" s="401"/>
      <c r="CN142" s="401"/>
      <c r="CO142" s="728"/>
      <c r="CP142" s="728"/>
      <c r="CQ142" s="728"/>
      <c r="CR142" s="728"/>
      <c r="CS142" s="728"/>
      <c r="CT142" s="728"/>
    </row>
    <row r="143" spans="1:104" ht="14.25" customHeight="1">
      <c r="A143" s="8"/>
      <c r="B143" s="77"/>
      <c r="C143" s="74"/>
      <c r="D143" s="44"/>
      <c r="E143" s="44"/>
      <c r="F143" s="44"/>
      <c r="G143" s="78"/>
      <c r="H143" s="44"/>
      <c r="I143" s="44"/>
      <c r="J143" s="44"/>
      <c r="K143" s="78"/>
      <c r="L143" s="44"/>
      <c r="M143" s="44"/>
      <c r="N143" s="44"/>
      <c r="O143" s="78"/>
      <c r="P143" s="44"/>
      <c r="Q143" s="44"/>
      <c r="R143" s="44"/>
      <c r="S143" s="78"/>
      <c r="T143" s="44"/>
      <c r="U143" s="44"/>
      <c r="V143" s="44"/>
      <c r="W143" s="78"/>
      <c r="X143" s="44"/>
      <c r="Y143" s="44"/>
      <c r="Z143" s="44"/>
      <c r="AA143" s="78"/>
      <c r="AB143" s="44"/>
      <c r="AC143" s="44"/>
      <c r="AD143" s="44"/>
      <c r="AE143" s="78"/>
      <c r="AF143" s="78"/>
      <c r="AG143" s="878"/>
      <c r="AH143" s="879"/>
      <c r="AI143" s="78"/>
      <c r="AJ143" s="78"/>
      <c r="AK143" s="1194"/>
      <c r="AL143" s="78"/>
      <c r="AM143" s="78"/>
      <c r="AN143" s="78"/>
      <c r="AO143" s="44"/>
      <c r="AP143" s="44"/>
      <c r="AQ143" s="78"/>
      <c r="AR143" s="78"/>
      <c r="AS143" s="44"/>
      <c r="AT143" s="44"/>
      <c r="AU143" s="78"/>
      <c r="AV143" s="78"/>
      <c r="AW143" s="44"/>
      <c r="AX143" s="44"/>
      <c r="AY143" s="78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8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385"/>
      <c r="CB143" s="385"/>
      <c r="CC143" s="385"/>
      <c r="CD143" s="385"/>
      <c r="CE143" s="385"/>
      <c r="CF143" s="402"/>
      <c r="CG143" s="402"/>
      <c r="CH143" s="402"/>
      <c r="CI143" s="402"/>
      <c r="CJ143" s="402"/>
      <c r="CK143" s="402"/>
      <c r="CL143" s="402"/>
      <c r="CM143" s="402"/>
      <c r="CN143" s="402" t="s">
        <v>97</v>
      </c>
      <c r="CO143" s="112" t="s">
        <v>97</v>
      </c>
      <c r="CP143" s="112" t="s">
        <v>97</v>
      </c>
      <c r="CQ143" s="112" t="s">
        <v>97</v>
      </c>
      <c r="CR143" s="112" t="s">
        <v>97</v>
      </c>
      <c r="CS143" s="112" t="s">
        <v>97</v>
      </c>
      <c r="CT143" s="112"/>
    </row>
    <row r="144" spans="1:104" ht="14.25" customHeight="1">
      <c r="A144" s="8"/>
      <c r="B144" s="79" t="s">
        <v>363</v>
      </c>
      <c r="C144" s="80"/>
      <c r="D144" s="81">
        <v>327.959</v>
      </c>
      <c r="E144" s="82">
        <v>323.935</v>
      </c>
      <c r="F144" s="82">
        <v>320.68599999999998</v>
      </c>
      <c r="G144" s="83">
        <v>323.45999999999998</v>
      </c>
      <c r="H144" s="81">
        <v>320.06799999999998</v>
      </c>
      <c r="I144" s="82">
        <v>320.553</v>
      </c>
      <c r="J144" s="82">
        <v>320.553</v>
      </c>
      <c r="K144" s="83">
        <v>320.43400000000003</v>
      </c>
      <c r="L144" s="81">
        <v>320.553</v>
      </c>
      <c r="M144" s="82">
        <v>320.553</v>
      </c>
      <c r="N144" s="82">
        <v>320.553</v>
      </c>
      <c r="O144" s="83">
        <v>320.553</v>
      </c>
      <c r="P144" s="81">
        <v>320.553</v>
      </c>
      <c r="Q144" s="82">
        <v>312.71800000000002</v>
      </c>
      <c r="R144" s="82">
        <v>304.41500000000002</v>
      </c>
      <c r="S144" s="83">
        <v>305.34699999999998</v>
      </c>
      <c r="T144" s="81">
        <v>306.27600000000001</v>
      </c>
      <c r="U144" s="82">
        <v>305.32400000000001</v>
      </c>
      <c r="V144" s="82">
        <v>304.51799999999997</v>
      </c>
      <c r="W144" s="83">
        <v>302.18799999999999</v>
      </c>
      <c r="X144" s="81">
        <v>298.21600000000001</v>
      </c>
      <c r="Y144" s="82">
        <v>296.55</v>
      </c>
      <c r="Z144" s="82">
        <v>296.51100000000002</v>
      </c>
      <c r="AA144" s="83">
        <v>295.75099999999998</v>
      </c>
      <c r="AB144" s="81">
        <v>294.47500000000002</v>
      </c>
      <c r="AC144" s="82">
        <v>291.82400000000001</v>
      </c>
      <c r="AD144" s="82">
        <v>292.27600000000001</v>
      </c>
      <c r="AE144" s="83">
        <v>292.75700000000001</v>
      </c>
      <c r="AF144" s="97">
        <v>292.21300000000002</v>
      </c>
      <c r="AG144" s="82">
        <v>292.07499999999999</v>
      </c>
      <c r="AH144" s="82">
        <v>292.88799999999998</v>
      </c>
      <c r="AI144" s="83">
        <v>290.14600000000002</v>
      </c>
      <c r="AJ144" s="97">
        <v>284.654</v>
      </c>
      <c r="AK144" s="82">
        <v>282.66399999999999</v>
      </c>
      <c r="AL144" s="82">
        <v>282.62700000000001</v>
      </c>
      <c r="AM144" s="83">
        <v>283.43099999999998</v>
      </c>
      <c r="AN144" s="97">
        <v>284.08600000000001</v>
      </c>
      <c r="AO144" s="82">
        <v>282.99200000000002</v>
      </c>
      <c r="AP144" s="82">
        <v>283.41800000000001</v>
      </c>
      <c r="AQ144" s="83">
        <v>284.202</v>
      </c>
      <c r="AR144" s="97">
        <v>284.58800000000002</v>
      </c>
      <c r="AS144" s="82">
        <v>285.52600000000001</v>
      </c>
      <c r="AT144" s="82">
        <v>285.85399999999998</v>
      </c>
      <c r="AU144" s="83">
        <v>284.35399999999998</v>
      </c>
      <c r="AV144" s="97">
        <v>283.63299999999998</v>
      </c>
      <c r="AW144" s="82">
        <v>283.29399999999998</v>
      </c>
      <c r="AX144" s="82">
        <v>282.90300000000002</v>
      </c>
      <c r="AY144" s="83">
        <v>282.74700000000001</v>
      </c>
      <c r="AZ144" s="1456">
        <v>282.17</v>
      </c>
      <c r="BA144" s="82">
        <v>281.56</v>
      </c>
      <c r="BB144" s="82">
        <v>280.85000000000002</v>
      </c>
      <c r="BC144" s="85">
        <f t="shared" ref="BC144:BG144" si="655">BC147-6</f>
        <v>279.58099999999996</v>
      </c>
      <c r="BD144" s="84">
        <f t="shared" si="655"/>
        <v>279.28099999999995</v>
      </c>
      <c r="BE144" s="84">
        <f t="shared" si="655"/>
        <v>278.98099999999994</v>
      </c>
      <c r="BF144" s="84">
        <f t="shared" si="655"/>
        <v>278.68099999999993</v>
      </c>
      <c r="BG144" s="85">
        <f t="shared" si="655"/>
        <v>278.38099999999991</v>
      </c>
      <c r="BH144" s="84">
        <f>BH147-6</f>
        <v>278.0809999999999</v>
      </c>
      <c r="BI144" s="84">
        <f>BI147-6</f>
        <v>277.78099999999989</v>
      </c>
      <c r="BJ144" s="84">
        <f>BJ147-6</f>
        <v>277.48099999999988</v>
      </c>
      <c r="BK144" s="85">
        <f>BK147-6</f>
        <v>277.18099999999987</v>
      </c>
      <c r="BL144" s="1229"/>
      <c r="BM144" s="698">
        <v>323.45999999999998</v>
      </c>
      <c r="BN144" s="698">
        <v>320.43400000000003</v>
      </c>
      <c r="BO144" s="698">
        <v>320.553</v>
      </c>
      <c r="BP144" s="698">
        <v>310.80500000000001</v>
      </c>
      <c r="BQ144" s="698">
        <v>304.57900000000001</v>
      </c>
      <c r="BR144" s="698">
        <v>296.755</v>
      </c>
      <c r="BS144" s="698">
        <f>AVERAGE(AB144:AE144)</f>
        <v>292.83300000000003</v>
      </c>
      <c r="BT144" s="698">
        <f>AVERAGE(AF144:AI144)</f>
        <v>291.83049999999997</v>
      </c>
      <c r="BU144" s="698">
        <f>AVERAGE(AJ144:AM144)</f>
        <v>283.34399999999999</v>
      </c>
      <c r="BV144" s="698">
        <f>AVERAGE(AN144:AQ144)</f>
        <v>283.67449999999997</v>
      </c>
      <c r="BW144" s="698">
        <f>AVERAGE(AR144:AU144)</f>
        <v>285.08050000000003</v>
      </c>
      <c r="BX144" s="698">
        <f>AVERAGE(AV144:AY144)</f>
        <v>283.14425</v>
      </c>
      <c r="BY144" s="698">
        <f>AVERAGE(AZ144:BC144)</f>
        <v>281.04025000000001</v>
      </c>
      <c r="BZ144" s="698">
        <f>AVERAGE(BD144:BG144)</f>
        <v>278.83099999999996</v>
      </c>
      <c r="CA144" s="85">
        <f>AVERAGE(BH144:BK144)</f>
        <v>277.63099999999991</v>
      </c>
      <c r="CB144" s="334"/>
      <c r="CC144" s="92"/>
      <c r="CD144" s="92"/>
      <c r="CE144" s="260"/>
      <c r="CF144" s="403">
        <f>AVERAGE(F144:I144)</f>
        <v>321.19174999999996</v>
      </c>
      <c r="CG144" s="84">
        <f>AVERAGE(J144:M144)</f>
        <v>320.52325000000002</v>
      </c>
      <c r="CH144" s="84">
        <f>AVERAGE(N144:Q144)</f>
        <v>318.59424999999999</v>
      </c>
      <c r="CI144" s="84">
        <f>AVERAGE(R144:U144)</f>
        <v>305.34050000000002</v>
      </c>
      <c r="CJ144" s="84">
        <f>AVERAGE(V144:Y144)</f>
        <v>300.36799999999999</v>
      </c>
      <c r="CK144" s="84">
        <f>AVERAGE(Z144:AC144)</f>
        <v>294.64024999999998</v>
      </c>
      <c r="CL144" s="84">
        <f>AVERAGE(AD144:AG144)</f>
        <v>292.33025000000004</v>
      </c>
      <c r="CM144" s="84">
        <f>AVERAGE(AH144:AK144)</f>
        <v>287.58799999999997</v>
      </c>
      <c r="CN144" s="84">
        <f>AVERAGE(AL144:AO144)</f>
        <v>283.28399999999999</v>
      </c>
      <c r="CO144" s="84">
        <f>AVERAGE(AP144:AS144)</f>
        <v>284.43350000000004</v>
      </c>
      <c r="CP144" s="84">
        <f>AVERAGE(AT144:AW144)</f>
        <v>284.28374999999994</v>
      </c>
      <c r="CQ144" s="84">
        <f>AVERAGE(AX144:BA144)</f>
        <v>282.34500000000003</v>
      </c>
      <c r="CR144" s="84">
        <f>AVERAGE(BB144:BE144)</f>
        <v>279.67325</v>
      </c>
      <c r="CS144" s="85">
        <f>AVERAGE(BF144:BI144)</f>
        <v>278.23099999999994</v>
      </c>
      <c r="CT144" s="92"/>
    </row>
    <row r="145" spans="1:98" ht="14.25" customHeight="1">
      <c r="A145" s="8"/>
      <c r="B145" s="23" t="s">
        <v>364</v>
      </c>
      <c r="C145" s="24"/>
      <c r="D145" s="87">
        <f t="shared" ref="D145:V145" si="656">D144</f>
        <v>327.959</v>
      </c>
      <c r="E145" s="87">
        <f t="shared" si="656"/>
        <v>323.935</v>
      </c>
      <c r="F145" s="87">
        <f t="shared" si="656"/>
        <v>320.68599999999998</v>
      </c>
      <c r="G145" s="33">
        <f t="shared" si="656"/>
        <v>323.45999999999998</v>
      </c>
      <c r="H145" s="87">
        <f t="shared" si="656"/>
        <v>320.06799999999998</v>
      </c>
      <c r="I145" s="87">
        <f t="shared" si="656"/>
        <v>320.553</v>
      </c>
      <c r="J145" s="87">
        <f t="shared" si="656"/>
        <v>320.553</v>
      </c>
      <c r="K145" s="33">
        <f t="shared" si="656"/>
        <v>320.43400000000003</v>
      </c>
      <c r="L145" s="87">
        <f t="shared" si="656"/>
        <v>320.553</v>
      </c>
      <c r="M145" s="87">
        <f t="shared" si="656"/>
        <v>320.553</v>
      </c>
      <c r="N145" s="87">
        <f t="shared" si="656"/>
        <v>320.553</v>
      </c>
      <c r="O145" s="33">
        <f t="shared" si="656"/>
        <v>320.553</v>
      </c>
      <c r="P145" s="87">
        <f t="shared" si="656"/>
        <v>320.553</v>
      </c>
      <c r="Q145" s="87">
        <f t="shared" si="656"/>
        <v>312.71800000000002</v>
      </c>
      <c r="R145" s="87">
        <f t="shared" si="656"/>
        <v>304.41500000000002</v>
      </c>
      <c r="S145" s="33">
        <f t="shared" si="656"/>
        <v>305.34699999999998</v>
      </c>
      <c r="T145" s="87">
        <f t="shared" si="656"/>
        <v>306.27600000000001</v>
      </c>
      <c r="U145" s="87">
        <f t="shared" si="656"/>
        <v>305.32400000000001</v>
      </c>
      <c r="V145" s="87">
        <f t="shared" si="656"/>
        <v>304.51799999999997</v>
      </c>
      <c r="W145" s="33">
        <f t="shared" ref="W145:AC145" si="657">W144</f>
        <v>302.18799999999999</v>
      </c>
      <c r="X145" s="87">
        <f t="shared" si="657"/>
        <v>298.21600000000001</v>
      </c>
      <c r="Y145" s="87">
        <f t="shared" si="657"/>
        <v>296.55</v>
      </c>
      <c r="Z145" s="87">
        <f t="shared" si="657"/>
        <v>296.51100000000002</v>
      </c>
      <c r="AA145" s="33">
        <f t="shared" si="657"/>
        <v>295.75099999999998</v>
      </c>
      <c r="AB145" s="87">
        <f t="shared" si="657"/>
        <v>294.47500000000002</v>
      </c>
      <c r="AC145" s="87">
        <f t="shared" si="657"/>
        <v>291.82400000000001</v>
      </c>
      <c r="AD145" s="87">
        <f>AD144</f>
        <v>292.27600000000001</v>
      </c>
      <c r="AE145" s="33">
        <f t="shared" ref="AE145:AK145" si="658">AE144</f>
        <v>292.75700000000001</v>
      </c>
      <c r="AF145" s="32">
        <f t="shared" si="658"/>
        <v>292.21300000000002</v>
      </c>
      <c r="AG145" s="87">
        <f t="shared" si="658"/>
        <v>292.07499999999999</v>
      </c>
      <c r="AH145" s="87">
        <f t="shared" si="658"/>
        <v>292.88799999999998</v>
      </c>
      <c r="AI145" s="33">
        <f t="shared" si="658"/>
        <v>290.14600000000002</v>
      </c>
      <c r="AJ145" s="32">
        <f t="shared" si="658"/>
        <v>284.654</v>
      </c>
      <c r="AK145" s="87">
        <f t="shared" si="658"/>
        <v>282.66399999999999</v>
      </c>
      <c r="AL145" s="87">
        <f t="shared" ref="AL145:AQ145" si="659">AL144</f>
        <v>282.62700000000001</v>
      </c>
      <c r="AM145" s="33">
        <f t="shared" si="659"/>
        <v>283.43099999999998</v>
      </c>
      <c r="AN145" s="32">
        <f t="shared" si="659"/>
        <v>284.08600000000001</v>
      </c>
      <c r="AO145" s="87">
        <f t="shared" si="659"/>
        <v>282.99200000000002</v>
      </c>
      <c r="AP145" s="87">
        <f t="shared" si="659"/>
        <v>283.41800000000001</v>
      </c>
      <c r="AQ145" s="33">
        <f t="shared" si="659"/>
        <v>284.202</v>
      </c>
      <c r="AR145" s="32">
        <f t="shared" ref="AR145:BC145" si="660">AR144</f>
        <v>284.58800000000002</v>
      </c>
      <c r="AS145" s="87">
        <f t="shared" si="660"/>
        <v>285.52600000000001</v>
      </c>
      <c r="AT145" s="87">
        <f t="shared" si="660"/>
        <v>285.85399999999998</v>
      </c>
      <c r="AU145" s="88">
        <f>AU144</f>
        <v>284.35399999999998</v>
      </c>
      <c r="AV145" s="32">
        <f>AV144</f>
        <v>283.63299999999998</v>
      </c>
      <c r="AW145" s="87">
        <f>AW144</f>
        <v>283.29399999999998</v>
      </c>
      <c r="AX145" s="87">
        <f>AX144</f>
        <v>282.90300000000002</v>
      </c>
      <c r="AY145" s="88">
        <f t="shared" si="660"/>
        <v>282.74700000000001</v>
      </c>
      <c r="AZ145" s="32">
        <f>AZ144</f>
        <v>282.17</v>
      </c>
      <c r="BA145" s="87">
        <f t="shared" si="660"/>
        <v>281.56</v>
      </c>
      <c r="BB145" s="87">
        <f>BB144</f>
        <v>280.85000000000002</v>
      </c>
      <c r="BC145" s="33">
        <f t="shared" si="660"/>
        <v>279.58099999999996</v>
      </c>
      <c r="BD145" s="32">
        <f t="shared" ref="BD145:BK145" si="661">BD144</f>
        <v>279.28099999999995</v>
      </c>
      <c r="BE145" s="32">
        <f t="shared" si="661"/>
        <v>278.98099999999994</v>
      </c>
      <c r="BF145" s="32">
        <f t="shared" si="661"/>
        <v>278.68099999999993</v>
      </c>
      <c r="BG145" s="33">
        <f t="shared" si="661"/>
        <v>278.38099999999991</v>
      </c>
      <c r="BH145" s="32">
        <f t="shared" si="661"/>
        <v>278.0809999999999</v>
      </c>
      <c r="BI145" s="32">
        <f t="shared" si="661"/>
        <v>277.78099999999989</v>
      </c>
      <c r="BJ145" s="32">
        <f t="shared" si="661"/>
        <v>277.48099999999988</v>
      </c>
      <c r="BK145" s="33">
        <f t="shared" si="661"/>
        <v>277.18099999999987</v>
      </c>
      <c r="BL145" s="20"/>
      <c r="BM145" s="32">
        <f>AVERAGE(D145:G145)</f>
        <v>324.01</v>
      </c>
      <c r="BN145" s="32">
        <f>AVERAGE(H145:K145)</f>
        <v>320.40199999999999</v>
      </c>
      <c r="BO145" s="32">
        <f>AVERAGE(L145:O145)</f>
        <v>320.553</v>
      </c>
      <c r="BP145" s="32">
        <f>AVERAGE(P145:S145)</f>
        <v>310.75824999999998</v>
      </c>
      <c r="BQ145" s="32">
        <f>AVERAGE(T145:W145)</f>
        <v>304.57650000000001</v>
      </c>
      <c r="BR145" s="32">
        <f>AVERAGE(X145:AA145)</f>
        <v>296.75700000000001</v>
      </c>
      <c r="BS145" s="32">
        <f>AVERAGE(AB145:AE145)</f>
        <v>292.83300000000003</v>
      </c>
      <c r="BT145" s="32">
        <f>AVERAGE(AF145:AI145)</f>
        <v>291.83049999999997</v>
      </c>
      <c r="BU145" s="32">
        <f>AVERAGE(AJ145:AM145)</f>
        <v>283.34399999999999</v>
      </c>
      <c r="BV145" s="32">
        <f>AVERAGE(AN145:AQ145)</f>
        <v>283.67449999999997</v>
      </c>
      <c r="BW145" s="32">
        <f>AVERAGE(AR145:AU145)</f>
        <v>285.08050000000003</v>
      </c>
      <c r="BX145" s="32">
        <f>AVERAGE(AV145:AY145)</f>
        <v>283.14425</v>
      </c>
      <c r="BY145" s="32">
        <f>AVERAGE(AZ145:BC145)</f>
        <v>281.04025000000001</v>
      </c>
      <c r="BZ145" s="32">
        <f>AVERAGE(BD145:BG145)</f>
        <v>278.83099999999996</v>
      </c>
      <c r="CA145" s="33">
        <f>AVERAGE(BH145:BK145)</f>
        <v>277.63099999999991</v>
      </c>
      <c r="CB145" s="34"/>
      <c r="CC145" s="32"/>
      <c r="CD145" s="32"/>
      <c r="CE145" s="260"/>
      <c r="CF145" s="34">
        <f>AVERAGE(F145:I145)</f>
        <v>321.19174999999996</v>
      </c>
      <c r="CG145" s="32">
        <f>AVERAGE(J145:M145)</f>
        <v>320.52325000000002</v>
      </c>
      <c r="CH145" s="32">
        <f>AVERAGE(N145:Q145)</f>
        <v>318.59424999999999</v>
      </c>
      <c r="CI145" s="32">
        <f>AVERAGE(R145:U145)</f>
        <v>305.34050000000002</v>
      </c>
      <c r="CJ145" s="32">
        <f>AVERAGE(V145:Y145)</f>
        <v>300.36799999999999</v>
      </c>
      <c r="CK145" s="32">
        <f>AVERAGE(Z145:AC145)</f>
        <v>294.64024999999998</v>
      </c>
      <c r="CL145" s="32">
        <f>AVERAGE(AD145:AG145)</f>
        <v>292.33025000000004</v>
      </c>
      <c r="CM145" s="32">
        <f>AVERAGE(AH145:AK145)</f>
        <v>287.58799999999997</v>
      </c>
      <c r="CN145" s="32">
        <f>AVERAGE(AL145:AO145)</f>
        <v>283.28399999999999</v>
      </c>
      <c r="CO145" s="32">
        <f>AVERAGE(AP145:AS145)</f>
        <v>284.43350000000004</v>
      </c>
      <c r="CP145" s="32">
        <f>AVERAGE(AT145:AW145)</f>
        <v>284.28374999999994</v>
      </c>
      <c r="CQ145" s="32">
        <f>AVERAGE(AX145:BA145)</f>
        <v>282.34500000000003</v>
      </c>
      <c r="CR145" s="32">
        <f>AVERAGE(BB145:BE145)</f>
        <v>279.67325</v>
      </c>
      <c r="CS145" s="33">
        <f>AVERAGE(BF145:BI145)</f>
        <v>278.23099999999994</v>
      </c>
      <c r="CT145" s="92"/>
    </row>
    <row r="146" spans="1:98" ht="14.25" customHeight="1">
      <c r="A146" s="8"/>
      <c r="B146" s="23"/>
      <c r="C146" s="24"/>
      <c r="D146" s="44"/>
      <c r="E146" s="44"/>
      <c r="F146" s="44"/>
      <c r="G146" s="45"/>
      <c r="H146" s="44"/>
      <c r="I146" s="44"/>
      <c r="J146" s="44"/>
      <c r="K146" s="45"/>
      <c r="L146" s="44"/>
      <c r="M146" s="44"/>
      <c r="N146" s="44"/>
      <c r="O146" s="45"/>
      <c r="P146" s="44"/>
      <c r="Q146" s="44"/>
      <c r="R146" s="44"/>
      <c r="S146" s="45"/>
      <c r="T146" s="44"/>
      <c r="U146" s="44"/>
      <c r="V146" s="44"/>
      <c r="W146" s="45"/>
      <c r="X146" s="44"/>
      <c r="Y146" s="44"/>
      <c r="Z146" s="44"/>
      <c r="AA146" s="45"/>
      <c r="AB146" s="44"/>
      <c r="AC146" s="44"/>
      <c r="AD146" s="44"/>
      <c r="AE146" s="45"/>
      <c r="AF146" s="44"/>
      <c r="AG146" s="44"/>
      <c r="AH146" s="44"/>
      <c r="AI146" s="45"/>
      <c r="AJ146" s="44"/>
      <c r="AK146" s="44"/>
      <c r="AL146" s="44"/>
      <c r="AM146" s="45"/>
      <c r="AN146" s="44"/>
      <c r="AO146" s="44"/>
      <c r="AP146" s="44"/>
      <c r="AQ146" s="45"/>
      <c r="AR146" s="44"/>
      <c r="AS146" s="44"/>
      <c r="AT146" s="44"/>
      <c r="AU146" s="45"/>
      <c r="AV146" s="44"/>
      <c r="AW146" s="44"/>
      <c r="AX146" s="44"/>
      <c r="AY146" s="45"/>
      <c r="AZ146" s="44"/>
      <c r="BA146" s="44"/>
      <c r="BB146" s="44"/>
      <c r="BC146" s="45"/>
      <c r="BD146" s="44"/>
      <c r="BE146" s="44"/>
      <c r="BF146" s="44"/>
      <c r="BG146" s="45"/>
      <c r="BH146" s="44"/>
      <c r="BI146" s="44"/>
      <c r="BJ146" s="44"/>
      <c r="BK146" s="45"/>
      <c r="BL146" s="20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5"/>
      <c r="CB146" s="54"/>
      <c r="CC146" s="44"/>
      <c r="CD146" s="44"/>
      <c r="CE146" s="260"/>
      <c r="CF146" s="111"/>
      <c r="CG146" s="112"/>
      <c r="CH146" s="112"/>
      <c r="CI146" s="112"/>
      <c r="CJ146" s="112"/>
      <c r="CK146" s="112"/>
      <c r="CL146" s="112"/>
      <c r="CM146" s="112"/>
      <c r="CN146" s="112"/>
      <c r="CO146" s="112"/>
      <c r="CP146" s="112"/>
      <c r="CQ146" s="112"/>
      <c r="CR146" s="112"/>
      <c r="CS146" s="113"/>
      <c r="CT146" s="112"/>
    </row>
    <row r="147" spans="1:98" ht="14.25" customHeight="1">
      <c r="A147" s="8"/>
      <c r="B147" s="23" t="s">
        <v>365</v>
      </c>
      <c r="C147" s="24"/>
      <c r="D147" s="90">
        <v>346.69499999999999</v>
      </c>
      <c r="E147" s="90">
        <v>338.73899999999998</v>
      </c>
      <c r="F147" s="90">
        <v>336.12</v>
      </c>
      <c r="G147" s="31">
        <v>338.62700000000001</v>
      </c>
      <c r="H147" s="90">
        <v>328.21</v>
      </c>
      <c r="I147" s="90">
        <v>329.62</v>
      </c>
      <c r="J147" s="90">
        <v>330.36500000000001</v>
      </c>
      <c r="K147" s="31">
        <v>329.88299999999998</v>
      </c>
      <c r="L147" s="90">
        <v>328.87299999999999</v>
      </c>
      <c r="M147" s="90">
        <v>326.28399999999999</v>
      </c>
      <c r="N147" s="90">
        <v>322.48</v>
      </c>
      <c r="O147" s="31">
        <v>323.84300000000002</v>
      </c>
      <c r="P147" s="90">
        <v>323.815</v>
      </c>
      <c r="Q147" s="90">
        <v>312.71800000000002</v>
      </c>
      <c r="R147" s="90">
        <v>304.41500000000002</v>
      </c>
      <c r="S147" s="31">
        <v>308.44200000000001</v>
      </c>
      <c r="T147" s="90">
        <v>312.16199999999998</v>
      </c>
      <c r="U147" s="90">
        <v>310.08999999999997</v>
      </c>
      <c r="V147" s="90">
        <v>304.51799999999997</v>
      </c>
      <c r="W147" s="31">
        <v>306.80599999999998</v>
      </c>
      <c r="X147" s="90">
        <v>301.68799999999999</v>
      </c>
      <c r="Y147" s="90">
        <v>303.26</v>
      </c>
      <c r="Z147" s="90">
        <v>304.51499999999999</v>
      </c>
      <c r="AA147" s="31">
        <v>303.94400000000002</v>
      </c>
      <c r="AB147" s="90">
        <v>301.07600000000002</v>
      </c>
      <c r="AC147" s="90">
        <v>299.29000000000002</v>
      </c>
      <c r="AD147" s="90">
        <v>300.221</v>
      </c>
      <c r="AE147" s="91">
        <v>299.79300000000001</v>
      </c>
      <c r="AF147" s="97">
        <v>298.78199999999998</v>
      </c>
      <c r="AG147" s="90">
        <v>298.75900000000001</v>
      </c>
      <c r="AH147" s="90">
        <v>300.08199999999999</v>
      </c>
      <c r="AI147" s="91">
        <v>296.75599999999997</v>
      </c>
      <c r="AJ147" s="97">
        <v>290.26</v>
      </c>
      <c r="AK147" s="90">
        <v>288.565</v>
      </c>
      <c r="AL147" s="90">
        <v>288.57499999999999</v>
      </c>
      <c r="AM147" s="91">
        <v>289.48700000000002</v>
      </c>
      <c r="AN147" s="97">
        <v>289.43</v>
      </c>
      <c r="AO147" s="90">
        <v>282.99200000000002</v>
      </c>
      <c r="AP147" s="90">
        <v>288.83999999999997</v>
      </c>
      <c r="AQ147" s="91">
        <v>289.346</v>
      </c>
      <c r="AR147" s="97">
        <v>284.58800000000002</v>
      </c>
      <c r="AS147" s="90">
        <v>290.52100000000002</v>
      </c>
      <c r="AT147" s="90">
        <v>289.78300000000002</v>
      </c>
      <c r="AU147" s="91">
        <v>288.54399999999998</v>
      </c>
      <c r="AV147" s="97">
        <v>288.57400000000001</v>
      </c>
      <c r="AW147" s="90">
        <v>288.10599999999999</v>
      </c>
      <c r="AX147" s="90">
        <v>287.88200000000001</v>
      </c>
      <c r="AY147" s="91">
        <v>287.49400000000003</v>
      </c>
      <c r="AZ147" s="97">
        <v>286.43700000000001</v>
      </c>
      <c r="BA147" s="90">
        <v>281.56</v>
      </c>
      <c r="BB147" s="90">
        <v>285.88099999999997</v>
      </c>
      <c r="BC147" s="93">
        <f t="shared" ref="BC147:BK147" si="662">BC148</f>
        <v>285.58099999999996</v>
      </c>
      <c r="BD147" s="92">
        <f t="shared" si="662"/>
        <v>285.28099999999995</v>
      </c>
      <c r="BE147" s="92">
        <f t="shared" si="662"/>
        <v>284.98099999999994</v>
      </c>
      <c r="BF147" s="92">
        <f t="shared" si="662"/>
        <v>284.68099999999993</v>
      </c>
      <c r="BG147" s="93">
        <f t="shared" si="662"/>
        <v>284.38099999999991</v>
      </c>
      <c r="BH147" s="92">
        <f t="shared" si="662"/>
        <v>284.0809999999999</v>
      </c>
      <c r="BI147" s="92">
        <f t="shared" si="662"/>
        <v>283.78099999999989</v>
      </c>
      <c r="BJ147" s="92">
        <f t="shared" si="662"/>
        <v>283.48099999999988</v>
      </c>
      <c r="BK147" s="93">
        <f t="shared" si="662"/>
        <v>283.18099999999987</v>
      </c>
      <c r="BL147" s="20"/>
      <c r="BM147" s="97">
        <v>338.62700000000001</v>
      </c>
      <c r="BN147" s="97">
        <v>329.88299999999998</v>
      </c>
      <c r="BO147" s="97">
        <v>325.846</v>
      </c>
      <c r="BP147" s="97">
        <v>311.47899999999998</v>
      </c>
      <c r="BQ147" s="97">
        <v>310.01600000000002</v>
      </c>
      <c r="BR147" s="97">
        <v>303.37700000000001</v>
      </c>
      <c r="BS147" s="97">
        <f>AVERAGE(AB147:AE147)</f>
        <v>300.09500000000003</v>
      </c>
      <c r="BT147" s="97">
        <f>AVERAGE(AF147:AI147)</f>
        <v>298.59474999999998</v>
      </c>
      <c r="BU147" s="97">
        <f>AVERAGE(AJ147:AM147)</f>
        <v>289.22175000000004</v>
      </c>
      <c r="BV147" s="97">
        <f>AVERAGE(AN147:AQ147)</f>
        <v>287.65199999999999</v>
      </c>
      <c r="BW147" s="97">
        <f>AVERAGE(AR147:AU147)</f>
        <v>288.35900000000004</v>
      </c>
      <c r="BX147" s="97">
        <f>AVERAGE(AV147:AY147)</f>
        <v>288.01400000000001</v>
      </c>
      <c r="BY147" s="97">
        <f>AVERAGE(AZ147:BC147)</f>
        <v>284.86475000000002</v>
      </c>
      <c r="BZ147" s="97">
        <f>AVERAGE(BD147:BG147)</f>
        <v>284.83099999999996</v>
      </c>
      <c r="CA147" s="93">
        <f>AVERAGE(BH147:BK147)</f>
        <v>283.63099999999991</v>
      </c>
      <c r="CB147" s="334"/>
      <c r="CC147" s="92"/>
      <c r="CD147" s="92"/>
      <c r="CE147" s="260"/>
      <c r="CF147" s="334">
        <f>AVERAGE(F147:I147)</f>
        <v>333.14425000000006</v>
      </c>
      <c r="CG147" s="92">
        <f>AVERAGE(J147:M147)</f>
        <v>328.85125000000005</v>
      </c>
      <c r="CH147" s="92">
        <f>AVERAGE(N147:Q147)</f>
        <v>320.71400000000006</v>
      </c>
      <c r="CI147" s="92">
        <f>AVERAGE(R147:U147)</f>
        <v>308.77724999999998</v>
      </c>
      <c r="CJ147" s="92">
        <f>AVERAGE(V147:Y147)</f>
        <v>304.06799999999998</v>
      </c>
      <c r="CK147" s="92">
        <f>AVERAGE(Z147:AC147)</f>
        <v>302.20625000000001</v>
      </c>
      <c r="CL147" s="92">
        <f>AVERAGE(AD147:AG147)</f>
        <v>299.38875000000002</v>
      </c>
      <c r="CM147" s="92">
        <f>AVERAGE(AH147:AK147)</f>
        <v>293.91575</v>
      </c>
      <c r="CN147" s="92">
        <f>AVERAGE(AL147:AO147)</f>
        <v>287.62099999999998</v>
      </c>
      <c r="CO147" s="32">
        <f>AVERAGE(AP147:AS147)</f>
        <v>288.32374999999996</v>
      </c>
      <c r="CP147" s="32">
        <f>AVERAGE(AT147:AW147)</f>
        <v>288.75175000000002</v>
      </c>
      <c r="CQ147" s="32">
        <f>AVERAGE(AX147:BA147)</f>
        <v>285.84325000000001</v>
      </c>
      <c r="CR147" s="32">
        <f>AVERAGE(BB147:BE147)</f>
        <v>285.43099999999998</v>
      </c>
      <c r="CS147" s="33">
        <f>AVERAGE(BF147:BI147)</f>
        <v>284.23099999999994</v>
      </c>
      <c r="CT147" s="92"/>
    </row>
    <row r="148" spans="1:98" ht="14.25" customHeight="1">
      <c r="A148" s="8"/>
      <c r="B148" s="23" t="s">
        <v>366</v>
      </c>
      <c r="C148" s="24"/>
      <c r="D148" s="87">
        <f t="shared" ref="D148:AD148" si="663">D147</f>
        <v>346.69499999999999</v>
      </c>
      <c r="E148" s="87">
        <f t="shared" si="663"/>
        <v>338.73899999999998</v>
      </c>
      <c r="F148" s="87">
        <f t="shared" si="663"/>
        <v>336.12</v>
      </c>
      <c r="G148" s="33">
        <f t="shared" si="663"/>
        <v>338.62700000000001</v>
      </c>
      <c r="H148" s="87">
        <f t="shared" si="663"/>
        <v>328.21</v>
      </c>
      <c r="I148" s="87">
        <f t="shared" si="663"/>
        <v>329.62</v>
      </c>
      <c r="J148" s="87">
        <f t="shared" si="663"/>
        <v>330.36500000000001</v>
      </c>
      <c r="K148" s="33">
        <f t="shared" si="663"/>
        <v>329.88299999999998</v>
      </c>
      <c r="L148" s="87">
        <f t="shared" si="663"/>
        <v>328.87299999999999</v>
      </c>
      <c r="M148" s="87">
        <f t="shared" si="663"/>
        <v>326.28399999999999</v>
      </c>
      <c r="N148" s="87">
        <f t="shared" si="663"/>
        <v>322.48</v>
      </c>
      <c r="O148" s="33">
        <f t="shared" si="663"/>
        <v>323.84300000000002</v>
      </c>
      <c r="P148" s="87">
        <f t="shared" si="663"/>
        <v>323.815</v>
      </c>
      <c r="Q148" s="87">
        <f t="shared" si="663"/>
        <v>312.71800000000002</v>
      </c>
      <c r="R148" s="87">
        <f t="shared" si="663"/>
        <v>304.41500000000002</v>
      </c>
      <c r="S148" s="33">
        <f t="shared" si="663"/>
        <v>308.44200000000001</v>
      </c>
      <c r="T148" s="87">
        <f t="shared" si="663"/>
        <v>312.16199999999998</v>
      </c>
      <c r="U148" s="87">
        <f t="shared" si="663"/>
        <v>310.08999999999997</v>
      </c>
      <c r="V148" s="90">
        <v>309.44499999999999</v>
      </c>
      <c r="W148" s="33">
        <f t="shared" si="663"/>
        <v>306.80599999999998</v>
      </c>
      <c r="X148" s="87">
        <f t="shared" si="663"/>
        <v>301.68799999999999</v>
      </c>
      <c r="Y148" s="87">
        <f t="shared" si="663"/>
        <v>303.26</v>
      </c>
      <c r="Z148" s="87">
        <f t="shared" si="663"/>
        <v>304.51499999999999</v>
      </c>
      <c r="AA148" s="33">
        <f t="shared" si="663"/>
        <v>303.94400000000002</v>
      </c>
      <c r="AB148" s="87">
        <f>AB147</f>
        <v>301.07600000000002</v>
      </c>
      <c r="AC148" s="87">
        <f t="shared" si="663"/>
        <v>299.29000000000002</v>
      </c>
      <c r="AD148" s="87">
        <f t="shared" si="663"/>
        <v>300.221</v>
      </c>
      <c r="AE148" s="33">
        <f>+AE147</f>
        <v>299.79300000000001</v>
      </c>
      <c r="AF148" s="32">
        <f>+AF147</f>
        <v>298.78199999999998</v>
      </c>
      <c r="AG148" s="87">
        <f>AG147</f>
        <v>298.75900000000001</v>
      </c>
      <c r="AH148" s="87">
        <f>+AH147</f>
        <v>300.08199999999999</v>
      </c>
      <c r="AI148" s="33">
        <f>+AI147</f>
        <v>296.75599999999997</v>
      </c>
      <c r="AJ148" s="32">
        <f>+AJ147</f>
        <v>290.26</v>
      </c>
      <c r="AK148" s="87">
        <f>AK147</f>
        <v>288.565</v>
      </c>
      <c r="AL148" s="87">
        <f>+AL147</f>
        <v>288.57499999999999</v>
      </c>
      <c r="AM148" s="33">
        <f>+AM147</f>
        <v>289.48700000000002</v>
      </c>
      <c r="AN148" s="32">
        <f>+AN147</f>
        <v>289.43</v>
      </c>
      <c r="AO148" s="87">
        <v>287.95</v>
      </c>
      <c r="AP148" s="87">
        <f>+AP147</f>
        <v>288.83999999999997</v>
      </c>
      <c r="AQ148" s="33">
        <f>+AQ147</f>
        <v>289.346</v>
      </c>
      <c r="AR148" s="32">
        <v>288.89699999999999</v>
      </c>
      <c r="AS148" s="87">
        <f>AS147</f>
        <v>290.52100000000002</v>
      </c>
      <c r="AT148" s="87">
        <f>+AT147</f>
        <v>289.78300000000002</v>
      </c>
      <c r="AU148" s="88">
        <f>+AU147</f>
        <v>288.54399999999998</v>
      </c>
      <c r="AV148" s="32">
        <v>288.89699999999999</v>
      </c>
      <c r="AW148" s="87">
        <f>AW147</f>
        <v>288.10599999999999</v>
      </c>
      <c r="AX148" s="87">
        <f>+AX147</f>
        <v>287.88200000000001</v>
      </c>
      <c r="AY148" s="88">
        <f>AY147</f>
        <v>287.49400000000003</v>
      </c>
      <c r="AZ148" s="32">
        <f>AZ147</f>
        <v>286.43700000000001</v>
      </c>
      <c r="BA148" s="87">
        <f>BA147</f>
        <v>281.56</v>
      </c>
      <c r="BB148" s="87">
        <f>+BB147</f>
        <v>285.88099999999997</v>
      </c>
      <c r="BC148" s="33">
        <f t="shared" ref="BC148:BG148" si="664">BB148-0.3</f>
        <v>285.58099999999996</v>
      </c>
      <c r="BD148" s="32">
        <f t="shared" si="664"/>
        <v>285.28099999999995</v>
      </c>
      <c r="BE148" s="32">
        <f t="shared" si="664"/>
        <v>284.98099999999994</v>
      </c>
      <c r="BF148" s="32">
        <f t="shared" si="664"/>
        <v>284.68099999999993</v>
      </c>
      <c r="BG148" s="32">
        <f t="shared" si="664"/>
        <v>284.38099999999991</v>
      </c>
      <c r="BH148" s="32">
        <f>BG148-0.3</f>
        <v>284.0809999999999</v>
      </c>
      <c r="BI148" s="32">
        <f>BH148-0.3</f>
        <v>283.78099999999989</v>
      </c>
      <c r="BJ148" s="32">
        <f>BI148-0.3</f>
        <v>283.48099999999988</v>
      </c>
      <c r="BK148" s="32">
        <f>BJ148-0.3</f>
        <v>283.18099999999987</v>
      </c>
      <c r="BL148" s="20"/>
      <c r="BM148" s="32">
        <f>AVERAGE(D148:G148)</f>
        <v>340.04525000000001</v>
      </c>
      <c r="BN148" s="32">
        <f>AVERAGE(H148:K148)</f>
        <v>329.51949999999999</v>
      </c>
      <c r="BO148" s="32">
        <f>AVERAGE(L148:O148)</f>
        <v>325.37</v>
      </c>
      <c r="BP148" s="32">
        <f>AVERAGE(P148:S148)</f>
        <v>312.34750000000003</v>
      </c>
      <c r="BQ148" s="32">
        <f>AVERAGE(T148:W148)</f>
        <v>309.62574999999998</v>
      </c>
      <c r="BR148" s="32">
        <f>AVERAGE(X148:AA148)</f>
        <v>303.35174999999998</v>
      </c>
      <c r="BS148" s="32">
        <f>AVERAGE(AB148:AE148)</f>
        <v>300.09500000000003</v>
      </c>
      <c r="BT148" s="32">
        <f>AVERAGE(AF148:AI148)</f>
        <v>298.59474999999998</v>
      </c>
      <c r="BU148" s="32">
        <f>AVERAGE(AJ148:AM148)</f>
        <v>289.22175000000004</v>
      </c>
      <c r="BV148" s="32">
        <f>AVERAGE(AN148:AQ148)</f>
        <v>288.89150000000001</v>
      </c>
      <c r="BW148" s="32">
        <f>AVERAGE(AR148:AU148)</f>
        <v>289.43624999999997</v>
      </c>
      <c r="BX148" s="32">
        <f>AVERAGE(AV148:AY148)</f>
        <v>288.09474999999998</v>
      </c>
      <c r="BY148" s="32">
        <f>AVERAGE(AZ148:BC148)</f>
        <v>284.86475000000002</v>
      </c>
      <c r="BZ148" s="32">
        <f>AVERAGE(BD148:BG148)</f>
        <v>284.83099999999996</v>
      </c>
      <c r="CA148" s="33">
        <f>AVERAGE(BH148:BK148)</f>
        <v>283.63099999999991</v>
      </c>
      <c r="CB148" s="34"/>
      <c r="CC148" s="32"/>
      <c r="CD148" s="32"/>
      <c r="CE148" s="260"/>
      <c r="CF148" s="34">
        <f>AVERAGE(F148:I148)</f>
        <v>333.14425000000006</v>
      </c>
      <c r="CG148" s="32">
        <f>AVERAGE(J148:M148)</f>
        <v>328.85125000000005</v>
      </c>
      <c r="CH148" s="32">
        <f>AVERAGE(N148:Q148)</f>
        <v>320.71400000000006</v>
      </c>
      <c r="CI148" s="32">
        <f>AVERAGE(R148:U148)</f>
        <v>308.77724999999998</v>
      </c>
      <c r="CJ148" s="32">
        <f>AVERAGE(V148:Y148)</f>
        <v>305.29975000000002</v>
      </c>
      <c r="CK148" s="32">
        <f>AVERAGE(Z148:AC148)</f>
        <v>302.20625000000001</v>
      </c>
      <c r="CL148" s="32">
        <f>AVERAGE(AD148:AG148)</f>
        <v>299.38875000000002</v>
      </c>
      <c r="CM148" s="32">
        <f>AVERAGE(AH148:AK148)</f>
        <v>293.91575</v>
      </c>
      <c r="CN148" s="32">
        <f>AVERAGE(AL148:AO148)</f>
        <v>288.8605</v>
      </c>
      <c r="CO148" s="32">
        <f>AVERAGE(AP148:AS148)</f>
        <v>289.40099999999995</v>
      </c>
      <c r="CP148" s="32">
        <f>AVERAGE(AT148:AW148)</f>
        <v>288.83249999999998</v>
      </c>
      <c r="CQ148" s="32">
        <f>AVERAGE(AX148:BA148)</f>
        <v>285.84325000000001</v>
      </c>
      <c r="CR148" s="32">
        <f>AVERAGE(BB148:BE148)</f>
        <v>285.43099999999998</v>
      </c>
      <c r="CS148" s="33">
        <f>AVERAGE(BF148:BI148)</f>
        <v>284.23099999999994</v>
      </c>
      <c r="CT148" s="92"/>
    </row>
    <row r="149" spans="1:98" ht="14.25" customHeight="1">
      <c r="A149" s="8"/>
      <c r="B149" s="35" t="s">
        <v>367</v>
      </c>
      <c r="C149" s="36"/>
      <c r="D149" s="95">
        <f>D147/D144</f>
        <v>1.0571290923560566</v>
      </c>
      <c r="E149" s="95">
        <f>E147/E144</f>
        <v>1.0457005263401609</v>
      </c>
      <c r="F149" s="95">
        <f>F147/F144</f>
        <v>1.0481280754382793</v>
      </c>
      <c r="G149" s="96">
        <f>G147/G144</f>
        <v>1.0468898781920486</v>
      </c>
      <c r="H149" s="95">
        <f t="shared" ref="H149:W149" si="665">H147/H144</f>
        <v>1.0254383443518251</v>
      </c>
      <c r="I149" s="95">
        <f t="shared" si="665"/>
        <v>1.0282854941304558</v>
      </c>
      <c r="J149" s="95">
        <f t="shared" si="665"/>
        <v>1.0306096027801954</v>
      </c>
      <c r="K149" s="96">
        <f t="shared" si="665"/>
        <v>1.0294881317213527</v>
      </c>
      <c r="L149" s="95">
        <f t="shared" si="665"/>
        <v>1.0259551462628644</v>
      </c>
      <c r="M149" s="95">
        <f t="shared" si="665"/>
        <v>1.0178784787539035</v>
      </c>
      <c r="N149" s="95">
        <f t="shared" si="665"/>
        <v>1.0060114864000649</v>
      </c>
      <c r="O149" s="96">
        <f t="shared" si="665"/>
        <v>1.0102635133659645</v>
      </c>
      <c r="P149" s="95">
        <f t="shared" si="665"/>
        <v>1.0101761643160414</v>
      </c>
      <c r="Q149" s="95">
        <f t="shared" si="665"/>
        <v>1</v>
      </c>
      <c r="R149" s="95">
        <f t="shared" si="665"/>
        <v>1</v>
      </c>
      <c r="S149" s="96">
        <f t="shared" si="665"/>
        <v>1.0101360091960949</v>
      </c>
      <c r="T149" s="95">
        <f t="shared" si="665"/>
        <v>1.019217960271128</v>
      </c>
      <c r="U149" s="95">
        <f t="shared" si="665"/>
        <v>1.0156096474564724</v>
      </c>
      <c r="V149" s="95">
        <f t="shared" si="665"/>
        <v>1</v>
      </c>
      <c r="W149" s="96">
        <f t="shared" si="665"/>
        <v>1.0152818775067176</v>
      </c>
      <c r="X149" s="95">
        <f t="shared" ref="X149:AH149" si="666">X147/X144</f>
        <v>1.0116425678032031</v>
      </c>
      <c r="Y149" s="95">
        <f t="shared" si="666"/>
        <v>1.0226268757376495</v>
      </c>
      <c r="Z149" s="95">
        <f t="shared" si="666"/>
        <v>1.0269939395165777</v>
      </c>
      <c r="AA149" s="96">
        <f t="shared" si="666"/>
        <v>1.0277023577266011</v>
      </c>
      <c r="AB149" s="95">
        <f t="shared" si="666"/>
        <v>1.0224161643603022</v>
      </c>
      <c r="AC149" s="95">
        <f t="shared" si="666"/>
        <v>1.0255839135917539</v>
      </c>
      <c r="AD149" s="95">
        <f t="shared" si="666"/>
        <v>1.027183210390179</v>
      </c>
      <c r="AE149" s="96">
        <f t="shared" si="666"/>
        <v>1.0240335841670738</v>
      </c>
      <c r="AF149" s="95">
        <f t="shared" si="666"/>
        <v>1.0224801771310652</v>
      </c>
      <c r="AG149" s="95">
        <f t="shared" si="666"/>
        <v>1.0228845330822565</v>
      </c>
      <c r="AH149" s="95">
        <f t="shared" si="666"/>
        <v>1.0245622900221245</v>
      </c>
      <c r="AI149" s="96">
        <f t="shared" ref="AI149:AN149" si="667">AI147/AI144</f>
        <v>1.0227816340738798</v>
      </c>
      <c r="AJ149" s="95">
        <f t="shared" si="667"/>
        <v>1.0196940847485017</v>
      </c>
      <c r="AK149" s="95">
        <f t="shared" si="667"/>
        <v>1.0208763761922284</v>
      </c>
      <c r="AL149" s="95">
        <f t="shared" si="667"/>
        <v>1.0210454061360026</v>
      </c>
      <c r="AM149" s="96">
        <f t="shared" si="667"/>
        <v>1.0213667524018193</v>
      </c>
      <c r="AN149" s="95">
        <f t="shared" si="667"/>
        <v>1.0188112050576235</v>
      </c>
      <c r="AO149" s="95">
        <f t="shared" ref="AO149:AT149" si="668">AO147/AO144</f>
        <v>1</v>
      </c>
      <c r="AP149" s="95">
        <f t="shared" si="668"/>
        <v>1.0191307538688439</v>
      </c>
      <c r="AQ149" s="96">
        <f t="shared" si="668"/>
        <v>1.018099802253327</v>
      </c>
      <c r="AR149" s="95">
        <f t="shared" si="668"/>
        <v>1</v>
      </c>
      <c r="AS149" s="95">
        <f t="shared" si="668"/>
        <v>1.0174940285648242</v>
      </c>
      <c r="AT149" s="95">
        <f t="shared" si="668"/>
        <v>1.0137447788031653</v>
      </c>
      <c r="AU149" s="96">
        <f t="shared" ref="AU149:BG149" si="669">AU147/AU144</f>
        <v>1.0147351540685201</v>
      </c>
      <c r="AV149" s="95">
        <f t="shared" si="669"/>
        <v>1.0174203988957562</v>
      </c>
      <c r="AW149" s="95">
        <f t="shared" si="669"/>
        <v>1.0169858874526112</v>
      </c>
      <c r="AX149" s="95">
        <f t="shared" si="669"/>
        <v>1.0175996719723721</v>
      </c>
      <c r="AY149" s="96">
        <f t="shared" si="669"/>
        <v>1.0167888607129343</v>
      </c>
      <c r="AZ149" s="95">
        <f t="shared" si="669"/>
        <v>1.0151220895205018</v>
      </c>
      <c r="BA149" s="95">
        <f t="shared" si="669"/>
        <v>1</v>
      </c>
      <c r="BB149" s="95">
        <f t="shared" ref="BB149" si="670">BB147/BB144</f>
        <v>1.0179134769449882</v>
      </c>
      <c r="BC149" s="96">
        <f t="shared" si="669"/>
        <v>1.021460685811983</v>
      </c>
      <c r="BD149" s="95">
        <f t="shared" si="669"/>
        <v>1.0214837386001911</v>
      </c>
      <c r="BE149" s="95">
        <f t="shared" si="669"/>
        <v>1.0215068409676644</v>
      </c>
      <c r="BF149" s="95">
        <f t="shared" si="669"/>
        <v>1.021529993074519</v>
      </c>
      <c r="BG149" s="96">
        <f t="shared" si="669"/>
        <v>1.0215531950815608</v>
      </c>
      <c r="BH149" s="95">
        <f>BH147/BH144</f>
        <v>1.0215764471502908</v>
      </c>
      <c r="BI149" s="95">
        <f>BI147/BI144</f>
        <v>1.0215997494429065</v>
      </c>
      <c r="BJ149" s="95">
        <f>BJ147/BJ144</f>
        <v>1.0216231021223074</v>
      </c>
      <c r="BK149" s="96">
        <f>BK147/BK144</f>
        <v>1.0216465053520984</v>
      </c>
      <c r="BL149" s="20"/>
      <c r="BM149" s="95">
        <f t="shared" ref="BM149:BS149" si="671">BM147/BM144</f>
        <v>1.0468898781920486</v>
      </c>
      <c r="BN149" s="95">
        <f t="shared" si="671"/>
        <v>1.0294881317213527</v>
      </c>
      <c r="BO149" s="95">
        <f t="shared" si="671"/>
        <v>1.016512090044392</v>
      </c>
      <c r="BP149" s="95">
        <f t="shared" si="671"/>
        <v>1.0021685622818166</v>
      </c>
      <c r="BQ149" s="95">
        <f t="shared" si="671"/>
        <v>1.017850869560935</v>
      </c>
      <c r="BR149" s="95">
        <f t="shared" si="671"/>
        <v>1.0223147040487945</v>
      </c>
      <c r="BS149" s="95">
        <f t="shared" si="671"/>
        <v>1.0247991175857911</v>
      </c>
      <c r="BT149" s="95">
        <f t="shared" ref="BT149:CA149" si="672">BT147/BT144</f>
        <v>1.0231786944818997</v>
      </c>
      <c r="BU149" s="95">
        <f t="shared" si="672"/>
        <v>1.0207442190411657</v>
      </c>
      <c r="BV149" s="95">
        <f t="shared" si="672"/>
        <v>1.0140213519368151</v>
      </c>
      <c r="BW149" s="95">
        <f t="shared" si="672"/>
        <v>1.0115002604527494</v>
      </c>
      <c r="BX149" s="95">
        <f t="shared" si="672"/>
        <v>1.0171988306313831</v>
      </c>
      <c r="BY149" s="95">
        <f t="shared" si="672"/>
        <v>1.0136083710429378</v>
      </c>
      <c r="BZ149" s="95">
        <f t="shared" si="672"/>
        <v>1.0215184107936348</v>
      </c>
      <c r="CA149" s="96">
        <f t="shared" si="672"/>
        <v>1.02161141947405</v>
      </c>
      <c r="CB149" s="94"/>
      <c r="CC149" s="95"/>
      <c r="CD149" s="95"/>
      <c r="CE149" s="260"/>
      <c r="CF149" s="94">
        <f t="shared" ref="CF149:CL149" si="673">CF147/CF144</f>
        <v>1.0372129732472894</v>
      </c>
      <c r="CG149" s="95">
        <f t="shared" si="673"/>
        <v>1.0259825145289774</v>
      </c>
      <c r="CH149" s="95">
        <f t="shared" si="673"/>
        <v>1.0066534471353457</v>
      </c>
      <c r="CI149" s="95">
        <f t="shared" si="673"/>
        <v>1.0112554672570457</v>
      </c>
      <c r="CJ149" s="95">
        <f t="shared" si="673"/>
        <v>1.0123182229798113</v>
      </c>
      <c r="CK149" s="95">
        <f t="shared" si="673"/>
        <v>1.0256787726727765</v>
      </c>
      <c r="CL149" s="95">
        <f t="shared" si="673"/>
        <v>1.0241456366558028</v>
      </c>
      <c r="CM149" s="95">
        <f t="shared" ref="CM149:CR149" si="674">CM147/CM144</f>
        <v>1.0220028304379878</v>
      </c>
      <c r="CN149" s="95">
        <f t="shared" si="674"/>
        <v>1.0153097245167393</v>
      </c>
      <c r="CO149" s="95">
        <f t="shared" si="674"/>
        <v>1.0136771864073673</v>
      </c>
      <c r="CP149" s="95">
        <f t="shared" si="674"/>
        <v>1.0157166915098035</v>
      </c>
      <c r="CQ149" s="95">
        <f t="shared" si="674"/>
        <v>1.0123899838849635</v>
      </c>
      <c r="CR149" s="95">
        <f t="shared" si="674"/>
        <v>1.0205874176382617</v>
      </c>
      <c r="CS149" s="96">
        <f>CS147/CS144</f>
        <v>1.0215648148480938</v>
      </c>
      <c r="CT149" s="95"/>
    </row>
    <row r="150" spans="1:98" ht="14.25" customHeight="1">
      <c r="A150" s="8"/>
      <c r="B150" s="23"/>
      <c r="C150" s="24"/>
      <c r="D150" s="44"/>
      <c r="E150" s="44"/>
      <c r="F150" s="44"/>
      <c r="G150" s="45"/>
      <c r="H150" s="44"/>
      <c r="I150" s="44"/>
      <c r="J150" s="44"/>
      <c r="K150" s="45"/>
      <c r="L150" s="44"/>
      <c r="M150" s="44"/>
      <c r="N150" s="44"/>
      <c r="O150" s="45"/>
      <c r="P150" s="44"/>
      <c r="Q150" s="44"/>
      <c r="R150" s="44"/>
      <c r="S150" s="45"/>
      <c r="T150" s="44"/>
      <c r="U150" s="44"/>
      <c r="V150" s="44"/>
      <c r="W150" s="45"/>
      <c r="X150" s="44"/>
      <c r="Y150" s="44"/>
      <c r="Z150" s="44"/>
      <c r="AA150" s="45"/>
      <c r="AB150" s="44"/>
      <c r="AC150" s="44"/>
      <c r="AD150" s="44"/>
      <c r="AE150" s="45"/>
      <c r="AF150" s="44"/>
      <c r="AG150" s="44"/>
      <c r="AH150" s="44"/>
      <c r="AI150" s="45"/>
      <c r="AJ150" s="44"/>
      <c r="AK150" s="44"/>
      <c r="AL150" s="44"/>
      <c r="AM150" s="45"/>
      <c r="AN150" s="44"/>
      <c r="AO150" s="44"/>
      <c r="AP150" s="44"/>
      <c r="AQ150" s="45"/>
      <c r="AR150" s="44"/>
      <c r="AS150" s="44"/>
      <c r="AT150" s="44"/>
      <c r="AU150" s="45"/>
      <c r="AV150" s="44"/>
      <c r="AW150" s="44"/>
      <c r="AX150" s="44"/>
      <c r="AY150" s="45"/>
      <c r="AZ150" s="44"/>
      <c r="BA150" s="44"/>
      <c r="BB150" s="44"/>
      <c r="BC150" s="45"/>
      <c r="BD150" s="44"/>
      <c r="BE150" s="44"/>
      <c r="BF150" s="44"/>
      <c r="BG150" s="45"/>
      <c r="BH150" s="44"/>
      <c r="BI150" s="44"/>
      <c r="BJ150" s="44"/>
      <c r="BK150" s="45"/>
      <c r="BL150" s="20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5"/>
      <c r="CB150" s="54"/>
      <c r="CC150" s="44"/>
      <c r="CD150" s="44"/>
      <c r="CE150" s="260"/>
      <c r="CF150" s="111"/>
      <c r="CG150" s="112"/>
      <c r="CH150" s="112"/>
      <c r="CI150" s="112"/>
      <c r="CJ150" s="112"/>
      <c r="CK150" s="112"/>
      <c r="CL150" s="112"/>
      <c r="CM150" s="112"/>
      <c r="CN150" s="112"/>
      <c r="CO150" s="112"/>
      <c r="CP150" s="112" t="s">
        <v>596</v>
      </c>
      <c r="CQ150" s="112"/>
      <c r="CR150" s="112"/>
      <c r="CS150" s="113"/>
      <c r="CT150" s="112"/>
    </row>
    <row r="151" spans="1:98" ht="14.25" customHeight="1">
      <c r="A151" s="8"/>
      <c r="B151" s="23" t="s">
        <v>368</v>
      </c>
      <c r="C151" s="24"/>
      <c r="D151" s="87">
        <f t="shared" ref="D151:AA151" si="675">D147</f>
        <v>346.69499999999999</v>
      </c>
      <c r="E151" s="87">
        <f t="shared" si="675"/>
        <v>338.73899999999998</v>
      </c>
      <c r="F151" s="87">
        <f t="shared" si="675"/>
        <v>336.12</v>
      </c>
      <c r="G151" s="33">
        <f t="shared" si="675"/>
        <v>338.62700000000001</v>
      </c>
      <c r="H151" s="87">
        <f t="shared" si="675"/>
        <v>328.21</v>
      </c>
      <c r="I151" s="87">
        <f t="shared" si="675"/>
        <v>329.62</v>
      </c>
      <c r="J151" s="87">
        <f t="shared" si="675"/>
        <v>330.36500000000001</v>
      </c>
      <c r="K151" s="33">
        <f t="shared" si="675"/>
        <v>329.88299999999998</v>
      </c>
      <c r="L151" s="87">
        <f t="shared" si="675"/>
        <v>328.87299999999999</v>
      </c>
      <c r="M151" s="87">
        <f t="shared" si="675"/>
        <v>326.28399999999999</v>
      </c>
      <c r="N151" s="87">
        <f t="shared" si="675"/>
        <v>322.48</v>
      </c>
      <c r="O151" s="33">
        <f t="shared" si="675"/>
        <v>323.84300000000002</v>
      </c>
      <c r="P151" s="87">
        <f t="shared" si="675"/>
        <v>323.815</v>
      </c>
      <c r="Q151" s="87">
        <f t="shared" si="675"/>
        <v>312.71800000000002</v>
      </c>
      <c r="R151" s="87">
        <f t="shared" si="675"/>
        <v>304.41500000000002</v>
      </c>
      <c r="S151" s="33">
        <f t="shared" si="675"/>
        <v>308.44200000000001</v>
      </c>
      <c r="T151" s="87">
        <f t="shared" si="675"/>
        <v>312.16199999999998</v>
      </c>
      <c r="U151" s="87">
        <f t="shared" si="675"/>
        <v>310.08999999999997</v>
      </c>
      <c r="V151" s="87">
        <f t="shared" si="675"/>
        <v>304.51799999999997</v>
      </c>
      <c r="W151" s="33">
        <f t="shared" si="675"/>
        <v>306.80599999999998</v>
      </c>
      <c r="X151" s="87">
        <f t="shared" si="675"/>
        <v>301.68799999999999</v>
      </c>
      <c r="Y151" s="87">
        <f t="shared" si="675"/>
        <v>303.26</v>
      </c>
      <c r="Z151" s="87">
        <f t="shared" si="675"/>
        <v>304.51499999999999</v>
      </c>
      <c r="AA151" s="33">
        <f t="shared" si="675"/>
        <v>303.94400000000002</v>
      </c>
      <c r="AB151" s="87">
        <f>AB147</f>
        <v>301.07600000000002</v>
      </c>
      <c r="AC151" s="87">
        <f>AC147</f>
        <v>299.29000000000002</v>
      </c>
      <c r="AD151" s="87">
        <f>AD147</f>
        <v>300.221</v>
      </c>
      <c r="AE151" s="33">
        <f t="shared" ref="AE151:AM151" si="676">+AE147</f>
        <v>299.79300000000001</v>
      </c>
      <c r="AF151" s="34">
        <f t="shared" si="676"/>
        <v>298.78199999999998</v>
      </c>
      <c r="AG151" s="32">
        <f t="shared" si="676"/>
        <v>298.75900000000001</v>
      </c>
      <c r="AH151" s="32">
        <f t="shared" si="676"/>
        <v>300.08199999999999</v>
      </c>
      <c r="AI151" s="33">
        <f t="shared" si="676"/>
        <v>296.75599999999997</v>
      </c>
      <c r="AJ151" s="34">
        <f t="shared" si="676"/>
        <v>290.26</v>
      </c>
      <c r="AK151" s="32">
        <f t="shared" si="676"/>
        <v>288.565</v>
      </c>
      <c r="AL151" s="32">
        <f t="shared" si="676"/>
        <v>288.57499999999999</v>
      </c>
      <c r="AM151" s="33">
        <f t="shared" si="676"/>
        <v>289.48700000000002</v>
      </c>
      <c r="AN151" s="34">
        <f t="shared" ref="AN151:AS151" si="677">+AN147</f>
        <v>289.43</v>
      </c>
      <c r="AO151" s="32">
        <f t="shared" si="677"/>
        <v>282.99200000000002</v>
      </c>
      <c r="AP151" s="32">
        <f t="shared" si="677"/>
        <v>288.83999999999997</v>
      </c>
      <c r="AQ151" s="33">
        <f t="shared" si="677"/>
        <v>289.346</v>
      </c>
      <c r="AR151" s="34">
        <f t="shared" si="677"/>
        <v>284.58800000000002</v>
      </c>
      <c r="AS151" s="32">
        <f t="shared" si="677"/>
        <v>290.52100000000002</v>
      </c>
      <c r="AT151" s="32">
        <f t="shared" ref="AT151:BA151" si="678">+AT147</f>
        <v>289.78300000000002</v>
      </c>
      <c r="AU151" s="33">
        <f t="shared" si="678"/>
        <v>288.54399999999998</v>
      </c>
      <c r="AV151" s="32">
        <f t="shared" si="678"/>
        <v>288.57400000000001</v>
      </c>
      <c r="AW151" s="32">
        <f t="shared" si="678"/>
        <v>288.10599999999999</v>
      </c>
      <c r="AX151" s="32">
        <f t="shared" si="678"/>
        <v>287.88200000000001</v>
      </c>
      <c r="AY151" s="33">
        <f t="shared" si="678"/>
        <v>287.49400000000003</v>
      </c>
      <c r="AZ151" s="1499">
        <f t="shared" si="678"/>
        <v>286.43700000000001</v>
      </c>
      <c r="BA151" s="1499">
        <f t="shared" si="678"/>
        <v>281.56</v>
      </c>
      <c r="BB151" s="32">
        <f t="shared" ref="BB151" si="679">+BB147</f>
        <v>285.88099999999997</v>
      </c>
      <c r="BC151" s="1302">
        <f>BB151+(CFS!BC47)/BC154</f>
        <v>285.88099999999997</v>
      </c>
      <c r="BD151" s="1231">
        <f>BC151+(CFS!BD47)/BD154</f>
        <v>285.88099999999997</v>
      </c>
      <c r="BE151" s="1231">
        <f>BD151+(CFS!BE47)/BE154</f>
        <v>285.88099999999997</v>
      </c>
      <c r="BF151" s="1231">
        <f>BE151+(CFS!BF47)/BF154</f>
        <v>285.88099999999997</v>
      </c>
      <c r="BG151" s="1302">
        <f>BF151+(CFS!BG47)/BG154</f>
        <v>285.88099999999997</v>
      </c>
      <c r="BH151" s="1231">
        <f>BG151+(CFS!BH47)/BH154</f>
        <v>285.88099999999997</v>
      </c>
      <c r="BI151" s="1231">
        <f>BH151+(CFS!BI47)/BI154</f>
        <v>285.88099999999997</v>
      </c>
      <c r="BJ151" s="1231">
        <f>BI151+(CFS!BJ47)/BJ154</f>
        <v>285.88099999999997</v>
      </c>
      <c r="BK151" s="1302">
        <f>BJ151+(CFS!BK47)/BK154</f>
        <v>285.88099999999997</v>
      </c>
      <c r="BL151" s="20"/>
      <c r="BM151" s="92">
        <f t="shared" ref="BM151:BT151" si="680">AB151</f>
        <v>301.07600000000002</v>
      </c>
      <c r="BN151" s="92">
        <f t="shared" si="680"/>
        <v>299.29000000000002</v>
      </c>
      <c r="BO151" s="92">
        <f t="shared" si="680"/>
        <v>300.221</v>
      </c>
      <c r="BP151" s="92">
        <f t="shared" si="680"/>
        <v>299.79300000000001</v>
      </c>
      <c r="BQ151" s="92">
        <f t="shared" si="680"/>
        <v>298.78199999999998</v>
      </c>
      <c r="BR151" s="92">
        <f t="shared" si="680"/>
        <v>298.75900000000001</v>
      </c>
      <c r="BS151" s="92">
        <f t="shared" si="680"/>
        <v>300.08199999999999</v>
      </c>
      <c r="BT151" s="92">
        <f t="shared" si="680"/>
        <v>296.75599999999997</v>
      </c>
      <c r="BU151" s="92">
        <f>AM151</f>
        <v>289.48700000000002</v>
      </c>
      <c r="BV151" s="92">
        <f>AN151</f>
        <v>289.43</v>
      </c>
      <c r="BW151" s="92">
        <f>AO151</f>
        <v>282.99200000000002</v>
      </c>
      <c r="BX151" s="92">
        <f>AY151</f>
        <v>287.49400000000003</v>
      </c>
      <c r="BY151" s="92">
        <f>BC151</f>
        <v>285.88099999999997</v>
      </c>
      <c r="BZ151" s="92">
        <f>BG151</f>
        <v>285.88099999999997</v>
      </c>
      <c r="CA151" s="93">
        <f>BK151</f>
        <v>285.88099999999997</v>
      </c>
      <c r="CB151" s="1474"/>
      <c r="CC151" s="1421"/>
      <c r="CD151" s="1421"/>
      <c r="CE151" s="260"/>
      <c r="CF151" s="334">
        <f t="shared" ref="CF151:CL151" si="681">AA151</f>
        <v>303.94400000000002</v>
      </c>
      <c r="CG151" s="92">
        <f t="shared" si="681"/>
        <v>301.07600000000002</v>
      </c>
      <c r="CH151" s="92">
        <f t="shared" si="681"/>
        <v>299.29000000000002</v>
      </c>
      <c r="CI151" s="92">
        <f t="shared" si="681"/>
        <v>300.221</v>
      </c>
      <c r="CJ151" s="92">
        <f t="shared" si="681"/>
        <v>299.79300000000001</v>
      </c>
      <c r="CK151" s="92">
        <f t="shared" si="681"/>
        <v>298.78199999999998</v>
      </c>
      <c r="CL151" s="92">
        <f t="shared" si="681"/>
        <v>298.75900000000001</v>
      </c>
      <c r="CM151" s="92">
        <f>AK151</f>
        <v>288.565</v>
      </c>
      <c r="CN151" s="92">
        <f>AO151</f>
        <v>282.99200000000002</v>
      </c>
      <c r="CO151" s="92">
        <f>AS151</f>
        <v>290.52100000000002</v>
      </c>
      <c r="CP151" s="92">
        <f>AW151</f>
        <v>288.10599999999999</v>
      </c>
      <c r="CQ151" s="92">
        <f>BA151</f>
        <v>281.56</v>
      </c>
      <c r="CR151" s="92">
        <f>BE151</f>
        <v>285.88099999999997</v>
      </c>
      <c r="CS151" s="93">
        <f>BI151</f>
        <v>285.88099999999997</v>
      </c>
      <c r="CT151" s="92"/>
    </row>
    <row r="152" spans="1:98" ht="14.25" customHeight="1">
      <c r="A152" s="8"/>
      <c r="B152" s="23"/>
      <c r="C152" s="24"/>
      <c r="D152" s="90"/>
      <c r="E152" s="97"/>
      <c r="F152" s="97"/>
      <c r="G152" s="98"/>
      <c r="H152" s="90"/>
      <c r="I152" s="97"/>
      <c r="J152" s="97"/>
      <c r="K152" s="98"/>
      <c r="L152" s="90"/>
      <c r="M152" s="97"/>
      <c r="N152" s="97"/>
      <c r="O152" s="98"/>
      <c r="P152" s="90"/>
      <c r="Q152" s="97"/>
      <c r="R152" s="97"/>
      <c r="S152" s="98"/>
      <c r="T152" s="90"/>
      <c r="U152" s="97"/>
      <c r="V152" s="97"/>
      <c r="W152" s="98"/>
      <c r="X152" s="90"/>
      <c r="Y152" s="97"/>
      <c r="Z152" s="97"/>
      <c r="AA152" s="98"/>
      <c r="AB152" s="90"/>
      <c r="AC152" s="97"/>
      <c r="AD152" s="97"/>
      <c r="AE152" s="98"/>
      <c r="AF152" s="99"/>
      <c r="AG152" s="97"/>
      <c r="AH152" s="97"/>
      <c r="AI152" s="98"/>
      <c r="AJ152" s="99"/>
      <c r="AK152" s="97"/>
      <c r="AL152" s="97"/>
      <c r="AM152" s="98"/>
      <c r="AN152" s="99"/>
      <c r="AO152" s="97"/>
      <c r="AP152" s="97"/>
      <c r="AQ152" s="98"/>
      <c r="AR152" s="99"/>
      <c r="AS152" s="97"/>
      <c r="AT152" s="97"/>
      <c r="AU152" s="98"/>
      <c r="AV152" s="97"/>
      <c r="AW152" s="97"/>
      <c r="AX152" s="97"/>
      <c r="AY152" s="98"/>
      <c r="AZ152" s="97"/>
      <c r="BA152" s="97"/>
      <c r="BB152" s="97"/>
      <c r="BC152" s="98"/>
      <c r="BD152" s="97"/>
      <c r="BE152" s="97"/>
      <c r="BF152" s="97"/>
      <c r="BG152" s="98"/>
      <c r="BH152" s="97"/>
      <c r="BI152" s="97"/>
      <c r="BJ152" s="97"/>
      <c r="BK152" s="98"/>
      <c r="BL152" s="20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5"/>
      <c r="CB152" s="54"/>
      <c r="CC152" s="44"/>
      <c r="CD152" s="44"/>
      <c r="CE152" s="260"/>
      <c r="CF152" s="111"/>
      <c r="CG152" s="112"/>
      <c r="CH152" s="112"/>
      <c r="CI152" s="112"/>
      <c r="CJ152" s="112"/>
      <c r="CK152" s="112"/>
      <c r="CL152" s="112"/>
      <c r="CM152" s="112"/>
      <c r="CN152" s="112"/>
      <c r="CO152" s="112"/>
      <c r="CP152" s="112"/>
      <c r="CQ152" s="112"/>
      <c r="CR152" s="112"/>
      <c r="CS152" s="113"/>
      <c r="CT152" s="112"/>
    </row>
    <row r="153" spans="1:98" ht="14.25" customHeight="1">
      <c r="A153" s="8"/>
      <c r="B153" s="23" t="s">
        <v>369</v>
      </c>
      <c r="C153" s="24"/>
      <c r="D153" s="663">
        <v>0.1</v>
      </c>
      <c r="E153" s="663">
        <v>0.125</v>
      </c>
      <c r="F153" s="663">
        <v>0.125</v>
      </c>
      <c r="G153" s="664">
        <f>0.475-F153-E153-D153</f>
        <v>0.12499999999999997</v>
      </c>
      <c r="H153" s="663">
        <v>0.156</v>
      </c>
      <c r="I153" s="663">
        <v>0.16</v>
      </c>
      <c r="J153" s="663">
        <v>0.16</v>
      </c>
      <c r="K153" s="664">
        <f>0.624-J153-I153-H153</f>
        <v>0.14799999999999994</v>
      </c>
      <c r="L153" s="663">
        <v>0.188</v>
      </c>
      <c r="M153" s="663">
        <v>0.188</v>
      </c>
      <c r="N153" s="663">
        <v>0.19</v>
      </c>
      <c r="O153" s="664">
        <f>0.75-N153-M153-L153</f>
        <v>0.18400000000000005</v>
      </c>
      <c r="P153" s="663">
        <v>0.2</v>
      </c>
      <c r="Q153" s="663">
        <v>0.2</v>
      </c>
      <c r="R153" s="663">
        <v>0.2</v>
      </c>
      <c r="S153" s="664">
        <f>0.8-R153-Q153-P153</f>
        <v>0.20000000000000007</v>
      </c>
      <c r="T153" s="663">
        <v>0.2</v>
      </c>
      <c r="U153" s="663">
        <v>0.2</v>
      </c>
      <c r="V153" s="663">
        <v>0.2</v>
      </c>
      <c r="W153" s="664">
        <f>0.8-V153-U153-T153</f>
        <v>0.20000000000000007</v>
      </c>
      <c r="X153" s="663">
        <v>0.21</v>
      </c>
      <c r="Y153" s="663">
        <v>0.21</v>
      </c>
      <c r="Z153" s="663">
        <v>0.21</v>
      </c>
      <c r="AA153" s="664">
        <f>0.84-Z153-Y153-X153</f>
        <v>0.21000000000000005</v>
      </c>
      <c r="AB153" s="663">
        <v>0.22</v>
      </c>
      <c r="AC153" s="663">
        <v>0.22</v>
      </c>
      <c r="AD153" s="663">
        <v>0.22</v>
      </c>
      <c r="AE153" s="777">
        <v>0.22</v>
      </c>
      <c r="AF153" s="781">
        <v>0.24</v>
      </c>
      <c r="AG153" s="663">
        <v>0.24</v>
      </c>
      <c r="AH153" s="663">
        <v>0.24</v>
      </c>
      <c r="AI153" s="777">
        <v>0.24</v>
      </c>
      <c r="AJ153" s="781">
        <v>0.26</v>
      </c>
      <c r="AK153" s="663">
        <v>0.26</v>
      </c>
      <c r="AL153" s="663">
        <v>0.26</v>
      </c>
      <c r="AM153" s="777">
        <v>0.26</v>
      </c>
      <c r="AN153" s="781">
        <v>0.28000000000000003</v>
      </c>
      <c r="AO153" s="663">
        <v>0.28000000000000003</v>
      </c>
      <c r="AP153" s="663">
        <v>0.28000000000000003</v>
      </c>
      <c r="AQ153" s="777">
        <v>0.28000000000000003</v>
      </c>
      <c r="AR153" s="781">
        <v>0.28000000000000003</v>
      </c>
      <c r="AS153" s="663">
        <v>0.3</v>
      </c>
      <c r="AT153" s="663">
        <v>0.3</v>
      </c>
      <c r="AU153" s="777">
        <v>0.33</v>
      </c>
      <c r="AV153" s="663">
        <v>0.33</v>
      </c>
      <c r="AW153" s="663">
        <v>0.33</v>
      </c>
      <c r="AX153" s="663">
        <v>0.33</v>
      </c>
      <c r="AY153" s="777">
        <v>0.36</v>
      </c>
      <c r="AZ153" s="663">
        <v>0.36</v>
      </c>
      <c r="BA153" s="663">
        <v>0.36</v>
      </c>
      <c r="BB153" s="663">
        <v>0.42</v>
      </c>
      <c r="BC153" s="665">
        <f t="shared" ref="BC153:BG153" si="682">+BB153</f>
        <v>0.42</v>
      </c>
      <c r="BD153" s="666">
        <f t="shared" si="682"/>
        <v>0.42</v>
      </c>
      <c r="BE153" s="666">
        <f t="shared" si="682"/>
        <v>0.42</v>
      </c>
      <c r="BF153" s="666">
        <f t="shared" si="682"/>
        <v>0.42</v>
      </c>
      <c r="BG153" s="665">
        <f t="shared" si="682"/>
        <v>0.42</v>
      </c>
      <c r="BH153" s="666">
        <f>+BG153</f>
        <v>0.42</v>
      </c>
      <c r="BI153" s="666">
        <f>+BH153</f>
        <v>0.42</v>
      </c>
      <c r="BJ153" s="666">
        <f>+BI153</f>
        <v>0.42</v>
      </c>
      <c r="BK153" s="665">
        <f>+BJ153</f>
        <v>0.42</v>
      </c>
      <c r="BL153" s="667"/>
      <c r="BM153" s="668">
        <f>SUM(D153:G153)</f>
        <v>0.47499999999999998</v>
      </c>
      <c r="BN153" s="668">
        <f>SUM(H153:K153)</f>
        <v>0.62399999999999989</v>
      </c>
      <c r="BO153" s="668">
        <f>SUM(L153:O153)</f>
        <v>0.75000000000000011</v>
      </c>
      <c r="BP153" s="668">
        <f>SUM(P153:S153)</f>
        <v>0.80000000000000016</v>
      </c>
      <c r="BQ153" s="668">
        <f>SUM(T153:W153)</f>
        <v>0.80000000000000016</v>
      </c>
      <c r="BR153" s="668">
        <f>SUM(X153:AA153)</f>
        <v>0.84000000000000008</v>
      </c>
      <c r="BS153" s="668">
        <f>SUM(AB153:AE153)</f>
        <v>0.88</v>
      </c>
      <c r="BT153" s="668">
        <f>SUM(AF153:AI153)</f>
        <v>0.96</v>
      </c>
      <c r="BU153" s="668">
        <f>SUM(AJ153:AM153)</f>
        <v>1.04</v>
      </c>
      <c r="BV153" s="668">
        <f>SUM(AN153:AQ153)</f>
        <v>1.1200000000000001</v>
      </c>
      <c r="BW153" s="668">
        <f>SUM(AR153:AU153)</f>
        <v>1.2100000000000002</v>
      </c>
      <c r="BX153" s="668">
        <f>SUM(AV153:AY153)</f>
        <v>1.35</v>
      </c>
      <c r="BY153" s="668">
        <f>SUM(AZ153:BC153)</f>
        <v>1.5599999999999998</v>
      </c>
      <c r="BZ153" s="668">
        <f>SUM(BD153:BG153)</f>
        <v>1.68</v>
      </c>
      <c r="CA153" s="669">
        <f>SUM(BH153:BK153)</f>
        <v>1.68</v>
      </c>
      <c r="CB153" s="1474"/>
      <c r="CC153" s="1421"/>
      <c r="CD153" s="1421"/>
      <c r="CE153" s="260"/>
      <c r="CF153" s="34">
        <f>SUM(F153:I153)</f>
        <v>0.56599999999999995</v>
      </c>
      <c r="CG153" s="32">
        <f>SUM(J153:M153)</f>
        <v>0.68399999999999994</v>
      </c>
      <c r="CH153" s="32">
        <f>SUM(N153:Q153)</f>
        <v>0.77400000000000002</v>
      </c>
      <c r="CI153" s="32">
        <f>SUM(R153:U153)</f>
        <v>0.8</v>
      </c>
      <c r="CJ153" s="32">
        <f>SUM(V153:Y153)</f>
        <v>0.82000000000000006</v>
      </c>
      <c r="CK153" s="32">
        <f>SUM(Z153:AC153)</f>
        <v>0.86</v>
      </c>
      <c r="CL153" s="32">
        <f>SUM(AD153:AG153)</f>
        <v>0.91999999999999993</v>
      </c>
      <c r="CM153" s="32">
        <f>SUM(AH153:AK153)</f>
        <v>1</v>
      </c>
      <c r="CN153" s="32">
        <f>SUM(AL153:AO153)</f>
        <v>1.08</v>
      </c>
      <c r="CO153" s="32">
        <f>SUM(AP153:AS153)</f>
        <v>1.1400000000000001</v>
      </c>
      <c r="CP153" s="32">
        <f>SUM(AT153:AW153)</f>
        <v>1.29</v>
      </c>
      <c r="CQ153" s="32">
        <f>SUM(AX153:BA153)</f>
        <v>1.4099999999999997</v>
      </c>
      <c r="CR153" s="32">
        <f>SUM(BB153:BE153)</f>
        <v>1.68</v>
      </c>
      <c r="CS153" s="33">
        <f>SUM(BF153:BI153)</f>
        <v>1.68</v>
      </c>
      <c r="CT153" s="32"/>
    </row>
    <row r="154" spans="1:98" ht="14.25" customHeight="1">
      <c r="A154" s="8"/>
      <c r="B154" s="23" t="s">
        <v>370</v>
      </c>
      <c r="C154" s="24"/>
      <c r="D154" s="100"/>
      <c r="E154" s="100"/>
      <c r="F154" s="101"/>
      <c r="G154" s="102"/>
      <c r="H154" s="100"/>
      <c r="I154" s="100"/>
      <c r="J154" s="101"/>
      <c r="K154" s="102"/>
      <c r="L154" s="100"/>
      <c r="M154" s="100"/>
      <c r="N154" s="101"/>
      <c r="O154" s="102"/>
      <c r="P154" s="100"/>
      <c r="Q154" s="100"/>
      <c r="R154" s="101"/>
      <c r="S154" s="102"/>
      <c r="T154" s="100"/>
      <c r="U154" s="100"/>
      <c r="V154" s="101"/>
      <c r="W154" s="102"/>
      <c r="X154" s="100"/>
      <c r="Y154" s="100"/>
      <c r="Z154" s="101"/>
      <c r="AA154" s="102"/>
      <c r="AB154" s="367"/>
      <c r="AC154" s="367"/>
      <c r="AD154" s="367">
        <v>25</v>
      </c>
      <c r="AE154" s="33">
        <f t="shared" ref="AE154:AY154" si="683">AD154*((1+AE155)^(1/4))</f>
        <v>25.602842227111129</v>
      </c>
      <c r="AF154" s="34">
        <f t="shared" si="683"/>
        <v>26.220221204253789</v>
      </c>
      <c r="AG154" s="32">
        <f t="shared" si="683"/>
        <v>26.852487466098541</v>
      </c>
      <c r="AH154" s="32">
        <f t="shared" si="683"/>
        <v>27.5</v>
      </c>
      <c r="AI154" s="33">
        <f t="shared" si="683"/>
        <v>28.16312644982224</v>
      </c>
      <c r="AJ154" s="34">
        <f t="shared" si="683"/>
        <v>28.842243324679167</v>
      </c>
      <c r="AK154" s="32">
        <f t="shared" si="683"/>
        <v>29.537736212708392</v>
      </c>
      <c r="AL154" s="32">
        <f t="shared" si="683"/>
        <v>30.249999999999996</v>
      </c>
      <c r="AM154" s="33">
        <f t="shared" si="683"/>
        <v>30.979439094804462</v>
      </c>
      <c r="AN154" s="34">
        <f t="shared" si="683"/>
        <v>31.726467657147079</v>
      </c>
      <c r="AO154" s="32">
        <f t="shared" si="683"/>
        <v>32.491509833979229</v>
      </c>
      <c r="AP154" s="32">
        <f t="shared" si="683"/>
        <v>33.274999999999999</v>
      </c>
      <c r="AQ154" s="33">
        <f t="shared" si="683"/>
        <v>34.077383004284911</v>
      </c>
      <c r="AR154" s="34">
        <f t="shared" si="683"/>
        <v>34.899114422861793</v>
      </c>
      <c r="AS154" s="32">
        <f t="shared" si="683"/>
        <v>35.740660817377155</v>
      </c>
      <c r="AT154" s="32">
        <f t="shared" si="683"/>
        <v>36.602499999999999</v>
      </c>
      <c r="AU154" s="32">
        <f t="shared" si="683"/>
        <v>37.485121304713402</v>
      </c>
      <c r="AV154" s="34">
        <f t="shared" si="683"/>
        <v>38.389025865147971</v>
      </c>
      <c r="AW154" s="32">
        <f>AV154*((1+AW155)^(1/4))</f>
        <v>39.314726899114874</v>
      </c>
      <c r="AX154" s="32">
        <f t="shared" si="683"/>
        <v>40.262749999999997</v>
      </c>
      <c r="AY154" s="33">
        <f t="shared" si="683"/>
        <v>41.233633435184743</v>
      </c>
      <c r="AZ154" s="32">
        <f t="shared" ref="AZ154:BG154" si="684">AY154*((1+AZ155)^(1/4))</f>
        <v>42.22792845166277</v>
      </c>
      <c r="BA154" s="32">
        <f>AZ154*((1+BA155)^(1/4))</f>
        <v>43.246199589026361</v>
      </c>
      <c r="BB154" s="32">
        <f t="shared" ref="BB154" si="685">BA154*((1+BB155)^(1/4))</f>
        <v>44.289025000000002</v>
      </c>
      <c r="BC154" s="33">
        <f t="shared" si="684"/>
        <v>45.35699677870322</v>
      </c>
      <c r="BD154" s="32">
        <f t="shared" si="684"/>
        <v>46.450721296829045</v>
      </c>
      <c r="BE154" s="32">
        <f t="shared" si="684"/>
        <v>47.570819547928991</v>
      </c>
      <c r="BF154" s="32">
        <f t="shared" si="684"/>
        <v>48.717927499999995</v>
      </c>
      <c r="BG154" s="33">
        <f t="shared" si="684"/>
        <v>49.892696456573532</v>
      </c>
      <c r="BH154" s="32">
        <f>BG154*((1+BH155)^(1/4))</f>
        <v>51.095793426511939</v>
      </c>
      <c r="BI154" s="32">
        <f>BH154*((1+BI155)^(1/4))</f>
        <v>52.327901502721879</v>
      </c>
      <c r="BJ154" s="32">
        <f>BI154*((1+BJ155)^(1/4))</f>
        <v>53.589720249999985</v>
      </c>
      <c r="BK154" s="33">
        <f>BJ154*((1+BK155)^(1/4))</f>
        <v>54.881966102230876</v>
      </c>
      <c r="BL154" s="20"/>
      <c r="BM154" s="87">
        <f t="shared" ref="BM154:BT154" si="686">AB154</f>
        <v>0</v>
      </c>
      <c r="BN154" s="87">
        <f t="shared" si="686"/>
        <v>0</v>
      </c>
      <c r="BO154" s="87">
        <f t="shared" si="686"/>
        <v>25</v>
      </c>
      <c r="BP154" s="87">
        <f t="shared" si="686"/>
        <v>25.602842227111129</v>
      </c>
      <c r="BQ154" s="87">
        <f t="shared" si="686"/>
        <v>26.220221204253789</v>
      </c>
      <c r="BR154" s="87">
        <f t="shared" si="686"/>
        <v>26.852487466098541</v>
      </c>
      <c r="BS154" s="87">
        <f t="shared" si="686"/>
        <v>27.5</v>
      </c>
      <c r="BT154" s="87">
        <f t="shared" si="686"/>
        <v>28.16312644982224</v>
      </c>
      <c r="BU154" s="87">
        <f>AM154</f>
        <v>30.979439094804462</v>
      </c>
      <c r="BV154" s="87">
        <f>AQ154</f>
        <v>34.077383004284911</v>
      </c>
      <c r="BW154" s="87">
        <f>AU154</f>
        <v>37.485121304713402</v>
      </c>
      <c r="BX154" s="87">
        <f>AY154</f>
        <v>41.233633435184743</v>
      </c>
      <c r="BY154" s="87">
        <f>BC154</f>
        <v>45.35699677870322</v>
      </c>
      <c r="BZ154" s="87">
        <f>BG154</f>
        <v>49.892696456573532</v>
      </c>
      <c r="CA154" s="88">
        <f>BK154</f>
        <v>54.881966102230876</v>
      </c>
      <c r="CB154" s="86"/>
      <c r="CC154" s="87"/>
      <c r="CD154" s="87"/>
      <c r="CE154" s="260"/>
      <c r="CF154" s="86">
        <f t="shared" ref="CF154:CL154" si="687">AA154</f>
        <v>0</v>
      </c>
      <c r="CG154" s="87">
        <f t="shared" si="687"/>
        <v>0</v>
      </c>
      <c r="CH154" s="87">
        <f t="shared" si="687"/>
        <v>0</v>
      </c>
      <c r="CI154" s="87">
        <f t="shared" si="687"/>
        <v>25</v>
      </c>
      <c r="CJ154" s="87">
        <f t="shared" si="687"/>
        <v>25.602842227111129</v>
      </c>
      <c r="CK154" s="87">
        <f t="shared" si="687"/>
        <v>26.220221204253789</v>
      </c>
      <c r="CL154" s="87">
        <f t="shared" si="687"/>
        <v>26.852487466098541</v>
      </c>
      <c r="CM154" s="87">
        <f>AK154</f>
        <v>29.537736212708392</v>
      </c>
      <c r="CN154" s="87">
        <f>AO154</f>
        <v>32.491509833979229</v>
      </c>
      <c r="CO154" s="87">
        <f>AS154</f>
        <v>35.740660817377155</v>
      </c>
      <c r="CP154" s="87">
        <f>AW154</f>
        <v>39.314726899114874</v>
      </c>
      <c r="CQ154" s="87">
        <f>BA154</f>
        <v>43.246199589026361</v>
      </c>
      <c r="CR154" s="87">
        <f>BE154</f>
        <v>47.570819547928991</v>
      </c>
      <c r="CS154" s="88">
        <f>BI154</f>
        <v>52.327901502721879</v>
      </c>
      <c r="CT154" s="87"/>
    </row>
    <row r="155" spans="1:98" ht="14.25" customHeight="1">
      <c r="A155" s="8"/>
      <c r="B155" s="35" t="s">
        <v>371</v>
      </c>
      <c r="C155" s="36"/>
      <c r="D155" s="103"/>
      <c r="E155" s="104"/>
      <c r="F155" s="104"/>
      <c r="G155" s="105"/>
      <c r="H155" s="103"/>
      <c r="I155" s="104"/>
      <c r="J155" s="104"/>
      <c r="K155" s="105"/>
      <c r="L155" s="103"/>
      <c r="M155" s="104"/>
      <c r="N155" s="104"/>
      <c r="O155" s="105"/>
      <c r="P155" s="103"/>
      <c r="Q155" s="104"/>
      <c r="R155" s="104"/>
      <c r="S155" s="105"/>
      <c r="T155" s="103"/>
      <c r="U155" s="104"/>
      <c r="V155" s="104"/>
      <c r="W155" s="105"/>
      <c r="X155" s="103"/>
      <c r="Y155" s="104"/>
      <c r="Z155" s="104"/>
      <c r="AA155" s="105"/>
      <c r="AB155" s="1303"/>
      <c r="AC155" s="1231"/>
      <c r="AD155" s="1231"/>
      <c r="AE155" s="1302">
        <v>0.1</v>
      </c>
      <c r="AF155" s="1303">
        <v>0.1</v>
      </c>
      <c r="AG155" s="1231">
        <v>0.1</v>
      </c>
      <c r="AH155" s="1231">
        <v>0.1</v>
      </c>
      <c r="AI155" s="1302">
        <v>0.1</v>
      </c>
      <c r="AJ155" s="1303">
        <v>0.1</v>
      </c>
      <c r="AK155" s="1231">
        <v>0.1</v>
      </c>
      <c r="AL155" s="1231">
        <v>0.1</v>
      </c>
      <c r="AM155" s="1302">
        <v>0.1</v>
      </c>
      <c r="AN155" s="1303">
        <v>0.1</v>
      </c>
      <c r="AO155" s="1231">
        <v>0.1</v>
      </c>
      <c r="AP155" s="1231">
        <v>0.1</v>
      </c>
      <c r="AQ155" s="1302">
        <v>0.1</v>
      </c>
      <c r="AR155" s="1303">
        <v>0.1</v>
      </c>
      <c r="AS155" s="1231">
        <v>0.1</v>
      </c>
      <c r="AT155" s="1231">
        <v>0.1</v>
      </c>
      <c r="AU155" s="1231">
        <v>0.1</v>
      </c>
      <c r="AV155" s="1303">
        <v>0.1</v>
      </c>
      <c r="AW155" s="1231">
        <v>0.1</v>
      </c>
      <c r="AX155" s="1231">
        <v>0.1</v>
      </c>
      <c r="AY155" s="1302">
        <v>0.1</v>
      </c>
      <c r="AZ155" s="1231">
        <v>0.1</v>
      </c>
      <c r="BA155" s="1231">
        <v>0.1</v>
      </c>
      <c r="BB155" s="1231">
        <v>0.1</v>
      </c>
      <c r="BC155" s="1302">
        <v>0.1</v>
      </c>
      <c r="BD155" s="1231">
        <v>0.1</v>
      </c>
      <c r="BE155" s="1231">
        <v>0.1</v>
      </c>
      <c r="BF155" s="1231">
        <v>0.1</v>
      </c>
      <c r="BG155" s="1302">
        <v>0.1</v>
      </c>
      <c r="BH155" s="1231">
        <v>0.1</v>
      </c>
      <c r="BI155" s="1231">
        <v>0.1</v>
      </c>
      <c r="BJ155" s="1231">
        <v>0.1</v>
      </c>
      <c r="BK155" s="1302">
        <v>0.1</v>
      </c>
      <c r="BL155" s="20"/>
      <c r="BM155" s="106"/>
      <c r="BN155" s="106"/>
      <c r="BO155" s="106"/>
      <c r="BP155" s="106"/>
      <c r="BQ155" s="106"/>
      <c r="BR155" s="106"/>
      <c r="BS155" s="106"/>
      <c r="BT155" s="106"/>
      <c r="BU155" s="106"/>
      <c r="BV155" s="106"/>
      <c r="BW155" s="106"/>
      <c r="BX155" s="106"/>
      <c r="BY155" s="106"/>
      <c r="BZ155" s="106"/>
      <c r="CA155" s="107"/>
      <c r="CB155" s="1474"/>
      <c r="CC155" s="1421"/>
      <c r="CD155" s="1421"/>
      <c r="CE155" s="260"/>
      <c r="CF155" s="165"/>
      <c r="CG155" s="104"/>
      <c r="CH155" s="104"/>
      <c r="CI155" s="104"/>
      <c r="CJ155" s="104"/>
      <c r="CK155" s="104"/>
      <c r="CL155" s="104"/>
      <c r="CM155" s="104"/>
      <c r="CN155" s="104"/>
      <c r="CO155" s="104"/>
      <c r="CP155" s="104"/>
      <c r="CQ155" s="104"/>
      <c r="CR155" s="104"/>
      <c r="CS155" s="105"/>
      <c r="CT155" s="104"/>
    </row>
    <row r="156" spans="1:98" ht="14.25" customHeight="1">
      <c r="A156" s="8"/>
      <c r="B156" s="23"/>
      <c r="C156" s="24"/>
      <c r="D156" s="44"/>
      <c r="E156" s="44"/>
      <c r="F156" s="44"/>
      <c r="G156" s="45"/>
      <c r="H156" s="44"/>
      <c r="I156" s="44"/>
      <c r="J156" s="44"/>
      <c r="K156" s="45"/>
      <c r="L156" s="44"/>
      <c r="M156" s="44"/>
      <c r="N156" s="44"/>
      <c r="O156" s="45"/>
      <c r="P156" s="44"/>
      <c r="Q156" s="44"/>
      <c r="R156" s="44"/>
      <c r="S156" s="45"/>
      <c r="T156" s="44"/>
      <c r="U156" s="44"/>
      <c r="V156" s="44"/>
      <c r="W156" s="45"/>
      <c r="X156" s="44"/>
      <c r="Y156" s="44"/>
      <c r="Z156" s="44"/>
      <c r="AA156" s="45"/>
      <c r="AB156" s="44"/>
      <c r="AC156" s="44"/>
      <c r="AD156" s="44"/>
      <c r="AE156" s="45"/>
      <c r="AF156" s="54"/>
      <c r="AG156" s="44"/>
      <c r="AH156" s="44"/>
      <c r="AI156" s="45"/>
      <c r="AJ156" s="54"/>
      <c r="AK156" s="44"/>
      <c r="AL156" s="44"/>
      <c r="AM156" s="45"/>
      <c r="AN156" s="54"/>
      <c r="AO156" s="44"/>
      <c r="AP156" s="44"/>
      <c r="AQ156" s="45"/>
      <c r="AR156" s="54"/>
      <c r="AS156" s="44"/>
      <c r="AT156" s="44"/>
      <c r="AU156" s="44"/>
      <c r="AV156" s="54"/>
      <c r="AW156" s="44"/>
      <c r="AX156" s="44"/>
      <c r="AY156" s="45"/>
      <c r="AZ156" s="44"/>
      <c r="BA156" s="44"/>
      <c r="BB156" s="44"/>
      <c r="BC156" s="45"/>
      <c r="BD156" s="44"/>
      <c r="BE156" s="44"/>
      <c r="BF156" s="44"/>
      <c r="BG156" s="45"/>
      <c r="BH156" s="44"/>
      <c r="BI156" s="44"/>
      <c r="BJ156" s="44"/>
      <c r="BK156" s="45"/>
      <c r="BL156" s="20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5"/>
      <c r="CB156" s="54"/>
      <c r="CC156" s="44"/>
      <c r="CD156" s="44"/>
      <c r="CE156" s="260"/>
      <c r="CF156" s="111"/>
      <c r="CG156" s="112"/>
      <c r="CH156" s="112"/>
      <c r="CI156" s="112"/>
      <c r="CJ156" s="112"/>
      <c r="CK156" s="112"/>
      <c r="CL156" s="112"/>
      <c r="CM156" s="112"/>
      <c r="CN156" s="112"/>
      <c r="CO156" s="112"/>
      <c r="CP156" s="112"/>
      <c r="CQ156" s="112"/>
      <c r="CR156" s="112"/>
      <c r="CS156" s="113"/>
      <c r="CT156" s="112"/>
    </row>
    <row r="157" spans="1:98" ht="14.25" customHeight="1">
      <c r="A157" s="8"/>
      <c r="B157" s="23" t="s">
        <v>372</v>
      </c>
      <c r="C157" s="24"/>
      <c r="D157" s="106">
        <v>0.35</v>
      </c>
      <c r="E157" s="106">
        <v>0.35</v>
      </c>
      <c r="F157" s="106">
        <v>0.35</v>
      </c>
      <c r="G157" s="107">
        <v>0.35</v>
      </c>
      <c r="H157" s="106">
        <v>0.35</v>
      </c>
      <c r="I157" s="106">
        <v>0.35</v>
      </c>
      <c r="J157" s="106">
        <v>0.35</v>
      </c>
      <c r="K157" s="107">
        <v>0.35</v>
      </c>
      <c r="L157" s="106">
        <v>0.35</v>
      </c>
      <c r="M157" s="106">
        <v>0.35</v>
      </c>
      <c r="N157" s="106">
        <v>0.35</v>
      </c>
      <c r="O157" s="107">
        <v>0.35</v>
      </c>
      <c r="P157" s="106">
        <v>0.35</v>
      </c>
      <c r="Q157" s="106">
        <v>0.35</v>
      </c>
      <c r="R157" s="106">
        <v>0.35</v>
      </c>
      <c r="S157" s="107">
        <v>0.35</v>
      </c>
      <c r="T157" s="106">
        <v>0.35</v>
      </c>
      <c r="U157" s="106">
        <v>0.35</v>
      </c>
      <c r="V157" s="106">
        <v>0.35</v>
      </c>
      <c r="W157" s="107">
        <v>0.35</v>
      </c>
      <c r="X157" s="106">
        <v>0.35</v>
      </c>
      <c r="Y157" s="106">
        <v>0.35</v>
      </c>
      <c r="Z157" s="106">
        <v>0.35</v>
      </c>
      <c r="AA157" s="107">
        <v>0.35</v>
      </c>
      <c r="AB157" s="106">
        <v>0.35</v>
      </c>
      <c r="AC157" s="106">
        <v>0.35</v>
      </c>
      <c r="AD157" s="106">
        <v>0.35</v>
      </c>
      <c r="AE157" s="107">
        <v>0.35</v>
      </c>
      <c r="AF157" s="108">
        <v>0.35</v>
      </c>
      <c r="AG157" s="106">
        <v>0.35</v>
      </c>
      <c r="AH157" s="106">
        <v>0.35</v>
      </c>
      <c r="AI157" s="107">
        <v>0.35</v>
      </c>
      <c r="AJ157" s="108">
        <v>0.35</v>
      </c>
      <c r="AK157" s="106">
        <v>0.35</v>
      </c>
      <c r="AL157" s="106">
        <v>0.35</v>
      </c>
      <c r="AM157" s="107">
        <v>0.35</v>
      </c>
      <c r="AN157" s="108">
        <v>0.35</v>
      </c>
      <c r="AO157" s="106">
        <v>0.35</v>
      </c>
      <c r="AP157" s="106">
        <v>0.35</v>
      </c>
      <c r="AQ157" s="107">
        <v>0.35</v>
      </c>
      <c r="AR157" s="108">
        <v>0.35</v>
      </c>
      <c r="AS157" s="106">
        <v>0.35</v>
      </c>
      <c r="AT157" s="106">
        <v>0.35</v>
      </c>
      <c r="AU157" s="106">
        <v>0.35</v>
      </c>
      <c r="AV157" s="108">
        <v>0.35</v>
      </c>
      <c r="AW157" s="106">
        <v>0.35</v>
      </c>
      <c r="AX157" s="106">
        <v>0.35</v>
      </c>
      <c r="AY157" s="107">
        <v>0.35</v>
      </c>
      <c r="AZ157" s="1419">
        <v>0.35</v>
      </c>
      <c r="BA157" s="106">
        <v>0.35</v>
      </c>
      <c r="BB157" s="106">
        <v>0.35</v>
      </c>
      <c r="BC157" s="1332">
        <v>0.35</v>
      </c>
      <c r="BD157" s="1332">
        <v>0.35</v>
      </c>
      <c r="BE157" s="1332">
        <v>0.35</v>
      </c>
      <c r="BF157" s="1332">
        <v>0.35</v>
      </c>
      <c r="BG157" s="1332">
        <v>0.35</v>
      </c>
      <c r="BH157" s="1332">
        <v>0.35</v>
      </c>
      <c r="BI157" s="1332">
        <v>0.35</v>
      </c>
      <c r="BJ157" s="1332">
        <v>0.35</v>
      </c>
      <c r="BK157" s="1332">
        <v>0.35</v>
      </c>
      <c r="BL157" s="20"/>
      <c r="BM157" s="106">
        <v>0.35</v>
      </c>
      <c r="BN157" s="106">
        <v>0.35</v>
      </c>
      <c r="BO157" s="106">
        <v>0.35</v>
      </c>
      <c r="BP157" s="106">
        <v>0.35</v>
      </c>
      <c r="BQ157" s="106">
        <v>0.35</v>
      </c>
      <c r="BR157" s="106">
        <v>0.35</v>
      </c>
      <c r="BS157" s="106">
        <v>0.35</v>
      </c>
      <c r="BT157" s="106">
        <v>0.35</v>
      </c>
      <c r="BU157" s="106">
        <v>0.35</v>
      </c>
      <c r="BV157" s="106">
        <v>0.35</v>
      </c>
      <c r="BW157" s="106">
        <v>0.35</v>
      </c>
      <c r="BX157" s="106">
        <v>0.35</v>
      </c>
      <c r="BY157" s="106">
        <v>0.35</v>
      </c>
      <c r="BZ157" s="106">
        <v>0.35</v>
      </c>
      <c r="CA157" s="107">
        <v>0.35</v>
      </c>
      <c r="CB157" s="1471"/>
      <c r="CC157" s="1419"/>
      <c r="CD157" s="1419"/>
      <c r="CE157" s="260"/>
      <c r="CF157" s="108">
        <v>0.35</v>
      </c>
      <c r="CG157" s="106">
        <v>0.35</v>
      </c>
      <c r="CH157" s="106">
        <v>0.35</v>
      </c>
      <c r="CI157" s="106">
        <v>0.35</v>
      </c>
      <c r="CJ157" s="106">
        <v>0.35</v>
      </c>
      <c r="CK157" s="106">
        <v>0.35</v>
      </c>
      <c r="CL157" s="106">
        <v>0.35</v>
      </c>
      <c r="CM157" s="106">
        <v>0.35</v>
      </c>
      <c r="CN157" s="106">
        <v>0.35</v>
      </c>
      <c r="CO157" s="106">
        <v>0.35</v>
      </c>
      <c r="CP157" s="106">
        <v>0.35</v>
      </c>
      <c r="CQ157" s="106">
        <v>0.35</v>
      </c>
      <c r="CR157" s="106">
        <v>0.35</v>
      </c>
      <c r="CS157" s="107">
        <v>0.35</v>
      </c>
      <c r="CT157" s="106"/>
    </row>
    <row r="158" spans="1:98" ht="14.25" customHeight="1">
      <c r="A158" s="8"/>
      <c r="B158" s="35"/>
      <c r="C158" s="36"/>
      <c r="D158" s="44"/>
      <c r="E158" s="44"/>
      <c r="F158" s="44"/>
      <c r="G158" s="45"/>
      <c r="H158" s="44"/>
      <c r="I158" s="44"/>
      <c r="J158" s="44"/>
      <c r="K158" s="45"/>
      <c r="L158" s="44"/>
      <c r="M158" s="44"/>
      <c r="N158" s="44"/>
      <c r="O158" s="45"/>
      <c r="P158" s="44"/>
      <c r="Q158" s="44"/>
      <c r="R158" s="44"/>
      <c r="S158" s="45"/>
      <c r="T158" s="44"/>
      <c r="U158" s="44"/>
      <c r="V158" s="44"/>
      <c r="W158" s="45"/>
      <c r="X158" s="44"/>
      <c r="Y158" s="44"/>
      <c r="Z158" s="44"/>
      <c r="AA158" s="45"/>
      <c r="AB158" s="44"/>
      <c r="AC158" s="44"/>
      <c r="AD158" s="44"/>
      <c r="AE158" s="45"/>
      <c r="AF158" s="54"/>
      <c r="AG158" s="44"/>
      <c r="AH158" s="44"/>
      <c r="AI158" s="45"/>
      <c r="AJ158" s="54"/>
      <c r="AK158" s="44"/>
      <c r="AL158" s="44"/>
      <c r="AM158" s="45"/>
      <c r="AN158" s="54"/>
      <c r="AO158" s="44"/>
      <c r="AP158" s="44"/>
      <c r="AQ158" s="45"/>
      <c r="AR158" s="54"/>
      <c r="AS158" s="44"/>
      <c r="AT158" s="44"/>
      <c r="AU158" s="44"/>
      <c r="AV158" s="54"/>
      <c r="AW158" s="44"/>
      <c r="AX158" s="44"/>
      <c r="AY158" s="45"/>
      <c r="AZ158" s="44"/>
      <c r="BA158" s="44"/>
      <c r="BB158" s="44"/>
      <c r="BC158" s="45"/>
      <c r="BD158" s="44"/>
      <c r="BE158" s="44"/>
      <c r="BF158" s="44"/>
      <c r="BG158" s="45"/>
      <c r="BH158" s="44"/>
      <c r="BI158" s="44"/>
      <c r="BJ158" s="44"/>
      <c r="BK158" s="45"/>
      <c r="BL158" s="20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5"/>
      <c r="CB158" s="54"/>
      <c r="CC158" s="44"/>
      <c r="CD158" s="44"/>
      <c r="CE158" s="260"/>
      <c r="CF158" s="5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5"/>
      <c r="CT158" s="44"/>
    </row>
    <row r="159" spans="1:98" ht="14.25" customHeight="1">
      <c r="A159" s="8"/>
      <c r="B159" s="109" t="s">
        <v>373</v>
      </c>
      <c r="C159" s="110"/>
      <c r="D159" s="112">
        <f t="shared" ref="D159:AQ159" si="688">D38+D50+D62</f>
        <v>166.91399999999999</v>
      </c>
      <c r="E159" s="112">
        <f t="shared" si="688"/>
        <v>160.262</v>
      </c>
      <c r="F159" s="112">
        <f t="shared" si="688"/>
        <v>167.328</v>
      </c>
      <c r="G159" s="113">
        <f t="shared" si="688"/>
        <v>198.39500000000004</v>
      </c>
      <c r="H159" s="112">
        <f t="shared" si="688"/>
        <v>282.928</v>
      </c>
      <c r="I159" s="112">
        <f t="shared" si="688"/>
        <v>181.33699999999999</v>
      </c>
      <c r="J159" s="112">
        <f t="shared" si="688"/>
        <v>200.001</v>
      </c>
      <c r="K159" s="113">
        <f t="shared" si="688"/>
        <v>209.95100000000008</v>
      </c>
      <c r="L159" s="112">
        <f t="shared" si="688"/>
        <v>211.00700000000001</v>
      </c>
      <c r="M159" s="112">
        <f t="shared" si="688"/>
        <v>195.12800000000001</v>
      </c>
      <c r="N159" s="112">
        <f t="shared" si="688"/>
        <v>208.328</v>
      </c>
      <c r="O159" s="113">
        <f t="shared" si="688"/>
        <v>208.18400000000003</v>
      </c>
      <c r="P159" s="112">
        <f t="shared" si="688"/>
        <v>197.96499999999997</v>
      </c>
      <c r="Q159" s="112">
        <f t="shared" si="688"/>
        <v>279.92499999999995</v>
      </c>
      <c r="R159" s="112">
        <f t="shared" si="688"/>
        <v>184.65900000000002</v>
      </c>
      <c r="S159" s="113">
        <f t="shared" si="688"/>
        <v>168.95</v>
      </c>
      <c r="T159" s="112">
        <f t="shared" si="688"/>
        <v>161.52799999999999</v>
      </c>
      <c r="U159" s="112">
        <f t="shared" si="688"/>
        <v>182.65900000000002</v>
      </c>
      <c r="V159" s="112">
        <f t="shared" si="688"/>
        <v>356.964</v>
      </c>
      <c r="W159" s="113">
        <f t="shared" si="688"/>
        <v>199.86500000000001</v>
      </c>
      <c r="X159" s="112">
        <f t="shared" si="688"/>
        <v>207.09099999999998</v>
      </c>
      <c r="Y159" s="112">
        <f t="shared" si="688"/>
        <v>228.27599999999998</v>
      </c>
      <c r="Z159" s="112">
        <f t="shared" si="688"/>
        <v>208.655</v>
      </c>
      <c r="AA159" s="113">
        <f t="shared" si="688"/>
        <v>212.90299999999999</v>
      </c>
      <c r="AB159" s="112">
        <f t="shared" si="688"/>
        <v>223.09299999999999</v>
      </c>
      <c r="AC159" s="112">
        <f t="shared" si="688"/>
        <v>233.45</v>
      </c>
      <c r="AD159" s="112">
        <f t="shared" si="688"/>
        <v>223.54399999999998</v>
      </c>
      <c r="AE159" s="113">
        <f t="shared" si="688"/>
        <v>235.96800000000002</v>
      </c>
      <c r="AF159" s="111">
        <f t="shared" si="688"/>
        <v>220.28800000000001</v>
      </c>
      <c r="AG159" s="112">
        <f t="shared" si="688"/>
        <v>245.827</v>
      </c>
      <c r="AH159" s="112">
        <f t="shared" si="688"/>
        <v>221.82399999999998</v>
      </c>
      <c r="AI159" s="113">
        <f t="shared" si="688"/>
        <v>220.309</v>
      </c>
      <c r="AJ159" s="111">
        <f t="shared" si="688"/>
        <v>218.58699999999999</v>
      </c>
      <c r="AK159" s="112">
        <f t="shared" si="688"/>
        <v>258.27800000000002</v>
      </c>
      <c r="AL159" s="112">
        <f t="shared" si="688"/>
        <v>233.19900000000001</v>
      </c>
      <c r="AM159" s="113">
        <f t="shared" si="688"/>
        <v>252.41</v>
      </c>
      <c r="AN159" s="111">
        <f t="shared" si="688"/>
        <v>237.77199999999999</v>
      </c>
      <c r="AO159" s="112">
        <f t="shared" si="688"/>
        <v>378.15300000000002</v>
      </c>
      <c r="AP159" s="112">
        <f t="shared" si="688"/>
        <v>209.81800000000001</v>
      </c>
      <c r="AQ159" s="113">
        <f t="shared" si="688"/>
        <v>208.75300000000001</v>
      </c>
      <c r="AR159" s="111">
        <f t="shared" ref="AR159:AW159" si="689">AR38+AR50+AR62</f>
        <v>362.11599999999999</v>
      </c>
      <c r="AS159" s="112">
        <f t="shared" si="689"/>
        <v>202.636</v>
      </c>
      <c r="AT159" s="112">
        <f t="shared" si="689"/>
        <v>141.13300000000001</v>
      </c>
      <c r="AU159" s="112">
        <f t="shared" si="689"/>
        <v>224.654</v>
      </c>
      <c r="AV159" s="111">
        <f t="shared" si="689"/>
        <v>173.65900000000002</v>
      </c>
      <c r="AW159" s="112">
        <f t="shared" si="689"/>
        <v>191.10400000000001</v>
      </c>
      <c r="AX159" s="112">
        <f>AX38+AX50+AX62</f>
        <v>192.65199999999999</v>
      </c>
      <c r="AY159" s="113">
        <f>AY38+AY50+AY62</f>
        <v>194.28799999999998</v>
      </c>
      <c r="AZ159" s="112">
        <f t="shared" ref="AZ159:BG159" si="690">AZ38+AZ50+AZ62</f>
        <v>188.66499999999999</v>
      </c>
      <c r="BA159" s="112">
        <f t="shared" si="690"/>
        <v>208.62799999999999</v>
      </c>
      <c r="BB159" s="112">
        <f>BB38+BB50+BB62</f>
        <v>199.108</v>
      </c>
      <c r="BC159" s="113">
        <f t="shared" si="690"/>
        <v>192.80072442000002</v>
      </c>
      <c r="BD159" s="112">
        <f t="shared" si="690"/>
        <v>193.42243301925819</v>
      </c>
      <c r="BE159" s="112">
        <f t="shared" si="690"/>
        <v>193.54864915377115</v>
      </c>
      <c r="BF159" s="112">
        <f t="shared" si="690"/>
        <v>196.41869373782978</v>
      </c>
      <c r="BG159" s="113">
        <f t="shared" si="690"/>
        <v>196.83571593650939</v>
      </c>
      <c r="BH159" s="112">
        <f>BH38+BH50+BH62</f>
        <v>195.64443330170482</v>
      </c>
      <c r="BI159" s="112">
        <f>BI38+BI50+BI62</f>
        <v>195.59207225150917</v>
      </c>
      <c r="BJ159" s="112">
        <f>BJ38+BJ50+BJ62</f>
        <v>198.82117625856628</v>
      </c>
      <c r="BK159" s="113">
        <f>BK38+BK50+BK62</f>
        <v>200.6631082866945</v>
      </c>
      <c r="BL159" s="20"/>
      <c r="BM159" s="112">
        <f t="shared" ref="BM159:BX159" si="691">BM38+BM50+BM62</f>
        <v>692.899</v>
      </c>
      <c r="BN159" s="112">
        <f t="shared" si="691"/>
        <v>874.21699999999998</v>
      </c>
      <c r="BO159" s="112">
        <f t="shared" si="691"/>
        <v>822.64700000000005</v>
      </c>
      <c r="BP159" s="112">
        <f t="shared" si="691"/>
        <v>831.49899999999991</v>
      </c>
      <c r="BQ159" s="112">
        <f t="shared" si="691"/>
        <v>901.01599999999996</v>
      </c>
      <c r="BR159" s="112">
        <f t="shared" si="691"/>
        <v>856.92500000000007</v>
      </c>
      <c r="BS159" s="112">
        <f t="shared" si="691"/>
        <v>916.05500000000006</v>
      </c>
      <c r="BT159" s="112">
        <f t="shared" si="691"/>
        <v>908.24800000000016</v>
      </c>
      <c r="BU159" s="112">
        <f t="shared" si="691"/>
        <v>962.47400000000005</v>
      </c>
      <c r="BV159" s="112">
        <f t="shared" si="691"/>
        <v>1034.4960000000001</v>
      </c>
      <c r="BW159" s="112">
        <f t="shared" si="691"/>
        <v>930.53899999999999</v>
      </c>
      <c r="BX159" s="112">
        <f t="shared" si="691"/>
        <v>751.70300000000009</v>
      </c>
      <c r="BY159" s="112">
        <f>BY38+BY50+BY62</f>
        <v>789.20172442000001</v>
      </c>
      <c r="BZ159" s="112">
        <f>BZ38+BZ50+BZ62</f>
        <v>780.22549184736852</v>
      </c>
      <c r="CA159" s="113">
        <f>CA38+CA50+CA62</f>
        <v>790.72079009847482</v>
      </c>
      <c r="CB159" s="111"/>
      <c r="CC159" s="112"/>
      <c r="CD159" s="112"/>
      <c r="CE159" s="260"/>
      <c r="CF159" s="111">
        <f t="shared" ref="CF159:CP159" si="692">CF38+CF50+CF62</f>
        <v>829.98800000000006</v>
      </c>
      <c r="CG159" s="112">
        <f t="shared" si="692"/>
        <v>816.0870000000001</v>
      </c>
      <c r="CH159" s="112">
        <f t="shared" si="692"/>
        <v>894.40200000000004</v>
      </c>
      <c r="CI159" s="112">
        <f t="shared" si="692"/>
        <v>697.79600000000005</v>
      </c>
      <c r="CJ159" s="112">
        <f t="shared" si="692"/>
        <v>992.19599999999991</v>
      </c>
      <c r="CK159" s="112">
        <f t="shared" si="692"/>
        <v>878.10100000000011</v>
      </c>
      <c r="CL159" s="112">
        <f t="shared" si="692"/>
        <v>925.62699999999995</v>
      </c>
      <c r="CM159" s="112">
        <f t="shared" si="692"/>
        <v>918.99799999999993</v>
      </c>
      <c r="CN159" s="112">
        <f t="shared" si="692"/>
        <v>1101.5339999999999</v>
      </c>
      <c r="CO159" s="112">
        <f t="shared" si="692"/>
        <v>983.32300000000009</v>
      </c>
      <c r="CP159" s="112">
        <f t="shared" si="692"/>
        <v>730.55000000000007</v>
      </c>
      <c r="CQ159" s="112">
        <f>CQ38+CQ50+CQ62</f>
        <v>784.23299999999995</v>
      </c>
      <c r="CR159" s="112">
        <f>CR38+CR50+CR62</f>
        <v>778.87980659302934</v>
      </c>
      <c r="CS159" s="113">
        <f>CS38+CS50+CS62</f>
        <v>784.49091522755327</v>
      </c>
      <c r="CT159" s="112"/>
    </row>
    <row r="160" spans="1:98" ht="14.25" customHeight="1">
      <c r="A160" s="8"/>
      <c r="B160" s="114" t="s">
        <v>374</v>
      </c>
      <c r="C160" s="115"/>
      <c r="D160" s="117">
        <f t="shared" ref="D160:AQ160" si="693">D21+D38+D50+D62</f>
        <v>308.94499999999999</v>
      </c>
      <c r="E160" s="117">
        <f t="shared" si="693"/>
        <v>312.577</v>
      </c>
      <c r="F160" s="117">
        <f t="shared" si="693"/>
        <v>331.14100000000002</v>
      </c>
      <c r="G160" s="118">
        <f t="shared" si="693"/>
        <v>378.78300000000007</v>
      </c>
      <c r="H160" s="117">
        <f t="shared" si="693"/>
        <v>486.61500000000001</v>
      </c>
      <c r="I160" s="117">
        <f t="shared" si="693"/>
        <v>370.60700000000003</v>
      </c>
      <c r="J160" s="117">
        <f t="shared" si="693"/>
        <v>390.28700000000003</v>
      </c>
      <c r="K160" s="118">
        <f t="shared" si="693"/>
        <v>409.20200000000017</v>
      </c>
      <c r="L160" s="117">
        <f t="shared" si="693"/>
        <v>414.54199999999997</v>
      </c>
      <c r="M160" s="117">
        <f t="shared" si="693"/>
        <v>399.44800000000004</v>
      </c>
      <c r="N160" s="117">
        <f t="shared" si="693"/>
        <v>406.35199999999998</v>
      </c>
      <c r="O160" s="118">
        <f t="shared" si="693"/>
        <v>406.38799999999998</v>
      </c>
      <c r="P160" s="117">
        <f t="shared" si="693"/>
        <v>407.61899999999997</v>
      </c>
      <c r="Q160" s="117">
        <f t="shared" si="693"/>
        <v>491.51499999999999</v>
      </c>
      <c r="R160" s="117">
        <f t="shared" si="693"/>
        <v>356.61900000000003</v>
      </c>
      <c r="S160" s="118">
        <f t="shared" si="693"/>
        <v>372.88399999999996</v>
      </c>
      <c r="T160" s="117">
        <f t="shared" si="693"/>
        <v>359.14699999999999</v>
      </c>
      <c r="U160" s="117">
        <f t="shared" si="693"/>
        <v>364.38600000000002</v>
      </c>
      <c r="V160" s="117">
        <f t="shared" si="693"/>
        <v>557.14100000000008</v>
      </c>
      <c r="W160" s="118">
        <f t="shared" si="693"/>
        <v>424.87900000000002</v>
      </c>
      <c r="X160" s="117">
        <f t="shared" si="693"/>
        <v>447.01599999999996</v>
      </c>
      <c r="Y160" s="117">
        <f t="shared" si="693"/>
        <v>460.93700000000007</v>
      </c>
      <c r="Z160" s="117">
        <f t="shared" si="693"/>
        <v>442.78000000000009</v>
      </c>
      <c r="AA160" s="118">
        <f t="shared" si="693"/>
        <v>448.56899999999996</v>
      </c>
      <c r="AB160" s="117">
        <f t="shared" si="693"/>
        <v>463.62199999999996</v>
      </c>
      <c r="AC160" s="117">
        <f t="shared" si="693"/>
        <v>476.84899999999999</v>
      </c>
      <c r="AD160" s="117">
        <f t="shared" si="693"/>
        <v>459.32599999999991</v>
      </c>
      <c r="AE160" s="118">
        <f t="shared" si="693"/>
        <v>468.93500000000006</v>
      </c>
      <c r="AF160" s="116">
        <f t="shared" si="693"/>
        <v>457.67199999999997</v>
      </c>
      <c r="AG160" s="117">
        <f t="shared" si="693"/>
        <v>487.75799999999998</v>
      </c>
      <c r="AH160" s="117">
        <f t="shared" si="693"/>
        <v>450.60600000000005</v>
      </c>
      <c r="AI160" s="118">
        <f t="shared" si="693"/>
        <v>457.10399999999993</v>
      </c>
      <c r="AJ160" s="116">
        <f t="shared" si="693"/>
        <v>456.63200000000001</v>
      </c>
      <c r="AK160" s="117">
        <f t="shared" si="693"/>
        <v>549.88</v>
      </c>
      <c r="AL160" s="117">
        <f t="shared" si="693"/>
        <v>498.94300000000004</v>
      </c>
      <c r="AM160" s="118">
        <f t="shared" si="693"/>
        <v>525.91700000000003</v>
      </c>
      <c r="AN160" s="116">
        <f t="shared" si="693"/>
        <v>479.31699999999995</v>
      </c>
      <c r="AO160" s="117">
        <f t="shared" si="693"/>
        <v>630.88499999999999</v>
      </c>
      <c r="AP160" s="117">
        <f t="shared" si="693"/>
        <v>471.81300000000005</v>
      </c>
      <c r="AQ160" s="118">
        <f t="shared" si="693"/>
        <v>487.56899999999996</v>
      </c>
      <c r="AR160" s="116">
        <f t="shared" ref="AR160:AW160" si="694">AR21+AR38+AR50+AR62</f>
        <v>638.27499999999998</v>
      </c>
      <c r="AS160" s="117">
        <f t="shared" si="694"/>
        <v>421.29799999999994</v>
      </c>
      <c r="AT160" s="117">
        <f t="shared" si="694"/>
        <v>377.54400000000004</v>
      </c>
      <c r="AU160" s="117">
        <f t="shared" si="694"/>
        <v>443.75299999999999</v>
      </c>
      <c r="AV160" s="116">
        <f t="shared" si="694"/>
        <v>389.32299999999992</v>
      </c>
      <c r="AW160" s="117">
        <f t="shared" si="694"/>
        <v>401.92400000000004</v>
      </c>
      <c r="AX160" s="117">
        <f>AX21+AX38+AX50+AX62</f>
        <v>406.964</v>
      </c>
      <c r="AY160" s="118">
        <f>AY21+AY38+AY50+AY62</f>
        <v>402.62700000000007</v>
      </c>
      <c r="AZ160" s="117">
        <f t="shared" ref="AZ160:BG160" si="695">AZ21+AZ38+AZ50+AZ62</f>
        <v>390.51</v>
      </c>
      <c r="BA160" s="117">
        <f t="shared" si="695"/>
        <v>421.589</v>
      </c>
      <c r="BB160" s="117">
        <f>BB21+BB38+BB50+BB62</f>
        <v>423.76099999999997</v>
      </c>
      <c r="BC160" s="118">
        <f t="shared" si="695"/>
        <v>411.66340764049994</v>
      </c>
      <c r="BD160" s="117">
        <f t="shared" si="695"/>
        <v>396.17518090617813</v>
      </c>
      <c r="BE160" s="117">
        <f t="shared" si="695"/>
        <v>396.06557686079111</v>
      </c>
      <c r="BF160" s="117">
        <f t="shared" si="695"/>
        <v>408.22762565949085</v>
      </c>
      <c r="BG160" s="118">
        <f t="shared" si="695"/>
        <v>408.92086131178212</v>
      </c>
      <c r="BH160" s="117">
        <f>BH21+BH38+BH50+BH62</f>
        <v>404.97046486026704</v>
      </c>
      <c r="BI160" s="117">
        <f>BI21+BI38+BI50+BI62</f>
        <v>404.75731901612181</v>
      </c>
      <c r="BJ160" s="117">
        <f>BJ21+BJ38+BJ50+BJ62</f>
        <v>415.15517983740915</v>
      </c>
      <c r="BK160" s="118">
        <f>BK21+BK38+BK50+BK62</f>
        <v>421.37352596829061</v>
      </c>
      <c r="BL160" s="1230"/>
      <c r="BM160" s="117">
        <f t="shared" ref="BM160:BX160" si="696">BM21+BM38+BM50+BM62</f>
        <v>1331.4459999999999</v>
      </c>
      <c r="BN160" s="117">
        <f t="shared" si="696"/>
        <v>1656.711</v>
      </c>
      <c r="BO160" s="117">
        <f t="shared" si="696"/>
        <v>1626.7299999999998</v>
      </c>
      <c r="BP160" s="117">
        <f t="shared" si="696"/>
        <v>1628.6370000000002</v>
      </c>
      <c r="BQ160" s="117">
        <f t="shared" si="696"/>
        <v>1705.5530000000003</v>
      </c>
      <c r="BR160" s="117">
        <f t="shared" si="696"/>
        <v>1799.3020000000001</v>
      </c>
      <c r="BS160" s="117">
        <f t="shared" si="696"/>
        <v>1868.732</v>
      </c>
      <c r="BT160" s="117">
        <f t="shared" si="696"/>
        <v>1853.1399999999999</v>
      </c>
      <c r="BU160" s="117">
        <f t="shared" si="696"/>
        <v>2031.3719999999996</v>
      </c>
      <c r="BV160" s="117">
        <f t="shared" si="696"/>
        <v>2069.5839999999998</v>
      </c>
      <c r="BW160" s="117">
        <f t="shared" si="696"/>
        <v>1880.8699999999997</v>
      </c>
      <c r="BX160" s="117">
        <f t="shared" si="696"/>
        <v>1600.838</v>
      </c>
      <c r="BY160" s="117">
        <f>BY21+BY38+BY50+BY62</f>
        <v>1647.5234076405002</v>
      </c>
      <c r="BZ160" s="117">
        <f>BZ21+BZ38+BZ50+BZ62</f>
        <v>1609.3892447382425</v>
      </c>
      <c r="CA160" s="118">
        <f>CA21+CA38+CA50+CA62</f>
        <v>1646.2564896820886</v>
      </c>
      <c r="CB160" s="111"/>
      <c r="CC160" s="112"/>
      <c r="CD160" s="112"/>
      <c r="CE160" s="260"/>
      <c r="CF160" s="116">
        <f t="shared" ref="CF160:CP160" si="697">CF21+CF38+CF50+CF62</f>
        <v>1567.146</v>
      </c>
      <c r="CG160" s="117">
        <f t="shared" si="697"/>
        <v>1613.4790000000003</v>
      </c>
      <c r="CH160" s="117">
        <f t="shared" si="697"/>
        <v>1711.874</v>
      </c>
      <c r="CI160" s="117">
        <f t="shared" si="697"/>
        <v>1453.0360000000001</v>
      </c>
      <c r="CJ160" s="117">
        <f t="shared" si="697"/>
        <v>1889.9730000000002</v>
      </c>
      <c r="CK160" s="117">
        <f t="shared" si="697"/>
        <v>1831.82</v>
      </c>
      <c r="CL160" s="117">
        <f t="shared" si="697"/>
        <v>1873.691</v>
      </c>
      <c r="CM160" s="117">
        <f t="shared" si="697"/>
        <v>1914.2219999999998</v>
      </c>
      <c r="CN160" s="117">
        <f t="shared" si="697"/>
        <v>2135.0619999999999</v>
      </c>
      <c r="CO160" s="117">
        <f t="shared" si="697"/>
        <v>2018.9550000000002</v>
      </c>
      <c r="CP160" s="117">
        <f t="shared" si="697"/>
        <v>1612.5439999999999</v>
      </c>
      <c r="CQ160" s="117">
        <f>CQ21+CQ38+CQ50+CQ62</f>
        <v>1621.6899999999998</v>
      </c>
      <c r="CR160" s="117">
        <f>CR21+CR38+CR50+CR62</f>
        <v>1627.665165407469</v>
      </c>
      <c r="CS160" s="118">
        <f>CS21+CS38+CS50+CS62</f>
        <v>1626.8762708476615</v>
      </c>
      <c r="CT160" s="112"/>
    </row>
    <row r="161" spans="1:104" ht="14.25" customHeight="1">
      <c r="A161" s="8"/>
      <c r="B161" s="8"/>
      <c r="C161" s="8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11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74"/>
      <c r="CC161" s="74"/>
      <c r="CD161" s="74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14"/>
      <c r="CQ161" s="14"/>
      <c r="CR161" s="1507">
        <f>CR162+CR165+CR167</f>
        <v>983.65163779750537</v>
      </c>
      <c r="CS161" s="1507">
        <f>CS162+CS165+CS167</f>
        <v>1040.8062094183765</v>
      </c>
      <c r="CT161" s="11"/>
    </row>
    <row r="162" spans="1:104" ht="14.25" customHeight="1">
      <c r="A162" s="8"/>
      <c r="B162" s="8"/>
      <c r="C162" s="8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350"/>
      <c r="BD162" s="8"/>
      <c r="BE162" s="8"/>
      <c r="BF162" s="8"/>
      <c r="BG162" s="8"/>
      <c r="BH162" s="8"/>
      <c r="BI162" s="8"/>
      <c r="BJ162" s="8"/>
      <c r="BK162" s="8"/>
      <c r="BL162" s="8"/>
      <c r="BM162" s="11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74"/>
      <c r="CC162" s="74"/>
      <c r="CD162" s="74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14"/>
      <c r="CQ162" s="14"/>
      <c r="CR162" s="1507">
        <f>CR10*0.04</f>
        <v>100.3376462771144</v>
      </c>
      <c r="CS162" s="1507">
        <f>CS10*0.03</f>
        <v>77.699489716486553</v>
      </c>
      <c r="CT162" s="11"/>
    </row>
    <row r="163" spans="1:104" ht="14.25" customHeight="1">
      <c r="A163" s="8"/>
      <c r="B163" s="906" t="s">
        <v>249</v>
      </c>
      <c r="C163" s="905"/>
      <c r="D163" s="17" t="str">
        <f>+D$9</f>
        <v>F1Q06A</v>
      </c>
      <c r="E163" s="18" t="str">
        <f t="shared" ref="E163:BK163" si="698">+E$9</f>
        <v>F2Q06A</v>
      </c>
      <c r="F163" s="18" t="str">
        <f t="shared" si="698"/>
        <v>F3Q06A</v>
      </c>
      <c r="G163" s="19" t="str">
        <f t="shared" si="698"/>
        <v>F4Q06A</v>
      </c>
      <c r="H163" s="17" t="str">
        <f t="shared" si="698"/>
        <v>F1Q07A</v>
      </c>
      <c r="I163" s="18" t="str">
        <f t="shared" si="698"/>
        <v>F2Q07A</v>
      </c>
      <c r="J163" s="18" t="str">
        <f t="shared" si="698"/>
        <v>F3Q07A</v>
      </c>
      <c r="K163" s="19" t="str">
        <f t="shared" si="698"/>
        <v>F4Q07A</v>
      </c>
      <c r="L163" s="17" t="str">
        <f t="shared" si="698"/>
        <v>F1Q08A</v>
      </c>
      <c r="M163" s="18" t="str">
        <f t="shared" si="698"/>
        <v>F2Q08A</v>
      </c>
      <c r="N163" s="18" t="str">
        <f t="shared" si="698"/>
        <v>F3Q08A</v>
      </c>
      <c r="O163" s="19" t="str">
        <f t="shared" si="698"/>
        <v>F4Q08A</v>
      </c>
      <c r="P163" s="17" t="str">
        <f t="shared" si="698"/>
        <v>F1Q09A</v>
      </c>
      <c r="Q163" s="18" t="str">
        <f t="shared" si="698"/>
        <v>F2Q09A</v>
      </c>
      <c r="R163" s="18" t="str">
        <f t="shared" si="698"/>
        <v>F3Q09A</v>
      </c>
      <c r="S163" s="19" t="str">
        <f t="shared" si="698"/>
        <v>F4Q09A</v>
      </c>
      <c r="T163" s="17" t="str">
        <f t="shared" si="698"/>
        <v>F1Q10A</v>
      </c>
      <c r="U163" s="18" t="str">
        <f t="shared" si="698"/>
        <v>F2Q10A</v>
      </c>
      <c r="V163" s="18" t="str">
        <f t="shared" si="698"/>
        <v>F3Q10A</v>
      </c>
      <c r="W163" s="19" t="str">
        <f t="shared" si="698"/>
        <v>F4Q10A</v>
      </c>
      <c r="X163" s="17" t="str">
        <f t="shared" si="698"/>
        <v>F1Q11A</v>
      </c>
      <c r="Y163" s="18" t="str">
        <f t="shared" si="698"/>
        <v>F2Q11A</v>
      </c>
      <c r="Z163" s="18" t="str">
        <f t="shared" si="698"/>
        <v>F3Q11A</v>
      </c>
      <c r="AA163" s="19" t="str">
        <f t="shared" si="698"/>
        <v>F4Q11A</v>
      </c>
      <c r="AB163" s="17" t="str">
        <f t="shared" si="698"/>
        <v>F1Q12A</v>
      </c>
      <c r="AC163" s="18" t="str">
        <f t="shared" si="698"/>
        <v>F2Q12A</v>
      </c>
      <c r="AD163" s="18" t="str">
        <f t="shared" si="698"/>
        <v>F3Q12A</v>
      </c>
      <c r="AE163" s="19" t="str">
        <f t="shared" si="698"/>
        <v>F4Q12A</v>
      </c>
      <c r="AF163" s="17" t="str">
        <f t="shared" si="698"/>
        <v>F1Q13A</v>
      </c>
      <c r="AG163" s="18" t="str">
        <f t="shared" si="698"/>
        <v>F2Q13A</v>
      </c>
      <c r="AH163" s="18" t="str">
        <f t="shared" si="698"/>
        <v>F3Q13A</v>
      </c>
      <c r="AI163" s="18" t="str">
        <f t="shared" si="698"/>
        <v>F4Q13A</v>
      </c>
      <c r="AJ163" s="17" t="str">
        <f t="shared" si="698"/>
        <v>F1Q14A</v>
      </c>
      <c r="AK163" s="18" t="str">
        <f t="shared" si="698"/>
        <v>F2Q14</v>
      </c>
      <c r="AL163" s="18" t="str">
        <f t="shared" si="698"/>
        <v>F3Q14A</v>
      </c>
      <c r="AM163" s="18" t="str">
        <f t="shared" si="698"/>
        <v>F4Q14A</v>
      </c>
      <c r="AN163" s="17" t="str">
        <f t="shared" si="698"/>
        <v>F1Q15A</v>
      </c>
      <c r="AO163" s="18" t="str">
        <f t="shared" si="698"/>
        <v>F2Q15A</v>
      </c>
      <c r="AP163" s="18" t="str">
        <f t="shared" si="698"/>
        <v>F3Q15A</v>
      </c>
      <c r="AQ163" s="19" t="str">
        <f t="shared" si="698"/>
        <v>F4Q15A</v>
      </c>
      <c r="AR163" s="17" t="str">
        <f t="shared" si="698"/>
        <v>F1Q16A</v>
      </c>
      <c r="AS163" s="18" t="str">
        <f t="shared" si="698"/>
        <v>F2Q16A</v>
      </c>
      <c r="AT163" s="18" t="str">
        <f t="shared" si="698"/>
        <v>F3Q16A</v>
      </c>
      <c r="AU163" s="19" t="str">
        <f t="shared" si="698"/>
        <v>F4Q16A</v>
      </c>
      <c r="AV163" s="17" t="str">
        <f t="shared" si="698"/>
        <v>F1Q17A</v>
      </c>
      <c r="AW163" s="18" t="str">
        <f t="shared" si="698"/>
        <v>F2Q17A</v>
      </c>
      <c r="AX163" s="18" t="str">
        <f t="shared" si="698"/>
        <v>F3Q17A</v>
      </c>
      <c r="AY163" s="19" t="str">
        <f t="shared" si="698"/>
        <v>F4Q17A</v>
      </c>
      <c r="AZ163" s="18" t="str">
        <f t="shared" si="698"/>
        <v>F1Q18A</v>
      </c>
      <c r="BA163" s="18" t="str">
        <f t="shared" si="698"/>
        <v>F2Q18A</v>
      </c>
      <c r="BB163" s="18" t="str">
        <f t="shared" si="698"/>
        <v>F3Q18A</v>
      </c>
      <c r="BC163" s="19" t="str">
        <f t="shared" si="698"/>
        <v>F4Q18E</v>
      </c>
      <c r="BD163" s="18" t="str">
        <f t="shared" si="698"/>
        <v>F1Q19E</v>
      </c>
      <c r="BE163" s="18" t="str">
        <f t="shared" si="698"/>
        <v>F2Q19E</v>
      </c>
      <c r="BF163" s="18" t="str">
        <f t="shared" si="698"/>
        <v>F3Q19E</v>
      </c>
      <c r="BG163" s="19" t="str">
        <f t="shared" si="698"/>
        <v>F4Q19E</v>
      </c>
      <c r="BH163" s="18" t="str">
        <f t="shared" si="698"/>
        <v>F1Q20E</v>
      </c>
      <c r="BI163" s="18" t="str">
        <f t="shared" si="698"/>
        <v>F2Q20E</v>
      </c>
      <c r="BJ163" s="18" t="str">
        <f t="shared" si="698"/>
        <v>F3Q20E</v>
      </c>
      <c r="BK163" s="19" t="str">
        <f t="shared" si="698"/>
        <v>F4Q20E</v>
      </c>
      <c r="BL163" s="20"/>
      <c r="BM163" s="17" t="str">
        <f>+BM$9</f>
        <v>FY2006A</v>
      </c>
      <c r="BN163" s="18" t="str">
        <f t="shared" ref="BN163:CA163" si="699">+BN$9</f>
        <v>FY2007A</v>
      </c>
      <c r="BO163" s="18" t="str">
        <f t="shared" si="699"/>
        <v>FY2008A</v>
      </c>
      <c r="BP163" s="18" t="str">
        <f t="shared" si="699"/>
        <v>FY2009A</v>
      </c>
      <c r="BQ163" s="18" t="str">
        <f t="shared" si="699"/>
        <v>FY2010A</v>
      </c>
      <c r="BR163" s="18" t="str">
        <f t="shared" si="699"/>
        <v>FY2011A</v>
      </c>
      <c r="BS163" s="18" t="str">
        <f t="shared" si="699"/>
        <v>FY2012A</v>
      </c>
      <c r="BT163" s="18" t="str">
        <f t="shared" si="699"/>
        <v>FY2013A</v>
      </c>
      <c r="BU163" s="18" t="str">
        <f t="shared" si="699"/>
        <v>FY2014A</v>
      </c>
      <c r="BV163" s="18" t="str">
        <f t="shared" si="699"/>
        <v>FY2015A</v>
      </c>
      <c r="BW163" s="18" t="str">
        <f t="shared" si="699"/>
        <v>FY2016A</v>
      </c>
      <c r="BX163" s="18" t="str">
        <f t="shared" si="699"/>
        <v>FY2017A</v>
      </c>
      <c r="BY163" s="18" t="str">
        <f t="shared" si="699"/>
        <v>FY2018E</v>
      </c>
      <c r="BZ163" s="18" t="str">
        <f t="shared" si="699"/>
        <v>FY2019E</v>
      </c>
      <c r="CA163" s="19" t="str">
        <f t="shared" si="699"/>
        <v>FY2020E</v>
      </c>
      <c r="CB163" s="1470"/>
      <c r="CC163" s="1418"/>
      <c r="CD163" s="1418"/>
      <c r="CE163" s="260"/>
      <c r="CF163" s="17" t="str">
        <f>+CF$7</f>
        <v>CY2006</v>
      </c>
      <c r="CG163" s="18" t="str">
        <f t="shared" ref="CG163:CS163" si="700">+CG$7</f>
        <v>CY2007</v>
      </c>
      <c r="CH163" s="18" t="str">
        <f t="shared" si="700"/>
        <v>CY2008</v>
      </c>
      <c r="CI163" s="18" t="str">
        <f t="shared" si="700"/>
        <v>CY2009</v>
      </c>
      <c r="CJ163" s="18" t="str">
        <f t="shared" si="700"/>
        <v>CY2010</v>
      </c>
      <c r="CK163" s="18" t="str">
        <f t="shared" si="700"/>
        <v>CY2011</v>
      </c>
      <c r="CL163" s="18" t="str">
        <f t="shared" si="700"/>
        <v>CY2012</v>
      </c>
      <c r="CM163" s="18" t="str">
        <f t="shared" si="700"/>
        <v>CY2013</v>
      </c>
      <c r="CN163" s="18" t="str">
        <f t="shared" si="700"/>
        <v>CY2014A</v>
      </c>
      <c r="CO163" s="18" t="str">
        <f t="shared" si="700"/>
        <v>CY2015A</v>
      </c>
      <c r="CP163" s="18" t="str">
        <f t="shared" si="700"/>
        <v>CY2016A</v>
      </c>
      <c r="CQ163" s="18" t="str">
        <f t="shared" si="700"/>
        <v>CY2017E</v>
      </c>
      <c r="CR163" s="18" t="str">
        <f t="shared" si="700"/>
        <v>CY2018E</v>
      </c>
      <c r="CS163" s="19" t="str">
        <f t="shared" si="700"/>
        <v>CY2019E</v>
      </c>
      <c r="CT163" s="1418"/>
    </row>
    <row r="164" spans="1:104" ht="14.25" customHeight="1">
      <c r="A164" s="8"/>
      <c r="B164" s="22"/>
      <c r="C164" s="14"/>
      <c r="D164" s="23"/>
      <c r="E164" s="74"/>
      <c r="F164" s="74"/>
      <c r="G164" s="24"/>
      <c r="H164" s="23"/>
      <c r="I164" s="74"/>
      <c r="J164" s="74"/>
      <c r="K164" s="24"/>
      <c r="L164" s="23"/>
      <c r="M164" s="74"/>
      <c r="N164" s="74"/>
      <c r="O164" s="24"/>
      <c r="P164" s="23"/>
      <c r="Q164" s="74"/>
      <c r="R164" s="74"/>
      <c r="S164" s="24"/>
      <c r="T164" s="23"/>
      <c r="U164" s="74"/>
      <c r="V164" s="74"/>
      <c r="W164" s="24"/>
      <c r="X164" s="23"/>
      <c r="Y164" s="74"/>
      <c r="Z164" s="74"/>
      <c r="AA164" s="24"/>
      <c r="AB164" s="23"/>
      <c r="AC164" s="14"/>
      <c r="AD164" s="14"/>
      <c r="AE164" s="260"/>
      <c r="AF164" s="22"/>
      <c r="AG164" s="14"/>
      <c r="AH164" s="14"/>
      <c r="AI164" s="14"/>
      <c r="AJ164" s="22"/>
      <c r="AK164" s="14"/>
      <c r="AL164" s="14"/>
      <c r="AM164" s="14"/>
      <c r="AN164" s="22"/>
      <c r="AO164" s="14"/>
      <c r="AP164" s="14"/>
      <c r="AQ164" s="260"/>
      <c r="AR164" s="22"/>
      <c r="AS164" s="14"/>
      <c r="AT164" s="14"/>
      <c r="AU164" s="260"/>
      <c r="AV164" s="22"/>
      <c r="AW164" s="14"/>
      <c r="AX164" s="14"/>
      <c r="AY164" s="260"/>
      <c r="AZ164" s="14"/>
      <c r="BA164" s="14"/>
      <c r="BB164" s="14"/>
      <c r="BC164" s="260"/>
      <c r="BD164" s="14"/>
      <c r="BE164" s="14"/>
      <c r="BF164" s="14"/>
      <c r="BG164" s="260"/>
      <c r="BH164" s="14"/>
      <c r="BI164" s="14"/>
      <c r="BJ164" s="14"/>
      <c r="BK164" s="260"/>
      <c r="BL164" s="20"/>
      <c r="BM164" s="23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260"/>
      <c r="CB164" s="23"/>
      <c r="CC164" s="74"/>
      <c r="CD164" s="74"/>
      <c r="CE164" s="260"/>
      <c r="CF164" s="22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260"/>
      <c r="CT164" s="74"/>
    </row>
    <row r="165" spans="1:104" s="700" customFormat="1" ht="14.25" customHeight="1">
      <c r="A165" s="890"/>
      <c r="B165" s="907" t="s">
        <v>238</v>
      </c>
      <c r="C165" s="328"/>
      <c r="D165" s="895">
        <f>+D82</f>
        <v>115.15000000000003</v>
      </c>
      <c r="E165" s="896">
        <f t="shared" ref="E165:AQ165" si="701">+E82</f>
        <v>132.94299999999998</v>
      </c>
      <c r="F165" s="896">
        <f t="shared" si="701"/>
        <v>147.02900000000002</v>
      </c>
      <c r="G165" s="897">
        <f t="shared" si="701"/>
        <v>130.37699999999978</v>
      </c>
      <c r="H165" s="895">
        <f t="shared" si="701"/>
        <v>16.129999999999995</v>
      </c>
      <c r="I165" s="896">
        <f t="shared" si="701"/>
        <v>126.846</v>
      </c>
      <c r="J165" s="896">
        <f t="shared" si="701"/>
        <v>86.268999999999977</v>
      </c>
      <c r="K165" s="897">
        <f t="shared" si="701"/>
        <v>185.06399999999985</v>
      </c>
      <c r="L165" s="895">
        <f t="shared" si="701"/>
        <v>117.09900000000005</v>
      </c>
      <c r="M165" s="896">
        <f t="shared" si="701"/>
        <v>155.72199999999998</v>
      </c>
      <c r="N165" s="896">
        <f t="shared" si="701"/>
        <v>122.84700000000004</v>
      </c>
      <c r="O165" s="897">
        <f t="shared" si="701"/>
        <v>132.28699999999992</v>
      </c>
      <c r="P165" s="895">
        <f t="shared" si="701"/>
        <v>113.72100000000003</v>
      </c>
      <c r="Q165" s="896">
        <f t="shared" si="701"/>
        <v>45.017000000000024</v>
      </c>
      <c r="R165" s="896">
        <f t="shared" si="701"/>
        <v>10.342999999999989</v>
      </c>
      <c r="S165" s="897">
        <f t="shared" si="701"/>
        <v>46.979000000000212</v>
      </c>
      <c r="T165" s="895">
        <f t="shared" si="701"/>
        <v>84.139999999999986</v>
      </c>
      <c r="U165" s="896">
        <f t="shared" si="701"/>
        <v>116.30799999999994</v>
      </c>
      <c r="V165" s="896">
        <f t="shared" si="701"/>
        <v>132.809</v>
      </c>
      <c r="W165" s="897">
        <f t="shared" si="701"/>
        <v>158.63699999999997</v>
      </c>
      <c r="X165" s="895">
        <f t="shared" si="701"/>
        <v>197.04099999999997</v>
      </c>
      <c r="Y165" s="896">
        <f t="shared" si="701"/>
        <v>187.27300000000002</v>
      </c>
      <c r="Z165" s="896">
        <f t="shared" si="701"/>
        <v>175.99699999999996</v>
      </c>
      <c r="AA165" s="897">
        <f t="shared" si="701"/>
        <v>187.69199999999969</v>
      </c>
      <c r="AB165" s="895">
        <f t="shared" si="701"/>
        <v>182.23799999999994</v>
      </c>
      <c r="AC165" s="328">
        <f t="shared" si="701"/>
        <v>134.93100000000001</v>
      </c>
      <c r="AD165" s="328">
        <f t="shared" si="701"/>
        <v>131.131</v>
      </c>
      <c r="AE165" s="894">
        <f t="shared" si="701"/>
        <v>167.39399999999995</v>
      </c>
      <c r="AF165" s="893">
        <f t="shared" si="701"/>
        <v>182.02800000000008</v>
      </c>
      <c r="AG165" s="328">
        <f t="shared" si="701"/>
        <v>156.56099999999998</v>
      </c>
      <c r="AH165" s="328">
        <f t="shared" si="701"/>
        <v>167.78700000000003</v>
      </c>
      <c r="AI165" s="328">
        <f t="shared" si="701"/>
        <v>165.08399999999995</v>
      </c>
      <c r="AJ165" s="893">
        <f t="shared" si="701"/>
        <v>147.95600000000002</v>
      </c>
      <c r="AK165" s="328">
        <f t="shared" si="701"/>
        <v>134.39400000000001</v>
      </c>
      <c r="AL165" s="328">
        <f t="shared" si="701"/>
        <v>141.82400000000001</v>
      </c>
      <c r="AM165" s="328">
        <f>+AM82</f>
        <v>161.12600000000003</v>
      </c>
      <c r="AN165" s="893">
        <f t="shared" si="701"/>
        <v>137.22000000000003</v>
      </c>
      <c r="AO165" s="328">
        <f t="shared" si="701"/>
        <v>125.99899999999997</v>
      </c>
      <c r="AP165" s="328">
        <f t="shared" si="701"/>
        <v>144.17300000000003</v>
      </c>
      <c r="AQ165" s="894">
        <f t="shared" si="701"/>
        <v>160.4980000000001</v>
      </c>
      <c r="AR165" s="893">
        <f t="shared" ref="AR165:BC165" si="702">+AR82</f>
        <v>153.233</v>
      </c>
      <c r="AS165" s="328">
        <f t="shared" si="702"/>
        <v>122.19200000000001</v>
      </c>
      <c r="AT165" s="328">
        <f t="shared" si="702"/>
        <v>149.90299999999991</v>
      </c>
      <c r="AU165" s="894">
        <f t="shared" si="702"/>
        <v>177.97999999999996</v>
      </c>
      <c r="AV165" s="893">
        <f>+AV82</f>
        <v>175.91399999999993</v>
      </c>
      <c r="AW165" s="328">
        <f>+AW82</f>
        <v>167.51100000000002</v>
      </c>
      <c r="AX165" s="328">
        <f t="shared" si="702"/>
        <v>191.92100000000005</v>
      </c>
      <c r="AY165" s="894">
        <f>+AY82</f>
        <v>215.59000000000003</v>
      </c>
      <c r="AZ165" s="328">
        <f t="shared" si="702"/>
        <v>202.61300000000006</v>
      </c>
      <c r="BA165" s="328">
        <f>+BA82</f>
        <v>219.59599999999995</v>
      </c>
      <c r="BB165" s="328">
        <f>+BB82</f>
        <v>240.35300000000001</v>
      </c>
      <c r="BC165" s="894">
        <f t="shared" si="702"/>
        <v>230.09951120950001</v>
      </c>
      <c r="BD165" s="328">
        <f t="shared" ref="BD165:BK165" si="703">+BD82</f>
        <v>219.10308541782183</v>
      </c>
      <c r="BE165" s="328">
        <f t="shared" si="703"/>
        <v>220.36339489306903</v>
      </c>
      <c r="BF165" s="328">
        <f t="shared" si="703"/>
        <v>240.3821111039988</v>
      </c>
      <c r="BG165" s="894">
        <f t="shared" si="703"/>
        <v>246.53892071066468</v>
      </c>
      <c r="BH165" s="328">
        <f t="shared" si="703"/>
        <v>239.98563224300136</v>
      </c>
      <c r="BI165" s="328">
        <f t="shared" si="703"/>
        <v>239.70405564422498</v>
      </c>
      <c r="BJ165" s="328">
        <f t="shared" si="703"/>
        <v>255.48553712495294</v>
      </c>
      <c r="BK165" s="894">
        <f t="shared" si="703"/>
        <v>267.07386867842644</v>
      </c>
      <c r="BL165" s="1214"/>
      <c r="BM165" s="895">
        <f t="shared" ref="BM165:BV165" si="704">+BM82</f>
        <v>525.49899999999991</v>
      </c>
      <c r="BN165" s="328">
        <f t="shared" si="704"/>
        <v>414.30899999999963</v>
      </c>
      <c r="BO165" s="328">
        <f t="shared" si="704"/>
        <v>527.95499999999993</v>
      </c>
      <c r="BP165" s="328">
        <f t="shared" si="704"/>
        <v>216.0600000000004</v>
      </c>
      <c r="BQ165" s="328">
        <f t="shared" si="704"/>
        <v>491.89400000000023</v>
      </c>
      <c r="BR165" s="328">
        <f t="shared" si="704"/>
        <v>748.00299999999936</v>
      </c>
      <c r="BS165" s="328">
        <f t="shared" si="704"/>
        <v>615.69399999999996</v>
      </c>
      <c r="BT165" s="328">
        <f t="shared" si="704"/>
        <v>671.45999999999981</v>
      </c>
      <c r="BU165" s="328">
        <f t="shared" si="704"/>
        <v>585.30000000000018</v>
      </c>
      <c r="BV165" s="328">
        <f t="shared" si="704"/>
        <v>567.88999999999942</v>
      </c>
      <c r="BW165" s="328">
        <f>+BW82</f>
        <v>603.30800000000022</v>
      </c>
      <c r="BX165" s="328">
        <f>+BX82</f>
        <v>750.93600000000015</v>
      </c>
      <c r="BY165" s="328">
        <f>+BY82</f>
        <v>892.6615112095003</v>
      </c>
      <c r="BZ165" s="328">
        <f>+BZ82</f>
        <v>926.38751212555417</v>
      </c>
      <c r="CA165" s="894">
        <f>+CA82</f>
        <v>1002.2490936906054</v>
      </c>
      <c r="CB165" s="895"/>
      <c r="CC165" s="896"/>
      <c r="CD165" s="896"/>
      <c r="CE165" s="894"/>
      <c r="CF165" s="893">
        <f t="shared" ref="CF165:CN165" si="705">+CF82</f>
        <v>420.38199999999983</v>
      </c>
      <c r="CG165" s="328">
        <f t="shared" si="705"/>
        <v>544.154</v>
      </c>
      <c r="CH165" s="328">
        <f t="shared" si="705"/>
        <v>413.87199999999984</v>
      </c>
      <c r="CI165" s="328">
        <f t="shared" si="705"/>
        <v>257.77</v>
      </c>
      <c r="CJ165" s="328">
        <f t="shared" si="705"/>
        <v>675.76000000000045</v>
      </c>
      <c r="CK165" s="328">
        <f t="shared" si="705"/>
        <v>680.85799999999961</v>
      </c>
      <c r="CL165" s="328">
        <f t="shared" si="705"/>
        <v>637.11399999999981</v>
      </c>
      <c r="CM165" s="328">
        <f t="shared" si="705"/>
        <v>615.22099999999989</v>
      </c>
      <c r="CN165" s="328">
        <f t="shared" si="705"/>
        <v>566.1690000000001</v>
      </c>
      <c r="CO165" s="328">
        <f>+CO82</f>
        <v>580.09600000000023</v>
      </c>
      <c r="CP165" s="328">
        <f>+CP82</f>
        <v>671.30800000000011</v>
      </c>
      <c r="CQ165" s="328">
        <f>+CQ82</f>
        <v>829.71999999999957</v>
      </c>
      <c r="CR165" s="328">
        <f>+CR82</f>
        <v>909.91899152039093</v>
      </c>
      <c r="CS165" s="894">
        <f>+CS82</f>
        <v>966.61071970188982</v>
      </c>
      <c r="CT165" s="896"/>
      <c r="CU165"/>
      <c r="CV165"/>
      <c r="CW165"/>
      <c r="CX165"/>
      <c r="CY165"/>
      <c r="CZ165"/>
    </row>
    <row r="166" spans="1:104" s="891" customFormat="1" ht="14.25" customHeight="1">
      <c r="A166" s="890"/>
      <c r="B166" s="907" t="s">
        <v>236</v>
      </c>
      <c r="C166" s="328"/>
      <c r="D166" s="1303">
        <f>+CFS!D14</f>
        <v>21.018000000000001</v>
      </c>
      <c r="E166" s="1231">
        <f>+CFS!E14</f>
        <v>21.253999999999998</v>
      </c>
      <c r="F166" s="1231">
        <f>+CFS!F14</f>
        <v>21.994000000000007</v>
      </c>
      <c r="G166" s="1302">
        <f>+CFS!G14</f>
        <v>26.057999999999986</v>
      </c>
      <c r="H166" s="1303">
        <f>+CFS!H14</f>
        <v>24.347000000000001</v>
      </c>
      <c r="I166" s="1231">
        <f>+CFS!I14</f>
        <v>25.888999999999996</v>
      </c>
      <c r="J166" s="1231">
        <f>+CFS!J14</f>
        <v>27.265000000000008</v>
      </c>
      <c r="K166" s="1302">
        <f>+CFS!K14</f>
        <v>27.141999999999989</v>
      </c>
      <c r="L166" s="1303">
        <f>+CFS!L14</f>
        <v>30.344999999999999</v>
      </c>
      <c r="M166" s="1231">
        <f>+CFS!M14</f>
        <v>34.478999999999999</v>
      </c>
      <c r="N166" s="1231">
        <f>+CFS!N14</f>
        <v>46.352000000000004</v>
      </c>
      <c r="O166" s="1302">
        <f>+CFS!O14</f>
        <v>50.731000000000009</v>
      </c>
      <c r="P166" s="1303">
        <f>+CFS!P14</f>
        <v>46.780999999999999</v>
      </c>
      <c r="Q166" s="1231">
        <f>+CFS!Q14</f>
        <v>50.893000000000008</v>
      </c>
      <c r="R166" s="1231">
        <f>+CFS!R14</f>
        <v>51.235999999999997</v>
      </c>
      <c r="S166" s="1302">
        <f>+CFS!S14</f>
        <v>56.513000000000012</v>
      </c>
      <c r="T166" s="1303">
        <f>+CFS!T14</f>
        <v>36.496000000000002</v>
      </c>
      <c r="U166" s="1231">
        <f>+CFS!U14</f>
        <v>39.832000000000001</v>
      </c>
      <c r="V166" s="1231">
        <f>+CFS!V14</f>
        <v>40.810000000000009</v>
      </c>
      <c r="W166" s="1302">
        <f>+CFS!W14</f>
        <v>50.384999999999998</v>
      </c>
      <c r="X166" s="1303">
        <f>+CFS!X14</f>
        <v>52.134</v>
      </c>
      <c r="Y166" s="1231">
        <f>+CFS!Y14</f>
        <v>52.227999999999994</v>
      </c>
      <c r="Z166" s="1231">
        <f>+CFS!Z14</f>
        <v>50.683999999999997</v>
      </c>
      <c r="AA166" s="1302">
        <f>+CFS!AA14</f>
        <v>50.01600000000002</v>
      </c>
      <c r="AB166" s="1303">
        <f>+CFS!AB14</f>
        <v>52.070999999999998</v>
      </c>
      <c r="AC166" s="1231">
        <f>+CFS!AC14</f>
        <v>51.995000000000005</v>
      </c>
      <c r="AD166" s="1231">
        <f>+CFS!AD14</f>
        <v>53.475999999999999</v>
      </c>
      <c r="AE166" s="1302">
        <f>+CFS!AE14</f>
        <v>53.554000000000002</v>
      </c>
      <c r="AF166" s="1303">
        <f>+CFS!AF14</f>
        <v>53.673999999999999</v>
      </c>
      <c r="AG166" s="1231">
        <f>+CFS!AG14</f>
        <v>51.88</v>
      </c>
      <c r="AH166" s="1231">
        <f>+CFS!AH14</f>
        <v>50.390999999999998</v>
      </c>
      <c r="AI166" s="1302">
        <f>+CFS!AI14</f>
        <v>51.19100000000001</v>
      </c>
      <c r="AJ166" s="1303">
        <f>+CFS!AJ14</f>
        <v>51.133000000000003</v>
      </c>
      <c r="AK166" s="1231">
        <f>+CFS!AK14</f>
        <v>64.403999999999996</v>
      </c>
      <c r="AL166" s="1231">
        <f>+CFS!AL14</f>
        <v>64.664999999999992</v>
      </c>
      <c r="AM166" s="1302">
        <f>+CFS!AM14</f>
        <v>64.390999999999991</v>
      </c>
      <c r="AN166" s="1303">
        <f>+CFS!AN14</f>
        <v>63.692999999999998</v>
      </c>
      <c r="AO166" s="1231">
        <f>+CFS!AO14</f>
        <v>71.625000000000014</v>
      </c>
      <c r="AP166" s="1231">
        <f>+CFS!AP14</f>
        <v>71.439000000000007</v>
      </c>
      <c r="AQ166" s="1302">
        <f>+CFS!AQ14</f>
        <v>92.638999999999996</v>
      </c>
      <c r="AR166" s="1303">
        <f>+CFS!AR14</f>
        <v>102.053</v>
      </c>
      <c r="AS166" s="1231">
        <f>+CFS!AS14</f>
        <v>49.081999999999994</v>
      </c>
      <c r="AT166" s="1231">
        <f>+CFS!AT14</f>
        <v>47.087999999999994</v>
      </c>
      <c r="AU166" s="1302">
        <f>+CFS!AU14</f>
        <v>46.414000000000016</v>
      </c>
      <c r="AV166" s="1303">
        <f>+CFS!AV14</f>
        <v>43.484999999999999</v>
      </c>
      <c r="AW166" s="1231">
        <f>+CFS!AW14</f>
        <v>42.14</v>
      </c>
      <c r="AX166" s="1231">
        <f>+CFS!AX14</f>
        <v>40.472999999999999</v>
      </c>
      <c r="AY166" s="1302">
        <f>+CFS!AY14</f>
        <v>38.194000000000003</v>
      </c>
      <c r="AZ166" s="1303">
        <f>+CFS!AZ14</f>
        <v>36.753999999999998</v>
      </c>
      <c r="BA166" s="1231">
        <f>+CFS!BA14</f>
        <v>35.812999999999995</v>
      </c>
      <c r="BB166" s="1231">
        <f>+CFS!BB14</f>
        <v>37.201000000000001</v>
      </c>
      <c r="BC166" s="1302">
        <f>+CFS!BC14</f>
        <v>25</v>
      </c>
      <c r="BD166" s="1303">
        <f>+CFS!BD14</f>
        <v>56</v>
      </c>
      <c r="BE166" s="1231">
        <f>+CFS!BE14</f>
        <v>56</v>
      </c>
      <c r="BF166" s="1231">
        <f>+CFS!BF14</f>
        <v>56</v>
      </c>
      <c r="BG166" s="1302">
        <f>+CFS!BG14</f>
        <v>56</v>
      </c>
      <c r="BH166" s="1303">
        <f>+CFS!BH14</f>
        <v>56</v>
      </c>
      <c r="BI166" s="1231">
        <f>+CFS!BI14</f>
        <v>56</v>
      </c>
      <c r="BJ166" s="1231">
        <f>+CFS!BJ14</f>
        <v>56</v>
      </c>
      <c r="BK166" s="1302">
        <f>+CFS!BK14</f>
        <v>56</v>
      </c>
      <c r="BL166" s="1214"/>
      <c r="BM166" s="1303">
        <f>+CFS!BM14</f>
        <v>90.323999999999984</v>
      </c>
      <c r="BN166" s="1231">
        <f>+CFS!BN14</f>
        <v>104.643</v>
      </c>
      <c r="BO166" s="1231">
        <f>+CFS!BO14</f>
        <v>161.90700000000001</v>
      </c>
      <c r="BP166" s="1231">
        <f>+CFS!BP14</f>
        <v>205.423</v>
      </c>
      <c r="BQ166" s="1231">
        <f>+CFS!BQ14</f>
        <v>167.523</v>
      </c>
      <c r="BR166" s="1231">
        <f>+CFS!BR14</f>
        <v>205.06200000000001</v>
      </c>
      <c r="BS166" s="1231">
        <f>+CFS!BS14</f>
        <v>211.096</v>
      </c>
      <c r="BT166" s="1231">
        <f>+CFS!BT14</f>
        <v>207.136</v>
      </c>
      <c r="BU166" s="1231">
        <f>+CFS!BU14</f>
        <v>244.59299999999999</v>
      </c>
      <c r="BV166" s="1231">
        <f>+CFS!BV14</f>
        <v>299.39600000000002</v>
      </c>
      <c r="BW166" s="1231">
        <f>+CFS!BW14</f>
        <v>244.637</v>
      </c>
      <c r="BX166" s="1231">
        <f>+CFS!BX14</f>
        <v>164.292</v>
      </c>
      <c r="BY166" s="1231">
        <f>+CFS!BY14</f>
        <v>134.768</v>
      </c>
      <c r="BZ166" s="1231">
        <f>+CFS!BZ14</f>
        <v>224</v>
      </c>
      <c r="CA166" s="1302">
        <f>+CFS!CA14</f>
        <v>224</v>
      </c>
      <c r="CB166" s="1474"/>
      <c r="CC166" s="1421"/>
      <c r="CD166" s="1421"/>
      <c r="CE166" s="897"/>
      <c r="CF166" s="1303">
        <f>+CFS!CF14</f>
        <v>98.287999999999997</v>
      </c>
      <c r="CG166" s="1231">
        <f>+CFS!CG14</f>
        <v>119.23099999999999</v>
      </c>
      <c r="CH166" s="1231">
        <f>+CFS!CH14</f>
        <v>194.75700000000001</v>
      </c>
      <c r="CI166" s="1231">
        <f>+CFS!CI14</f>
        <v>184.077</v>
      </c>
      <c r="CJ166" s="1231">
        <f>+CFS!CJ14</f>
        <v>195.55700000000002</v>
      </c>
      <c r="CK166" s="1231">
        <f>+CFS!CK14</f>
        <v>204.76600000000002</v>
      </c>
      <c r="CL166" s="1231">
        <f>+CFS!CL14</f>
        <v>212.584</v>
      </c>
      <c r="CM166" s="1231">
        <f>+CFS!CM14</f>
        <v>217.119</v>
      </c>
      <c r="CN166" s="1231">
        <f>+CFS!CN14</f>
        <v>264.37399999999997</v>
      </c>
      <c r="CO166" s="1231">
        <f>+CFS!CO14</f>
        <v>315.21299999999997</v>
      </c>
      <c r="CP166" s="1231">
        <f>+CFS!CP14</f>
        <v>179.12700000000001</v>
      </c>
      <c r="CQ166" s="1231">
        <f>+CFS!CQ14</f>
        <v>151.23399999999998</v>
      </c>
      <c r="CR166" s="1231">
        <f>+CFS!CR14</f>
        <v>174.20099999999999</v>
      </c>
      <c r="CS166" s="1302">
        <f>+CFS!CT14</f>
        <v>0</v>
      </c>
      <c r="CT166" s="1421"/>
      <c r="CU166"/>
      <c r="CV166"/>
      <c r="CW166"/>
      <c r="CX166"/>
      <c r="CY166"/>
      <c r="CZ166"/>
    </row>
    <row r="167" spans="1:104" s="755" customFormat="1" ht="14.25" customHeight="1">
      <c r="A167" s="892"/>
      <c r="B167" s="908" t="s">
        <v>239</v>
      </c>
      <c r="C167" s="901"/>
      <c r="D167" s="903">
        <f t="shared" ref="D167:AX167" si="706">-D63-D24</f>
        <v>0</v>
      </c>
      <c r="E167" s="901">
        <f t="shared" si="706"/>
        <v>0</v>
      </c>
      <c r="F167" s="901">
        <f t="shared" si="706"/>
        <v>0</v>
      </c>
      <c r="G167" s="902">
        <f t="shared" si="706"/>
        <v>0</v>
      </c>
      <c r="H167" s="903">
        <f t="shared" si="706"/>
        <v>0</v>
      </c>
      <c r="I167" s="901">
        <f t="shared" si="706"/>
        <v>0</v>
      </c>
      <c r="J167" s="901">
        <f t="shared" si="706"/>
        <v>0</v>
      </c>
      <c r="K167" s="902">
        <f t="shared" si="706"/>
        <v>-10.204000000000001</v>
      </c>
      <c r="L167" s="903">
        <f t="shared" si="706"/>
        <v>0</v>
      </c>
      <c r="M167" s="901">
        <f t="shared" si="706"/>
        <v>0</v>
      </c>
      <c r="N167" s="901">
        <f t="shared" si="706"/>
        <v>-11.281000000000001</v>
      </c>
      <c r="O167" s="902">
        <f t="shared" si="706"/>
        <v>-14.211</v>
      </c>
      <c r="P167" s="903">
        <f t="shared" si="706"/>
        <v>-8.6720000000000006</v>
      </c>
      <c r="Q167" s="901">
        <f t="shared" si="706"/>
        <v>-98.108000000000004</v>
      </c>
      <c r="R167" s="901">
        <f t="shared" si="706"/>
        <v>-12.372</v>
      </c>
      <c r="S167" s="902">
        <f t="shared" si="706"/>
        <v>-24.541</v>
      </c>
      <c r="T167" s="903">
        <f t="shared" si="706"/>
        <v>-12.487</v>
      </c>
      <c r="U167" s="901">
        <f t="shared" si="706"/>
        <v>-4.1950000000000003</v>
      </c>
      <c r="V167" s="901">
        <f t="shared" si="706"/>
        <v>-4.149</v>
      </c>
      <c r="W167" s="902">
        <f t="shared" si="706"/>
        <v>-13.561</v>
      </c>
      <c r="X167" s="903">
        <f t="shared" si="706"/>
        <v>-16.719000000000001</v>
      </c>
      <c r="Y167" s="901">
        <f t="shared" si="706"/>
        <v>-13.686</v>
      </c>
      <c r="Z167" s="901">
        <f t="shared" si="706"/>
        <v>-12.010999999999999</v>
      </c>
      <c r="AA167" s="902">
        <f t="shared" si="706"/>
        <v>-12.177000000000001</v>
      </c>
      <c r="AB167" s="903">
        <f t="shared" si="706"/>
        <v>-13.754999999999999</v>
      </c>
      <c r="AC167" s="901">
        <f t="shared" si="706"/>
        <v>-14.219000000000001</v>
      </c>
      <c r="AD167" s="901">
        <f t="shared" si="706"/>
        <v>-13.816000000000001</v>
      </c>
      <c r="AE167" s="902">
        <f t="shared" si="706"/>
        <v>-13.440999999999999</v>
      </c>
      <c r="AF167" s="903">
        <f t="shared" si="706"/>
        <v>-13.503</v>
      </c>
      <c r="AG167" s="901">
        <f t="shared" si="706"/>
        <v>-12.889000000000001</v>
      </c>
      <c r="AH167" s="901">
        <f t="shared" si="706"/>
        <v>-11.68</v>
      </c>
      <c r="AI167" s="901">
        <f t="shared" si="706"/>
        <v>-11.446999999999999</v>
      </c>
      <c r="AJ167" s="903">
        <f t="shared" si="706"/>
        <v>-11.528</v>
      </c>
      <c r="AK167" s="901">
        <f t="shared" si="706"/>
        <v>-37.132000000000005</v>
      </c>
      <c r="AL167" s="901">
        <f t="shared" si="706"/>
        <v>-28.923000000000002</v>
      </c>
      <c r="AM167" s="901">
        <f t="shared" si="706"/>
        <v>-23.543999999999997</v>
      </c>
      <c r="AN167" s="903">
        <f t="shared" si="706"/>
        <v>-23.076999999999998</v>
      </c>
      <c r="AO167" s="901">
        <f t="shared" si="706"/>
        <v>-31.8</v>
      </c>
      <c r="AP167" s="901">
        <f t="shared" si="706"/>
        <v>-32.561</v>
      </c>
      <c r="AQ167" s="902">
        <f t="shared" si="706"/>
        <v>-54.499000000000002</v>
      </c>
      <c r="AR167" s="903">
        <f>-AR63-AR24</f>
        <v>-63.860000000000007</v>
      </c>
      <c r="AS167" s="901">
        <f>-AS63-AS24</f>
        <v>-20.303999999999998</v>
      </c>
      <c r="AT167" s="901">
        <f>-AT63-AT24</f>
        <v>-24.556000000000001</v>
      </c>
      <c r="AU167" s="902">
        <f t="shared" si="706"/>
        <v>-18.465</v>
      </c>
      <c r="AV167" s="903">
        <f>-AV63-AV24</f>
        <v>-16.223000000000003</v>
      </c>
      <c r="AW167" s="901">
        <f>-AW63-AW24</f>
        <v>-15.280999999999999</v>
      </c>
      <c r="AX167" s="901">
        <f t="shared" si="706"/>
        <v>-14.515000000000001</v>
      </c>
      <c r="AY167" s="902">
        <f>-AY63-AY24</f>
        <v>-13.114000000000001</v>
      </c>
      <c r="AZ167" s="901">
        <f t="shared" ref="AZ167:BG167" si="707">-AZ63-AZ24</f>
        <v>-12.816000000000001</v>
      </c>
      <c r="BA167" s="901">
        <f>-BA63-BA24</f>
        <v>-12.133999999999999</v>
      </c>
      <c r="BB167" s="901">
        <f>-BB63-BB24</f>
        <v>-12.977</v>
      </c>
      <c r="BC167" s="902">
        <f t="shared" si="707"/>
        <v>-11.875999999999999</v>
      </c>
      <c r="BD167" s="901">
        <f t="shared" si="707"/>
        <v>-0.876</v>
      </c>
      <c r="BE167" s="901">
        <f t="shared" si="707"/>
        <v>-0.876</v>
      </c>
      <c r="BF167" s="901">
        <f t="shared" si="707"/>
        <v>-0.876</v>
      </c>
      <c r="BG167" s="902">
        <f t="shared" si="707"/>
        <v>-0.876</v>
      </c>
      <c r="BH167" s="901">
        <f>-BH63-BH24</f>
        <v>-0.876</v>
      </c>
      <c r="BI167" s="901">
        <f>-BI63-BI24</f>
        <v>-0.876</v>
      </c>
      <c r="BJ167" s="901">
        <f>-BJ63-BJ24</f>
        <v>-0.876</v>
      </c>
      <c r="BK167" s="902">
        <f>-BK63-BK24</f>
        <v>-0.876</v>
      </c>
      <c r="BL167" s="1215"/>
      <c r="BM167" s="898">
        <f t="shared" ref="BM167:BX167" si="708">-BM63-BM24</f>
        <v>0</v>
      </c>
      <c r="BN167" s="899">
        <f t="shared" si="708"/>
        <v>-10.204000000000001</v>
      </c>
      <c r="BO167" s="899">
        <f t="shared" si="708"/>
        <v>-25.492000000000001</v>
      </c>
      <c r="BP167" s="899">
        <f t="shared" si="708"/>
        <v>-143.69299999999998</v>
      </c>
      <c r="BQ167" s="899">
        <f t="shared" si="708"/>
        <v>-34.391999999999996</v>
      </c>
      <c r="BR167" s="899">
        <f t="shared" si="708"/>
        <v>-54.593000000000004</v>
      </c>
      <c r="BS167" s="899">
        <f t="shared" si="708"/>
        <v>-55.230999999999995</v>
      </c>
      <c r="BT167" s="899">
        <f t="shared" si="708"/>
        <v>-49.518999999999998</v>
      </c>
      <c r="BU167" s="899">
        <f t="shared" si="708"/>
        <v>-101.127</v>
      </c>
      <c r="BV167" s="899">
        <f t="shared" si="708"/>
        <v>-141.93700000000001</v>
      </c>
      <c r="BW167" s="899">
        <f t="shared" si="708"/>
        <v>-127.18499999999999</v>
      </c>
      <c r="BX167" s="899">
        <f t="shared" si="708"/>
        <v>-59.133000000000003</v>
      </c>
      <c r="BY167" s="899">
        <f>-BY63-BY24</f>
        <v>-49.803000000000004</v>
      </c>
      <c r="BZ167" s="899">
        <f>-BZ63-BZ24</f>
        <v>-3.504</v>
      </c>
      <c r="CA167" s="900">
        <f>-CA63-CA24</f>
        <v>-3.504</v>
      </c>
      <c r="CB167" s="898"/>
      <c r="CC167" s="899"/>
      <c r="CD167" s="899"/>
      <c r="CE167" s="900"/>
      <c r="CF167" s="898">
        <f t="shared" ref="CF167:CP167" si="709">-CF63-CF24</f>
        <v>0</v>
      </c>
      <c r="CG167" s="899">
        <f t="shared" si="709"/>
        <v>-10.204000000000001</v>
      </c>
      <c r="CH167" s="899">
        <f t="shared" si="709"/>
        <v>-132.27199999999999</v>
      </c>
      <c r="CI167" s="899">
        <f t="shared" si="709"/>
        <v>-53.594999999999999</v>
      </c>
      <c r="CJ167" s="899">
        <f t="shared" si="709"/>
        <v>-48.114999999999995</v>
      </c>
      <c r="CK167" s="899">
        <f t="shared" si="709"/>
        <v>-52.161999999999999</v>
      </c>
      <c r="CL167" s="899">
        <f t="shared" si="709"/>
        <v>-53.649000000000001</v>
      </c>
      <c r="CM167" s="899">
        <f t="shared" si="709"/>
        <v>-71.787000000000006</v>
      </c>
      <c r="CN167" s="899">
        <f t="shared" si="709"/>
        <v>-107.34399999999999</v>
      </c>
      <c r="CO167" s="899">
        <f t="shared" si="709"/>
        <v>-171.22399999999999</v>
      </c>
      <c r="CP167" s="899">
        <f t="shared" si="709"/>
        <v>-74.525000000000006</v>
      </c>
      <c r="CQ167" s="899">
        <f>-CQ63-CQ24</f>
        <v>-52.578999999999994</v>
      </c>
      <c r="CR167" s="899">
        <f>-CR63-CR24</f>
        <v>-26.605</v>
      </c>
      <c r="CS167" s="900">
        <f>-CS63-CS24</f>
        <v>-3.504</v>
      </c>
      <c r="CT167" s="899"/>
      <c r="CU167"/>
      <c r="CV167"/>
      <c r="CW167"/>
      <c r="CX167"/>
      <c r="CY167"/>
      <c r="CZ167"/>
    </row>
    <row r="168" spans="1:104" s="756" customFormat="1" ht="14.25" customHeight="1">
      <c r="A168" s="904"/>
      <c r="B168" s="911" t="s">
        <v>237</v>
      </c>
      <c r="C168" s="909"/>
      <c r="D168" s="912">
        <f>+SUM(D165:D167)</f>
        <v>136.16800000000003</v>
      </c>
      <c r="E168" s="909">
        <f t="shared" ref="E168:AQ168" si="710">+SUM(E165:E167)</f>
        <v>154.19699999999997</v>
      </c>
      <c r="F168" s="909">
        <f t="shared" si="710"/>
        <v>169.02300000000002</v>
      </c>
      <c r="G168" s="913">
        <f t="shared" si="710"/>
        <v>156.43499999999977</v>
      </c>
      <c r="H168" s="912">
        <f t="shared" si="710"/>
        <v>40.476999999999997</v>
      </c>
      <c r="I168" s="909">
        <f t="shared" si="710"/>
        <v>152.73500000000001</v>
      </c>
      <c r="J168" s="909">
        <f t="shared" si="710"/>
        <v>113.53399999999999</v>
      </c>
      <c r="K168" s="913">
        <f t="shared" si="710"/>
        <v>202.00199999999984</v>
      </c>
      <c r="L168" s="912">
        <f t="shared" si="710"/>
        <v>147.44400000000005</v>
      </c>
      <c r="M168" s="909">
        <f t="shared" si="710"/>
        <v>190.20099999999996</v>
      </c>
      <c r="N168" s="909">
        <f t="shared" si="710"/>
        <v>157.91800000000003</v>
      </c>
      <c r="O168" s="913">
        <f t="shared" si="710"/>
        <v>168.8069999999999</v>
      </c>
      <c r="P168" s="912">
        <f t="shared" si="710"/>
        <v>151.83000000000004</v>
      </c>
      <c r="Q168" s="909">
        <f t="shared" si="710"/>
        <v>-2.1979999999999791</v>
      </c>
      <c r="R168" s="909">
        <f t="shared" si="710"/>
        <v>49.206999999999987</v>
      </c>
      <c r="S168" s="913">
        <f t="shared" si="710"/>
        <v>78.951000000000221</v>
      </c>
      <c r="T168" s="912">
        <f t="shared" si="710"/>
        <v>108.149</v>
      </c>
      <c r="U168" s="909">
        <f t="shared" si="710"/>
        <v>151.94499999999994</v>
      </c>
      <c r="V168" s="909">
        <f t="shared" si="710"/>
        <v>169.47</v>
      </c>
      <c r="W168" s="913">
        <f t="shared" si="710"/>
        <v>195.46099999999996</v>
      </c>
      <c r="X168" s="912">
        <f t="shared" si="710"/>
        <v>232.45599999999996</v>
      </c>
      <c r="Y168" s="909">
        <f t="shared" si="710"/>
        <v>225.81500000000003</v>
      </c>
      <c r="Z168" s="909">
        <f t="shared" si="710"/>
        <v>214.66999999999996</v>
      </c>
      <c r="AA168" s="913">
        <f t="shared" si="710"/>
        <v>225.53099999999972</v>
      </c>
      <c r="AB168" s="912">
        <f t="shared" si="710"/>
        <v>220.55399999999995</v>
      </c>
      <c r="AC168" s="909">
        <f t="shared" si="710"/>
        <v>172.70700000000002</v>
      </c>
      <c r="AD168" s="909">
        <f t="shared" si="710"/>
        <v>170.791</v>
      </c>
      <c r="AE168" s="913">
        <f t="shared" si="710"/>
        <v>207.50699999999995</v>
      </c>
      <c r="AF168" s="912">
        <f t="shared" si="710"/>
        <v>222.19900000000007</v>
      </c>
      <c r="AG168" s="909">
        <f t="shared" si="710"/>
        <v>195.55199999999996</v>
      </c>
      <c r="AH168" s="909">
        <f t="shared" si="710"/>
        <v>206.49800000000002</v>
      </c>
      <c r="AI168" s="909">
        <f t="shared" si="710"/>
        <v>204.82799999999995</v>
      </c>
      <c r="AJ168" s="912">
        <f t="shared" si="710"/>
        <v>187.56100000000004</v>
      </c>
      <c r="AK168" s="909">
        <f t="shared" si="710"/>
        <v>161.666</v>
      </c>
      <c r="AL168" s="909">
        <f t="shared" si="710"/>
        <v>177.566</v>
      </c>
      <c r="AM168" s="909">
        <f>+SUM(AM165:AM167)</f>
        <v>201.97300000000001</v>
      </c>
      <c r="AN168" s="912">
        <f t="shared" si="710"/>
        <v>177.83600000000001</v>
      </c>
      <c r="AO168" s="909">
        <f t="shared" si="710"/>
        <v>165.82399999999996</v>
      </c>
      <c r="AP168" s="909">
        <f t="shared" si="710"/>
        <v>183.05100000000002</v>
      </c>
      <c r="AQ168" s="913">
        <f t="shared" si="710"/>
        <v>198.63800000000012</v>
      </c>
      <c r="AR168" s="912">
        <f t="shared" ref="AR168:BC168" si="711">+SUM(AR165:AR167)</f>
        <v>191.42599999999999</v>
      </c>
      <c r="AS168" s="909">
        <f t="shared" si="711"/>
        <v>150.97</v>
      </c>
      <c r="AT168" s="909">
        <f t="shared" si="711"/>
        <v>172.43499999999989</v>
      </c>
      <c r="AU168" s="913">
        <f t="shared" si="711"/>
        <v>205.92899999999997</v>
      </c>
      <c r="AV168" s="912">
        <f>+SUM(AV165:AV167)</f>
        <v>203.17599999999993</v>
      </c>
      <c r="AW168" s="909">
        <f>+SUM(AW165:AW167)</f>
        <v>194.37</v>
      </c>
      <c r="AX168" s="909">
        <f t="shared" si="711"/>
        <v>217.87900000000008</v>
      </c>
      <c r="AY168" s="913">
        <f>+SUM(AY165:AY167)</f>
        <v>240.67000000000004</v>
      </c>
      <c r="AZ168" s="909">
        <f t="shared" si="711"/>
        <v>226.55100000000004</v>
      </c>
      <c r="BA168" s="909">
        <f>+SUM(BA165:BA167)</f>
        <v>243.27499999999995</v>
      </c>
      <c r="BB168" s="909">
        <f>+SUM(BB165:BB167)</f>
        <v>264.57700000000006</v>
      </c>
      <c r="BC168" s="913">
        <f t="shared" si="711"/>
        <v>243.2235112095</v>
      </c>
      <c r="BD168" s="909">
        <f t="shared" ref="BD168:BK168" si="712">+SUM(BD165:BD167)</f>
        <v>274.22708541782185</v>
      </c>
      <c r="BE168" s="909">
        <f t="shared" si="712"/>
        <v>275.48739489306905</v>
      </c>
      <c r="BF168" s="909">
        <f t="shared" si="712"/>
        <v>295.50611110399882</v>
      </c>
      <c r="BG168" s="913">
        <f t="shared" si="712"/>
        <v>301.66292071066471</v>
      </c>
      <c r="BH168" s="909">
        <f t="shared" si="712"/>
        <v>295.10963224300139</v>
      </c>
      <c r="BI168" s="909">
        <f t="shared" si="712"/>
        <v>294.828055644225</v>
      </c>
      <c r="BJ168" s="909">
        <f t="shared" si="712"/>
        <v>310.60953712495296</v>
      </c>
      <c r="BK168" s="913">
        <f t="shared" si="712"/>
        <v>322.19786867842646</v>
      </c>
      <c r="BL168" s="1216"/>
      <c r="BM168" s="914">
        <f t="shared" ref="BM168:BW168" si="713">+SUM(BM165:BM167)</f>
        <v>615.82299999999987</v>
      </c>
      <c r="BN168" s="910">
        <f t="shared" si="713"/>
        <v>508.74799999999965</v>
      </c>
      <c r="BO168" s="910">
        <f t="shared" si="713"/>
        <v>664.37</v>
      </c>
      <c r="BP168" s="910">
        <f t="shared" si="713"/>
        <v>277.79000000000042</v>
      </c>
      <c r="BQ168" s="910">
        <f t="shared" si="713"/>
        <v>625.02500000000032</v>
      </c>
      <c r="BR168" s="910">
        <f t="shared" si="713"/>
        <v>898.47199999999941</v>
      </c>
      <c r="BS168" s="910">
        <f t="shared" si="713"/>
        <v>771.55899999999997</v>
      </c>
      <c r="BT168" s="910">
        <f t="shared" si="713"/>
        <v>829.07699999999977</v>
      </c>
      <c r="BU168" s="910">
        <f t="shared" si="713"/>
        <v>728.76600000000019</v>
      </c>
      <c r="BV168" s="910">
        <f t="shared" si="713"/>
        <v>725.34899999999936</v>
      </c>
      <c r="BW168" s="910">
        <f t="shared" si="713"/>
        <v>720.76000000000022</v>
      </c>
      <c r="BX168" s="910">
        <f>+SUM(BX165:BX167)</f>
        <v>856.09500000000014</v>
      </c>
      <c r="BY168" s="910">
        <f>+SUM(BY165:BY167)</f>
        <v>977.62651120950034</v>
      </c>
      <c r="BZ168" s="910">
        <f>+SUM(BZ165:BZ167)</f>
        <v>1146.8835121255543</v>
      </c>
      <c r="CA168" s="915">
        <f>+SUM(CA165:CA167)</f>
        <v>1222.7450936906055</v>
      </c>
      <c r="CB168" s="914"/>
      <c r="CC168" s="910"/>
      <c r="CD168" s="910"/>
      <c r="CE168" s="915"/>
      <c r="CF168" s="914">
        <f t="shared" ref="CF168:CN168" si="714">+SUM(CF165:CF167)</f>
        <v>518.66999999999985</v>
      </c>
      <c r="CG168" s="910">
        <f t="shared" si="714"/>
        <v>653.18100000000004</v>
      </c>
      <c r="CH168" s="910">
        <f t="shared" si="714"/>
        <v>476.35699999999991</v>
      </c>
      <c r="CI168" s="910">
        <f t="shared" si="714"/>
        <v>388.25199999999995</v>
      </c>
      <c r="CJ168" s="910">
        <f t="shared" si="714"/>
        <v>823.20200000000045</v>
      </c>
      <c r="CK168" s="910">
        <f t="shared" si="714"/>
        <v>833.46199999999953</v>
      </c>
      <c r="CL168" s="910">
        <f t="shared" si="714"/>
        <v>796.04899999999986</v>
      </c>
      <c r="CM168" s="910">
        <f t="shared" si="714"/>
        <v>760.55299999999988</v>
      </c>
      <c r="CN168" s="910">
        <f t="shared" si="714"/>
        <v>723.19900000000007</v>
      </c>
      <c r="CO168" s="910">
        <f>+SUM(CO165:CO167)</f>
        <v>724.08500000000026</v>
      </c>
      <c r="CP168" s="910">
        <f>+SUM(CP165:CP167)</f>
        <v>775.9100000000002</v>
      </c>
      <c r="CQ168" s="910">
        <f>+SUM(CQ165:CQ167)</f>
        <v>928.37499999999955</v>
      </c>
      <c r="CR168" s="910">
        <f>+SUM(CR165:CR167)</f>
        <v>1057.5149915203908</v>
      </c>
      <c r="CS168" s="915">
        <f>+SUM(CS165:CS167)</f>
        <v>963.1067197018898</v>
      </c>
      <c r="CT168" s="910"/>
      <c r="CU168"/>
      <c r="CV168"/>
      <c r="CW168"/>
      <c r="CX168"/>
      <c r="CY168"/>
      <c r="CZ168"/>
    </row>
    <row r="169" spans="1:104" s="916" customFormat="1" ht="14.25" customHeight="1">
      <c r="A169" s="909"/>
      <c r="B169" s="911"/>
      <c r="C169" s="909"/>
      <c r="D169" s="912"/>
      <c r="E169" s="909"/>
      <c r="F169" s="909"/>
      <c r="G169" s="913"/>
      <c r="H169" s="912"/>
      <c r="I169" s="909"/>
      <c r="J169" s="909"/>
      <c r="K169" s="913"/>
      <c r="L169" s="912"/>
      <c r="M169" s="909"/>
      <c r="N169" s="909"/>
      <c r="O169" s="913"/>
      <c r="P169" s="912"/>
      <c r="Q169" s="909"/>
      <c r="R169" s="909"/>
      <c r="S169" s="913"/>
      <c r="T169" s="912"/>
      <c r="U169" s="909"/>
      <c r="V169" s="909"/>
      <c r="W169" s="913"/>
      <c r="X169" s="912"/>
      <c r="Y169" s="909"/>
      <c r="Z169" s="909"/>
      <c r="AA169" s="913"/>
      <c r="AB169" s="912"/>
      <c r="AC169" s="909"/>
      <c r="AD169" s="909"/>
      <c r="AE169" s="913"/>
      <c r="AF169" s="912"/>
      <c r="AG169" s="909"/>
      <c r="AH169" s="909"/>
      <c r="AI169" s="909"/>
      <c r="AJ169" s="912"/>
      <c r="AK169" s="909"/>
      <c r="AL169" s="909"/>
      <c r="AM169" s="909"/>
      <c r="AN169" s="912"/>
      <c r="AO169" s="909"/>
      <c r="AP169" s="909"/>
      <c r="AQ169" s="913"/>
      <c r="AR169" s="912"/>
      <c r="AS169" s="909"/>
      <c r="AT169" s="909"/>
      <c r="AU169" s="913"/>
      <c r="AV169" s="912"/>
      <c r="AW169" s="909"/>
      <c r="AX169" s="909"/>
      <c r="AY169" s="913"/>
      <c r="AZ169" s="909"/>
      <c r="BA169" s="909"/>
      <c r="BB169" s="909"/>
      <c r="BC169" s="913"/>
      <c r="BD169" s="909"/>
      <c r="BE169" s="909"/>
      <c r="BF169" s="909"/>
      <c r="BG169" s="913"/>
      <c r="BH169" s="909"/>
      <c r="BI169" s="909"/>
      <c r="BJ169" s="909"/>
      <c r="BK169" s="913"/>
      <c r="BL169" s="1216"/>
      <c r="BM169" s="914"/>
      <c r="BN169" s="910"/>
      <c r="BO169" s="910"/>
      <c r="BP169" s="910"/>
      <c r="BQ169" s="910"/>
      <c r="BR169" s="910"/>
      <c r="BS169" s="910"/>
      <c r="BT169" s="910"/>
      <c r="BU169" s="910"/>
      <c r="BV169" s="910"/>
      <c r="BW169" s="910"/>
      <c r="BX169" s="910"/>
      <c r="BY169" s="910"/>
      <c r="BZ169" s="910"/>
      <c r="CA169" s="915"/>
      <c r="CB169" s="914"/>
      <c r="CC169" s="910"/>
      <c r="CD169" s="910"/>
      <c r="CE169" s="915"/>
      <c r="CF169" s="914"/>
      <c r="CG169" s="910"/>
      <c r="CH169" s="910"/>
      <c r="CI169" s="910"/>
      <c r="CJ169" s="910"/>
      <c r="CK169" s="910"/>
      <c r="CL169" s="910"/>
      <c r="CM169" s="910"/>
      <c r="CN169" s="910"/>
      <c r="CO169" s="910"/>
      <c r="CP169" s="910"/>
      <c r="CQ169" s="910">
        <f>CQ168</f>
        <v>928.37499999999955</v>
      </c>
      <c r="CR169" s="910">
        <f>CR165+CQ166+CQ167</f>
        <v>1008.573991520391</v>
      </c>
      <c r="CS169" s="910">
        <f>CS165+CQ166+CQ167</f>
        <v>1065.2657197018898</v>
      </c>
      <c r="CT169" s="910"/>
      <c r="CU169"/>
      <c r="CV169"/>
      <c r="CW169"/>
      <c r="CX169"/>
      <c r="CY169"/>
      <c r="CZ169"/>
    </row>
    <row r="170" spans="1:104" s="923" customFormat="1" ht="14.25" customHeight="1">
      <c r="A170" s="921"/>
      <c r="B170" s="917" t="s">
        <v>240</v>
      </c>
      <c r="C170" s="921"/>
      <c r="D170" s="946"/>
      <c r="E170" s="921"/>
      <c r="F170" s="921"/>
      <c r="G170" s="930"/>
      <c r="H170" s="946"/>
      <c r="I170" s="921"/>
      <c r="J170" s="921"/>
      <c r="K170" s="930"/>
      <c r="L170" s="946"/>
      <c r="M170" s="921"/>
      <c r="N170" s="921"/>
      <c r="O170" s="930"/>
      <c r="P170" s="946"/>
      <c r="Q170" s="921"/>
      <c r="R170" s="921"/>
      <c r="S170" s="930"/>
      <c r="T170" s="946"/>
      <c r="U170" s="921"/>
      <c r="V170" s="921"/>
      <c r="W170" s="930"/>
      <c r="X170" s="946"/>
      <c r="Y170" s="921"/>
      <c r="Z170" s="921"/>
      <c r="AA170" s="930"/>
      <c r="AB170" s="946"/>
      <c r="AC170" s="921"/>
      <c r="AD170" s="921"/>
      <c r="AE170" s="930"/>
      <c r="AF170" s="946">
        <f>+AF100</f>
        <v>176.28600000000009</v>
      </c>
      <c r="AG170" s="921">
        <f t="shared" ref="AG170:AQ170" si="715">+AG100</f>
        <v>153.76299999999998</v>
      </c>
      <c r="AH170" s="921">
        <f t="shared" si="715"/>
        <v>165.11800000000002</v>
      </c>
      <c r="AI170" s="921">
        <f t="shared" si="715"/>
        <v>158.95399999999995</v>
      </c>
      <c r="AJ170" s="946">
        <f t="shared" si="715"/>
        <v>144.49300000000002</v>
      </c>
      <c r="AK170" s="921">
        <f t="shared" si="715"/>
        <v>128.56100000000001</v>
      </c>
      <c r="AL170" s="921">
        <f t="shared" si="715"/>
        <v>150.721</v>
      </c>
      <c r="AM170" s="921">
        <f>+AM100</f>
        <v>154.61500000000004</v>
      </c>
      <c r="AN170" s="946">
        <f t="shared" si="715"/>
        <v>130.74300000000002</v>
      </c>
      <c r="AO170" s="921">
        <f t="shared" si="715"/>
        <v>118.18299999999996</v>
      </c>
      <c r="AP170" s="921">
        <f t="shared" si="715"/>
        <v>138.63900000000004</v>
      </c>
      <c r="AQ170" s="930">
        <f t="shared" si="715"/>
        <v>153.14900000000011</v>
      </c>
      <c r="AR170" s="946">
        <f t="shared" ref="AR170:BC170" si="716">+AR100</f>
        <v>146.72200000000001</v>
      </c>
      <c r="AS170" s="921">
        <f t="shared" si="716"/>
        <v>113.194</v>
      </c>
      <c r="AT170" s="921">
        <f t="shared" si="716"/>
        <v>143.4849999999999</v>
      </c>
      <c r="AU170" s="930">
        <f t="shared" si="716"/>
        <v>171.30599999999995</v>
      </c>
      <c r="AV170" s="946">
        <f>+AV100</f>
        <v>168.57299999999992</v>
      </c>
      <c r="AW170" s="921">
        <f>+AW100</f>
        <v>161.82300000000004</v>
      </c>
      <c r="AX170" s="921">
        <f t="shared" si="716"/>
        <v>187.98900000000006</v>
      </c>
      <c r="AY170" s="930">
        <f>+AY100</f>
        <v>211.70200000000003</v>
      </c>
      <c r="AZ170" s="921">
        <f t="shared" si="716"/>
        <v>198.31500000000005</v>
      </c>
      <c r="BA170" s="921">
        <f>+BA100</f>
        <v>216.35599999999994</v>
      </c>
      <c r="BB170" s="921">
        <f>+BB100</f>
        <v>237.72200000000001</v>
      </c>
      <c r="BC170" s="930">
        <f t="shared" si="716"/>
        <v>223.49295820950002</v>
      </c>
      <c r="BD170" s="921">
        <f t="shared" ref="BD170:BK170" si="717">+BD100</f>
        <v>212.4775874702641</v>
      </c>
      <c r="BE170" s="921">
        <f t="shared" si="717"/>
        <v>213.74001978876851</v>
      </c>
      <c r="BF170" s="921">
        <f t="shared" si="717"/>
        <v>233.75033650000069</v>
      </c>
      <c r="BG170" s="930">
        <f t="shared" si="717"/>
        <v>239.89498968792498</v>
      </c>
      <c r="BH170" s="921">
        <f t="shared" si="717"/>
        <v>233.34280727284482</v>
      </c>
      <c r="BI170" s="921">
        <f t="shared" si="717"/>
        <v>233.0655364460531</v>
      </c>
      <c r="BJ170" s="921">
        <f t="shared" si="717"/>
        <v>248.84750134358157</v>
      </c>
      <c r="BK170" s="930">
        <f t="shared" si="717"/>
        <v>260.43284845989501</v>
      </c>
      <c r="BL170" s="1217"/>
      <c r="BM170" s="934">
        <f t="shared" ref="BM170:BV170" si="718">+BM100</f>
        <v>571.85399999999993</v>
      </c>
      <c r="BN170" s="922">
        <f t="shared" si="718"/>
        <v>475.57599999999962</v>
      </c>
      <c r="BO170" s="922">
        <f t="shared" si="718"/>
        <v>584.6819999999999</v>
      </c>
      <c r="BP170" s="922">
        <f t="shared" si="718"/>
        <v>233.30100000000039</v>
      </c>
      <c r="BQ170" s="922">
        <f t="shared" si="718"/>
        <v>499.90700000000021</v>
      </c>
      <c r="BR170" s="922">
        <f t="shared" si="718"/>
        <v>736.63499999999931</v>
      </c>
      <c r="BS170" s="922">
        <f t="shared" si="718"/>
        <v>612.404</v>
      </c>
      <c r="BT170" s="922">
        <f t="shared" si="718"/>
        <v>654.12099999999975</v>
      </c>
      <c r="BU170" s="922">
        <f t="shared" si="718"/>
        <v>578.39000000000021</v>
      </c>
      <c r="BV170" s="922">
        <f t="shared" si="718"/>
        <v>540.71399999999937</v>
      </c>
      <c r="BW170" s="922">
        <f>+BW100</f>
        <v>574.70700000000022</v>
      </c>
      <c r="BX170" s="922">
        <f>+BX100</f>
        <v>730.0870000000001</v>
      </c>
      <c r="BY170" s="922">
        <f>+BY100</f>
        <v>875.88595820950036</v>
      </c>
      <c r="BZ170" s="922">
        <f>+BZ100</f>
        <v>899.8629334469581</v>
      </c>
      <c r="CA170" s="938">
        <f>+CA100</f>
        <v>975.68869352237414</v>
      </c>
      <c r="CB170" s="934"/>
      <c r="CC170" s="922"/>
      <c r="CD170" s="922"/>
      <c r="CE170" s="938"/>
      <c r="CF170" s="934">
        <f t="shared" ref="CF170:CN170" si="719">+CF100</f>
        <v>472.37199999999984</v>
      </c>
      <c r="CG170" s="922">
        <f t="shared" si="719"/>
        <v>616.54499999999996</v>
      </c>
      <c r="CH170" s="922">
        <f t="shared" si="719"/>
        <v>447.80499999999984</v>
      </c>
      <c r="CI170" s="922">
        <f t="shared" si="719"/>
        <v>264.05599999999998</v>
      </c>
      <c r="CJ170" s="922">
        <f t="shared" si="719"/>
        <v>670.46600000000046</v>
      </c>
      <c r="CK170" s="922">
        <f t="shared" si="719"/>
        <v>673.76399999999956</v>
      </c>
      <c r="CL170" s="922">
        <f t="shared" si="719"/>
        <v>628.78599999999983</v>
      </c>
      <c r="CM170" s="922">
        <f t="shared" si="719"/>
        <v>597.12599999999986</v>
      </c>
      <c r="CN170" s="922">
        <f t="shared" si="719"/>
        <v>554.26200000000006</v>
      </c>
      <c r="CO170" s="922">
        <f>+CO100</f>
        <v>551.70400000000018</v>
      </c>
      <c r="CP170" s="922">
        <f>+CP100</f>
        <v>645.18700000000013</v>
      </c>
      <c r="CQ170" s="922">
        <f>+CQ100</f>
        <v>814.36199999999963</v>
      </c>
      <c r="CR170" s="922">
        <f>+CR100</f>
        <v>887.43256546853263</v>
      </c>
      <c r="CS170" s="938">
        <f>+CS100</f>
        <v>940.05366990682353</v>
      </c>
      <c r="CT170" s="922"/>
      <c r="CU170"/>
      <c r="CV170"/>
      <c r="CW170"/>
      <c r="CX170"/>
      <c r="CY170"/>
      <c r="CZ170"/>
    </row>
    <row r="171" spans="1:104" s="956" customFormat="1" ht="14.25" customHeight="1">
      <c r="A171" s="948"/>
      <c r="B171" s="951" t="s">
        <v>241</v>
      </c>
      <c r="C171" s="948"/>
      <c r="D171" s="951"/>
      <c r="E171" s="948"/>
      <c r="F171" s="948"/>
      <c r="G171" s="952"/>
      <c r="H171" s="951"/>
      <c r="I171" s="948"/>
      <c r="J171" s="948"/>
      <c r="K171" s="952"/>
      <c r="L171" s="951"/>
      <c r="M171" s="948"/>
      <c r="N171" s="948"/>
      <c r="O171" s="952"/>
      <c r="P171" s="951"/>
      <c r="Q171" s="948"/>
      <c r="R171" s="948"/>
      <c r="S171" s="952"/>
      <c r="T171" s="951"/>
      <c r="U171" s="948"/>
      <c r="V171" s="948"/>
      <c r="W171" s="952"/>
      <c r="X171" s="951"/>
      <c r="Y171" s="948"/>
      <c r="Z171" s="948"/>
      <c r="AA171" s="952"/>
      <c r="AB171" s="951"/>
      <c r="AC171" s="948"/>
      <c r="AD171" s="948"/>
      <c r="AE171" s="952"/>
      <c r="AF171" s="950">
        <v>0.3</v>
      </c>
      <c r="AG171" s="948">
        <f>+AF171</f>
        <v>0.3</v>
      </c>
      <c r="AH171" s="948">
        <f t="shared" ref="AH171:AW171" si="720">+AG171</f>
        <v>0.3</v>
      </c>
      <c r="AI171" s="948">
        <f t="shared" si="720"/>
        <v>0.3</v>
      </c>
      <c r="AJ171" s="951">
        <f t="shared" si="720"/>
        <v>0.3</v>
      </c>
      <c r="AK171" s="948">
        <f t="shared" si="720"/>
        <v>0.3</v>
      </c>
      <c r="AL171" s="948">
        <f t="shared" si="720"/>
        <v>0.3</v>
      </c>
      <c r="AM171" s="948">
        <f t="shared" si="720"/>
        <v>0.3</v>
      </c>
      <c r="AN171" s="951">
        <f t="shared" si="720"/>
        <v>0.3</v>
      </c>
      <c r="AO171" s="948">
        <f t="shared" si="720"/>
        <v>0.3</v>
      </c>
      <c r="AP171" s="948">
        <f t="shared" si="720"/>
        <v>0.3</v>
      </c>
      <c r="AQ171" s="952">
        <f t="shared" si="720"/>
        <v>0.3</v>
      </c>
      <c r="AR171" s="951">
        <f t="shared" si="720"/>
        <v>0.3</v>
      </c>
      <c r="AS171" s="948">
        <f t="shared" si="720"/>
        <v>0.3</v>
      </c>
      <c r="AT171" s="948">
        <f t="shared" si="720"/>
        <v>0.3</v>
      </c>
      <c r="AU171" s="952">
        <f t="shared" ref="AU171:BC171" si="721">+AT171</f>
        <v>0.3</v>
      </c>
      <c r="AV171" s="951">
        <f t="shared" si="720"/>
        <v>0.3</v>
      </c>
      <c r="AW171" s="948">
        <f t="shared" si="720"/>
        <v>0.3</v>
      </c>
      <c r="AX171" s="948">
        <f t="shared" si="721"/>
        <v>0.3</v>
      </c>
      <c r="AY171" s="952">
        <f t="shared" si="721"/>
        <v>0.3</v>
      </c>
      <c r="AZ171" s="948">
        <f t="shared" si="721"/>
        <v>0.3</v>
      </c>
      <c r="BA171" s="948">
        <f t="shared" si="721"/>
        <v>0.3</v>
      </c>
      <c r="BB171" s="948">
        <f t="shared" si="721"/>
        <v>0.3</v>
      </c>
      <c r="BC171" s="952">
        <f t="shared" si="721"/>
        <v>0.3</v>
      </c>
      <c r="BD171" s="948">
        <f t="shared" ref="BD171:BK171" si="722">+BC171</f>
        <v>0.3</v>
      </c>
      <c r="BE171" s="948">
        <f t="shared" si="722"/>
        <v>0.3</v>
      </c>
      <c r="BF171" s="948">
        <f t="shared" si="722"/>
        <v>0.3</v>
      </c>
      <c r="BG171" s="952">
        <f t="shared" si="722"/>
        <v>0.3</v>
      </c>
      <c r="BH171" s="948">
        <f t="shared" si="722"/>
        <v>0.3</v>
      </c>
      <c r="BI171" s="948">
        <f t="shared" si="722"/>
        <v>0.3</v>
      </c>
      <c r="BJ171" s="948">
        <f t="shared" si="722"/>
        <v>0.3</v>
      </c>
      <c r="BK171" s="952">
        <f t="shared" si="722"/>
        <v>0.3</v>
      </c>
      <c r="BL171" s="1218"/>
      <c r="BM171" s="953">
        <f>+AF171</f>
        <v>0.3</v>
      </c>
      <c r="BN171" s="954">
        <f>+BM171</f>
        <v>0.3</v>
      </c>
      <c r="BO171" s="954">
        <f t="shared" ref="BO171:BV171" si="723">+BN171</f>
        <v>0.3</v>
      </c>
      <c r="BP171" s="954">
        <f t="shared" si="723"/>
        <v>0.3</v>
      </c>
      <c r="BQ171" s="954">
        <f t="shared" si="723"/>
        <v>0.3</v>
      </c>
      <c r="BR171" s="954">
        <f t="shared" si="723"/>
        <v>0.3</v>
      </c>
      <c r="BS171" s="954">
        <f t="shared" si="723"/>
        <v>0.3</v>
      </c>
      <c r="BT171" s="954">
        <f t="shared" si="723"/>
        <v>0.3</v>
      </c>
      <c r="BU171" s="954">
        <f t="shared" si="723"/>
        <v>0.3</v>
      </c>
      <c r="BV171" s="954">
        <f t="shared" si="723"/>
        <v>0.3</v>
      </c>
      <c r="BW171" s="954">
        <f>+BV171</f>
        <v>0.3</v>
      </c>
      <c r="BX171" s="954">
        <f>+BW171</f>
        <v>0.3</v>
      </c>
      <c r="BY171" s="954">
        <f>+BX171</f>
        <v>0.3</v>
      </c>
      <c r="BZ171" s="954">
        <f>+BY171</f>
        <v>0.3</v>
      </c>
      <c r="CA171" s="955">
        <f>+BZ171</f>
        <v>0.3</v>
      </c>
      <c r="CB171" s="953"/>
      <c r="CC171" s="954"/>
      <c r="CD171" s="954"/>
      <c r="CE171" s="955"/>
      <c r="CF171" s="953">
        <f>+BM171</f>
        <v>0.3</v>
      </c>
      <c r="CG171" s="954">
        <f>+CF171</f>
        <v>0.3</v>
      </c>
      <c r="CH171" s="954">
        <f t="shared" ref="CH171:CS171" si="724">+CG171</f>
        <v>0.3</v>
      </c>
      <c r="CI171" s="954">
        <f t="shared" si="724"/>
        <v>0.3</v>
      </c>
      <c r="CJ171" s="954">
        <f t="shared" si="724"/>
        <v>0.3</v>
      </c>
      <c r="CK171" s="954">
        <f t="shared" si="724"/>
        <v>0.3</v>
      </c>
      <c r="CL171" s="954">
        <f t="shared" si="724"/>
        <v>0.3</v>
      </c>
      <c r="CM171" s="954">
        <f t="shared" si="724"/>
        <v>0.3</v>
      </c>
      <c r="CN171" s="954">
        <f t="shared" si="724"/>
        <v>0.3</v>
      </c>
      <c r="CO171" s="954">
        <f t="shared" si="724"/>
        <v>0.3</v>
      </c>
      <c r="CP171" s="954">
        <f t="shared" si="724"/>
        <v>0.3</v>
      </c>
      <c r="CQ171" s="954">
        <f t="shared" si="724"/>
        <v>0.3</v>
      </c>
      <c r="CR171" s="954">
        <f t="shared" si="724"/>
        <v>0.3</v>
      </c>
      <c r="CS171" s="955">
        <f t="shared" si="724"/>
        <v>0.3</v>
      </c>
      <c r="CT171" s="954"/>
      <c r="CU171"/>
      <c r="CV171"/>
      <c r="CW171"/>
      <c r="CX171"/>
      <c r="CY171"/>
      <c r="CZ171"/>
    </row>
    <row r="172" spans="1:104" s="923" customFormat="1" ht="14.25" customHeight="1">
      <c r="A172" s="921"/>
      <c r="B172" s="917" t="s">
        <v>242</v>
      </c>
      <c r="C172" s="921"/>
      <c r="D172" s="946"/>
      <c r="E172" s="921"/>
      <c r="F172" s="921"/>
      <c r="G172" s="930"/>
      <c r="H172" s="946"/>
      <c r="I172" s="921"/>
      <c r="J172" s="921"/>
      <c r="K172" s="930"/>
      <c r="L172" s="946"/>
      <c r="M172" s="921"/>
      <c r="N172" s="921"/>
      <c r="O172" s="930"/>
      <c r="P172" s="946"/>
      <c r="Q172" s="921"/>
      <c r="R172" s="921"/>
      <c r="S172" s="930"/>
      <c r="T172" s="946"/>
      <c r="U172" s="921"/>
      <c r="V172" s="921"/>
      <c r="W172" s="930"/>
      <c r="X172" s="946"/>
      <c r="Y172" s="921"/>
      <c r="Z172" s="921"/>
      <c r="AA172" s="930"/>
      <c r="AB172" s="946"/>
      <c r="AC172" s="921"/>
      <c r="AD172" s="921"/>
      <c r="AE172" s="930"/>
      <c r="AF172" s="946">
        <f>+AF170*AF171</f>
        <v>52.885800000000025</v>
      </c>
      <c r="AG172" s="921">
        <f t="shared" ref="AG172:AQ172" si="725">+AG170*AG171</f>
        <v>46.128899999999994</v>
      </c>
      <c r="AH172" s="921">
        <f t="shared" si="725"/>
        <v>49.535400000000003</v>
      </c>
      <c r="AI172" s="921">
        <f t="shared" si="725"/>
        <v>47.686199999999985</v>
      </c>
      <c r="AJ172" s="946">
        <f t="shared" si="725"/>
        <v>43.347900000000003</v>
      </c>
      <c r="AK172" s="921">
        <f t="shared" si="725"/>
        <v>38.568300000000001</v>
      </c>
      <c r="AL172" s="921">
        <f t="shared" si="725"/>
        <v>45.216299999999997</v>
      </c>
      <c r="AM172" s="921">
        <f>+AM170*AM171</f>
        <v>46.38450000000001</v>
      </c>
      <c r="AN172" s="946">
        <f t="shared" si="725"/>
        <v>39.222900000000003</v>
      </c>
      <c r="AO172" s="921">
        <f t="shared" si="725"/>
        <v>35.454899999999988</v>
      </c>
      <c r="AP172" s="921">
        <f t="shared" si="725"/>
        <v>41.59170000000001</v>
      </c>
      <c r="AQ172" s="930">
        <f t="shared" si="725"/>
        <v>45.944700000000033</v>
      </c>
      <c r="AR172" s="946">
        <f t="shared" ref="AR172:BC172" si="726">+AR170*AR171</f>
        <v>44.016600000000004</v>
      </c>
      <c r="AS172" s="921">
        <f t="shared" si="726"/>
        <v>33.958199999999998</v>
      </c>
      <c r="AT172" s="921">
        <f t="shared" si="726"/>
        <v>43.045499999999969</v>
      </c>
      <c r="AU172" s="930">
        <f t="shared" si="726"/>
        <v>51.391799999999982</v>
      </c>
      <c r="AV172" s="946">
        <f>+AV170*AV171</f>
        <v>50.571899999999978</v>
      </c>
      <c r="AW172" s="921">
        <f>+AW170*AW171</f>
        <v>48.546900000000008</v>
      </c>
      <c r="AX172" s="921">
        <f t="shared" si="726"/>
        <v>56.396700000000017</v>
      </c>
      <c r="AY172" s="930">
        <f>+AY170*AY171</f>
        <v>63.510600000000004</v>
      </c>
      <c r="AZ172" s="921">
        <f t="shared" si="726"/>
        <v>59.494500000000016</v>
      </c>
      <c r="BA172" s="921">
        <f>+BA170*BA171</f>
        <v>64.906799999999976</v>
      </c>
      <c r="BB172" s="921">
        <f>+BB170*BB171</f>
        <v>71.316599999999994</v>
      </c>
      <c r="BC172" s="930">
        <f t="shared" si="726"/>
        <v>67.047887462849999</v>
      </c>
      <c r="BD172" s="921">
        <f t="shared" ref="BD172:BK172" si="727">+BD170*BD171</f>
        <v>63.743276241079229</v>
      </c>
      <c r="BE172" s="921">
        <f t="shared" si="727"/>
        <v>64.122005936630543</v>
      </c>
      <c r="BF172" s="921">
        <f t="shared" si="727"/>
        <v>70.125100950000203</v>
      </c>
      <c r="BG172" s="930">
        <f t="shared" si="727"/>
        <v>71.968496906377496</v>
      </c>
      <c r="BH172" s="921">
        <f t="shared" si="727"/>
        <v>70.002842181853438</v>
      </c>
      <c r="BI172" s="921">
        <f t="shared" si="727"/>
        <v>69.919660933815933</v>
      </c>
      <c r="BJ172" s="921">
        <f t="shared" si="727"/>
        <v>74.654250403074471</v>
      </c>
      <c r="BK172" s="930">
        <f t="shared" si="727"/>
        <v>78.129854537968498</v>
      </c>
      <c r="BL172" s="1217"/>
      <c r="BM172" s="934">
        <f t="shared" ref="BM172:BW172" si="728">+BM170*BM171</f>
        <v>171.55619999999996</v>
      </c>
      <c r="BN172" s="922">
        <f t="shared" si="728"/>
        <v>142.67279999999988</v>
      </c>
      <c r="BO172" s="922">
        <f t="shared" si="728"/>
        <v>175.40459999999996</v>
      </c>
      <c r="BP172" s="922">
        <f t="shared" si="728"/>
        <v>69.990300000000119</v>
      </c>
      <c r="BQ172" s="922">
        <f t="shared" si="728"/>
        <v>149.97210000000007</v>
      </c>
      <c r="BR172" s="922">
        <f t="shared" si="728"/>
        <v>220.9904999999998</v>
      </c>
      <c r="BS172" s="922">
        <f t="shared" si="728"/>
        <v>183.72119999999998</v>
      </c>
      <c r="BT172" s="922">
        <f t="shared" si="728"/>
        <v>196.23629999999991</v>
      </c>
      <c r="BU172" s="922">
        <f t="shared" si="728"/>
        <v>173.51700000000005</v>
      </c>
      <c r="BV172" s="922">
        <f t="shared" si="728"/>
        <v>162.21419999999981</v>
      </c>
      <c r="BW172" s="922">
        <f t="shared" si="728"/>
        <v>172.41210000000007</v>
      </c>
      <c r="BX172" s="922">
        <f>+BX170*BX171</f>
        <v>219.02610000000001</v>
      </c>
      <c r="BY172" s="922">
        <f>+BY170*BY171</f>
        <v>262.76578746285008</v>
      </c>
      <c r="BZ172" s="922">
        <f>+BZ170*BZ171</f>
        <v>269.95888003408743</v>
      </c>
      <c r="CA172" s="938">
        <f>+CA170*CA171</f>
        <v>292.70660805671224</v>
      </c>
      <c r="CB172" s="934"/>
      <c r="CC172" s="922"/>
      <c r="CD172" s="922"/>
      <c r="CE172" s="938"/>
      <c r="CF172" s="934">
        <f t="shared" ref="CF172:CN172" si="729">+CF170*CF171</f>
        <v>141.71159999999995</v>
      </c>
      <c r="CG172" s="922">
        <f t="shared" si="729"/>
        <v>184.96349999999998</v>
      </c>
      <c r="CH172" s="922">
        <f t="shared" si="729"/>
        <v>134.34149999999994</v>
      </c>
      <c r="CI172" s="922">
        <f t="shared" si="729"/>
        <v>79.216799999999992</v>
      </c>
      <c r="CJ172" s="922">
        <f t="shared" si="729"/>
        <v>201.13980000000012</v>
      </c>
      <c r="CK172" s="922">
        <f t="shared" si="729"/>
        <v>202.12919999999986</v>
      </c>
      <c r="CL172" s="922">
        <f t="shared" si="729"/>
        <v>188.63579999999993</v>
      </c>
      <c r="CM172" s="922">
        <f t="shared" si="729"/>
        <v>179.13779999999994</v>
      </c>
      <c r="CN172" s="922">
        <f t="shared" si="729"/>
        <v>166.27860000000001</v>
      </c>
      <c r="CO172" s="922">
        <f>+CO170*CO171</f>
        <v>165.51120000000006</v>
      </c>
      <c r="CP172" s="922">
        <f>+CP170*CP171</f>
        <v>193.55610000000004</v>
      </c>
      <c r="CQ172" s="922">
        <f>+CQ170*CQ171</f>
        <v>244.30859999999987</v>
      </c>
      <c r="CR172" s="922">
        <f>+CR170*CR171</f>
        <v>266.22976964055977</v>
      </c>
      <c r="CS172" s="938">
        <f>+CS170*CS171</f>
        <v>282.01610097204707</v>
      </c>
      <c r="CT172" s="922"/>
      <c r="CU172"/>
      <c r="CV172"/>
      <c r="CW172"/>
      <c r="CX172"/>
      <c r="CY172"/>
      <c r="CZ172"/>
    </row>
    <row r="173" spans="1:104" s="926" customFormat="1" ht="14.25" customHeight="1">
      <c r="A173" s="924"/>
      <c r="B173" s="918" t="s">
        <v>243</v>
      </c>
      <c r="C173" s="924"/>
      <c r="D173" s="947"/>
      <c r="E173" s="924"/>
      <c r="F173" s="924"/>
      <c r="G173" s="931"/>
      <c r="H173" s="947"/>
      <c r="I173" s="924"/>
      <c r="J173" s="924"/>
      <c r="K173" s="931"/>
      <c r="L173" s="947"/>
      <c r="M173" s="924"/>
      <c r="N173" s="924"/>
      <c r="O173" s="931"/>
      <c r="P173" s="947"/>
      <c r="Q173" s="924"/>
      <c r="R173" s="924"/>
      <c r="S173" s="931"/>
      <c r="T173" s="947"/>
      <c r="U173" s="924"/>
      <c r="V173" s="924"/>
      <c r="W173" s="931"/>
      <c r="X173" s="947"/>
      <c r="Y173" s="924"/>
      <c r="Z173" s="924"/>
      <c r="AA173" s="931"/>
      <c r="AB173" s="947"/>
      <c r="AC173" s="924"/>
      <c r="AD173" s="924"/>
      <c r="AE173" s="931"/>
      <c r="AF173" s="947">
        <f>+AF110</f>
        <v>37.143999999999998</v>
      </c>
      <c r="AG173" s="924">
        <f t="shared" ref="AG173:AQ173" si="730">+AG110</f>
        <v>28.957000000000001</v>
      </c>
      <c r="AH173" s="924">
        <f t="shared" si="730"/>
        <v>30.529000000000003</v>
      </c>
      <c r="AI173" s="924">
        <f t="shared" si="730"/>
        <v>29.476999999999997</v>
      </c>
      <c r="AJ173" s="947">
        <f t="shared" si="730"/>
        <v>25.006999999999998</v>
      </c>
      <c r="AK173" s="924">
        <f t="shared" si="730"/>
        <v>25.07</v>
      </c>
      <c r="AL173" s="924">
        <f t="shared" si="730"/>
        <v>27.588000000000001</v>
      </c>
      <c r="AM173" s="924">
        <f>+AM110</f>
        <v>30.704999999999998</v>
      </c>
      <c r="AN173" s="947">
        <f t="shared" si="730"/>
        <v>22.121000000000002</v>
      </c>
      <c r="AO173" s="924">
        <f t="shared" si="730"/>
        <v>24.505000000000003</v>
      </c>
      <c r="AP173" s="924">
        <f t="shared" si="730"/>
        <v>24.393000000000001</v>
      </c>
      <c r="AQ173" s="931">
        <f t="shared" si="730"/>
        <v>29.056000000000001</v>
      </c>
      <c r="AR173" s="947">
        <f t="shared" ref="AR173:BC173" si="731">+AR110</f>
        <v>26.409999999999997</v>
      </c>
      <c r="AS173" s="924">
        <f t="shared" si="731"/>
        <v>20.374000000000002</v>
      </c>
      <c r="AT173" s="924">
        <f t="shared" si="731"/>
        <v>25.826999999999998</v>
      </c>
      <c r="AU173" s="931">
        <f t="shared" si="731"/>
        <v>30.835000000000001</v>
      </c>
      <c r="AV173" s="947">
        <f>+AV110</f>
        <v>30.343</v>
      </c>
      <c r="AW173" s="924">
        <f>+AW110</f>
        <v>29.128</v>
      </c>
      <c r="AX173" s="924">
        <f t="shared" si="731"/>
        <v>28.198</v>
      </c>
      <c r="AY173" s="931">
        <f>+AY110</f>
        <v>31.772000000000002</v>
      </c>
      <c r="AZ173" s="924">
        <f t="shared" si="731"/>
        <v>27.763999999999999</v>
      </c>
      <c r="BA173" s="924">
        <f>+BA110</f>
        <v>30.288999999999987</v>
      </c>
      <c r="BB173" s="924">
        <f>+BB110</f>
        <v>28.526</v>
      </c>
      <c r="BC173" s="931">
        <f t="shared" si="731"/>
        <v>26.71403498514</v>
      </c>
      <c r="BD173" s="924">
        <f t="shared" ref="BD173:BK173" si="732">+BD110</f>
        <v>25.392190496431692</v>
      </c>
      <c r="BE173" s="924">
        <f t="shared" si="732"/>
        <v>25.543682374652221</v>
      </c>
      <c r="BF173" s="924">
        <f t="shared" si="732"/>
        <v>27.944920380000081</v>
      </c>
      <c r="BG173" s="931">
        <f t="shared" si="732"/>
        <v>28.682278762550997</v>
      </c>
      <c r="BH173" s="924">
        <f t="shared" si="732"/>
        <v>27.896016872741377</v>
      </c>
      <c r="BI173" s="924">
        <f t="shared" si="732"/>
        <v>27.862744373526372</v>
      </c>
      <c r="BJ173" s="924">
        <f t="shared" si="732"/>
        <v>29.756580161229788</v>
      </c>
      <c r="BK173" s="931">
        <f t="shared" si="732"/>
        <v>31.146821815187398</v>
      </c>
      <c r="BL173" s="1219"/>
      <c r="BM173" s="935">
        <f t="shared" ref="BM173:BV173" si="733">+BM110</f>
        <v>185.79599999999999</v>
      </c>
      <c r="BN173" s="925">
        <f t="shared" si="733"/>
        <v>127.453</v>
      </c>
      <c r="BO173" s="925">
        <f t="shared" si="733"/>
        <v>165.05500000000001</v>
      </c>
      <c r="BP173" s="925">
        <f t="shared" si="733"/>
        <v>32.975000000000001</v>
      </c>
      <c r="BQ173" s="925">
        <f t="shared" si="733"/>
        <v>247.81700000000001</v>
      </c>
      <c r="BR173" s="925">
        <f t="shared" si="733"/>
        <v>238.09300000000002</v>
      </c>
      <c r="BS173" s="925">
        <f t="shared" si="733"/>
        <v>137.67699999999999</v>
      </c>
      <c r="BT173" s="925">
        <f t="shared" si="733"/>
        <v>126.10699999999999</v>
      </c>
      <c r="BU173" s="925">
        <f t="shared" si="733"/>
        <v>108.37</v>
      </c>
      <c r="BV173" s="925">
        <f t="shared" si="733"/>
        <v>100.07500000000002</v>
      </c>
      <c r="BW173" s="925">
        <f>+BW110</f>
        <v>103.446</v>
      </c>
      <c r="BX173" s="925">
        <f>+BX110</f>
        <v>119.441</v>
      </c>
      <c r="BY173" s="925">
        <f>+BY110</f>
        <v>113.29303498514</v>
      </c>
      <c r="BZ173" s="925">
        <f>+BZ110</f>
        <v>107.56307201363499</v>
      </c>
      <c r="CA173" s="939">
        <f>+CA110</f>
        <v>116.66216322268494</v>
      </c>
      <c r="CB173" s="935"/>
      <c r="CC173" s="925"/>
      <c r="CD173" s="925"/>
      <c r="CE173" s="939"/>
      <c r="CF173" s="935">
        <f t="shared" ref="CF173:CN173" si="734">+CF110</f>
        <v>151.21399999999997</v>
      </c>
      <c r="CG173" s="925">
        <f t="shared" si="734"/>
        <v>172.977</v>
      </c>
      <c r="CH173" s="925">
        <f t="shared" si="734"/>
        <v>66.753000000000014</v>
      </c>
      <c r="CI173" s="925">
        <f t="shared" si="734"/>
        <v>137.428</v>
      </c>
      <c r="CJ173" s="925">
        <f t="shared" si="734"/>
        <v>258.05700000000002</v>
      </c>
      <c r="CK173" s="925">
        <f t="shared" si="734"/>
        <v>196.11600000000001</v>
      </c>
      <c r="CL173" s="925">
        <f t="shared" si="734"/>
        <v>130.61399999999998</v>
      </c>
      <c r="CM173" s="925">
        <f t="shared" si="734"/>
        <v>110.083</v>
      </c>
      <c r="CN173" s="925">
        <f t="shared" si="734"/>
        <v>104.919</v>
      </c>
      <c r="CO173" s="925">
        <f>+CO110</f>
        <v>100.233</v>
      </c>
      <c r="CP173" s="925">
        <f>+CP110</f>
        <v>116.133</v>
      </c>
      <c r="CQ173" s="925">
        <f>+CQ110</f>
        <v>118.02300000000002</v>
      </c>
      <c r="CR173" s="925">
        <f>+CR110</f>
        <v>106.17590785622392</v>
      </c>
      <c r="CS173" s="939">
        <f>+CS110</f>
        <v>112.38596038881883</v>
      </c>
      <c r="CT173" s="925"/>
      <c r="CU173"/>
      <c r="CV173"/>
      <c r="CW173"/>
      <c r="CX173"/>
      <c r="CY173"/>
      <c r="CZ173"/>
    </row>
    <row r="174" spans="1:104" s="923" customFormat="1" ht="14.25" customHeight="1">
      <c r="A174" s="921"/>
      <c r="B174" s="917" t="s">
        <v>524</v>
      </c>
      <c r="C174" s="921"/>
      <c r="D174" s="946"/>
      <c r="E174" s="921"/>
      <c r="F174" s="921"/>
      <c r="G174" s="930"/>
      <c r="H174" s="946"/>
      <c r="I174" s="921"/>
      <c r="J174" s="921"/>
      <c r="K174" s="930"/>
      <c r="L174" s="946"/>
      <c r="M174" s="921"/>
      <c r="N174" s="921"/>
      <c r="O174" s="930"/>
      <c r="P174" s="946"/>
      <c r="Q174" s="921"/>
      <c r="R174" s="921"/>
      <c r="S174" s="930"/>
      <c r="T174" s="946"/>
      <c r="U174" s="921"/>
      <c r="V174" s="921"/>
      <c r="W174" s="930"/>
      <c r="X174" s="946"/>
      <c r="Y174" s="921"/>
      <c r="Z174" s="921"/>
      <c r="AA174" s="930"/>
      <c r="AB174" s="946"/>
      <c r="AC174" s="921"/>
      <c r="AD174" s="921"/>
      <c r="AE174" s="930"/>
      <c r="AF174" s="946">
        <f>+AF172-AF173</f>
        <v>15.741800000000026</v>
      </c>
      <c r="AG174" s="921">
        <f t="shared" ref="AG174:AQ174" si="735">+AG172-AG173</f>
        <v>17.171899999999994</v>
      </c>
      <c r="AH174" s="921">
        <f t="shared" si="735"/>
        <v>19.006399999999999</v>
      </c>
      <c r="AI174" s="921">
        <f t="shared" si="735"/>
        <v>18.209199999999989</v>
      </c>
      <c r="AJ174" s="946">
        <f t="shared" si="735"/>
        <v>18.340900000000005</v>
      </c>
      <c r="AK174" s="921">
        <f t="shared" si="735"/>
        <v>13.4983</v>
      </c>
      <c r="AL174" s="921">
        <f t="shared" si="735"/>
        <v>17.628299999999996</v>
      </c>
      <c r="AM174" s="921">
        <f>+AM172-AM173</f>
        <v>15.679500000000012</v>
      </c>
      <c r="AN174" s="946">
        <f t="shared" si="735"/>
        <v>17.101900000000001</v>
      </c>
      <c r="AO174" s="921">
        <f t="shared" si="735"/>
        <v>10.949899999999985</v>
      </c>
      <c r="AP174" s="921">
        <f t="shared" si="735"/>
        <v>17.198700000000009</v>
      </c>
      <c r="AQ174" s="930">
        <f t="shared" si="735"/>
        <v>16.888700000000032</v>
      </c>
      <c r="AR174" s="946">
        <f t="shared" ref="AR174:BC174" si="736">+AR172-AR173</f>
        <v>17.606600000000007</v>
      </c>
      <c r="AS174" s="921">
        <f t="shared" si="736"/>
        <v>13.584199999999996</v>
      </c>
      <c r="AT174" s="921">
        <f t="shared" si="736"/>
        <v>17.21849999999997</v>
      </c>
      <c r="AU174" s="930">
        <f t="shared" si="736"/>
        <v>20.556799999999981</v>
      </c>
      <c r="AV174" s="946">
        <f>+AV172-AV173</f>
        <v>20.228899999999978</v>
      </c>
      <c r="AW174" s="921">
        <f>+AW172-AW173</f>
        <v>19.418900000000008</v>
      </c>
      <c r="AX174" s="921">
        <f t="shared" si="736"/>
        <v>28.198700000000017</v>
      </c>
      <c r="AY174" s="930">
        <f>+AY172-AY173</f>
        <v>31.738600000000002</v>
      </c>
      <c r="AZ174" s="921">
        <f t="shared" si="736"/>
        <v>31.730500000000017</v>
      </c>
      <c r="BA174" s="921">
        <f>+BA172-BA173</f>
        <v>34.617799999999988</v>
      </c>
      <c r="BB174" s="921">
        <f>+BB172-BB173</f>
        <v>42.790599999999998</v>
      </c>
      <c r="BC174" s="930">
        <f t="shared" si="736"/>
        <v>40.333852477709996</v>
      </c>
      <c r="BD174" s="921">
        <f t="shared" ref="BD174:BK174" si="737">+BD172-BD173</f>
        <v>38.351085744647534</v>
      </c>
      <c r="BE174" s="921">
        <f t="shared" si="737"/>
        <v>38.578323561978323</v>
      </c>
      <c r="BF174" s="921">
        <f t="shared" si="737"/>
        <v>42.180180570000118</v>
      </c>
      <c r="BG174" s="930">
        <f t="shared" si="737"/>
        <v>43.286218143826503</v>
      </c>
      <c r="BH174" s="921">
        <f t="shared" si="737"/>
        <v>42.106825309112061</v>
      </c>
      <c r="BI174" s="921">
        <f t="shared" si="737"/>
        <v>42.056916560289565</v>
      </c>
      <c r="BJ174" s="921">
        <f t="shared" si="737"/>
        <v>44.897670241844679</v>
      </c>
      <c r="BK174" s="930">
        <f t="shared" si="737"/>
        <v>46.983032722781104</v>
      </c>
      <c r="BL174" s="1217"/>
      <c r="BM174" s="934">
        <f t="shared" ref="BM174:BW174" si="738">+BM172-BM173</f>
        <v>-14.239800000000031</v>
      </c>
      <c r="BN174" s="922">
        <f t="shared" si="738"/>
        <v>15.219799999999879</v>
      </c>
      <c r="BO174" s="922">
        <f t="shared" si="738"/>
        <v>10.349599999999953</v>
      </c>
      <c r="BP174" s="922">
        <f t="shared" si="738"/>
        <v>37.015300000000117</v>
      </c>
      <c r="BQ174" s="922">
        <f t="shared" si="738"/>
        <v>-97.844899999999939</v>
      </c>
      <c r="BR174" s="922">
        <f t="shared" si="738"/>
        <v>-17.102500000000219</v>
      </c>
      <c r="BS174" s="922">
        <f t="shared" si="738"/>
        <v>46.044199999999989</v>
      </c>
      <c r="BT174" s="922">
        <f t="shared" si="738"/>
        <v>70.12929999999993</v>
      </c>
      <c r="BU174" s="922">
        <f t="shared" si="738"/>
        <v>65.147000000000048</v>
      </c>
      <c r="BV174" s="922">
        <f t="shared" si="738"/>
        <v>62.139199999999789</v>
      </c>
      <c r="BW174" s="922">
        <f t="shared" si="738"/>
        <v>68.966100000000068</v>
      </c>
      <c r="BX174" s="922">
        <f>+BX172-BX173</f>
        <v>99.585100000000011</v>
      </c>
      <c r="BY174" s="922">
        <f>+BY172-BY173</f>
        <v>149.47275247771009</v>
      </c>
      <c r="BZ174" s="922">
        <f>+BZ172-BZ173</f>
        <v>162.39580802045242</v>
      </c>
      <c r="CA174" s="938">
        <f>+CA172-CA173</f>
        <v>176.0444448340273</v>
      </c>
      <c r="CB174" s="934"/>
      <c r="CC174" s="922"/>
      <c r="CD174" s="922"/>
      <c r="CE174" s="938"/>
      <c r="CF174" s="934">
        <f t="shared" ref="CF174:CN174" si="739">+CF172-CF173</f>
        <v>-9.5024000000000228</v>
      </c>
      <c r="CG174" s="922">
        <f t="shared" si="739"/>
        <v>11.986499999999978</v>
      </c>
      <c r="CH174" s="922">
        <f t="shared" si="739"/>
        <v>67.588499999999925</v>
      </c>
      <c r="CI174" s="922">
        <f t="shared" si="739"/>
        <v>-58.211200000000005</v>
      </c>
      <c r="CJ174" s="922">
        <f t="shared" si="739"/>
        <v>-56.917199999999895</v>
      </c>
      <c r="CK174" s="922">
        <f t="shared" si="739"/>
        <v>6.0131999999998413</v>
      </c>
      <c r="CL174" s="922">
        <f t="shared" si="739"/>
        <v>58.021799999999956</v>
      </c>
      <c r="CM174" s="922">
        <f t="shared" si="739"/>
        <v>69.054799999999943</v>
      </c>
      <c r="CN174" s="922">
        <f t="shared" si="739"/>
        <v>61.359600000000015</v>
      </c>
      <c r="CO174" s="922">
        <f>+CO172-CO173</f>
        <v>65.278200000000055</v>
      </c>
      <c r="CP174" s="922">
        <f>+CP172-CP173</f>
        <v>77.423100000000048</v>
      </c>
      <c r="CQ174" s="922">
        <f>+CQ172-CQ173</f>
        <v>126.28559999999985</v>
      </c>
      <c r="CR174" s="922">
        <f>+CR172-CR173</f>
        <v>160.05386178433585</v>
      </c>
      <c r="CS174" s="938">
        <f>+CS172-CS173</f>
        <v>169.63014058322824</v>
      </c>
      <c r="CT174" s="922"/>
      <c r="CU174"/>
      <c r="CV174"/>
      <c r="CW174"/>
      <c r="CX174"/>
      <c r="CY174"/>
      <c r="CZ174"/>
    </row>
    <row r="175" spans="1:104" s="956" customFormat="1" ht="14.25" customHeight="1">
      <c r="A175" s="948"/>
      <c r="B175" s="949" t="s">
        <v>244</v>
      </c>
      <c r="C175" s="948"/>
      <c r="D175" s="951"/>
      <c r="E175" s="948"/>
      <c r="F175" s="948"/>
      <c r="G175" s="952"/>
      <c r="H175" s="951"/>
      <c r="I175" s="948"/>
      <c r="J175" s="948"/>
      <c r="K175" s="952"/>
      <c r="L175" s="951"/>
      <c r="M175" s="948"/>
      <c r="N175" s="948"/>
      <c r="O175" s="952"/>
      <c r="P175" s="951"/>
      <c r="Q175" s="948"/>
      <c r="R175" s="948"/>
      <c r="S175" s="952"/>
      <c r="T175" s="951"/>
      <c r="U175" s="948"/>
      <c r="V175" s="948"/>
      <c r="W175" s="952"/>
      <c r="X175" s="951"/>
      <c r="Y175" s="948"/>
      <c r="Z175" s="948"/>
      <c r="AA175" s="952"/>
      <c r="AB175" s="951"/>
      <c r="AC175" s="948"/>
      <c r="AD175" s="948"/>
      <c r="AE175" s="952"/>
      <c r="AF175" s="950">
        <v>0.5</v>
      </c>
      <c r="AG175" s="948">
        <f>+AF175</f>
        <v>0.5</v>
      </c>
      <c r="AH175" s="948">
        <f t="shared" ref="AH175:AW175" si="740">+AG175</f>
        <v>0.5</v>
      </c>
      <c r="AI175" s="948">
        <f t="shared" si="740"/>
        <v>0.5</v>
      </c>
      <c r="AJ175" s="951">
        <f t="shared" si="740"/>
        <v>0.5</v>
      </c>
      <c r="AK175" s="948">
        <f t="shared" si="740"/>
        <v>0.5</v>
      </c>
      <c r="AL175" s="948">
        <f t="shared" si="740"/>
        <v>0.5</v>
      </c>
      <c r="AM175" s="948">
        <f t="shared" si="740"/>
        <v>0.5</v>
      </c>
      <c r="AN175" s="951">
        <f t="shared" si="740"/>
        <v>0.5</v>
      </c>
      <c r="AO175" s="948">
        <f t="shared" si="740"/>
        <v>0.5</v>
      </c>
      <c r="AP175" s="948">
        <f t="shared" si="740"/>
        <v>0.5</v>
      </c>
      <c r="AQ175" s="952">
        <f t="shared" si="740"/>
        <v>0.5</v>
      </c>
      <c r="AR175" s="951">
        <f t="shared" si="740"/>
        <v>0.5</v>
      </c>
      <c r="AS175" s="948">
        <f t="shared" si="740"/>
        <v>0.5</v>
      </c>
      <c r="AT175" s="948">
        <f t="shared" si="740"/>
        <v>0.5</v>
      </c>
      <c r="AU175" s="952">
        <f t="shared" ref="AU175:BC175" si="741">+AT175</f>
        <v>0.5</v>
      </c>
      <c r="AV175" s="951">
        <f t="shared" si="740"/>
        <v>0.5</v>
      </c>
      <c r="AW175" s="948">
        <f t="shared" si="740"/>
        <v>0.5</v>
      </c>
      <c r="AX175" s="948">
        <f t="shared" si="741"/>
        <v>0.5</v>
      </c>
      <c r="AY175" s="952">
        <f t="shared" si="741"/>
        <v>0.5</v>
      </c>
      <c r="AZ175" s="948">
        <f t="shared" si="741"/>
        <v>0.5</v>
      </c>
      <c r="BA175" s="948">
        <f t="shared" si="741"/>
        <v>0.5</v>
      </c>
      <c r="BB175" s="948">
        <f t="shared" si="741"/>
        <v>0.5</v>
      </c>
      <c r="BC175" s="952">
        <f t="shared" si="741"/>
        <v>0.5</v>
      </c>
      <c r="BD175" s="948">
        <f t="shared" ref="BD175:BK175" si="742">+BC175</f>
        <v>0.5</v>
      </c>
      <c r="BE175" s="948">
        <f t="shared" si="742"/>
        <v>0.5</v>
      </c>
      <c r="BF175" s="948">
        <f t="shared" si="742"/>
        <v>0.5</v>
      </c>
      <c r="BG175" s="952">
        <f t="shared" si="742"/>
        <v>0.5</v>
      </c>
      <c r="BH175" s="948">
        <f t="shared" si="742"/>
        <v>0.5</v>
      </c>
      <c r="BI175" s="948">
        <f t="shared" si="742"/>
        <v>0.5</v>
      </c>
      <c r="BJ175" s="948">
        <f t="shared" si="742"/>
        <v>0.5</v>
      </c>
      <c r="BK175" s="952">
        <f t="shared" si="742"/>
        <v>0.5</v>
      </c>
      <c r="BL175" s="1218"/>
      <c r="BM175" s="953">
        <f>+AF175</f>
        <v>0.5</v>
      </c>
      <c r="BN175" s="954">
        <f>+BM175</f>
        <v>0.5</v>
      </c>
      <c r="BO175" s="954">
        <f t="shared" ref="BO175:BV175" si="743">+BN175</f>
        <v>0.5</v>
      </c>
      <c r="BP175" s="954">
        <f t="shared" si="743"/>
        <v>0.5</v>
      </c>
      <c r="BQ175" s="954">
        <f t="shared" si="743"/>
        <v>0.5</v>
      </c>
      <c r="BR175" s="954">
        <f t="shared" si="743"/>
        <v>0.5</v>
      </c>
      <c r="BS175" s="954">
        <f t="shared" si="743"/>
        <v>0.5</v>
      </c>
      <c r="BT175" s="954">
        <f t="shared" si="743"/>
        <v>0.5</v>
      </c>
      <c r="BU175" s="954">
        <f t="shared" si="743"/>
        <v>0.5</v>
      </c>
      <c r="BV175" s="954">
        <f t="shared" si="743"/>
        <v>0.5</v>
      </c>
      <c r="BW175" s="954">
        <f>+BV175</f>
        <v>0.5</v>
      </c>
      <c r="BX175" s="954">
        <f>+BW175</f>
        <v>0.5</v>
      </c>
      <c r="BY175" s="954">
        <f>+BX175</f>
        <v>0.5</v>
      </c>
      <c r="BZ175" s="954">
        <f>+BY175</f>
        <v>0.5</v>
      </c>
      <c r="CA175" s="955">
        <f>+BZ175</f>
        <v>0.5</v>
      </c>
      <c r="CB175" s="953"/>
      <c r="CC175" s="954"/>
      <c r="CD175" s="954"/>
      <c r="CE175" s="955"/>
      <c r="CF175" s="953">
        <f>+AF175</f>
        <v>0.5</v>
      </c>
      <c r="CG175" s="954">
        <f>+CF175</f>
        <v>0.5</v>
      </c>
      <c r="CH175" s="954">
        <f t="shared" ref="CH175:CS175" si="744">+CG175</f>
        <v>0.5</v>
      </c>
      <c r="CI175" s="954">
        <f t="shared" si="744"/>
        <v>0.5</v>
      </c>
      <c r="CJ175" s="954">
        <f t="shared" si="744"/>
        <v>0.5</v>
      </c>
      <c r="CK175" s="954">
        <f t="shared" si="744"/>
        <v>0.5</v>
      </c>
      <c r="CL175" s="954">
        <f t="shared" si="744"/>
        <v>0.5</v>
      </c>
      <c r="CM175" s="954">
        <f t="shared" si="744"/>
        <v>0.5</v>
      </c>
      <c r="CN175" s="954">
        <f t="shared" si="744"/>
        <v>0.5</v>
      </c>
      <c r="CO175" s="954">
        <f t="shared" si="744"/>
        <v>0.5</v>
      </c>
      <c r="CP175" s="954">
        <f t="shared" si="744"/>
        <v>0.5</v>
      </c>
      <c r="CQ175" s="954">
        <f t="shared" si="744"/>
        <v>0.5</v>
      </c>
      <c r="CR175" s="954">
        <f t="shared" si="744"/>
        <v>0.5</v>
      </c>
      <c r="CS175" s="955">
        <f t="shared" si="744"/>
        <v>0.5</v>
      </c>
      <c r="CT175" s="954"/>
      <c r="CU175"/>
      <c r="CV175"/>
      <c r="CW175"/>
      <c r="CX175"/>
      <c r="CY175"/>
      <c r="CZ175"/>
    </row>
    <row r="176" spans="1:104" s="923" customFormat="1" ht="14.25" customHeight="1">
      <c r="A176" s="921"/>
      <c r="B176" s="919" t="s">
        <v>245</v>
      </c>
      <c r="C176" s="921"/>
      <c r="D176" s="946"/>
      <c r="E176" s="921"/>
      <c r="F176" s="921"/>
      <c r="G176" s="930"/>
      <c r="H176" s="946"/>
      <c r="I176" s="921"/>
      <c r="J176" s="921"/>
      <c r="K176" s="930"/>
      <c r="L176" s="946"/>
      <c r="M176" s="921"/>
      <c r="N176" s="921"/>
      <c r="O176" s="930"/>
      <c r="P176" s="946"/>
      <c r="Q176" s="921"/>
      <c r="R176" s="921"/>
      <c r="S176" s="930"/>
      <c r="T176" s="946"/>
      <c r="U176" s="921"/>
      <c r="V176" s="921"/>
      <c r="W176" s="930"/>
      <c r="X176" s="946"/>
      <c r="Y176" s="921"/>
      <c r="Z176" s="921"/>
      <c r="AA176" s="930"/>
      <c r="AB176" s="946"/>
      <c r="AC176" s="921"/>
      <c r="AD176" s="921"/>
      <c r="AE176" s="930"/>
      <c r="AF176" s="946">
        <f>+AF174*AF175</f>
        <v>7.8709000000000131</v>
      </c>
      <c r="AG176" s="921">
        <f t="shared" ref="AG176:AQ176" si="745">+AG174*AG175</f>
        <v>8.5859499999999969</v>
      </c>
      <c r="AH176" s="921">
        <f t="shared" si="745"/>
        <v>9.5031999999999996</v>
      </c>
      <c r="AI176" s="921">
        <f t="shared" si="745"/>
        <v>9.1045999999999943</v>
      </c>
      <c r="AJ176" s="946">
        <f t="shared" si="745"/>
        <v>9.1704500000000024</v>
      </c>
      <c r="AK176" s="921">
        <f t="shared" si="745"/>
        <v>6.7491500000000002</v>
      </c>
      <c r="AL176" s="921">
        <f t="shared" si="745"/>
        <v>8.8141499999999979</v>
      </c>
      <c r="AM176" s="921">
        <f>+AM174*AM175</f>
        <v>7.8397500000000058</v>
      </c>
      <c r="AN176" s="946">
        <f t="shared" si="745"/>
        <v>8.5509500000000003</v>
      </c>
      <c r="AO176" s="921">
        <f t="shared" si="745"/>
        <v>5.4749499999999927</v>
      </c>
      <c r="AP176" s="921">
        <f t="shared" si="745"/>
        <v>8.5993500000000047</v>
      </c>
      <c r="AQ176" s="930">
        <f t="shared" si="745"/>
        <v>8.444350000000016</v>
      </c>
      <c r="AR176" s="946">
        <f t="shared" ref="AR176:BC176" si="746">+AR174*AR175</f>
        <v>8.8033000000000037</v>
      </c>
      <c r="AS176" s="921">
        <f t="shared" si="746"/>
        <v>6.7920999999999978</v>
      </c>
      <c r="AT176" s="921">
        <f t="shared" si="746"/>
        <v>8.6092499999999852</v>
      </c>
      <c r="AU176" s="930">
        <f t="shared" si="746"/>
        <v>10.278399999999991</v>
      </c>
      <c r="AV176" s="946">
        <f>+AV174*AV175</f>
        <v>10.114449999999989</v>
      </c>
      <c r="AW176" s="921">
        <f>+AW174*AW175</f>
        <v>9.7094500000000039</v>
      </c>
      <c r="AX176" s="921">
        <f t="shared" si="746"/>
        <v>14.099350000000008</v>
      </c>
      <c r="AY176" s="930">
        <f>+AY174*AY175</f>
        <v>15.869300000000001</v>
      </c>
      <c r="AZ176" s="921">
        <f t="shared" si="746"/>
        <v>15.865250000000009</v>
      </c>
      <c r="BA176" s="921">
        <f>+BA174*BA175</f>
        <v>17.308899999999994</v>
      </c>
      <c r="BB176" s="921">
        <f>+BB174*BB175</f>
        <v>21.395299999999999</v>
      </c>
      <c r="BC176" s="930">
        <f t="shared" si="746"/>
        <v>20.166926238854998</v>
      </c>
      <c r="BD176" s="921">
        <f t="shared" ref="BD176:BK176" si="747">+BD174*BD175</f>
        <v>19.175542872323767</v>
      </c>
      <c r="BE176" s="921">
        <f t="shared" si="747"/>
        <v>19.289161780989161</v>
      </c>
      <c r="BF176" s="921">
        <f t="shared" si="747"/>
        <v>21.090090285000059</v>
      </c>
      <c r="BG176" s="930">
        <f t="shared" si="747"/>
        <v>21.643109071913251</v>
      </c>
      <c r="BH176" s="921">
        <f t="shared" si="747"/>
        <v>21.053412654556031</v>
      </c>
      <c r="BI176" s="921">
        <f t="shared" si="747"/>
        <v>21.028458280144783</v>
      </c>
      <c r="BJ176" s="921">
        <f t="shared" si="747"/>
        <v>22.44883512092234</v>
      </c>
      <c r="BK176" s="930">
        <f t="shared" si="747"/>
        <v>23.491516361390552</v>
      </c>
      <c r="BL176" s="1217"/>
      <c r="BM176" s="934">
        <f t="shared" ref="BM176:BW176" si="748">+BM174*BM175</f>
        <v>-7.1199000000000154</v>
      </c>
      <c r="BN176" s="922">
        <f t="shared" si="748"/>
        <v>7.6098999999999393</v>
      </c>
      <c r="BO176" s="922">
        <f t="shared" si="748"/>
        <v>5.1747999999999763</v>
      </c>
      <c r="BP176" s="922">
        <f t="shared" si="748"/>
        <v>18.507650000000059</v>
      </c>
      <c r="BQ176" s="922">
        <f t="shared" si="748"/>
        <v>-48.922449999999969</v>
      </c>
      <c r="BR176" s="922">
        <f t="shared" si="748"/>
        <v>-8.5512500000001097</v>
      </c>
      <c r="BS176" s="922">
        <f t="shared" si="748"/>
        <v>23.022099999999995</v>
      </c>
      <c r="BT176" s="922">
        <f t="shared" si="748"/>
        <v>35.064649999999965</v>
      </c>
      <c r="BU176" s="922">
        <f t="shared" si="748"/>
        <v>32.573500000000024</v>
      </c>
      <c r="BV176" s="922">
        <f t="shared" si="748"/>
        <v>31.069599999999895</v>
      </c>
      <c r="BW176" s="922">
        <f t="shared" si="748"/>
        <v>34.483050000000034</v>
      </c>
      <c r="BX176" s="922">
        <f>+BX174*BX175</f>
        <v>49.792550000000006</v>
      </c>
      <c r="BY176" s="922">
        <f>+BY174*BY175</f>
        <v>74.736376238855044</v>
      </c>
      <c r="BZ176" s="922">
        <f>+BZ174*BZ175</f>
        <v>81.19790401022621</v>
      </c>
      <c r="CA176" s="938">
        <f>+CA174*CA175</f>
        <v>88.022222417013651</v>
      </c>
      <c r="CB176" s="934"/>
      <c r="CC176" s="922"/>
      <c r="CD176" s="922"/>
      <c r="CE176" s="938"/>
      <c r="CF176" s="934">
        <f t="shared" ref="CF176:CN176" si="749">+CF174*CF175</f>
        <v>-4.7512000000000114</v>
      </c>
      <c r="CG176" s="922">
        <f t="shared" si="749"/>
        <v>5.9932499999999891</v>
      </c>
      <c r="CH176" s="922">
        <f t="shared" si="749"/>
        <v>33.794249999999963</v>
      </c>
      <c r="CI176" s="922">
        <f t="shared" si="749"/>
        <v>-29.105600000000003</v>
      </c>
      <c r="CJ176" s="922">
        <f t="shared" si="749"/>
        <v>-28.458599999999947</v>
      </c>
      <c r="CK176" s="922">
        <f t="shared" si="749"/>
        <v>3.0065999999999207</v>
      </c>
      <c r="CL176" s="922">
        <f t="shared" si="749"/>
        <v>29.010899999999978</v>
      </c>
      <c r="CM176" s="922">
        <f t="shared" si="749"/>
        <v>34.527399999999972</v>
      </c>
      <c r="CN176" s="922">
        <f t="shared" si="749"/>
        <v>30.679800000000007</v>
      </c>
      <c r="CO176" s="922">
        <f>+CO174*CO175</f>
        <v>32.639100000000028</v>
      </c>
      <c r="CP176" s="922">
        <f>+CP174*CP175</f>
        <v>38.711550000000024</v>
      </c>
      <c r="CQ176" s="922">
        <f>+CQ174*CQ175</f>
        <v>63.142799999999923</v>
      </c>
      <c r="CR176" s="922">
        <f>+CR174*CR175</f>
        <v>80.026930892167925</v>
      </c>
      <c r="CS176" s="938">
        <f>+CS174*CS175</f>
        <v>84.81507029161412</v>
      </c>
      <c r="CT176" s="922"/>
      <c r="CU176"/>
      <c r="CV176"/>
      <c r="CW176"/>
      <c r="CX176"/>
      <c r="CY176"/>
      <c r="CZ176"/>
    </row>
    <row r="177" spans="1:104" s="916" customFormat="1" ht="14.25" customHeight="1">
      <c r="A177" s="909"/>
      <c r="B177" s="917"/>
      <c r="C177" s="909"/>
      <c r="D177" s="912"/>
      <c r="E177" s="909"/>
      <c r="F177" s="909"/>
      <c r="G177" s="913"/>
      <c r="H177" s="912"/>
      <c r="I177" s="909"/>
      <c r="J177" s="909"/>
      <c r="K177" s="913"/>
      <c r="L177" s="912"/>
      <c r="M177" s="909"/>
      <c r="N177" s="909"/>
      <c r="O177" s="913"/>
      <c r="P177" s="912"/>
      <c r="Q177" s="909"/>
      <c r="R177" s="909"/>
      <c r="S177" s="913"/>
      <c r="T177" s="912"/>
      <c r="U177" s="909"/>
      <c r="V177" s="909"/>
      <c r="W177" s="913"/>
      <c r="X177" s="912"/>
      <c r="Y177" s="909"/>
      <c r="Z177" s="909"/>
      <c r="AA177" s="913"/>
      <c r="AB177" s="912"/>
      <c r="AC177" s="909"/>
      <c r="AD177" s="909"/>
      <c r="AE177" s="913"/>
      <c r="AF177" s="912"/>
      <c r="AG177" s="909"/>
      <c r="AH177" s="909"/>
      <c r="AI177" s="909"/>
      <c r="AJ177" s="912"/>
      <c r="AK177" s="909"/>
      <c r="AL177" s="909"/>
      <c r="AM177" s="909"/>
      <c r="AN177" s="912"/>
      <c r="AO177" s="909"/>
      <c r="AP177" s="909"/>
      <c r="AQ177" s="913"/>
      <c r="AR177" s="912"/>
      <c r="AS177" s="909"/>
      <c r="AT177" s="909"/>
      <c r="AU177" s="913"/>
      <c r="AV177" s="912"/>
      <c r="AW177" s="909"/>
      <c r="AX177" s="909"/>
      <c r="AY177" s="913"/>
      <c r="AZ177" s="909"/>
      <c r="BA177" s="909"/>
      <c r="BB177" s="909"/>
      <c r="BC177" s="913"/>
      <c r="BD177" s="909"/>
      <c r="BE177" s="909"/>
      <c r="BF177" s="909"/>
      <c r="BG177" s="913"/>
      <c r="BH177" s="909"/>
      <c r="BI177" s="909"/>
      <c r="BJ177" s="909"/>
      <c r="BK177" s="913"/>
      <c r="BL177" s="1216"/>
      <c r="BM177" s="914"/>
      <c r="BN177" s="910"/>
      <c r="BO177" s="910"/>
      <c r="BP177" s="910"/>
      <c r="BQ177" s="910"/>
      <c r="BR177" s="910"/>
      <c r="BS177" s="910"/>
      <c r="BT177" s="910"/>
      <c r="BU177" s="910"/>
      <c r="BV177" s="910"/>
      <c r="BW177" s="910"/>
      <c r="BX177" s="910"/>
      <c r="BY177" s="910"/>
      <c r="BZ177" s="910"/>
      <c r="CA177" s="915"/>
      <c r="CB177" s="914"/>
      <c r="CC177" s="910"/>
      <c r="CD177" s="910"/>
      <c r="CE177" s="915"/>
      <c r="CF177" s="914"/>
      <c r="CG177" s="910"/>
      <c r="CH177" s="910"/>
      <c r="CI177" s="910"/>
      <c r="CJ177" s="910"/>
      <c r="CK177" s="910"/>
      <c r="CL177" s="910"/>
      <c r="CM177" s="910"/>
      <c r="CN177" s="910"/>
      <c r="CO177" s="910"/>
      <c r="CP177" s="910"/>
      <c r="CQ177" s="910"/>
      <c r="CR177" s="910"/>
      <c r="CS177" s="915"/>
      <c r="CT177" s="910"/>
      <c r="CU177"/>
      <c r="CV177"/>
      <c r="CW177"/>
      <c r="CX177"/>
      <c r="CY177"/>
      <c r="CZ177"/>
    </row>
    <row r="178" spans="1:104" s="923" customFormat="1" ht="14.25" customHeight="1">
      <c r="A178" s="921"/>
      <c r="B178" s="917" t="s">
        <v>246</v>
      </c>
      <c r="C178" s="921"/>
      <c r="D178" s="946"/>
      <c r="E178" s="921"/>
      <c r="F178" s="921"/>
      <c r="G178" s="930"/>
      <c r="H178" s="946"/>
      <c r="I178" s="921"/>
      <c r="J178" s="921"/>
      <c r="K178" s="930"/>
      <c r="L178" s="946"/>
      <c r="M178" s="921"/>
      <c r="N178" s="921"/>
      <c r="O178" s="930"/>
      <c r="P178" s="946"/>
      <c r="Q178" s="921"/>
      <c r="R178" s="921"/>
      <c r="S178" s="930"/>
      <c r="T178" s="946"/>
      <c r="U178" s="921"/>
      <c r="V178" s="921"/>
      <c r="W178" s="930"/>
      <c r="X178" s="946"/>
      <c r="Y178" s="921"/>
      <c r="Z178" s="921"/>
      <c r="AA178" s="930"/>
      <c r="AB178" s="946"/>
      <c r="AC178" s="921"/>
      <c r="AD178" s="921"/>
      <c r="AE178" s="930"/>
      <c r="AF178" s="946">
        <f>+AF119-AF176</f>
        <v>131.27110000000008</v>
      </c>
      <c r="AG178" s="921">
        <f t="shared" ref="AG178:AQ178" si="750">+AG119-AG176</f>
        <v>116.22004999999999</v>
      </c>
      <c r="AH178" s="921">
        <f t="shared" si="750"/>
        <v>125.08580000000003</v>
      </c>
      <c r="AI178" s="921">
        <f t="shared" si="750"/>
        <v>120.37239999999996</v>
      </c>
      <c r="AJ178" s="946">
        <f t="shared" si="750"/>
        <v>110.31555000000002</v>
      </c>
      <c r="AK178" s="921">
        <f t="shared" si="750"/>
        <v>96.741850000000014</v>
      </c>
      <c r="AL178" s="921">
        <f t="shared" si="750"/>
        <v>114.31885000000001</v>
      </c>
      <c r="AM178" s="921">
        <f>+AM119-AM176</f>
        <v>116.07025000000003</v>
      </c>
      <c r="AN178" s="946">
        <f t="shared" si="750"/>
        <v>100.07105000000001</v>
      </c>
      <c r="AO178" s="921">
        <f t="shared" si="750"/>
        <v>88.203049999999976</v>
      </c>
      <c r="AP178" s="921">
        <f t="shared" si="750"/>
        <v>105.64665000000004</v>
      </c>
      <c r="AQ178" s="930">
        <f t="shared" si="750"/>
        <v>115.6486500000001</v>
      </c>
      <c r="AR178" s="946">
        <f t="shared" ref="AR178:BC178" si="751">+AR119-AR176</f>
        <v>111.5087</v>
      </c>
      <c r="AS178" s="921">
        <f t="shared" si="751"/>
        <v>86.027899999999988</v>
      </c>
      <c r="AT178" s="921">
        <f t="shared" si="751"/>
        <v>109.04874999999991</v>
      </c>
      <c r="AU178" s="930">
        <f t="shared" si="751"/>
        <v>130.19259999999997</v>
      </c>
      <c r="AV178" s="946">
        <f>+AV119-AV176</f>
        <v>128.11554999999996</v>
      </c>
      <c r="AW178" s="921">
        <f>+AW119-AW176</f>
        <v>122.98555000000005</v>
      </c>
      <c r="AX178" s="921">
        <f t="shared" si="751"/>
        <v>145.69165000000004</v>
      </c>
      <c r="AY178" s="930">
        <f>+AY119-AY176</f>
        <v>164.06070000000003</v>
      </c>
      <c r="AZ178" s="921">
        <f t="shared" si="751"/>
        <v>154.68575000000004</v>
      </c>
      <c r="BA178" s="921">
        <f>+BA119-BA176</f>
        <v>168.75809999999996</v>
      </c>
      <c r="BB178" s="921">
        <f>+BB119-BB176</f>
        <v>187.80070000000001</v>
      </c>
      <c r="BC178" s="930">
        <f t="shared" si="751"/>
        <v>176.61199698550502</v>
      </c>
      <c r="BD178" s="921">
        <f t="shared" ref="BD178:BK178" si="752">+BD119-BD176</f>
        <v>167.90985410150864</v>
      </c>
      <c r="BE178" s="921">
        <f t="shared" si="752"/>
        <v>168.90717563312711</v>
      </c>
      <c r="BF178" s="921">
        <f t="shared" si="752"/>
        <v>184.71532583500056</v>
      </c>
      <c r="BG178" s="930">
        <f t="shared" si="752"/>
        <v>189.56960185346074</v>
      </c>
      <c r="BH178" s="921">
        <f t="shared" si="752"/>
        <v>184.39337774554741</v>
      </c>
      <c r="BI178" s="921">
        <f t="shared" si="752"/>
        <v>184.17433379238196</v>
      </c>
      <c r="BJ178" s="921">
        <f t="shared" si="752"/>
        <v>196.64208606142944</v>
      </c>
      <c r="BK178" s="930">
        <f t="shared" si="752"/>
        <v>205.79451028331707</v>
      </c>
      <c r="BL178" s="1217"/>
      <c r="BM178" s="934">
        <f t="shared" ref="BM178:BV178" si="753">+BM119-BM176</f>
        <v>393.17789999999997</v>
      </c>
      <c r="BN178" s="922">
        <f t="shared" si="753"/>
        <v>340.51309999999967</v>
      </c>
      <c r="BO178" s="922">
        <f t="shared" si="753"/>
        <v>414.45219999999995</v>
      </c>
      <c r="BP178" s="922">
        <f t="shared" si="753"/>
        <v>181.81835000000032</v>
      </c>
      <c r="BQ178" s="922">
        <f t="shared" si="753"/>
        <v>301.01245000000017</v>
      </c>
      <c r="BR178" s="922">
        <f t="shared" si="753"/>
        <v>507.09324999999939</v>
      </c>
      <c r="BS178" s="922">
        <f t="shared" si="753"/>
        <v>451.70489999999995</v>
      </c>
      <c r="BT178" s="922">
        <f t="shared" si="753"/>
        <v>492.94935000000015</v>
      </c>
      <c r="BU178" s="922">
        <f t="shared" si="753"/>
        <v>437.44650000000001</v>
      </c>
      <c r="BV178" s="922">
        <f t="shared" si="753"/>
        <v>409.5693999999994</v>
      </c>
      <c r="BW178" s="922">
        <f>+BW119-BW176</f>
        <v>436.77795000000015</v>
      </c>
      <c r="BX178" s="922">
        <f>+BX119-BX176</f>
        <v>560.85345000000007</v>
      </c>
      <c r="BY178" s="922">
        <f>+BY119-BY176</f>
        <v>687.85654698550525</v>
      </c>
      <c r="BZ178" s="922">
        <f>+BZ119-BZ176</f>
        <v>711.10195742309691</v>
      </c>
      <c r="CA178" s="938">
        <f>+CA119-CA176</f>
        <v>771.00430788267556</v>
      </c>
      <c r="CB178" s="934"/>
      <c r="CC178" s="922"/>
      <c r="CD178" s="922"/>
      <c r="CE178" s="938"/>
      <c r="CF178" s="934">
        <f t="shared" ref="CF178:CN178" si="754">+CF119-CF176</f>
        <v>325.90919999999994</v>
      </c>
      <c r="CG178" s="922">
        <f t="shared" si="754"/>
        <v>437.57474999999999</v>
      </c>
      <c r="CH178" s="922">
        <f t="shared" si="754"/>
        <v>347.25774999999982</v>
      </c>
      <c r="CI178" s="922">
        <f t="shared" si="754"/>
        <v>155.7336</v>
      </c>
      <c r="CJ178" s="922">
        <f t="shared" si="754"/>
        <v>440.86760000000038</v>
      </c>
      <c r="CK178" s="922">
        <f t="shared" si="754"/>
        <v>474.64139999999963</v>
      </c>
      <c r="CL178" s="922">
        <f t="shared" si="754"/>
        <v>469.16109999999986</v>
      </c>
      <c r="CM178" s="922">
        <f t="shared" si="754"/>
        <v>452.51559999999995</v>
      </c>
      <c r="CN178" s="922">
        <f t="shared" si="754"/>
        <v>418.66320000000007</v>
      </c>
      <c r="CO178" s="922">
        <f>+CO119-CO176</f>
        <v>418.83190000000013</v>
      </c>
      <c r="CP178" s="922">
        <f>+CP119-CP176</f>
        <v>490.34245000000004</v>
      </c>
      <c r="CQ178" s="922">
        <f>+CQ119-CQ176</f>
        <v>633.19619999999964</v>
      </c>
      <c r="CR178" s="922">
        <f>+CR119-CR176</f>
        <v>701.22972672014077</v>
      </c>
      <c r="CS178" s="938">
        <f>+CS119-CS176</f>
        <v>742.85263922639058</v>
      </c>
      <c r="CT178" s="922"/>
      <c r="CU178"/>
      <c r="CV178"/>
      <c r="CW178"/>
      <c r="CX178"/>
      <c r="CY178"/>
      <c r="CZ178"/>
    </row>
    <row r="179" spans="1:104" s="929" customFormat="1" ht="14.25" customHeight="1">
      <c r="A179" s="927"/>
      <c r="B179" s="920" t="s">
        <v>247</v>
      </c>
      <c r="C179" s="932"/>
      <c r="D179" s="928"/>
      <c r="E179" s="932"/>
      <c r="F179" s="932"/>
      <c r="G179" s="933"/>
      <c r="H179" s="928"/>
      <c r="I179" s="932"/>
      <c r="J179" s="932"/>
      <c r="K179" s="933"/>
      <c r="L179" s="928"/>
      <c r="M179" s="932"/>
      <c r="N179" s="932"/>
      <c r="O179" s="933"/>
      <c r="P179" s="928"/>
      <c r="Q179" s="932"/>
      <c r="R179" s="932"/>
      <c r="S179" s="933"/>
      <c r="T179" s="928"/>
      <c r="U179" s="932"/>
      <c r="V179" s="932"/>
      <c r="W179" s="933"/>
      <c r="X179" s="928"/>
      <c r="Y179" s="932"/>
      <c r="Z179" s="932"/>
      <c r="AA179" s="933"/>
      <c r="AB179" s="928"/>
      <c r="AC179" s="932"/>
      <c r="AD179" s="932"/>
      <c r="AE179" s="933"/>
      <c r="AF179" s="928">
        <f>+AF178/AF148</f>
        <v>0.43935411102409144</v>
      </c>
      <c r="AG179" s="932">
        <f t="shared" ref="AG179:AQ179" si="755">+AG178/AG148</f>
        <v>0.38900936875541819</v>
      </c>
      <c r="AH179" s="932">
        <f t="shared" si="755"/>
        <v>0.41683873074692929</v>
      </c>
      <c r="AI179" s="932">
        <f t="shared" si="755"/>
        <v>0.40562751890441967</v>
      </c>
      <c r="AJ179" s="928">
        <f t="shared" si="755"/>
        <v>0.38005770688348384</v>
      </c>
      <c r="AK179" s="932">
        <f t="shared" si="755"/>
        <v>0.33525150312754498</v>
      </c>
      <c r="AL179" s="932">
        <f t="shared" si="755"/>
        <v>0.39614952785237811</v>
      </c>
      <c r="AM179" s="932">
        <f>+AM178/AM148</f>
        <v>0.40095151077595892</v>
      </c>
      <c r="AN179" s="928">
        <f t="shared" si="755"/>
        <v>0.34575216805445191</v>
      </c>
      <c r="AO179" s="932">
        <f t="shared" si="755"/>
        <v>0.30631376975169294</v>
      </c>
      <c r="AP179" s="932">
        <f t="shared" si="755"/>
        <v>0.36576184046530968</v>
      </c>
      <c r="AQ179" s="933">
        <f t="shared" si="755"/>
        <v>0.39968981772687406</v>
      </c>
      <c r="AR179" s="928">
        <f t="shared" ref="AR179:BC179" si="756">+AR178/AR148</f>
        <v>0.38598081669245443</v>
      </c>
      <c r="AS179" s="932">
        <f t="shared" si="756"/>
        <v>0.29611594342577641</v>
      </c>
      <c r="AT179" s="932">
        <f t="shared" si="756"/>
        <v>0.37631175741848177</v>
      </c>
      <c r="AU179" s="933">
        <f t="shared" si="756"/>
        <v>0.45120536209382273</v>
      </c>
      <c r="AV179" s="928">
        <f>+AV178/AV148</f>
        <v>0.44346445272882712</v>
      </c>
      <c r="AW179" s="932">
        <f>+AW178/AW148</f>
        <v>0.42687604562209758</v>
      </c>
      <c r="AX179" s="932">
        <f t="shared" si="756"/>
        <v>0.5060811374104669</v>
      </c>
      <c r="AY179" s="933">
        <f>+AY178/AY148</f>
        <v>0.57065782242412022</v>
      </c>
      <c r="AZ179" s="932">
        <f t="shared" si="756"/>
        <v>0.54003410872198787</v>
      </c>
      <c r="BA179" s="932">
        <f>+BA178/BA148</f>
        <v>0.59936816309134799</v>
      </c>
      <c r="BB179" s="932">
        <f>+BB178/BB148</f>
        <v>0.65691913768316201</v>
      </c>
      <c r="BC179" s="933">
        <f t="shared" si="756"/>
        <v>0.61843048727157979</v>
      </c>
      <c r="BD179" s="932">
        <f t="shared" ref="BD179:BK179" si="757">+BD178/BD148</f>
        <v>0.58857706647659214</v>
      </c>
      <c r="BE179" s="932">
        <f t="shared" si="757"/>
        <v>0.59269626969210987</v>
      </c>
      <c r="BF179" s="932">
        <f t="shared" si="757"/>
        <v>0.6488502071968294</v>
      </c>
      <c r="BG179" s="933">
        <f t="shared" si="757"/>
        <v>0.66660431552551258</v>
      </c>
      <c r="BH179" s="932">
        <f t="shared" si="757"/>
        <v>0.64908732983039163</v>
      </c>
      <c r="BI179" s="932">
        <f t="shared" si="757"/>
        <v>0.64900163785588894</v>
      </c>
      <c r="BJ179" s="932">
        <f t="shared" si="757"/>
        <v>0.69366936782863586</v>
      </c>
      <c r="BK179" s="933">
        <f t="shared" si="757"/>
        <v>0.72672428688124258</v>
      </c>
      <c r="BL179" s="1220"/>
      <c r="BM179" s="936">
        <f t="shared" ref="BM179:BW179" si="758">+BM178/BM148</f>
        <v>1.1562517047363547</v>
      </c>
      <c r="BN179" s="937">
        <f t="shared" si="758"/>
        <v>1.0333625172410121</v>
      </c>
      <c r="BO179" s="937">
        <f t="shared" si="758"/>
        <v>1.2737873805206379</v>
      </c>
      <c r="BP179" s="937">
        <f t="shared" si="758"/>
        <v>0.58210278615964695</v>
      </c>
      <c r="BQ179" s="937">
        <f t="shared" si="758"/>
        <v>0.97218157727514654</v>
      </c>
      <c r="BR179" s="937">
        <f t="shared" si="758"/>
        <v>1.6716344969165315</v>
      </c>
      <c r="BS179" s="937">
        <f t="shared" si="758"/>
        <v>1.505206351322081</v>
      </c>
      <c r="BT179" s="937">
        <f t="shared" si="758"/>
        <v>1.650897579411561</v>
      </c>
      <c r="BU179" s="937">
        <f t="shared" si="758"/>
        <v>1.51249517022838</v>
      </c>
      <c r="BV179" s="937">
        <f t="shared" si="758"/>
        <v>1.4177274166945009</v>
      </c>
      <c r="BW179" s="937">
        <f t="shared" si="758"/>
        <v>1.509064431286683</v>
      </c>
      <c r="BX179" s="937">
        <f>+BX178/BX148</f>
        <v>1.9467673395645013</v>
      </c>
      <c r="BY179" s="937">
        <f>+BY178/BY148</f>
        <v>2.41467765662654</v>
      </c>
      <c r="BZ179" s="937">
        <f>+BZ178/BZ148</f>
        <v>2.4965750126323925</v>
      </c>
      <c r="CA179" s="940">
        <f>+CA178/CA148</f>
        <v>2.7183358232445531</v>
      </c>
      <c r="CB179" s="1478"/>
      <c r="CC179" s="1422"/>
      <c r="CD179" s="1422"/>
      <c r="CE179" s="1479"/>
      <c r="CF179" s="936">
        <f t="shared" ref="CF179:CN179" si="759">+CF178/CF148</f>
        <v>0.97828253076557647</v>
      </c>
      <c r="CG179" s="937">
        <f t="shared" si="759"/>
        <v>1.3306160460086436</v>
      </c>
      <c r="CH179" s="937">
        <f t="shared" si="759"/>
        <v>1.0827645503470373</v>
      </c>
      <c r="CI179" s="937">
        <f t="shared" si="759"/>
        <v>0.5043558098920824</v>
      </c>
      <c r="CJ179" s="937">
        <f t="shared" si="759"/>
        <v>1.4440483492043488</v>
      </c>
      <c r="CK179" s="937">
        <f t="shared" si="759"/>
        <v>1.5705876367546985</v>
      </c>
      <c r="CL179" s="937">
        <f t="shared" si="759"/>
        <v>1.5670632246535645</v>
      </c>
      <c r="CM179" s="937">
        <f t="shared" si="759"/>
        <v>1.5396099052194376</v>
      </c>
      <c r="CN179" s="937">
        <f t="shared" si="759"/>
        <v>1.4493611968406899</v>
      </c>
      <c r="CO179" s="937">
        <f>+CO178/CO148</f>
        <v>1.4472372244740004</v>
      </c>
      <c r="CP179" s="937">
        <f>+CP178/CP148</f>
        <v>1.6976706222464579</v>
      </c>
      <c r="CQ179" s="937">
        <f>+CQ178/CQ148</f>
        <v>2.2151868200490989</v>
      </c>
      <c r="CR179" s="937">
        <f>+CR178/CR148</f>
        <v>2.4567399011324658</v>
      </c>
      <c r="CS179" s="940">
        <f>+CS178/CS148</f>
        <v>2.6135524950705262</v>
      </c>
      <c r="CT179" s="1422"/>
      <c r="CU179"/>
      <c r="CV179"/>
      <c r="CW179"/>
      <c r="CX179"/>
      <c r="CY179"/>
      <c r="CZ179"/>
    </row>
    <row r="180" spans="1:104" ht="14.25" customHeight="1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8"/>
      <c r="CB180" s="74"/>
      <c r="CC180" s="74"/>
      <c r="CD180" s="74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</row>
    <row r="181" spans="1:104" ht="14.25" hidden="1" customHeight="1" outlineLevel="1">
      <c r="CB181"/>
      <c r="CC181"/>
      <c r="CD181"/>
      <c r="CT181"/>
    </row>
    <row r="182" spans="1:104" ht="14.25" hidden="1" customHeight="1" outlineLevel="1">
      <c r="A182" s="8"/>
      <c r="B182" s="119" t="s">
        <v>416</v>
      </c>
      <c r="C182" s="119"/>
      <c r="D182" s="120" t="e">
        <f t="shared" ref="D182:AQ182" si="760">VLOOKUP(D181,ValidDateTable,4,FALSE)</f>
        <v>#NAME?</v>
      </c>
      <c r="E182" s="120" t="e">
        <f t="shared" si="760"/>
        <v>#NAME?</v>
      </c>
      <c r="F182" s="120" t="e">
        <f t="shared" si="760"/>
        <v>#NAME?</v>
      </c>
      <c r="G182" s="120" t="e">
        <f t="shared" si="760"/>
        <v>#NAME?</v>
      </c>
      <c r="H182" s="120" t="e">
        <f t="shared" si="760"/>
        <v>#NAME?</v>
      </c>
      <c r="I182" s="120" t="e">
        <f t="shared" si="760"/>
        <v>#NAME?</v>
      </c>
      <c r="J182" s="120" t="e">
        <f t="shared" si="760"/>
        <v>#NAME?</v>
      </c>
      <c r="K182" s="120" t="e">
        <f t="shared" si="760"/>
        <v>#NAME?</v>
      </c>
      <c r="L182" s="120" t="e">
        <f t="shared" si="760"/>
        <v>#NAME?</v>
      </c>
      <c r="M182" s="120" t="e">
        <f t="shared" si="760"/>
        <v>#NAME?</v>
      </c>
      <c r="N182" s="120" t="e">
        <f t="shared" si="760"/>
        <v>#NAME?</v>
      </c>
      <c r="O182" s="120" t="e">
        <f t="shared" si="760"/>
        <v>#NAME?</v>
      </c>
      <c r="P182" s="120" t="e">
        <f t="shared" si="760"/>
        <v>#NAME?</v>
      </c>
      <c r="Q182" s="120" t="e">
        <f t="shared" si="760"/>
        <v>#NAME?</v>
      </c>
      <c r="R182" s="120" t="e">
        <f t="shared" si="760"/>
        <v>#NAME?</v>
      </c>
      <c r="S182" s="120" t="e">
        <f t="shared" si="760"/>
        <v>#NAME?</v>
      </c>
      <c r="T182" s="120" t="e">
        <f t="shared" si="760"/>
        <v>#NAME?</v>
      </c>
      <c r="U182" s="120" t="e">
        <f t="shared" si="760"/>
        <v>#NAME?</v>
      </c>
      <c r="V182" s="120" t="e">
        <f t="shared" si="760"/>
        <v>#NAME?</v>
      </c>
      <c r="W182" s="120" t="e">
        <f t="shared" si="760"/>
        <v>#NAME?</v>
      </c>
      <c r="X182" s="120" t="e">
        <f t="shared" si="760"/>
        <v>#NAME?</v>
      </c>
      <c r="Y182" s="120" t="e">
        <f t="shared" si="760"/>
        <v>#NAME?</v>
      </c>
      <c r="Z182" s="120" t="e">
        <f t="shared" si="760"/>
        <v>#NAME?</v>
      </c>
      <c r="AA182" s="120" t="e">
        <f t="shared" si="760"/>
        <v>#NAME?</v>
      </c>
      <c r="AB182" s="120" t="e">
        <f t="shared" si="760"/>
        <v>#NAME?</v>
      </c>
      <c r="AC182" s="120" t="e">
        <f t="shared" si="760"/>
        <v>#NAME?</v>
      </c>
      <c r="AD182" s="120" t="e">
        <f t="shared" si="760"/>
        <v>#NAME?</v>
      </c>
      <c r="AE182" s="120" t="e">
        <f t="shared" si="760"/>
        <v>#NAME?</v>
      </c>
      <c r="AF182" s="120" t="e">
        <f t="shared" si="760"/>
        <v>#NAME?</v>
      </c>
      <c r="AG182" s="120" t="e">
        <f t="shared" si="760"/>
        <v>#NAME?</v>
      </c>
      <c r="AH182" s="120" t="e">
        <f t="shared" si="760"/>
        <v>#NAME?</v>
      </c>
      <c r="AI182" s="120" t="e">
        <f t="shared" si="760"/>
        <v>#NAME?</v>
      </c>
      <c r="AJ182" s="120" t="e">
        <f t="shared" si="760"/>
        <v>#NAME?</v>
      </c>
      <c r="AK182" s="120" t="e">
        <f t="shared" si="760"/>
        <v>#NAME?</v>
      </c>
      <c r="AL182" s="120" t="e">
        <f t="shared" si="760"/>
        <v>#NAME?</v>
      </c>
      <c r="AM182" s="120" t="e">
        <f t="shared" si="760"/>
        <v>#NAME?</v>
      </c>
      <c r="AN182" s="120" t="e">
        <f t="shared" si="760"/>
        <v>#NAME?</v>
      </c>
      <c r="AO182" s="120" t="e">
        <f t="shared" si="760"/>
        <v>#NAME?</v>
      </c>
      <c r="AP182" s="120" t="e">
        <f t="shared" si="760"/>
        <v>#NAME?</v>
      </c>
      <c r="AQ182" s="120" t="e">
        <f t="shared" si="760"/>
        <v>#NAME?</v>
      </c>
      <c r="AR182" s="120" t="e">
        <f t="shared" ref="AR182:AY182" si="761">VLOOKUP(AR181,ValidDateTable,4,FALSE)</f>
        <v>#NAME?</v>
      </c>
      <c r="AS182" s="120" t="e">
        <f t="shared" si="761"/>
        <v>#NAME?</v>
      </c>
      <c r="AT182" s="120" t="e">
        <f t="shared" si="761"/>
        <v>#NAME?</v>
      </c>
      <c r="AU182" s="120" t="e">
        <f t="shared" si="761"/>
        <v>#NAME?</v>
      </c>
      <c r="AV182" s="120" t="e">
        <f t="shared" si="761"/>
        <v>#NAME?</v>
      </c>
      <c r="AW182" s="120" t="e">
        <f t="shared" si="761"/>
        <v>#NAME?</v>
      </c>
      <c r="AX182" s="120" t="e">
        <f t="shared" si="761"/>
        <v>#NAME?</v>
      </c>
      <c r="AY182" s="120" t="e">
        <f t="shared" si="761"/>
        <v>#NAME?</v>
      </c>
      <c r="AZ182" s="120" t="e">
        <f t="shared" ref="AZ182:BG182" si="762">VLOOKUP(AZ181,ValidDateTable,4,FALSE)</f>
        <v>#NAME?</v>
      </c>
      <c r="BA182" s="120" t="e">
        <f t="shared" si="762"/>
        <v>#NAME?</v>
      </c>
      <c r="BB182" s="120" t="e">
        <f t="shared" si="762"/>
        <v>#NAME?</v>
      </c>
      <c r="BC182" s="120" t="e">
        <f t="shared" si="762"/>
        <v>#NAME?</v>
      </c>
      <c r="BD182" s="120" t="e">
        <f t="shared" si="762"/>
        <v>#NAME?</v>
      </c>
      <c r="BE182" s="120" t="e">
        <f t="shared" si="762"/>
        <v>#NAME?</v>
      </c>
      <c r="BF182" s="120" t="e">
        <f t="shared" si="762"/>
        <v>#NAME?</v>
      </c>
      <c r="BG182" s="120" t="e">
        <f t="shared" si="762"/>
        <v>#NAME?</v>
      </c>
      <c r="BH182" s="120" t="e">
        <f>VLOOKUP(BH181,ValidDateTable,4,FALSE)</f>
        <v>#NAME?</v>
      </c>
      <c r="BI182" s="120" t="e">
        <f>VLOOKUP(BI181,ValidDateTable,4,FALSE)</f>
        <v>#NAME?</v>
      </c>
      <c r="BJ182" s="120" t="e">
        <f>VLOOKUP(BJ181,ValidDateTable,4,FALSE)</f>
        <v>#NAME?</v>
      </c>
      <c r="BK182" s="120" t="e">
        <f>VLOOKUP(BK181,ValidDateTable,4,FALSE)</f>
        <v>#NAME?</v>
      </c>
      <c r="BL182" s="8"/>
      <c r="BM182" s="11" t="e">
        <f t="shared" ref="BM182:CA182" si="763">VLOOKUP(BM181,ValidDateTable,4,FALSE)</f>
        <v>#NAME?</v>
      </c>
      <c r="BN182" s="11" t="e">
        <f t="shared" si="763"/>
        <v>#NAME?</v>
      </c>
      <c r="BO182" s="11" t="e">
        <f t="shared" si="763"/>
        <v>#NAME?</v>
      </c>
      <c r="BP182" s="11" t="e">
        <f t="shared" si="763"/>
        <v>#NAME?</v>
      </c>
      <c r="BQ182" s="11" t="e">
        <f t="shared" si="763"/>
        <v>#NAME?</v>
      </c>
      <c r="BR182" s="11" t="e">
        <f t="shared" si="763"/>
        <v>#NAME?</v>
      </c>
      <c r="BS182" s="11" t="e">
        <f t="shared" si="763"/>
        <v>#NAME?</v>
      </c>
      <c r="BT182" s="11" t="e">
        <f t="shared" si="763"/>
        <v>#NAME?</v>
      </c>
      <c r="BU182" s="11" t="e">
        <f t="shared" si="763"/>
        <v>#NAME?</v>
      </c>
      <c r="BV182" s="11" t="e">
        <f t="shared" si="763"/>
        <v>#NAME?</v>
      </c>
      <c r="BW182" s="11" t="e">
        <f t="shared" si="763"/>
        <v>#NAME?</v>
      </c>
      <c r="BX182" s="11" t="e">
        <f>VLOOKUP(BX181,ValidDateTable,4,FALSE)</f>
        <v>#NAME?</v>
      </c>
      <c r="BY182" s="11" t="e">
        <f t="shared" si="763"/>
        <v>#NAME?</v>
      </c>
      <c r="BZ182" s="11" t="e">
        <f t="shared" si="763"/>
        <v>#NAME?</v>
      </c>
      <c r="CA182" s="11" t="e">
        <f t="shared" si="763"/>
        <v>#NAME?</v>
      </c>
      <c r="CB182" s="74"/>
      <c r="CC182" s="74"/>
      <c r="CD182" s="74"/>
      <c r="CE182" s="8"/>
      <c r="CF182" s="333" t="e">
        <f>BM182</f>
        <v>#NAME?</v>
      </c>
      <c r="CG182" s="333" t="e">
        <f t="shared" ref="CG182:CL182" si="764">BN182</f>
        <v>#NAME?</v>
      </c>
      <c r="CH182" s="333" t="e">
        <f t="shared" si="764"/>
        <v>#NAME?</v>
      </c>
      <c r="CI182" s="333" t="e">
        <f t="shared" si="764"/>
        <v>#NAME?</v>
      </c>
      <c r="CJ182" s="333" t="e">
        <f t="shared" si="764"/>
        <v>#NAME?</v>
      </c>
      <c r="CK182" s="333" t="e">
        <f t="shared" si="764"/>
        <v>#NAME?</v>
      </c>
      <c r="CL182" s="333" t="e">
        <f t="shared" si="764"/>
        <v>#NAME?</v>
      </c>
      <c r="CM182" s="333" t="e">
        <f>BT182</f>
        <v>#NAME?</v>
      </c>
      <c r="CN182" s="333" t="e">
        <f>BU182</f>
        <v>#NAME?</v>
      </c>
      <c r="CO182" s="333" t="e">
        <f>BV182</f>
        <v>#NAME?</v>
      </c>
      <c r="CP182" s="333" t="e">
        <f>BW182</f>
        <v>#NAME?</v>
      </c>
      <c r="CQ182" s="333" t="e">
        <f>BX182</f>
        <v>#NAME?</v>
      </c>
      <c r="CR182" s="333" t="s">
        <v>422</v>
      </c>
      <c r="CS182" s="333" t="s">
        <v>422</v>
      </c>
      <c r="CT182" s="1432"/>
    </row>
    <row r="183" spans="1:104" ht="14.25" hidden="1" customHeight="1" outlineLevel="1">
      <c r="A183" s="8"/>
      <c r="B183" s="119" t="s">
        <v>417</v>
      </c>
      <c r="C183" s="119"/>
      <c r="D183" s="8">
        <v>2006</v>
      </c>
      <c r="E183" s="8">
        <v>2006</v>
      </c>
      <c r="F183" s="8">
        <v>2006</v>
      </c>
      <c r="G183" s="8">
        <v>2006</v>
      </c>
      <c r="H183" s="8">
        <v>2007</v>
      </c>
      <c r="I183" s="8">
        <v>2007</v>
      </c>
      <c r="J183" s="8">
        <v>2007</v>
      </c>
      <c r="K183" s="8">
        <v>2007</v>
      </c>
      <c r="L183" s="8">
        <v>2008</v>
      </c>
      <c r="M183" s="8">
        <v>2008</v>
      </c>
      <c r="N183" s="8">
        <v>2008</v>
      </c>
      <c r="O183" s="8">
        <v>2008</v>
      </c>
      <c r="P183" s="8">
        <v>2009</v>
      </c>
      <c r="Q183" s="8">
        <v>2009</v>
      </c>
      <c r="R183" s="8">
        <v>2009</v>
      </c>
      <c r="S183" s="8">
        <v>2009</v>
      </c>
      <c r="T183" s="8">
        <v>2010</v>
      </c>
      <c r="U183" s="8">
        <v>2010</v>
      </c>
      <c r="V183" s="8">
        <v>2010</v>
      </c>
      <c r="W183" s="8">
        <v>2010</v>
      </c>
      <c r="X183" s="8">
        <v>2011</v>
      </c>
      <c r="Y183" s="8">
        <v>2011</v>
      </c>
      <c r="Z183" s="8">
        <v>2011</v>
      </c>
      <c r="AA183" s="8">
        <v>2011</v>
      </c>
      <c r="AB183" s="8">
        <v>2012</v>
      </c>
      <c r="AC183" s="8">
        <v>2012</v>
      </c>
      <c r="AD183" s="8">
        <v>2012</v>
      </c>
      <c r="AE183" s="8">
        <v>2012</v>
      </c>
      <c r="AF183" s="8">
        <v>2013</v>
      </c>
      <c r="AG183" s="8">
        <v>2013</v>
      </c>
      <c r="AH183" s="8">
        <v>2013</v>
      </c>
      <c r="AI183" s="8">
        <v>2013</v>
      </c>
      <c r="AJ183" s="8">
        <v>2014</v>
      </c>
      <c r="AK183" s="8">
        <v>2014</v>
      </c>
      <c r="AL183" s="8">
        <v>2014</v>
      </c>
      <c r="AM183" s="8">
        <v>2014</v>
      </c>
      <c r="AN183" s="8">
        <v>2015</v>
      </c>
      <c r="AO183" s="8">
        <v>2015</v>
      </c>
      <c r="AP183" s="8">
        <v>2015</v>
      </c>
      <c r="AQ183" s="8">
        <v>2015</v>
      </c>
      <c r="AR183" s="8">
        <v>2016</v>
      </c>
      <c r="AS183" s="8">
        <v>2016</v>
      </c>
      <c r="AT183" s="8">
        <v>2016</v>
      </c>
      <c r="AU183" s="8">
        <v>2016</v>
      </c>
      <c r="AV183" s="8">
        <v>2017</v>
      </c>
      <c r="AW183" s="8">
        <v>2017</v>
      </c>
      <c r="AX183" s="8">
        <v>2017</v>
      </c>
      <c r="AY183" s="8">
        <v>2017</v>
      </c>
      <c r="AZ183" s="8">
        <v>2018</v>
      </c>
      <c r="BA183" s="8">
        <v>2018</v>
      </c>
      <c r="BB183" s="8">
        <v>2018</v>
      </c>
      <c r="BC183" s="8">
        <v>2018</v>
      </c>
      <c r="BD183" s="8">
        <v>2019</v>
      </c>
      <c r="BE183" s="8">
        <v>2019</v>
      </c>
      <c r="BF183" s="8">
        <v>2019</v>
      </c>
      <c r="BG183" s="8">
        <v>2019</v>
      </c>
      <c r="BH183" s="8">
        <v>2019</v>
      </c>
      <c r="BI183" s="8">
        <v>2019</v>
      </c>
      <c r="BJ183" s="8">
        <v>2019</v>
      </c>
      <c r="BK183" s="8">
        <v>2019</v>
      </c>
      <c r="BL183" s="8"/>
      <c r="BM183" s="11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74"/>
      <c r="CC183" s="74"/>
      <c r="CD183" s="74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11"/>
    </row>
    <row r="184" spans="1:104" ht="14.25" hidden="1" customHeight="1" outlineLevel="1">
      <c r="A184" s="8"/>
      <c r="B184" s="119" t="s">
        <v>418</v>
      </c>
      <c r="C184" s="119"/>
      <c r="D184" s="8">
        <v>1</v>
      </c>
      <c r="E184" s="8">
        <v>2</v>
      </c>
      <c r="F184" s="8">
        <v>3</v>
      </c>
      <c r="G184" s="8">
        <v>4</v>
      </c>
      <c r="H184" s="8">
        <v>1</v>
      </c>
      <c r="I184" s="8">
        <v>2</v>
      </c>
      <c r="J184" s="8">
        <v>3</v>
      </c>
      <c r="K184" s="8">
        <v>4</v>
      </c>
      <c r="L184" s="8">
        <v>1</v>
      </c>
      <c r="M184" s="8">
        <v>2</v>
      </c>
      <c r="N184" s="8">
        <v>3</v>
      </c>
      <c r="O184" s="8">
        <v>4</v>
      </c>
      <c r="P184" s="8">
        <v>1</v>
      </c>
      <c r="Q184" s="8">
        <v>2</v>
      </c>
      <c r="R184" s="8">
        <v>3</v>
      </c>
      <c r="S184" s="8">
        <v>4</v>
      </c>
      <c r="T184" s="8">
        <v>1</v>
      </c>
      <c r="U184" s="8">
        <v>2</v>
      </c>
      <c r="V184" s="8">
        <v>3</v>
      </c>
      <c r="W184" s="8">
        <v>4</v>
      </c>
      <c r="X184" s="8">
        <v>1</v>
      </c>
      <c r="Y184" s="8">
        <v>2</v>
      </c>
      <c r="Z184" s="8">
        <v>3</v>
      </c>
      <c r="AA184" s="8">
        <v>4</v>
      </c>
      <c r="AB184" s="8">
        <v>1</v>
      </c>
      <c r="AC184" s="8">
        <v>2</v>
      </c>
      <c r="AD184" s="8">
        <v>3</v>
      </c>
      <c r="AE184" s="8">
        <v>4</v>
      </c>
      <c r="AF184" s="8">
        <v>1</v>
      </c>
      <c r="AG184" s="8">
        <v>2</v>
      </c>
      <c r="AH184" s="8">
        <v>3</v>
      </c>
      <c r="AI184" s="8">
        <v>4</v>
      </c>
      <c r="AJ184" s="8">
        <v>1</v>
      </c>
      <c r="AK184" s="8">
        <v>2</v>
      </c>
      <c r="AL184" s="8">
        <v>3</v>
      </c>
      <c r="AM184" s="8">
        <v>4</v>
      </c>
      <c r="AN184" s="8">
        <v>1</v>
      </c>
      <c r="AO184" s="8">
        <v>2</v>
      </c>
      <c r="AP184" s="8">
        <v>3</v>
      </c>
      <c r="AQ184" s="8">
        <v>4</v>
      </c>
      <c r="AR184" s="8">
        <v>1</v>
      </c>
      <c r="AS184" s="8">
        <v>2</v>
      </c>
      <c r="AT184" s="8">
        <v>3</v>
      </c>
      <c r="AU184" s="8">
        <v>4</v>
      </c>
      <c r="AV184" s="8">
        <v>1</v>
      </c>
      <c r="AW184" s="8">
        <v>2</v>
      </c>
      <c r="AX184" s="8">
        <v>3</v>
      </c>
      <c r="AY184" s="8">
        <v>4</v>
      </c>
      <c r="AZ184" s="8">
        <v>1</v>
      </c>
      <c r="BA184" s="8">
        <v>2</v>
      </c>
      <c r="BB184" s="8">
        <v>3</v>
      </c>
      <c r="BC184" s="8">
        <v>4</v>
      </c>
      <c r="BD184" s="8">
        <v>1</v>
      </c>
      <c r="BE184" s="8">
        <v>2</v>
      </c>
      <c r="BF184" s="8">
        <v>3</v>
      </c>
      <c r="BG184" s="8">
        <v>4</v>
      </c>
      <c r="BH184" s="8">
        <v>1</v>
      </c>
      <c r="BI184" s="8">
        <v>2</v>
      </c>
      <c r="BJ184" s="8">
        <v>3</v>
      </c>
      <c r="BK184" s="8">
        <v>4</v>
      </c>
      <c r="BL184" s="8"/>
      <c r="BM184" s="11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74"/>
      <c r="CC184" s="74"/>
      <c r="CD184" s="74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11"/>
    </row>
    <row r="185" spans="1:104" ht="14.25" hidden="1" customHeight="1" outlineLevel="2">
      <c r="A185" s="8"/>
      <c r="B185" s="119" t="s">
        <v>419</v>
      </c>
      <c r="C185" s="119"/>
      <c r="D185" s="8">
        <v>2005</v>
      </c>
      <c r="E185" s="8">
        <v>2005</v>
      </c>
      <c r="F185" s="8">
        <v>2006</v>
      </c>
      <c r="G185" s="8">
        <v>2006</v>
      </c>
      <c r="H185" s="8">
        <v>2006</v>
      </c>
      <c r="I185" s="8">
        <v>2006</v>
      </c>
      <c r="J185" s="8">
        <v>2007</v>
      </c>
      <c r="K185" s="8">
        <v>2007</v>
      </c>
      <c r="L185" s="8">
        <v>2007</v>
      </c>
      <c r="M185" s="8">
        <v>2007</v>
      </c>
      <c r="N185" s="8">
        <v>2008</v>
      </c>
      <c r="O185" s="8">
        <v>2008</v>
      </c>
      <c r="P185" s="8">
        <v>2008</v>
      </c>
      <c r="Q185" s="8">
        <v>2008</v>
      </c>
      <c r="R185" s="8">
        <v>2009</v>
      </c>
      <c r="S185" s="8">
        <v>2009</v>
      </c>
      <c r="T185" s="8">
        <v>2009</v>
      </c>
      <c r="U185" s="8">
        <v>2009</v>
      </c>
      <c r="V185" s="8">
        <v>2010</v>
      </c>
      <c r="W185" s="8">
        <v>2010</v>
      </c>
      <c r="X185" s="8">
        <v>2010</v>
      </c>
      <c r="Y185" s="8">
        <v>2010</v>
      </c>
      <c r="Z185" s="8">
        <v>2011</v>
      </c>
      <c r="AA185" s="8">
        <v>2011</v>
      </c>
      <c r="AB185" s="8">
        <v>2011</v>
      </c>
      <c r="AC185" s="8">
        <v>2011</v>
      </c>
      <c r="AD185" s="8">
        <v>2012</v>
      </c>
      <c r="AE185" s="8">
        <v>2012</v>
      </c>
      <c r="AF185" s="8">
        <v>2012</v>
      </c>
      <c r="AG185" s="8">
        <v>2012</v>
      </c>
      <c r="AH185" s="8">
        <v>2013</v>
      </c>
      <c r="AI185" s="8">
        <v>2013</v>
      </c>
      <c r="AJ185" s="8">
        <v>2013</v>
      </c>
      <c r="AK185" s="8">
        <v>2013</v>
      </c>
      <c r="AL185" s="8">
        <v>2014</v>
      </c>
      <c r="AM185" s="8">
        <v>2014</v>
      </c>
      <c r="AN185" s="8">
        <v>2014</v>
      </c>
      <c r="AO185" s="8">
        <v>2014</v>
      </c>
      <c r="AP185" s="8">
        <v>2015</v>
      </c>
      <c r="AQ185" s="8">
        <v>2015</v>
      </c>
      <c r="AR185" s="8">
        <v>2015</v>
      </c>
      <c r="AS185" s="8">
        <v>2015</v>
      </c>
      <c r="AT185" s="8">
        <v>2016</v>
      </c>
      <c r="AU185" s="8">
        <v>2016</v>
      </c>
      <c r="AV185" s="8">
        <v>2016</v>
      </c>
      <c r="AW185" s="8">
        <v>2016</v>
      </c>
      <c r="AX185" s="8">
        <v>2017</v>
      </c>
      <c r="AY185" s="8">
        <v>2017</v>
      </c>
      <c r="AZ185" s="8">
        <v>2017</v>
      </c>
      <c r="BA185" s="8">
        <v>2017</v>
      </c>
      <c r="BB185" s="8">
        <v>2018</v>
      </c>
      <c r="BC185" s="8">
        <v>2018</v>
      </c>
      <c r="BD185" s="8">
        <v>2018</v>
      </c>
      <c r="BE185" s="8">
        <v>2018</v>
      </c>
      <c r="BF185" s="8">
        <v>2019</v>
      </c>
      <c r="BG185" s="8">
        <v>2019</v>
      </c>
      <c r="BH185" s="8">
        <v>2018</v>
      </c>
      <c r="BI185" s="8">
        <v>2018</v>
      </c>
      <c r="BJ185" s="8">
        <v>2019</v>
      </c>
      <c r="BK185" s="8">
        <v>2019</v>
      </c>
      <c r="BL185" s="8"/>
      <c r="BM185" s="11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74"/>
      <c r="CC185" s="74"/>
      <c r="CD185" s="74"/>
      <c r="CE185" s="8"/>
      <c r="CF185" s="8">
        <v>2006</v>
      </c>
      <c r="CG185" s="8">
        <v>2007</v>
      </c>
      <c r="CH185" s="8">
        <v>2008</v>
      </c>
      <c r="CI185" s="8">
        <v>2009</v>
      </c>
      <c r="CJ185" s="8">
        <v>2010</v>
      </c>
      <c r="CK185" s="8">
        <v>2011</v>
      </c>
      <c r="CL185" s="8">
        <v>2012</v>
      </c>
      <c r="CM185" s="8">
        <v>2013</v>
      </c>
      <c r="CN185" s="8">
        <v>2014</v>
      </c>
      <c r="CO185" s="8">
        <v>2015</v>
      </c>
      <c r="CP185" s="8">
        <v>2016</v>
      </c>
      <c r="CQ185" s="8">
        <v>2017</v>
      </c>
      <c r="CR185" s="8">
        <v>2018</v>
      </c>
      <c r="CS185" s="8">
        <v>2019</v>
      </c>
      <c r="CT185" s="11"/>
    </row>
    <row r="186" spans="1:104" ht="14.25" hidden="1" customHeight="1" outlineLevel="2">
      <c r="A186" s="8"/>
      <c r="B186" s="119" t="s">
        <v>420</v>
      </c>
      <c r="C186" s="119"/>
      <c r="D186" s="8">
        <v>3</v>
      </c>
      <c r="E186" s="8">
        <v>4</v>
      </c>
      <c r="F186" s="8">
        <v>1</v>
      </c>
      <c r="G186" s="8">
        <v>2</v>
      </c>
      <c r="H186" s="8">
        <v>3</v>
      </c>
      <c r="I186" s="8">
        <v>4</v>
      </c>
      <c r="J186" s="8">
        <v>1</v>
      </c>
      <c r="K186" s="8">
        <v>2</v>
      </c>
      <c r="L186" s="8">
        <v>3</v>
      </c>
      <c r="M186" s="8">
        <v>4</v>
      </c>
      <c r="N186" s="8">
        <v>1</v>
      </c>
      <c r="O186" s="8">
        <v>2</v>
      </c>
      <c r="P186" s="8">
        <v>3</v>
      </c>
      <c r="Q186" s="8">
        <v>4</v>
      </c>
      <c r="R186" s="8">
        <v>1</v>
      </c>
      <c r="S186" s="8">
        <v>2</v>
      </c>
      <c r="T186" s="8">
        <v>3</v>
      </c>
      <c r="U186" s="8">
        <v>4</v>
      </c>
      <c r="V186" s="8">
        <v>1</v>
      </c>
      <c r="W186" s="8">
        <v>2</v>
      </c>
      <c r="X186" s="8">
        <v>3</v>
      </c>
      <c r="Y186" s="8">
        <v>4</v>
      </c>
      <c r="Z186" s="8">
        <v>1</v>
      </c>
      <c r="AA186" s="8">
        <v>2</v>
      </c>
      <c r="AB186" s="8">
        <v>3</v>
      </c>
      <c r="AC186" s="8">
        <v>4</v>
      </c>
      <c r="AD186" s="8">
        <v>1</v>
      </c>
      <c r="AE186" s="8">
        <v>2</v>
      </c>
      <c r="AF186" s="8">
        <v>3</v>
      </c>
      <c r="AG186" s="8">
        <v>4</v>
      </c>
      <c r="AH186" s="8">
        <v>1</v>
      </c>
      <c r="AI186" s="8">
        <v>2</v>
      </c>
      <c r="AJ186" s="8">
        <v>3</v>
      </c>
      <c r="AK186" s="8">
        <v>4</v>
      </c>
      <c r="AL186" s="8">
        <v>1</v>
      </c>
      <c r="AM186" s="8">
        <v>2</v>
      </c>
      <c r="AN186" s="8">
        <v>3</v>
      </c>
      <c r="AO186" s="8">
        <v>4</v>
      </c>
      <c r="AP186" s="8">
        <v>1</v>
      </c>
      <c r="AQ186" s="8">
        <v>2</v>
      </c>
      <c r="AR186" s="8">
        <v>3</v>
      </c>
      <c r="AS186" s="8">
        <v>4</v>
      </c>
      <c r="AT186" s="8">
        <v>1</v>
      </c>
      <c r="AU186" s="8">
        <v>2</v>
      </c>
      <c r="AV186" s="8">
        <v>3</v>
      </c>
      <c r="AW186" s="8">
        <v>4</v>
      </c>
      <c r="AX186" s="8">
        <v>1</v>
      </c>
      <c r="AY186" s="8">
        <v>2</v>
      </c>
      <c r="AZ186" s="8">
        <v>3</v>
      </c>
      <c r="BA186" s="8">
        <v>4</v>
      </c>
      <c r="BB186" s="8">
        <v>1</v>
      </c>
      <c r="BC186" s="8">
        <v>2</v>
      </c>
      <c r="BD186" s="8">
        <v>3</v>
      </c>
      <c r="BE186" s="8">
        <v>4</v>
      </c>
      <c r="BF186" s="8">
        <v>1</v>
      </c>
      <c r="BG186" s="8">
        <v>2</v>
      </c>
      <c r="BH186" s="8">
        <v>3</v>
      </c>
      <c r="BI186" s="8">
        <v>4</v>
      </c>
      <c r="BJ186" s="8">
        <v>1</v>
      </c>
      <c r="BK186" s="8">
        <v>2</v>
      </c>
      <c r="BL186" s="8"/>
      <c r="BM186" s="11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74"/>
      <c r="CC186" s="74"/>
      <c r="CD186" s="74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11"/>
    </row>
    <row r="187" spans="1:104" ht="14.25" hidden="1" customHeight="1" outlineLevel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5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311"/>
      <c r="CC187" s="311"/>
      <c r="CD187" s="31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5"/>
    </row>
    <row r="188" spans="1:104" ht="14.25" hidden="1" customHeight="1" outlineLevel="1"/>
    <row r="189" spans="1:104" ht="14.25" customHeight="1" collapsed="1"/>
    <row r="195" spans="30:30" ht="14.25" customHeight="1">
      <c r="AD195" s="379"/>
    </row>
    <row r="198" spans="30:30" ht="14.25" customHeight="1">
      <c r="AD198">
        <f>+AVERAGE(AD199:AD202)</f>
        <v>16.533333333333331</v>
      </c>
    </row>
    <row r="199" spans="30:30" ht="14.25" customHeight="1">
      <c r="AD199">
        <v>13.1</v>
      </c>
    </row>
    <row r="201" spans="30:30" ht="14.25" customHeight="1">
      <c r="AD201">
        <v>17.8</v>
      </c>
    </row>
    <row r="202" spans="30:30" ht="14.25" customHeight="1">
      <c r="AD202">
        <v>18.7</v>
      </c>
    </row>
  </sheetData>
  <phoneticPr fontId="24" type="noConversion"/>
  <conditionalFormatting sqref="B6">
    <cfRule type="cellIs" dxfId="24" priority="1" stopIfTrue="1" operator="equal">
      <formula>"Bear Case"</formula>
    </cfRule>
    <cfRule type="cellIs" dxfId="23" priority="2" stopIfTrue="1" operator="equal">
      <formula>"Bull Case"</formula>
    </cfRule>
    <cfRule type="cellIs" dxfId="22" priority="3" stopIfTrue="1" operator="equal">
      <formula>"Base Case"</formula>
    </cfRule>
  </conditionalFormatting>
  <dataValidations disablePrompts="1" count="1">
    <dataValidation type="list" allowBlank="1" showInputMessage="1" showErrorMessage="1" sqref="B6">
      <formula1>$DC$6</formula1>
    </dataValidation>
  </dataValidations>
  <pageMargins left="0" right="0" top="0" bottom="0" header="0" footer="0"/>
  <pageSetup paperSize="5" scale="94" orientation="landscape" r:id="rId1"/>
  <headerFooter alignWithMargins="0"/>
  <rowBreaks count="1" manualBreakCount="1">
    <brk id="148" max="88" man="1"/>
  </rowBreaks>
  <colBreaks count="1" manualBreakCount="1">
    <brk id="73" max="1048575" man="1"/>
  </colBreaks>
  <ignoredErrors>
    <ignoredError sqref="AC315:AC359 AC10:AC11 AK148" formula="1"/>
    <ignoredError sqref="C119 C133:C134 AC81:AC98 BS144:BV144 B135:C137 B144:V146 B111:C117 B130:C132 B127:W128 B147:N151 B120:W125 AE120:AF128 AE118 T50:V50 BM138:BS138 B138:W138 T38:AB38 D50:R50 S107:W107 S106:U106 CF86:CN86 O148:O151 D115:R117 D92:AB92 BR120:BR124 D103:AB103 D41:AA43 BM87 E86:AB86 D94 W64:W65 E88:AB90 CF69:CN69 CF90:CN90 AB41 CE126:CN126 S131 BM94 CF135:CL138 BM52 D86:D90 CF53:CN55 CF103:CN103 CF38:CN38 CF41:CN43 BM40 AE130:AE137 CF92:CN92 CF50:CN50 CF88:CN88 AB53:AB54 BM89 D53:AA55 O147:V147 P151:AB151 B153:AB153 AB74 CF149:CL152 AB127 B118:W118 CE132:CN134 P149:W150 CE135 AE142:AF143 X130 CF111:CL125 B152:W152 AB111 CM119:CN119 CF87 S68 CF94 CM117:CN117 BM116:BQ117 S64:S65 BM146:BS146 BM149:BS152 CM115:CN115 BS121:BS124 CF146:CN146 AB138 D132:AB137 BM136:BS136 CF89 C140:W140 CF130:CL131 CM135:CN135 CM137:CN137 D111:W114 CE147:CN148 X63:AC65 T69:AB69 CF62:CN67 AC78:AC79 Z67:AA67 X125:AB125 AF130:AF136 X147:AB148 W106 AA68 T115:AA117 BS147:BV147 AB145 X185:AB186 CE153:CN153 BM153:BV153 CE139 CF105:CN107 D38:R38 B126:AB126 X106:AB107 D106:R107 AD182:AQ183 D130:R131 CE144:CN145 AA154 X157:AB157 BL139 T130:W131 CK182:CN182 X182:AB183 AD185:AQ186 CK185:CN185 D196:AB314 T67:X68 P148:U148 S115:S116 BY182:CA182 AC57 AE154:AF154 D63:R65 X144:AB144 AC33:AC47 D67:R69 X50:AB50 BR131:BS131 W144:W148 AB154:AB155 T63:V65 AD156:AD161 BM145:BV145 AD203:AD314 D154:W161 AD196:AD197 AG117 AE152:AF152 AE37 BM140:BS140 AF91:AF97 B143 AE140 BS112 AE33:AE34 BM118:BR119 BM120:BQ125 BM111:BR115 BS128 AE44:AF45 AE146:AF146 BM126:BR128 CF127:CL128 CE196:CN314 AE149:AF150 AF33:AF35 BM130:BQ131 CE188:CE194 AF117:AF118 C142:AB143 CF140:CL140 AE111:AF114 CE143:CM143 BL188:BL194 D180:W180 CF180:CJ180 X188:AB194 CK188:CN194 BM180:BP180 AF81:AF87 AE94:AE97 AE81:AE84 AE86:AE89 AE54:AF55 AE47 BM154:BS161 CF155:CL161 BL143:BT143 AE40:AH40 AE52:AH52 AG132:AH135 AG137:AH137 AG87:AH87 AF89:AH89 AO142:AP143 AD188:AQ194 AE196:AQ314 BV143 BQ188:BV194 BL196:BV314 BQ182:BV182 BM148:BV148 BV117 BM137:BV137 BL132:BV135 BT115:BV115 BT126:BV126 BV119 AC69:AC76 BT10 AC50:AC55 AC59 BY188:CA194 BY196:CA314 CF154:CK154 AE156:AF161 D182:W194 CF182:CJ194 BM182:BP194" formulaRange="1"/>
    <ignoredError sqref="AC130:AC138 D3:Q5 B65 AE71:AE74 BZ7:CA7 B92:C92 B94:C94 B103:C103 BY183:CA187 BL7:BL9 CE6:CE11 CM138:CN138 AC155:AC161 B9 C3:C9 X3:X4 AC80 CK183:CN184 AB156 CK186:CN187 CK180:CN180 B105:C107 B66:C76 B38:C43 BS33:BS37 BL52:BL55 AC120:AC128 BL40:BL43 X180:AB180 CE166 BL136:BL138 CE136:CE138 CE62:CE67 X138:AA138 AB42:AB43 CE68:CN68 D81:AB85 CF78:CN85 BT136:BV136 AB113:AB114 AD3:AE3 C10:AB11 AG157:AI161 CM140:CN140 X152:AB152 X120:AB124 BT146:BV146 CE92 X131 Y130:AB131 CE180 CE130:CE131 BT120:BU124 CE146 X111:AA114 AB146 X145:AA146 B91:AB91 AC112:AC114 AH120:AH124 AD187:AQ187 AD184:AQ184 E87:AB87 AC106:AC107 BS86 AG97:AG102 E94:AB94 AB29:AB32 B33:AB37 X154:Z156 BS84 D39:AB40 B93:AB93 W74:W76 D51:AB52 X149:AB150 CE94 B104:AB104 CE93:CN93 CE105:CE107 AC196:AC314 CE149:CE152 CE91:CN91 AH131 BL85:BL89 CE44:CN47 CE111:CE125 CM120:CN125 CM149:CN150 CE53:CE55 CM111:CN114 CM130:CN131 AC142:AC153 AA155:AA156 CM116:CN116 CE104:CN104 BS43 CM118:CN118 CM152:CN152 CE39:CN40 CG94:CM94 CE51:CN52 CM136:CN136 CG87:CM87 CG89:CN89 AB70:AB73 B26:AA32 B3 BL10:BR11 BL12:BM16 CG12:CN12 W95 S108:S109 B11 W79:W80 D13:G16 W70:W72 B108:R110 B22:AC25 T108:AA110 S74 AC17 AC26:AC32 S70:S72 D78:V80 V70:V71 AE98:AF98 AC19:AC21 CE17:CN17 BT19:BV19 CF4:CF6 BS15 CE19:CN22 CF23:CN37 CE95:CN102 CE23:CE38 X184:AB184 X187:AB187 B5 W101:W102 CE108:CN110 AG114:AH114 BL180 B95:V102 BL144:BL161 W97:W99 AB45 AB27 B62 AB47 X78:AB80 Z70:Z72 AF99:AF102 X118:AC118 AB109:AB110 D62:AA62 AC99:AC104 R5 AG94:AG95 X95:AB102 AC180 CE41:CE43 BU131 H14:AC16 BN12:BR12 BN14:BR16 AE15:AE16 BL19:BR19 AF64 BL140 CF9:CN11 AE99:AE101 BL17:BR17 BN40:BR40 BM41:BR43 BN52:BR52 BM53:BR55 CE78:CE90 BS57 BS76 BM85:BR86 BN87:BR87 BM88:BR88 BN89:BR89 BV120:BV125 BT114:BU114 CE103 BT111:BU112 BL50:BR51 AG44:AH45 BL78:BR84 AF57 BL111:BL128 CM127:CN128 CE127:CE128 X127:AA128 AB128 BT127:BV128 BL21:BR39 AE27:AF27 B20:B21 CL6 CM3:CN6 CL3:CL4 X140:AC140 AC109 AE78:AF80 AE56:AE57 C62:C65 B50:B57 C44:AA47 B44:B46 C17:AB21 B17 AE25:AF25 BT44:BU47 BL94:BL102 Z3:AC4 BL166 BL130:BL131 AG130:AG131 AG120:AG125 BL90:BR92 X158:AB161 CM155:CN161 AG111:AH111 AE11:AH11 AH47 AH94:AH102 AG25:AH27 AG56:AH57 AE108:AH109 AG126:AH128 AE29:AH30 AH138 AG37:AH37 AE22:AH22 AE17:AH20 AG91:AH93 AG78:AH86 AG88:AH88 AG118:AH118 AG136:AH136 AG140:AH140 AG152:AH152 AH146 AG149:AH150 AG154:AH154 BT130:BT131 BV130:BV131 BU10:BV12 BT11:BT12 AD180:AQ180 CE154:CE161 BV111:BV114 BM95:BV102 BT15:BV17 BT21:BV43 BL18:BV18 BL20:BV20 BV44:BV48 BT78:BV92 BL93:BV93 BN94:BV94 BT118:BV118 BT116:BV116 BL103:BV110 BQ180:BV180 BT149:BV152 BT138:BV138 BT140:BU140 BQ183:BV187 BM7:BV7 BT154:BV161 AJ161:AQ161 CG3:CK6 CG14:CL16 CM15:CN16 AG112 AL156:AL160 B78:C90 BT62:BV76 AF69:AH76 BL62:BR76 CE69:CE76 AE76 AA70:AA76 Y71:Y76 T70:U76 S76 D70:R76 X70:X76 Z75:Z76 AB75:AB76 CF70:CN76 V73:V76 CE48:CL48 CE18:CL18 CN18 AF16:AH16 AG15:AH15 C48 BL44:BR48 BL56:BR59 BT50:BV59 AE59:AH59 C50:C59 CE56:CN59 D56:AA59 AB55:AB59 CE12:CF16 BY180:CA180 AG156:AH156 CE182:CE187 BL182:BL187 AC182:AC194" formula="1" formulaRange="1"/>
    <ignoredError sqref="CN87 CN94" evalError="1" formula="1" formulaRange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DA138"/>
  <sheetViews>
    <sheetView showGridLines="0" zoomScale="85" zoomScaleNormal="85" workbookViewId="0">
      <pane xSplit="3" ySplit="9" topLeftCell="AV22" activePane="bottomRight" state="frozen"/>
      <selection activeCell="AZ6" sqref="AZ6:BC9"/>
      <selection pane="topRight" activeCell="AZ6" sqref="AZ6:BC9"/>
      <selection pane="bottomLeft" activeCell="AZ6" sqref="AZ6:BC9"/>
      <selection pane="bottomRight" activeCell="BF32" sqref="BF32"/>
    </sheetView>
  </sheetViews>
  <sheetFormatPr defaultRowHeight="14.25" customHeight="1" outlineLevelRow="1" outlineLevelCol="1"/>
  <cols>
    <col min="1" max="1" width="1.7109375" customWidth="1"/>
    <col min="2" max="2" width="46.28515625" customWidth="1"/>
    <col min="3" max="3" width="1.7109375" customWidth="1"/>
    <col min="4" max="27" width="11.42578125" hidden="1" customWidth="1" outlineLevel="1"/>
    <col min="28" max="28" width="11.42578125" hidden="1" customWidth="1" outlineLevel="1" collapsed="1"/>
    <col min="29" max="47" width="11.42578125" hidden="1" customWidth="1" outlineLevel="1"/>
    <col min="48" max="48" width="11.42578125" customWidth="1" collapsed="1"/>
    <col min="49" max="59" width="11.42578125" customWidth="1"/>
    <col min="60" max="63" width="11.42578125" hidden="1" customWidth="1" outlineLevel="1"/>
    <col min="64" max="64" width="2.7109375" customWidth="1" collapsed="1"/>
    <col min="65" max="75" width="11.42578125" hidden="1" customWidth="1" outlineLevel="1"/>
    <col min="76" max="76" width="11.42578125" customWidth="1" collapsed="1"/>
    <col min="77" max="78" width="11.42578125" customWidth="1"/>
    <col min="79" max="79" width="11.42578125" hidden="1" customWidth="1" outlineLevel="1"/>
    <col min="80" max="80" width="11.42578125" style="1425" customWidth="1" collapsed="1"/>
    <col min="81" max="82" width="11.42578125" style="1425" customWidth="1"/>
    <col min="83" max="83" width="5.5703125" customWidth="1"/>
    <col min="84" max="94" width="11.42578125" hidden="1" customWidth="1" outlineLevel="1"/>
    <col min="95" max="95" width="11.42578125" customWidth="1" collapsed="1"/>
    <col min="96" max="98" width="11.42578125" customWidth="1"/>
    <col min="99" max="104" width="0" hidden="1" customWidth="1" outlineLevel="1"/>
    <col min="105" max="105" width="9.140625" collapsed="1"/>
  </cols>
  <sheetData>
    <row r="1" spans="1:98" ht="67.5" customHeight="1">
      <c r="A1" s="5"/>
      <c r="B1" s="332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 t="str">
        <f>IF(SUM(BS)&lt;&gt;0,"BS BREAK","")</f>
        <v/>
      </c>
      <c r="BE1" s="1"/>
      <c r="BF1" s="2" t="str">
        <f>IF(SUM(BS)&lt;&gt;0,"BS BREAK","")</f>
        <v/>
      </c>
      <c r="BG1" s="1"/>
      <c r="BH1" s="2" t="str">
        <f>IF(SUM(BS)&lt;&gt;0,"BS BREAK","")</f>
        <v/>
      </c>
      <c r="BI1" s="1"/>
      <c r="BJ1" s="2" t="str">
        <f>IF(SUM(BS)&lt;&gt;0,"BS BREAK","")</f>
        <v/>
      </c>
      <c r="BK1" s="1"/>
      <c r="BL1" s="2" t="str">
        <f>IF(SUM(BS)&lt;&gt;0,"BS BREAK","")</f>
        <v/>
      </c>
      <c r="BM1" s="2" t="str">
        <f>IF(SUM(BS)&lt;&gt;0,"BS BREAK","")</f>
        <v/>
      </c>
      <c r="BN1" s="1"/>
      <c r="BO1" s="1" t="str">
        <f>IF(SUM(BS)&lt;&gt;0,"BS BREAK","")</f>
        <v/>
      </c>
      <c r="BP1" s="1"/>
      <c r="BQ1" s="1" t="str">
        <f>IF(SUM(BS)&lt;&gt;0,"BS BREAK","")</f>
        <v/>
      </c>
      <c r="BR1" s="1"/>
      <c r="BS1" s="1" t="str">
        <f>IF(SUM(BS)&lt;&gt;0,"BS BREAK","")</f>
        <v/>
      </c>
      <c r="BT1" s="1"/>
      <c r="BU1" s="1" t="str">
        <f>IF(SUM(BS)&lt;&gt;0,"BS BREAK","")</f>
        <v/>
      </c>
      <c r="BV1" s="1"/>
      <c r="BW1" s="1"/>
      <c r="BX1" s="1"/>
      <c r="BY1" s="1" t="str">
        <f>IF(SUM(BS)&lt;&gt;0,"BS BREAK","")</f>
        <v/>
      </c>
      <c r="BZ1" s="1"/>
      <c r="CA1" s="2" t="str">
        <f>IF(SUM(BS)&lt;&gt;0,"BS BREAK","")</f>
        <v/>
      </c>
      <c r="CB1" s="1374"/>
      <c r="CC1" s="1374"/>
      <c r="CD1" s="1374"/>
      <c r="CE1" s="1"/>
      <c r="CF1" s="2" t="str">
        <f>IF(SUM(BS)&lt;&gt;0,"BS BREAK","")</f>
        <v/>
      </c>
      <c r="CG1" s="1"/>
      <c r="CH1" s="1" t="str">
        <f>IF(SUM(BS)&lt;&gt;0,"BS BREAK","")</f>
        <v/>
      </c>
      <c r="CI1" s="1"/>
      <c r="CJ1" s="1" t="str">
        <f>IF(SUM(BS)&lt;&gt;0,"BS BREAK","")</f>
        <v/>
      </c>
      <c r="CK1" s="1"/>
      <c r="CL1" s="1" t="str">
        <f>IF(SUM(BS)&lt;&gt;0,"BS BREAK","")</f>
        <v/>
      </c>
      <c r="CM1" s="1"/>
      <c r="CN1" s="1" t="str">
        <f>IF(SUM(BS)&lt;&gt;0,"BS BREAK","")</f>
        <v/>
      </c>
      <c r="CO1" s="2" t="str">
        <f>IF(SUM(BS)&lt;&gt;0,"BS BREAK","")</f>
        <v/>
      </c>
      <c r="CP1" s="2" t="str">
        <f>IF(SUM(BS)&lt;&gt;0,"BS BREAK","")</f>
        <v/>
      </c>
      <c r="CQ1" s="2" t="str">
        <f>IF(SUM(BS)&lt;&gt;0,"BS BREAK","")</f>
        <v/>
      </c>
      <c r="CR1" s="2" t="str">
        <f>IF(SUM(BS)&lt;&gt;0,"BS BREAK","")</f>
        <v/>
      </c>
      <c r="CS1" s="2"/>
      <c r="CT1" s="1"/>
    </row>
    <row r="2" spans="1:98" ht="18" customHeight="1">
      <c r="A2" s="1"/>
      <c r="B2" s="4" t="s">
        <v>22</v>
      </c>
      <c r="C2" s="4"/>
      <c r="D2" s="1"/>
      <c r="E2" s="1"/>
      <c r="F2" s="1"/>
      <c r="G2" s="5"/>
      <c r="H2" s="1"/>
      <c r="I2" s="1"/>
      <c r="J2" s="1"/>
      <c r="K2" s="364"/>
      <c r="L2" s="1"/>
      <c r="M2" s="1"/>
      <c r="N2" s="1"/>
      <c r="O2" s="364"/>
      <c r="P2" s="1"/>
      <c r="Q2" s="1"/>
      <c r="R2" s="1"/>
      <c r="S2" s="364"/>
      <c r="T2" s="1"/>
      <c r="U2" s="1"/>
      <c r="V2" s="1"/>
      <c r="W2" s="364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311"/>
      <c r="CC2" s="311"/>
      <c r="CD2" s="311"/>
      <c r="CE2" s="1"/>
      <c r="CF2" s="5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</row>
    <row r="3" spans="1:98" ht="14.25" customHeight="1">
      <c r="A3" s="1"/>
      <c r="B3" s="1"/>
      <c r="C3" s="1"/>
      <c r="D3" s="1"/>
      <c r="E3" s="1"/>
      <c r="F3" s="1"/>
      <c r="G3" s="5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311"/>
      <c r="CC3" s="311"/>
      <c r="CD3" s="311"/>
      <c r="CE3" s="1"/>
      <c r="CF3" s="5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</row>
    <row r="4" spans="1:98" ht="14.25" customHeight="1">
      <c r="A4" s="1"/>
      <c r="B4" s="1"/>
      <c r="C4" s="1"/>
      <c r="D4" s="1"/>
      <c r="E4" s="1"/>
      <c r="F4" s="1"/>
      <c r="G4" s="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364"/>
      <c r="AC4" s="1"/>
      <c r="AD4" s="1"/>
      <c r="AE4" s="1"/>
      <c r="AF4" s="1"/>
      <c r="AG4" s="1"/>
      <c r="AH4" s="1"/>
      <c r="AI4" s="340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311"/>
      <c r="CC4" s="311"/>
      <c r="CD4" s="311"/>
      <c r="CE4" s="1"/>
      <c r="CF4" s="5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</row>
    <row r="5" spans="1:98" ht="14.25" customHeight="1">
      <c r="A5" s="1"/>
      <c r="B5" s="1"/>
      <c r="C5" s="1"/>
      <c r="D5" s="1"/>
      <c r="E5" s="1"/>
      <c r="F5" s="1"/>
      <c r="G5" s="5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246"/>
      <c r="AN5" s="1"/>
      <c r="AO5" s="1"/>
      <c r="AP5" s="1"/>
      <c r="AQ5" s="1"/>
      <c r="AR5" s="1"/>
      <c r="AS5" s="1"/>
      <c r="AT5" s="1"/>
      <c r="AU5" s="1"/>
      <c r="AV5" s="1246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311"/>
      <c r="CC5" s="311"/>
      <c r="CD5" s="311"/>
      <c r="CE5" s="1"/>
      <c r="CF5" s="5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</row>
    <row r="6" spans="1:98" ht="14.25" customHeight="1">
      <c r="A6" s="1"/>
      <c r="B6" s="377" t="str">
        <f>IS!$B$6</f>
        <v>Base Case</v>
      </c>
      <c r="C6" s="7"/>
      <c r="D6" s="1"/>
      <c r="E6" s="1"/>
      <c r="F6" s="1"/>
      <c r="G6" s="5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246"/>
      <c r="AN6" s="1"/>
      <c r="AO6" s="1"/>
      <c r="AP6" s="1"/>
      <c r="AQ6" s="1"/>
      <c r="AR6" s="1"/>
      <c r="AS6" s="1"/>
      <c r="AT6" s="1"/>
      <c r="AU6" s="1"/>
      <c r="AV6" s="1246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311"/>
      <c r="CC6" s="311"/>
      <c r="CD6" s="311"/>
      <c r="CE6" s="1"/>
      <c r="CF6" s="5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</row>
    <row r="7" spans="1:98" ht="14.25" customHeight="1">
      <c r="A7" s="8"/>
      <c r="B7" s="9" t="s">
        <v>24</v>
      </c>
      <c r="C7" s="10"/>
      <c r="D7" s="757" t="str">
        <f>IS!D7</f>
        <v>C3Q05A</v>
      </c>
      <c r="E7" s="758" t="str">
        <f>IS!E7</f>
        <v>C4Q05A</v>
      </c>
      <c r="F7" s="758" t="str">
        <f>IS!F7</f>
        <v>C1Q06A</v>
      </c>
      <c r="G7" s="759" t="str">
        <f>IS!G7</f>
        <v>C2Q06A</v>
      </c>
      <c r="H7" s="757" t="str">
        <f>IS!H7</f>
        <v>C3Q06A</v>
      </c>
      <c r="I7" s="758" t="str">
        <f>IS!I7</f>
        <v>C4Q06A</v>
      </c>
      <c r="J7" s="758" t="str">
        <f>IS!J7</f>
        <v>C1Q07A</v>
      </c>
      <c r="K7" s="759" t="str">
        <f>IS!K7</f>
        <v>C2Q07A</v>
      </c>
      <c r="L7" s="757" t="str">
        <f>IS!L7</f>
        <v>C3Q07A</v>
      </c>
      <c r="M7" s="758" t="str">
        <f>IS!M7</f>
        <v>C4Q07A</v>
      </c>
      <c r="N7" s="758" t="str">
        <f>IS!N7</f>
        <v>C1Q08A</v>
      </c>
      <c r="O7" s="759" t="str">
        <f>IS!O7</f>
        <v>C2Q08A</v>
      </c>
      <c r="P7" s="757" t="str">
        <f>IS!P7</f>
        <v>C3Q08A</v>
      </c>
      <c r="Q7" s="758" t="str">
        <f>IS!Q7</f>
        <v>C4Q08A</v>
      </c>
      <c r="R7" s="758" t="str">
        <f>IS!R7</f>
        <v>C1Q09A</v>
      </c>
      <c r="S7" s="759" t="str">
        <f>IS!S7</f>
        <v>C2Q09A</v>
      </c>
      <c r="T7" s="757" t="str">
        <f>IS!T7</f>
        <v>C3Q09A</v>
      </c>
      <c r="U7" s="758" t="str">
        <f>IS!U7</f>
        <v>C4Q09A</v>
      </c>
      <c r="V7" s="758" t="str">
        <f>IS!V7</f>
        <v>C1Q10A</v>
      </c>
      <c r="W7" s="759" t="str">
        <f>IS!W7</f>
        <v>C2Q10A</v>
      </c>
      <c r="X7" s="757" t="str">
        <f>IS!X7</f>
        <v>C3Q10A</v>
      </c>
      <c r="Y7" s="758" t="str">
        <f>IS!Y7</f>
        <v>C4Q10A</v>
      </c>
      <c r="Z7" s="758" t="str">
        <f>IS!Z7</f>
        <v>C1Q11A</v>
      </c>
      <c r="AA7" s="759" t="str">
        <f>IS!AA7</f>
        <v>C2Q11A</v>
      </c>
      <c r="AB7" s="757" t="str">
        <f>IS!AB7</f>
        <v>C3Q11A</v>
      </c>
      <c r="AC7" s="758" t="str">
        <f>IS!AC7</f>
        <v>C4Q11A</v>
      </c>
      <c r="AD7" s="758" t="str">
        <f>IS!AD7</f>
        <v>C1Q12A</v>
      </c>
      <c r="AE7" s="759" t="str">
        <f>IS!AE7</f>
        <v>C2Q12A</v>
      </c>
      <c r="AF7" s="757" t="str">
        <f>IS!AF7</f>
        <v>C3Q12A</v>
      </c>
      <c r="AG7" s="758" t="str">
        <f>IS!AG7</f>
        <v>C4Q12A</v>
      </c>
      <c r="AH7" s="758" t="str">
        <f>IS!AH7</f>
        <v>C1Q13A</v>
      </c>
      <c r="AI7" s="759" t="str">
        <f>IS!AI7</f>
        <v>C2Q13A</v>
      </c>
      <c r="AJ7" s="757" t="str">
        <f>IS!AJ7</f>
        <v>C3Q13A</v>
      </c>
      <c r="AK7" s="758" t="str">
        <f>IS!AK7</f>
        <v>C4Q13</v>
      </c>
      <c r="AL7" s="758" t="str">
        <f>IS!AL7</f>
        <v>C1Q14E</v>
      </c>
      <c r="AM7" s="759" t="str">
        <f>IS!AM7</f>
        <v>C2Q14A</v>
      </c>
      <c r="AN7" s="757" t="str">
        <f>IS!AN7</f>
        <v>C3Q14A</v>
      </c>
      <c r="AO7" s="758" t="str">
        <f>IS!AO7</f>
        <v>C4Q14A</v>
      </c>
      <c r="AP7" s="758" t="str">
        <f>IS!AP7</f>
        <v>C1Q15A</v>
      </c>
      <c r="AQ7" s="759" t="str">
        <f>IS!AQ7</f>
        <v>C2Q15A</v>
      </c>
      <c r="AR7" s="757" t="str">
        <f>IS!AR7</f>
        <v>C3Q15A</v>
      </c>
      <c r="AS7" s="758" t="str">
        <f>IS!AS7</f>
        <v>C4Q15A</v>
      </c>
      <c r="AT7" s="758" t="str">
        <f>IS!AT7</f>
        <v>C1Q16A</v>
      </c>
      <c r="AU7" s="759" t="str">
        <f>IS!AU7</f>
        <v>C2Q16A</v>
      </c>
      <c r="AV7" s="757" t="str">
        <f>IS!AV7</f>
        <v>C3Q16A</v>
      </c>
      <c r="AW7" s="758" t="str">
        <f>IS!AW7</f>
        <v>C4Q16A</v>
      </c>
      <c r="AX7" s="758" t="str">
        <f>IS!AX7</f>
        <v>C1Q17A</v>
      </c>
      <c r="AY7" s="759" t="str">
        <f>IS!AY7</f>
        <v>C2Q17A</v>
      </c>
      <c r="AZ7" s="758" t="str">
        <f>IS!AZ7</f>
        <v>C3Q17A</v>
      </c>
      <c r="BA7" s="758" t="str">
        <f>IS!BA7</f>
        <v>C4Q17A</v>
      </c>
      <c r="BB7" s="758" t="str">
        <f>IS!BB7</f>
        <v>C1Q18A</v>
      </c>
      <c r="BC7" s="759" t="str">
        <f>IS!BC7</f>
        <v>C2Q18E</v>
      </c>
      <c r="BD7" s="758" t="str">
        <f>IS!BD7</f>
        <v>C3Q18E</v>
      </c>
      <c r="BE7" s="758" t="str">
        <f>IS!BE7</f>
        <v>C4Q18E</v>
      </c>
      <c r="BF7" s="758" t="str">
        <f>IS!BF7</f>
        <v>C1Q19E</v>
      </c>
      <c r="BG7" s="759" t="str">
        <f>IS!BG7</f>
        <v>C2Q19E</v>
      </c>
      <c r="BH7" s="758" t="str">
        <f>IS!BH7</f>
        <v>C3Q19E</v>
      </c>
      <c r="BI7" s="758" t="str">
        <f>IS!BI7</f>
        <v>C4Q19E</v>
      </c>
      <c r="BJ7" s="758" t="str">
        <f>IS!BJ7</f>
        <v>C1Q20E</v>
      </c>
      <c r="BK7" s="759" t="str">
        <f>IS!BK7</f>
        <v>C2Q20E</v>
      </c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74"/>
      <c r="CC7" s="74"/>
      <c r="CD7" s="74"/>
      <c r="CE7" s="260"/>
      <c r="CF7" s="763" t="str">
        <f>IS!CF7</f>
        <v>CY2006</v>
      </c>
      <c r="CG7" s="764" t="str">
        <f>IS!CG7</f>
        <v>CY2007</v>
      </c>
      <c r="CH7" s="764" t="str">
        <f>IS!CH7</f>
        <v>CY2008</v>
      </c>
      <c r="CI7" s="764" t="str">
        <f>IS!CI7</f>
        <v>CY2009</v>
      </c>
      <c r="CJ7" s="764" t="str">
        <f>IS!CJ7</f>
        <v>CY2010</v>
      </c>
      <c r="CK7" s="764" t="str">
        <f>IS!CK7</f>
        <v>CY2011</v>
      </c>
      <c r="CL7" s="764" t="str">
        <f>IS!CL7</f>
        <v>CY2012</v>
      </c>
      <c r="CM7" s="764" t="str">
        <f>IS!CM7</f>
        <v>CY2013</v>
      </c>
      <c r="CN7" s="764" t="str">
        <f>IS!CN7</f>
        <v>CY2014A</v>
      </c>
      <c r="CO7" s="764" t="str">
        <f>IS!CO7</f>
        <v>CY2015A</v>
      </c>
      <c r="CP7" s="764" t="str">
        <f>IS!CP7</f>
        <v>CY2016A</v>
      </c>
      <c r="CQ7" s="764" t="str">
        <f>IS!CQ7</f>
        <v>CY2017E</v>
      </c>
      <c r="CR7" s="764" t="str">
        <f>IS!CR7</f>
        <v>CY2018E</v>
      </c>
      <c r="CS7" s="765" t="str">
        <f>IS!CS7</f>
        <v>CY2019E</v>
      </c>
      <c r="CT7" s="8"/>
    </row>
    <row r="8" spans="1:98" ht="14.25" customHeight="1">
      <c r="A8" s="8"/>
      <c r="B8" s="12" t="s">
        <v>63</v>
      </c>
      <c r="C8" s="13"/>
      <c r="D8" s="757">
        <f>IS!D8</f>
        <v>38625</v>
      </c>
      <c r="E8" s="758">
        <f>IS!E8</f>
        <v>38717</v>
      </c>
      <c r="F8" s="758">
        <f>IS!F8</f>
        <v>38807</v>
      </c>
      <c r="G8" s="759">
        <f>IS!G8</f>
        <v>38898</v>
      </c>
      <c r="H8" s="757">
        <f>IS!H8</f>
        <v>38990</v>
      </c>
      <c r="I8" s="758">
        <f>IS!I8</f>
        <v>39082</v>
      </c>
      <c r="J8" s="758">
        <f>IS!J8</f>
        <v>39172</v>
      </c>
      <c r="K8" s="759">
        <f>IS!K8</f>
        <v>39263</v>
      </c>
      <c r="L8" s="757">
        <f>IS!L8</f>
        <v>39355</v>
      </c>
      <c r="M8" s="758">
        <f>IS!M8</f>
        <v>39447</v>
      </c>
      <c r="N8" s="758">
        <f>IS!N8</f>
        <v>39538</v>
      </c>
      <c r="O8" s="759">
        <f>IS!O8</f>
        <v>39629</v>
      </c>
      <c r="P8" s="757">
        <f>IS!P8</f>
        <v>39721</v>
      </c>
      <c r="Q8" s="758">
        <f>IS!Q8</f>
        <v>39813</v>
      </c>
      <c r="R8" s="758">
        <f>IS!R8</f>
        <v>39903</v>
      </c>
      <c r="S8" s="759">
        <f>IS!S8</f>
        <v>39994</v>
      </c>
      <c r="T8" s="757">
        <f>IS!T8</f>
        <v>40086</v>
      </c>
      <c r="U8" s="758">
        <f>IS!U8</f>
        <v>40178</v>
      </c>
      <c r="V8" s="758">
        <f>IS!V8</f>
        <v>40268</v>
      </c>
      <c r="W8" s="759">
        <f>IS!W8</f>
        <v>40359</v>
      </c>
      <c r="X8" s="757">
        <f>IS!X8</f>
        <v>40451</v>
      </c>
      <c r="Y8" s="758">
        <f>IS!Y8</f>
        <v>40543</v>
      </c>
      <c r="Z8" s="758">
        <f>IS!Z8</f>
        <v>40633</v>
      </c>
      <c r="AA8" s="759">
        <f>IS!AA8</f>
        <v>40724</v>
      </c>
      <c r="AB8" s="757">
        <f>IS!AB8</f>
        <v>40816</v>
      </c>
      <c r="AC8" s="758">
        <f>IS!AC8</f>
        <v>40908</v>
      </c>
      <c r="AD8" s="758">
        <f>IS!AD8</f>
        <v>40999</v>
      </c>
      <c r="AE8" s="759">
        <f>IS!AE8</f>
        <v>41090</v>
      </c>
      <c r="AF8" s="757">
        <f>IS!AF8</f>
        <v>41182</v>
      </c>
      <c r="AG8" s="758">
        <f>IS!AG8</f>
        <v>41274</v>
      </c>
      <c r="AH8" s="758">
        <f>IS!AH8</f>
        <v>41364</v>
      </c>
      <c r="AI8" s="759">
        <f>IS!AI8</f>
        <v>41455</v>
      </c>
      <c r="AJ8" s="757">
        <f>IS!AJ8</f>
        <v>41547</v>
      </c>
      <c r="AK8" s="758">
        <f>IS!AK8</f>
        <v>41639</v>
      </c>
      <c r="AL8" s="758">
        <f>IS!AL8</f>
        <v>41729</v>
      </c>
      <c r="AM8" s="759">
        <f>IS!AM8</f>
        <v>41820</v>
      </c>
      <c r="AN8" s="757">
        <f>IS!AN8</f>
        <v>41912</v>
      </c>
      <c r="AO8" s="758">
        <f>IS!AO8</f>
        <v>42004</v>
      </c>
      <c r="AP8" s="758">
        <f>IS!AP8</f>
        <v>42094</v>
      </c>
      <c r="AQ8" s="759">
        <f>IS!AQ8</f>
        <v>42185</v>
      </c>
      <c r="AR8" s="757">
        <f>IS!AR8</f>
        <v>42277</v>
      </c>
      <c r="AS8" s="758">
        <f>IS!AS8</f>
        <v>42369</v>
      </c>
      <c r="AT8" s="758">
        <f>IS!AT8</f>
        <v>42460</v>
      </c>
      <c r="AU8" s="759">
        <f>IS!AU8</f>
        <v>42551</v>
      </c>
      <c r="AV8" s="757">
        <f>IS!AV8</f>
        <v>42643</v>
      </c>
      <c r="AW8" s="758">
        <f>IS!AW8</f>
        <v>42735</v>
      </c>
      <c r="AX8" s="758">
        <f>IS!AX8</f>
        <v>42825</v>
      </c>
      <c r="AY8" s="759">
        <f>IS!AY8</f>
        <v>42916</v>
      </c>
      <c r="AZ8" s="758">
        <f>IS!AZ8</f>
        <v>43008</v>
      </c>
      <c r="BA8" s="758">
        <f>IS!BA8</f>
        <v>43100</v>
      </c>
      <c r="BB8" s="758">
        <f>IS!BB8</f>
        <v>43190</v>
      </c>
      <c r="BC8" s="759">
        <f>IS!BC8</f>
        <v>43281</v>
      </c>
      <c r="BD8" s="758">
        <f>IS!BD8</f>
        <v>43373</v>
      </c>
      <c r="BE8" s="758">
        <f>IS!BE8</f>
        <v>43465</v>
      </c>
      <c r="BF8" s="758">
        <f>IS!BF8</f>
        <v>43555</v>
      </c>
      <c r="BG8" s="759">
        <f>IS!BG8</f>
        <v>43646</v>
      </c>
      <c r="BH8" s="758">
        <f>IS!BH8</f>
        <v>43738</v>
      </c>
      <c r="BI8" s="758">
        <f>IS!BI8</f>
        <v>43830</v>
      </c>
      <c r="BJ8" s="758">
        <f>IS!BJ8</f>
        <v>43921</v>
      </c>
      <c r="BK8" s="759">
        <f>IS!BK8</f>
        <v>44012</v>
      </c>
      <c r="BL8" s="22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74"/>
      <c r="CC8" s="74"/>
      <c r="CD8" s="74"/>
      <c r="CE8" s="260"/>
      <c r="CF8" s="757">
        <f>IS!CF8</f>
        <v>39082</v>
      </c>
      <c r="CG8" s="758">
        <f>IS!CG8</f>
        <v>39447</v>
      </c>
      <c r="CH8" s="758">
        <f>IS!CH8</f>
        <v>39813</v>
      </c>
      <c r="CI8" s="758">
        <f>IS!CI8</f>
        <v>40178</v>
      </c>
      <c r="CJ8" s="758">
        <f>IS!CJ8</f>
        <v>40543</v>
      </c>
      <c r="CK8" s="758">
        <f>IS!CK8</f>
        <v>40908</v>
      </c>
      <c r="CL8" s="758">
        <f>IS!CL8</f>
        <v>41274</v>
      </c>
      <c r="CM8" s="758">
        <f>IS!CM8</f>
        <v>41639</v>
      </c>
      <c r="CN8" s="758">
        <f>IS!CN8</f>
        <v>42004</v>
      </c>
      <c r="CO8" s="758">
        <f>IS!CO8</f>
        <v>42369</v>
      </c>
      <c r="CP8" s="758">
        <f>IS!CP8</f>
        <v>42735</v>
      </c>
      <c r="CQ8" s="758">
        <f>IS!CQ8</f>
        <v>43100</v>
      </c>
      <c r="CR8" s="758">
        <f>IS!CR8</f>
        <v>43465</v>
      </c>
      <c r="CS8" s="759">
        <f>IS!CS8</f>
        <v>43830</v>
      </c>
      <c r="CT8" s="8"/>
    </row>
    <row r="9" spans="1:98" ht="14.25" customHeight="1">
      <c r="A9" s="8"/>
      <c r="B9" s="342"/>
      <c r="C9" s="208"/>
      <c r="D9" s="17" t="str">
        <f>IS!D9</f>
        <v>F1Q06A</v>
      </c>
      <c r="E9" s="18" t="str">
        <f>IS!E9</f>
        <v>F2Q06A</v>
      </c>
      <c r="F9" s="18" t="str">
        <f>IS!F9</f>
        <v>F3Q06A</v>
      </c>
      <c r="G9" s="19" t="str">
        <f>IS!G9</f>
        <v>F4Q06A</v>
      </c>
      <c r="H9" s="17" t="str">
        <f>IS!H9</f>
        <v>F1Q07A</v>
      </c>
      <c r="I9" s="18" t="str">
        <f>IS!I9</f>
        <v>F2Q07A</v>
      </c>
      <c r="J9" s="18" t="str">
        <f>IS!J9</f>
        <v>F3Q07A</v>
      </c>
      <c r="K9" s="19" t="str">
        <f>IS!K9</f>
        <v>F4Q07A</v>
      </c>
      <c r="L9" s="17" t="str">
        <f>IS!L9</f>
        <v>F1Q08A</v>
      </c>
      <c r="M9" s="18" t="str">
        <f>IS!M9</f>
        <v>F2Q08A</v>
      </c>
      <c r="N9" s="18" t="str">
        <f>IS!N9</f>
        <v>F3Q08A</v>
      </c>
      <c r="O9" s="19" t="str">
        <f>IS!O9</f>
        <v>F4Q08A</v>
      </c>
      <c r="P9" s="17" t="str">
        <f>IS!P9</f>
        <v>F1Q09A</v>
      </c>
      <c r="Q9" s="18" t="str">
        <f>IS!Q9</f>
        <v>F2Q09A</v>
      </c>
      <c r="R9" s="18" t="str">
        <f>IS!R9</f>
        <v>F3Q09A</v>
      </c>
      <c r="S9" s="19" t="str">
        <f>IS!S9</f>
        <v>F4Q09A</v>
      </c>
      <c r="T9" s="17" t="str">
        <f>IS!T9</f>
        <v>F1Q10A</v>
      </c>
      <c r="U9" s="18" t="str">
        <f>IS!U9</f>
        <v>F2Q10A</v>
      </c>
      <c r="V9" s="18" t="str">
        <f>IS!V9</f>
        <v>F3Q10A</v>
      </c>
      <c r="W9" s="19" t="str">
        <f>IS!W9</f>
        <v>F4Q10A</v>
      </c>
      <c r="X9" s="17" t="str">
        <f>IS!X9</f>
        <v>F1Q11A</v>
      </c>
      <c r="Y9" s="18" t="str">
        <f>IS!Y9</f>
        <v>F2Q11A</v>
      </c>
      <c r="Z9" s="18" t="str">
        <f>IS!Z9</f>
        <v>F3Q11A</v>
      </c>
      <c r="AA9" s="19" t="str">
        <f>IS!AA9</f>
        <v>F4Q11A</v>
      </c>
      <c r="AB9" s="17" t="str">
        <f>IS!AB9</f>
        <v>F1Q12A</v>
      </c>
      <c r="AC9" s="18" t="str">
        <f>IS!AC9</f>
        <v>F2Q12A</v>
      </c>
      <c r="AD9" s="18" t="str">
        <f>IS!AD9</f>
        <v>F3Q12A</v>
      </c>
      <c r="AE9" s="19" t="str">
        <f>IS!AE9</f>
        <v>F4Q12A</v>
      </c>
      <c r="AF9" s="17" t="str">
        <f>IS!AF9</f>
        <v>F1Q13A</v>
      </c>
      <c r="AG9" s="18" t="str">
        <f>IS!AG9</f>
        <v>F2Q13A</v>
      </c>
      <c r="AH9" s="18" t="str">
        <f>IS!AH9</f>
        <v>F3Q13A</v>
      </c>
      <c r="AI9" s="19" t="str">
        <f>IS!AI9</f>
        <v>F4Q13A</v>
      </c>
      <c r="AJ9" s="17" t="str">
        <f>IS!AJ9</f>
        <v>F1Q14A</v>
      </c>
      <c r="AK9" s="18" t="str">
        <f>IS!AK9</f>
        <v>F2Q14</v>
      </c>
      <c r="AL9" s="18" t="str">
        <f>IS!AL9</f>
        <v>F3Q14A</v>
      </c>
      <c r="AM9" s="19" t="str">
        <f>IS!AM9</f>
        <v>F4Q14A</v>
      </c>
      <c r="AN9" s="17" t="str">
        <f>IS!AN9</f>
        <v>F1Q15A</v>
      </c>
      <c r="AO9" s="18" t="str">
        <f>IS!AO9</f>
        <v>F2Q15A</v>
      </c>
      <c r="AP9" s="18" t="str">
        <f>IS!AP9</f>
        <v>F3Q15A</v>
      </c>
      <c r="AQ9" s="19" t="str">
        <f>IS!AQ9</f>
        <v>F4Q15A</v>
      </c>
      <c r="AR9" s="17" t="str">
        <f>IS!AR9</f>
        <v>F1Q16A</v>
      </c>
      <c r="AS9" s="18" t="str">
        <f>IS!AS9</f>
        <v>F2Q16A</v>
      </c>
      <c r="AT9" s="18" t="str">
        <f>IS!AT9</f>
        <v>F3Q16A</v>
      </c>
      <c r="AU9" s="19" t="str">
        <f>IS!AU9</f>
        <v>F4Q16A</v>
      </c>
      <c r="AV9" s="17" t="str">
        <f>IS!AV9</f>
        <v>F1Q17A</v>
      </c>
      <c r="AW9" s="18" t="str">
        <f>IS!AW9</f>
        <v>F2Q17A</v>
      </c>
      <c r="AX9" s="18" t="str">
        <f>IS!AX9</f>
        <v>F3Q17A</v>
      </c>
      <c r="AY9" s="19" t="str">
        <f>IS!AY9</f>
        <v>F4Q17A</v>
      </c>
      <c r="AZ9" s="18" t="str">
        <f>IS!AZ9</f>
        <v>F1Q18A</v>
      </c>
      <c r="BA9" s="18" t="str">
        <f>IS!BA9</f>
        <v>F2Q18A</v>
      </c>
      <c r="BB9" s="18" t="str">
        <f>IS!BB9</f>
        <v>F3Q18A</v>
      </c>
      <c r="BC9" s="19" t="str">
        <f>IS!BC9</f>
        <v>F4Q18E</v>
      </c>
      <c r="BD9" s="18" t="str">
        <f>IS!BD9</f>
        <v>F1Q19E</v>
      </c>
      <c r="BE9" s="18" t="str">
        <f>IS!BE9</f>
        <v>F2Q19E</v>
      </c>
      <c r="BF9" s="18" t="str">
        <f>IS!BF9</f>
        <v>F3Q19E</v>
      </c>
      <c r="BG9" s="19" t="str">
        <f>IS!BG9</f>
        <v>F4Q19E</v>
      </c>
      <c r="BH9" s="18" t="str">
        <f>IS!BH9</f>
        <v>F1Q20E</v>
      </c>
      <c r="BI9" s="18" t="str">
        <f>IS!BI9</f>
        <v>F2Q20E</v>
      </c>
      <c r="BJ9" s="18" t="str">
        <f>IS!BJ9</f>
        <v>F3Q20E</v>
      </c>
      <c r="BK9" s="19" t="str">
        <f>IS!BK9</f>
        <v>F4Q20E</v>
      </c>
      <c r="BL9" s="20"/>
      <c r="BM9" s="17" t="str">
        <f>IS!BM9</f>
        <v>FY2006A</v>
      </c>
      <c r="BN9" s="18" t="str">
        <f>IS!BN9</f>
        <v>FY2007A</v>
      </c>
      <c r="BO9" s="18" t="str">
        <f>IS!BO9</f>
        <v>FY2008A</v>
      </c>
      <c r="BP9" s="18" t="str">
        <f>IS!BP9</f>
        <v>FY2009A</v>
      </c>
      <c r="BQ9" s="18" t="str">
        <f>IS!BQ9</f>
        <v>FY2010A</v>
      </c>
      <c r="BR9" s="18" t="str">
        <f>IS!BR9</f>
        <v>FY2011A</v>
      </c>
      <c r="BS9" s="18" t="str">
        <f>IS!BS9</f>
        <v>FY2012A</v>
      </c>
      <c r="BT9" s="18" t="str">
        <f>IS!BT9</f>
        <v>FY2013A</v>
      </c>
      <c r="BU9" s="18" t="str">
        <f>IS!BU9</f>
        <v>FY2014A</v>
      </c>
      <c r="BV9" s="18" t="str">
        <f>IS!BV9</f>
        <v>FY2015A</v>
      </c>
      <c r="BW9" s="18" t="str">
        <f>IS!BW9</f>
        <v>FY2016A</v>
      </c>
      <c r="BX9" s="18" t="str">
        <f>IS!BX9</f>
        <v>FY2017A</v>
      </c>
      <c r="BY9" s="18" t="str">
        <f>IS!BY9</f>
        <v>FY2018E</v>
      </c>
      <c r="BZ9" s="18" t="str">
        <f>IS!BZ9</f>
        <v>FY2019E</v>
      </c>
      <c r="CA9" s="19" t="str">
        <f>IS!CA9</f>
        <v>FY2020E</v>
      </c>
      <c r="CB9" s="1470"/>
      <c r="CC9" s="1418"/>
      <c r="CD9" s="1418"/>
      <c r="CE9" s="260"/>
      <c r="CF9" s="725"/>
      <c r="CG9" s="726"/>
      <c r="CH9" s="726"/>
      <c r="CI9" s="726"/>
      <c r="CJ9" s="726"/>
      <c r="CK9" s="726"/>
      <c r="CL9" s="726"/>
      <c r="CM9" s="726"/>
      <c r="CN9" s="726"/>
      <c r="CO9" s="726"/>
      <c r="CP9" s="726"/>
      <c r="CQ9" s="726"/>
      <c r="CR9" s="726"/>
      <c r="CS9" s="727"/>
      <c r="CT9" s="14"/>
    </row>
    <row r="10" spans="1:98" ht="14.25" customHeight="1">
      <c r="A10" s="8"/>
      <c r="B10" s="1365" t="s">
        <v>443</v>
      </c>
      <c r="C10" s="1366"/>
      <c r="D10" s="126"/>
      <c r="E10" s="124"/>
      <c r="F10" s="124"/>
      <c r="G10" s="125"/>
      <c r="H10" s="126"/>
      <c r="I10" s="124"/>
      <c r="J10" s="124"/>
      <c r="K10" s="125"/>
      <c r="L10" s="126"/>
      <c r="M10" s="124"/>
      <c r="N10" s="124"/>
      <c r="O10" s="125"/>
      <c r="P10" s="126"/>
      <c r="Q10" s="124"/>
      <c r="R10" s="124"/>
      <c r="S10" s="125"/>
      <c r="T10" s="126"/>
      <c r="U10" s="124"/>
      <c r="V10" s="124"/>
      <c r="W10" s="125"/>
      <c r="X10" s="126"/>
      <c r="Y10" s="124"/>
      <c r="Z10" s="44"/>
      <c r="AA10" s="124"/>
      <c r="AB10" s="126"/>
      <c r="AC10" s="124"/>
      <c r="AD10" s="124"/>
      <c r="AE10" s="125"/>
      <c r="AF10" s="126"/>
      <c r="AG10" s="124"/>
      <c r="AH10" s="124"/>
      <c r="AI10" s="125"/>
      <c r="AJ10" s="126"/>
      <c r="AK10" s="124"/>
      <c r="AL10" s="124"/>
      <c r="AM10" s="125"/>
      <c r="AN10" s="126"/>
      <c r="AO10" s="124"/>
      <c r="AP10" s="124"/>
      <c r="AQ10" s="125"/>
      <c r="AR10" s="126"/>
      <c r="AS10" s="124"/>
      <c r="AT10" s="124"/>
      <c r="AU10" s="125"/>
      <c r="AV10" s="126"/>
      <c r="AW10" s="124"/>
      <c r="AX10" s="124"/>
      <c r="AY10" s="125"/>
      <c r="AZ10" s="124"/>
      <c r="BA10" s="124"/>
      <c r="BB10" s="124"/>
      <c r="BC10" s="125"/>
      <c r="BD10" s="124"/>
      <c r="BE10" s="124"/>
      <c r="BF10" s="124"/>
      <c r="BG10" s="125"/>
      <c r="BH10" s="124"/>
      <c r="BI10" s="124"/>
      <c r="BJ10" s="124"/>
      <c r="BK10" s="125"/>
      <c r="BL10" s="20"/>
      <c r="BM10" s="127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24"/>
      <c r="CA10" s="1442"/>
      <c r="CB10" s="126"/>
      <c r="CC10" s="124"/>
      <c r="CD10" s="124"/>
      <c r="CE10" s="260"/>
      <c r="CF10" s="126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5"/>
      <c r="CT10" s="22"/>
    </row>
    <row r="11" spans="1:98" ht="14.25" customHeight="1">
      <c r="A11" s="8"/>
      <c r="B11" s="28" t="s">
        <v>444</v>
      </c>
      <c r="C11" s="29"/>
      <c r="D11" s="54">
        <v>202.8</v>
      </c>
      <c r="E11" s="44">
        <v>148.46600000000001</v>
      </c>
      <c r="F11" s="44">
        <v>243.31</v>
      </c>
      <c r="G11" s="45">
        <v>422.33300000000003</v>
      </c>
      <c r="H11" s="54">
        <v>466.81799999999998</v>
      </c>
      <c r="I11" s="44">
        <v>370.714</v>
      </c>
      <c r="J11" s="44">
        <v>383.06099999999998</v>
      </c>
      <c r="K11" s="45">
        <v>577.06799999999998</v>
      </c>
      <c r="L11" s="54">
        <v>813.673</v>
      </c>
      <c r="M11" s="44">
        <v>1007.426</v>
      </c>
      <c r="N11" s="44">
        <v>1189.0509999999999</v>
      </c>
      <c r="O11" s="45">
        <v>1013.119</v>
      </c>
      <c r="P11" s="54">
        <v>1051.194</v>
      </c>
      <c r="Q11" s="44">
        <v>718.2</v>
      </c>
      <c r="R11" s="44">
        <v>692.82500000000005</v>
      </c>
      <c r="S11" s="45">
        <v>709.34799999999996</v>
      </c>
      <c r="T11" s="54">
        <v>836.029</v>
      </c>
      <c r="U11" s="44">
        <v>737.52200000000005</v>
      </c>
      <c r="V11" s="44">
        <v>758.43600000000004</v>
      </c>
      <c r="W11" s="45">
        <v>826.51199999999994</v>
      </c>
      <c r="X11" s="44">
        <v>718.28</v>
      </c>
      <c r="Y11" s="44">
        <v>798.34400000000005</v>
      </c>
      <c r="Z11" s="44">
        <v>868.923</v>
      </c>
      <c r="AA11" s="44">
        <v>962.54100000000005</v>
      </c>
      <c r="AB11" s="54">
        <v>710.04100000000005</v>
      </c>
      <c r="AC11" s="44">
        <v>741.16</v>
      </c>
      <c r="AD11" s="44">
        <v>860.55100000000004</v>
      </c>
      <c r="AE11" s="45">
        <v>881.06</v>
      </c>
      <c r="AF11" s="44">
        <v>849.85</v>
      </c>
      <c r="AG11" s="44">
        <v>955.10699999999997</v>
      </c>
      <c r="AH11" s="44">
        <v>1547.98</v>
      </c>
      <c r="AI11" s="45">
        <v>1174.9860000000001</v>
      </c>
      <c r="AJ11" s="44">
        <v>1009.547</v>
      </c>
      <c r="AK11" s="44">
        <v>1149.9090000000001</v>
      </c>
      <c r="AL11" s="44">
        <v>1231.248</v>
      </c>
      <c r="AM11" s="45">
        <v>1322.472</v>
      </c>
      <c r="AN11" s="44">
        <v>1243.883</v>
      </c>
      <c r="AO11" s="44">
        <v>1305.8699999999999</v>
      </c>
      <c r="AP11" s="44">
        <v>1392.1969999999999</v>
      </c>
      <c r="AQ11" s="45">
        <v>1550.9649999999999</v>
      </c>
      <c r="AR11" s="44">
        <v>1508.347</v>
      </c>
      <c r="AS11" s="44">
        <v>1648.518</v>
      </c>
      <c r="AT11" s="44">
        <v>1710.34</v>
      </c>
      <c r="AU11" s="45">
        <v>2105.2289999999998</v>
      </c>
      <c r="AV11" s="44">
        <v>2092.0729999999999</v>
      </c>
      <c r="AW11" s="44">
        <v>1687.4349999999999</v>
      </c>
      <c r="AX11" s="44">
        <v>1656.7270000000001</v>
      </c>
      <c r="AY11" s="45">
        <v>2246.1210000000001</v>
      </c>
      <c r="AZ11" s="44">
        <v>1577.16</v>
      </c>
      <c r="BA11" s="44">
        <v>1631.51</v>
      </c>
      <c r="BB11" s="44">
        <v>1629.5930000000001</v>
      </c>
      <c r="BC11" s="1358">
        <f>BB11+CFS!BC58</f>
        <v>1591.7031048845136</v>
      </c>
      <c r="BD11" s="1357">
        <f>BC11+CFS!BD58</f>
        <v>1595.9487913989303</v>
      </c>
      <c r="BE11" s="1357">
        <f>BD11+CFS!BE58</f>
        <v>1579.1497920038016</v>
      </c>
      <c r="BF11" s="1357">
        <f>BE11+CFS!BF58</f>
        <v>1554.8369545205655</v>
      </c>
      <c r="BG11" s="1358">
        <f>BF11+CFS!BG58</f>
        <v>1557.0490596869327</v>
      </c>
      <c r="BH11" s="1357">
        <f>BG11+CFS!BH58</f>
        <v>1565.6606036562246</v>
      </c>
      <c r="BI11" s="1357">
        <f>BH11+CFS!BI58</f>
        <v>1566.627437257252</v>
      </c>
      <c r="BJ11" s="1357">
        <f>BI11+CFS!BJ58</f>
        <v>1560.6585629371862</v>
      </c>
      <c r="BK11" s="1358">
        <f>BJ11+CFS!BK58</f>
        <v>1571.4803260140973</v>
      </c>
      <c r="BL11" s="20"/>
      <c r="BM11" s="112">
        <f t="shared" ref="BM11:BM16" si="0">G11</f>
        <v>422.33300000000003</v>
      </c>
      <c r="BN11" s="112">
        <f t="shared" ref="BN11:BN16" si="1">K11</f>
        <v>577.06799999999998</v>
      </c>
      <c r="BO11" s="112">
        <f t="shared" ref="BO11:BO16" si="2">O11</f>
        <v>1013.119</v>
      </c>
      <c r="BP11" s="112">
        <f t="shared" ref="BP11:BP16" si="3">S11</f>
        <v>709.34799999999996</v>
      </c>
      <c r="BQ11" s="112">
        <f t="shared" ref="BQ11:BQ16" si="4">W11</f>
        <v>826.51199999999994</v>
      </c>
      <c r="BR11" s="112">
        <f t="shared" ref="BR11:BR16" si="5">AA11</f>
        <v>962.54100000000005</v>
      </c>
      <c r="BS11" s="112">
        <f t="shared" ref="BS11:BS16" si="6">AE11</f>
        <v>881.06</v>
      </c>
      <c r="BT11" s="112">
        <f t="shared" ref="BT11:BT16" si="7">AI11</f>
        <v>1174.9860000000001</v>
      </c>
      <c r="BU11" s="112">
        <f t="shared" ref="BU11:BU16" si="8">AM11</f>
        <v>1322.472</v>
      </c>
      <c r="BV11" s="112">
        <f t="shared" ref="BV11:BV16" si="9">AQ11</f>
        <v>1550.9649999999999</v>
      </c>
      <c r="BW11" s="112">
        <f t="shared" ref="BW11:BW16" si="10">AU11</f>
        <v>2105.2289999999998</v>
      </c>
      <c r="BX11" s="112">
        <f t="shared" ref="BX11:BX16" si="11">AY11</f>
        <v>2246.1210000000001</v>
      </c>
      <c r="BY11" s="112">
        <f t="shared" ref="BY11:BY16" si="12">BC11</f>
        <v>1591.7031048845136</v>
      </c>
      <c r="BZ11" s="112">
        <f t="shared" ref="BZ11:BZ16" si="13">BG11</f>
        <v>1557.0490596869327</v>
      </c>
      <c r="CA11" s="113">
        <f t="shared" ref="CA11:CA16" si="14">BK11</f>
        <v>1571.4803260140973</v>
      </c>
      <c r="CB11" s="1480"/>
      <c r="CC11" s="1357"/>
      <c r="CD11" s="1357"/>
      <c r="CE11" s="260"/>
      <c r="CF11" s="111">
        <f t="shared" ref="CF11:CF16" si="15">I11</f>
        <v>370.714</v>
      </c>
      <c r="CG11" s="112">
        <f t="shared" ref="CG11:CG16" si="16">M11</f>
        <v>1007.426</v>
      </c>
      <c r="CH11" s="112">
        <f t="shared" ref="CH11:CH16" si="17">Q11</f>
        <v>718.2</v>
      </c>
      <c r="CI11" s="112">
        <f t="shared" ref="CI11:CI16" si="18">U11</f>
        <v>737.52200000000005</v>
      </c>
      <c r="CJ11" s="112">
        <f t="shared" ref="CJ11:CJ16" si="19">Y11</f>
        <v>798.34400000000005</v>
      </c>
      <c r="CK11" s="112">
        <f t="shared" ref="CK11:CK16" si="20">AC11</f>
        <v>741.16</v>
      </c>
      <c r="CL11" s="112">
        <f t="shared" ref="CL11:CL16" si="21">AG11</f>
        <v>955.10699999999997</v>
      </c>
      <c r="CM11" s="112">
        <f t="shared" ref="CM11:CM16" si="22">AK11</f>
        <v>1149.9090000000001</v>
      </c>
      <c r="CN11" s="112">
        <f t="shared" ref="CN11:CN16" si="23">AO11</f>
        <v>1305.8699999999999</v>
      </c>
      <c r="CO11" s="112">
        <f t="shared" ref="CO11:CO16" si="24">AS11</f>
        <v>1648.518</v>
      </c>
      <c r="CP11" s="112">
        <f t="shared" ref="CP11:CP16" si="25">AW11</f>
        <v>1687.4349999999999</v>
      </c>
      <c r="CQ11" s="112">
        <f t="shared" ref="CQ11:CQ16" si="26">BA11</f>
        <v>1631.51</v>
      </c>
      <c r="CR11" s="112">
        <f t="shared" ref="CR11:CR16" si="27">BE11</f>
        <v>1579.1497920038016</v>
      </c>
      <c r="CS11" s="113">
        <f t="shared" ref="CS11:CS16" si="28">BI11</f>
        <v>1566.627437257252</v>
      </c>
      <c r="CT11" s="22"/>
    </row>
    <row r="12" spans="1:98" ht="14.25" customHeight="1">
      <c r="A12" s="8"/>
      <c r="B12" s="28" t="s">
        <v>1</v>
      </c>
      <c r="C12" s="29"/>
      <c r="D12" s="89">
        <v>1382.3130000000001</v>
      </c>
      <c r="E12" s="90">
        <v>1192.93</v>
      </c>
      <c r="F12" s="90">
        <v>1092.7909999999999</v>
      </c>
      <c r="G12" s="91">
        <v>920.31700000000001</v>
      </c>
      <c r="H12" s="89">
        <v>926.654</v>
      </c>
      <c r="I12" s="90">
        <v>945.02300000000002</v>
      </c>
      <c r="J12" s="90">
        <v>941.18899999999996</v>
      </c>
      <c r="K12" s="91">
        <v>722.28599999999994</v>
      </c>
      <c r="L12" s="89">
        <v>535.29200000000003</v>
      </c>
      <c r="M12" s="90">
        <v>147.375</v>
      </c>
      <c r="N12" s="90">
        <v>0</v>
      </c>
      <c r="O12" s="91">
        <v>205.07900000000001</v>
      </c>
      <c r="P12" s="89">
        <v>205.262</v>
      </c>
      <c r="Q12" s="90">
        <v>207.25899999999999</v>
      </c>
      <c r="R12" s="90">
        <v>205.47399999999999</v>
      </c>
      <c r="S12" s="91">
        <v>204.05500000000001</v>
      </c>
      <c r="T12" s="89">
        <v>101.551</v>
      </c>
      <c r="U12" s="90">
        <v>101.038</v>
      </c>
      <c r="V12" s="90">
        <v>100.425</v>
      </c>
      <c r="W12" s="91">
        <v>0</v>
      </c>
      <c r="X12" s="90">
        <v>0</v>
      </c>
      <c r="Y12" s="90">
        <v>0</v>
      </c>
      <c r="Z12" s="90">
        <v>49.923999999999999</v>
      </c>
      <c r="AA12" s="91">
        <v>50.345999999999997</v>
      </c>
      <c r="AB12" s="90">
        <v>50.298999999999999</v>
      </c>
      <c r="AC12" s="90">
        <v>75.375</v>
      </c>
      <c r="AD12" s="90">
        <v>75.405000000000001</v>
      </c>
      <c r="AE12" s="91">
        <v>75.325999999999993</v>
      </c>
      <c r="AF12" s="90">
        <v>75.283000000000001</v>
      </c>
      <c r="AG12" s="90">
        <v>75.191999999999993</v>
      </c>
      <c r="AH12" s="90">
        <v>25.094999999999999</v>
      </c>
      <c r="AI12" s="91">
        <v>25.06</v>
      </c>
      <c r="AJ12" s="90">
        <v>25.036000000000001</v>
      </c>
      <c r="AK12" s="90">
        <v>0</v>
      </c>
      <c r="AL12" s="90">
        <v>0</v>
      </c>
      <c r="AM12" s="91">
        <v>49.953000000000003</v>
      </c>
      <c r="AN12" s="90">
        <v>75.093999999999994</v>
      </c>
      <c r="AO12" s="90">
        <v>75.012</v>
      </c>
      <c r="AP12" s="90">
        <v>75.141999999999996</v>
      </c>
      <c r="AQ12" s="91">
        <v>75.153999999999996</v>
      </c>
      <c r="AR12" s="90">
        <v>100.285</v>
      </c>
      <c r="AS12" s="90">
        <v>124.955</v>
      </c>
      <c r="AT12" s="90">
        <v>150.07599999999999</v>
      </c>
      <c r="AU12" s="91">
        <v>125.43899999999999</v>
      </c>
      <c r="AV12" s="90">
        <v>175.441</v>
      </c>
      <c r="AW12" s="90">
        <v>399.46100000000001</v>
      </c>
      <c r="AX12" s="90">
        <v>499.154</v>
      </c>
      <c r="AY12" s="91">
        <v>498.71800000000002</v>
      </c>
      <c r="AZ12" s="90">
        <v>1196.827</v>
      </c>
      <c r="BA12" s="90">
        <v>1191.7650000000001</v>
      </c>
      <c r="BB12" s="90">
        <v>1094.8009999999999</v>
      </c>
      <c r="BC12" s="1318">
        <f>BB12+CFS!BC37+CFS!BC38</f>
        <v>1094.8009999999999</v>
      </c>
      <c r="BD12" s="1314">
        <f>BC12+CFS!BD37+CFS!BD38</f>
        <v>1094.8009999999999</v>
      </c>
      <c r="BE12" s="1314">
        <f>BD12+CFS!BE37+CFS!BE38</f>
        <v>1094.8009999999999</v>
      </c>
      <c r="BF12" s="1314">
        <f>BE12+CFS!BF37+CFS!BF38</f>
        <v>1094.8009999999999</v>
      </c>
      <c r="BG12" s="1318">
        <f>BF12+CFS!BG37+CFS!BG38</f>
        <v>1094.8009999999999</v>
      </c>
      <c r="BH12" s="1314">
        <f>BG12+CFS!BH37+CFS!BH38</f>
        <v>1094.8009999999999</v>
      </c>
      <c r="BI12" s="1314">
        <f>BH12+CFS!BI37+CFS!BI38</f>
        <v>1094.8009999999999</v>
      </c>
      <c r="BJ12" s="1314">
        <f>BI12+CFS!BJ37+CFS!BJ38</f>
        <v>1094.8009999999999</v>
      </c>
      <c r="BK12" s="1318">
        <f>BJ12+CFS!BK37+CFS!BK38</f>
        <v>1094.8009999999999</v>
      </c>
      <c r="BL12" s="128"/>
      <c r="BM12" s="87">
        <f t="shared" si="0"/>
        <v>920.31700000000001</v>
      </c>
      <c r="BN12" s="87">
        <f t="shared" si="1"/>
        <v>722.28599999999994</v>
      </c>
      <c r="BO12" s="87">
        <f t="shared" si="2"/>
        <v>205.07900000000001</v>
      </c>
      <c r="BP12" s="87">
        <f t="shared" si="3"/>
        <v>204.05500000000001</v>
      </c>
      <c r="BQ12" s="87">
        <f t="shared" si="4"/>
        <v>0</v>
      </c>
      <c r="BR12" s="87">
        <f t="shared" si="5"/>
        <v>50.345999999999997</v>
      </c>
      <c r="BS12" s="87">
        <f t="shared" si="6"/>
        <v>75.325999999999993</v>
      </c>
      <c r="BT12" s="87">
        <f t="shared" si="7"/>
        <v>25.06</v>
      </c>
      <c r="BU12" s="87">
        <f t="shared" si="8"/>
        <v>49.953000000000003</v>
      </c>
      <c r="BV12" s="87">
        <f t="shared" si="9"/>
        <v>75.153999999999996</v>
      </c>
      <c r="BW12" s="87">
        <f t="shared" si="10"/>
        <v>125.43899999999999</v>
      </c>
      <c r="BX12" s="87">
        <f t="shared" si="11"/>
        <v>498.71800000000002</v>
      </c>
      <c r="BY12" s="87">
        <f t="shared" si="12"/>
        <v>1094.8009999999999</v>
      </c>
      <c r="BZ12" s="87">
        <f t="shared" si="13"/>
        <v>1094.8009999999999</v>
      </c>
      <c r="CA12" s="88">
        <f t="shared" si="14"/>
        <v>1094.8009999999999</v>
      </c>
      <c r="CB12" s="1207"/>
      <c r="CC12" s="1208"/>
      <c r="CD12" s="1208"/>
      <c r="CE12" s="260"/>
      <c r="CF12" s="86">
        <f t="shared" si="15"/>
        <v>945.02300000000002</v>
      </c>
      <c r="CG12" s="87">
        <f t="shared" si="16"/>
        <v>147.375</v>
      </c>
      <c r="CH12" s="87">
        <f t="shared" si="17"/>
        <v>207.25899999999999</v>
      </c>
      <c r="CI12" s="87">
        <f t="shared" si="18"/>
        <v>101.038</v>
      </c>
      <c r="CJ12" s="87">
        <f t="shared" si="19"/>
        <v>0</v>
      </c>
      <c r="CK12" s="87">
        <f t="shared" si="20"/>
        <v>75.375</v>
      </c>
      <c r="CL12" s="87">
        <f t="shared" si="21"/>
        <v>75.191999999999993</v>
      </c>
      <c r="CM12" s="87">
        <f t="shared" si="22"/>
        <v>0</v>
      </c>
      <c r="CN12" s="87">
        <f t="shared" si="23"/>
        <v>75.012</v>
      </c>
      <c r="CO12" s="87">
        <f t="shared" si="24"/>
        <v>124.955</v>
      </c>
      <c r="CP12" s="87">
        <f t="shared" si="25"/>
        <v>399.46100000000001</v>
      </c>
      <c r="CQ12" s="87">
        <f t="shared" si="26"/>
        <v>1191.7650000000001</v>
      </c>
      <c r="CR12" s="87">
        <f t="shared" si="27"/>
        <v>1094.8009999999999</v>
      </c>
      <c r="CS12" s="88">
        <f t="shared" si="28"/>
        <v>1094.8009999999999</v>
      </c>
      <c r="CT12" s="22"/>
    </row>
    <row r="13" spans="1:98" ht="14.25" customHeight="1">
      <c r="A13" s="8"/>
      <c r="B13" s="28" t="s">
        <v>445</v>
      </c>
      <c r="C13" s="29"/>
      <c r="D13" s="89">
        <v>212.94900000000001</v>
      </c>
      <c r="E13" s="90">
        <v>221.029</v>
      </c>
      <c r="F13" s="90">
        <v>259.92099999999999</v>
      </c>
      <c r="G13" s="91">
        <v>297.28500000000003</v>
      </c>
      <c r="H13" s="89">
        <v>296.46199999999999</v>
      </c>
      <c r="I13" s="90">
        <v>277.065</v>
      </c>
      <c r="J13" s="90">
        <v>250.703</v>
      </c>
      <c r="K13" s="91">
        <v>244.99799999999999</v>
      </c>
      <c r="L13" s="89">
        <v>275.38299999999998</v>
      </c>
      <c r="M13" s="90">
        <v>286.67500000000001</v>
      </c>
      <c r="N13" s="90">
        <v>269.29199999999997</v>
      </c>
      <c r="O13" s="91">
        <v>272.029</v>
      </c>
      <c r="P13" s="89">
        <v>268.57</v>
      </c>
      <c r="Q13" s="90">
        <v>213.37</v>
      </c>
      <c r="R13" s="90">
        <v>196.34399999999999</v>
      </c>
      <c r="S13" s="91">
        <v>207.80699999999999</v>
      </c>
      <c r="T13" s="89">
        <v>228.84299999999999</v>
      </c>
      <c r="U13" s="90">
        <v>281.12200000000001</v>
      </c>
      <c r="V13" s="90">
        <v>297.35199999999998</v>
      </c>
      <c r="W13" s="91">
        <v>339.322</v>
      </c>
      <c r="X13" s="90">
        <v>331.34699999999998</v>
      </c>
      <c r="Y13" s="90">
        <v>293.26400000000001</v>
      </c>
      <c r="Z13" s="90">
        <v>304.59100000000001</v>
      </c>
      <c r="AA13" s="90">
        <v>297.63200000000001</v>
      </c>
      <c r="AB13" s="89">
        <v>328.98899999999998</v>
      </c>
      <c r="AC13" s="90">
        <v>246.22900000000001</v>
      </c>
      <c r="AD13" s="90">
        <v>296.255</v>
      </c>
      <c r="AE13" s="91">
        <v>317.46100000000001</v>
      </c>
      <c r="AF13" s="90">
        <v>316.53800000000001</v>
      </c>
      <c r="AG13" s="90">
        <v>264.54500000000002</v>
      </c>
      <c r="AH13" s="90">
        <v>300.04599999999999</v>
      </c>
      <c r="AI13" s="91">
        <v>285.43799999999999</v>
      </c>
      <c r="AJ13" s="90">
        <v>297.88799999999998</v>
      </c>
      <c r="AK13" s="90">
        <v>288.28500000000003</v>
      </c>
      <c r="AL13" s="90">
        <v>304.12799999999999</v>
      </c>
      <c r="AM13" s="91">
        <v>295.82799999999997</v>
      </c>
      <c r="AN13" s="90">
        <v>281.93200000000002</v>
      </c>
      <c r="AO13" s="90">
        <v>258.50599999999997</v>
      </c>
      <c r="AP13" s="90">
        <v>278.42700000000002</v>
      </c>
      <c r="AQ13" s="91">
        <v>278.84399999999999</v>
      </c>
      <c r="AR13" s="90">
        <v>282.471</v>
      </c>
      <c r="AS13" s="90">
        <v>231.18</v>
      </c>
      <c r="AT13" s="90">
        <v>278.50200000000001</v>
      </c>
      <c r="AU13" s="91">
        <v>256.53100000000001</v>
      </c>
      <c r="AV13" s="90">
        <v>253.518</v>
      </c>
      <c r="AW13" s="90">
        <v>224.34200000000001</v>
      </c>
      <c r="AX13" s="90">
        <v>257.59199999999998</v>
      </c>
      <c r="AY13" s="91">
        <v>256.45400000000001</v>
      </c>
      <c r="AZ13" s="90">
        <v>233.215</v>
      </c>
      <c r="BA13" s="90">
        <v>235.69499999999999</v>
      </c>
      <c r="BB13" s="90">
        <v>320.553</v>
      </c>
      <c r="BC13" s="88">
        <f t="shared" ref="BC13:BG13" si="29">BC53/360*BC59*4</f>
        <v>314.94345942500001</v>
      </c>
      <c r="BD13" s="87">
        <f t="shared" si="29"/>
        <v>307.20113316200002</v>
      </c>
      <c r="BE13" s="87">
        <f t="shared" si="29"/>
        <v>307.77648587693005</v>
      </c>
      <c r="BF13" s="87">
        <f t="shared" si="29"/>
        <v>323.86686838174484</v>
      </c>
      <c r="BG13" s="88">
        <f t="shared" si="29"/>
        <v>327.29189101122341</v>
      </c>
      <c r="BH13" s="87">
        <f>BH53/360*BH59*4</f>
        <v>322.04004855163419</v>
      </c>
      <c r="BI13" s="87">
        <f>BI53/360*BI59*4</f>
        <v>321.79268733017341</v>
      </c>
      <c r="BJ13" s="87">
        <f>BJ53/360*BJ59*4</f>
        <v>334.88235848118109</v>
      </c>
      <c r="BK13" s="88">
        <f>BK53/360*BK59*4</f>
        <v>343.78569732335853</v>
      </c>
      <c r="BL13" s="128"/>
      <c r="BM13" s="87">
        <f t="shared" si="0"/>
        <v>297.28500000000003</v>
      </c>
      <c r="BN13" s="87">
        <f t="shared" si="1"/>
        <v>244.99799999999999</v>
      </c>
      <c r="BO13" s="87">
        <f t="shared" si="2"/>
        <v>272.029</v>
      </c>
      <c r="BP13" s="87">
        <f t="shared" si="3"/>
        <v>207.80699999999999</v>
      </c>
      <c r="BQ13" s="87">
        <f t="shared" si="4"/>
        <v>339.322</v>
      </c>
      <c r="BR13" s="87">
        <f t="shared" si="5"/>
        <v>297.63200000000001</v>
      </c>
      <c r="BS13" s="87">
        <f t="shared" si="6"/>
        <v>317.46100000000001</v>
      </c>
      <c r="BT13" s="87">
        <f t="shared" si="7"/>
        <v>285.43799999999999</v>
      </c>
      <c r="BU13" s="87">
        <f t="shared" si="8"/>
        <v>295.82799999999997</v>
      </c>
      <c r="BV13" s="87">
        <f t="shared" si="9"/>
        <v>278.84399999999999</v>
      </c>
      <c r="BW13" s="87">
        <f t="shared" si="10"/>
        <v>256.53100000000001</v>
      </c>
      <c r="BX13" s="87">
        <f t="shared" si="11"/>
        <v>256.45400000000001</v>
      </c>
      <c r="BY13" s="87">
        <f t="shared" si="12"/>
        <v>314.94345942500001</v>
      </c>
      <c r="BZ13" s="87">
        <f t="shared" si="13"/>
        <v>327.29189101122341</v>
      </c>
      <c r="CA13" s="88">
        <f t="shared" si="14"/>
        <v>343.78569732335853</v>
      </c>
      <c r="CB13" s="86"/>
      <c r="CC13" s="87"/>
      <c r="CD13" s="87"/>
      <c r="CE13" s="260"/>
      <c r="CF13" s="86">
        <f t="shared" si="15"/>
        <v>277.065</v>
      </c>
      <c r="CG13" s="87">
        <f t="shared" si="16"/>
        <v>286.67500000000001</v>
      </c>
      <c r="CH13" s="87">
        <f t="shared" si="17"/>
        <v>213.37</v>
      </c>
      <c r="CI13" s="87">
        <f t="shared" si="18"/>
        <v>281.12200000000001</v>
      </c>
      <c r="CJ13" s="87">
        <f t="shared" si="19"/>
        <v>293.26400000000001</v>
      </c>
      <c r="CK13" s="87">
        <f t="shared" si="20"/>
        <v>246.22900000000001</v>
      </c>
      <c r="CL13" s="87">
        <f t="shared" si="21"/>
        <v>264.54500000000002</v>
      </c>
      <c r="CM13" s="87">
        <f t="shared" si="22"/>
        <v>288.28500000000003</v>
      </c>
      <c r="CN13" s="87">
        <f t="shared" si="23"/>
        <v>258.50599999999997</v>
      </c>
      <c r="CO13" s="87">
        <f t="shared" si="24"/>
        <v>231.18</v>
      </c>
      <c r="CP13" s="87">
        <f t="shared" si="25"/>
        <v>224.34200000000001</v>
      </c>
      <c r="CQ13" s="87">
        <f t="shared" si="26"/>
        <v>235.69499999999999</v>
      </c>
      <c r="CR13" s="87">
        <f t="shared" si="27"/>
        <v>307.77648587693005</v>
      </c>
      <c r="CS13" s="88">
        <f t="shared" si="28"/>
        <v>321.79268733017341</v>
      </c>
      <c r="CT13" s="22"/>
    </row>
    <row r="14" spans="1:98" ht="14.25" customHeight="1">
      <c r="A14" s="8"/>
      <c r="B14" s="28" t="s">
        <v>488</v>
      </c>
      <c r="C14" s="29"/>
      <c r="D14" s="89">
        <v>183.24299999999999</v>
      </c>
      <c r="E14" s="90">
        <v>197.77199999999999</v>
      </c>
      <c r="F14" s="90">
        <v>204.59800000000001</v>
      </c>
      <c r="G14" s="91">
        <v>210.89500000000001</v>
      </c>
      <c r="H14" s="89">
        <v>223.83500000000001</v>
      </c>
      <c r="I14" s="90">
        <v>246.86099999999999</v>
      </c>
      <c r="J14" s="90">
        <v>249.078</v>
      </c>
      <c r="K14" s="91">
        <v>262.71300000000002</v>
      </c>
      <c r="L14" s="89">
        <v>261.01799999999997</v>
      </c>
      <c r="M14" s="90">
        <v>255.16499999999999</v>
      </c>
      <c r="N14" s="90">
        <v>264.07499999999999</v>
      </c>
      <c r="O14" s="91">
        <v>272.42099999999999</v>
      </c>
      <c r="P14" s="89">
        <v>263.24400000000003</v>
      </c>
      <c r="Q14" s="90">
        <v>251.661</v>
      </c>
      <c r="R14" s="90">
        <v>239.9</v>
      </c>
      <c r="S14" s="91">
        <v>217.84700000000001</v>
      </c>
      <c r="T14" s="89">
        <v>192.27699999999999</v>
      </c>
      <c r="U14" s="90">
        <v>196.04400000000001</v>
      </c>
      <c r="V14" s="90">
        <v>190.589</v>
      </c>
      <c r="W14" s="91">
        <v>206.04</v>
      </c>
      <c r="X14" s="90">
        <v>204.20699999999999</v>
      </c>
      <c r="Y14" s="90">
        <v>217.578</v>
      </c>
      <c r="Z14" s="90">
        <v>234.93299999999999</v>
      </c>
      <c r="AA14" s="90">
        <v>237.928</v>
      </c>
      <c r="AB14" s="89">
        <v>253.15899999999999</v>
      </c>
      <c r="AC14" s="90">
        <v>233.404</v>
      </c>
      <c r="AD14" s="90">
        <v>220.15299999999999</v>
      </c>
      <c r="AE14" s="91">
        <v>242.16200000000001</v>
      </c>
      <c r="AF14" s="90">
        <v>258.68900000000002</v>
      </c>
      <c r="AG14" s="90">
        <v>257.69</v>
      </c>
      <c r="AH14" s="90">
        <v>268.01799999999997</v>
      </c>
      <c r="AI14" s="91">
        <v>275.64</v>
      </c>
      <c r="AJ14" s="90">
        <v>278.21800000000002</v>
      </c>
      <c r="AK14" s="90">
        <v>297.23399999999998</v>
      </c>
      <c r="AL14" s="90">
        <v>290.51799999999997</v>
      </c>
      <c r="AM14" s="91">
        <v>289.29199999999997</v>
      </c>
      <c r="AN14" s="90">
        <v>305.108</v>
      </c>
      <c r="AO14" s="90">
        <v>306.56400000000002</v>
      </c>
      <c r="AP14" s="90">
        <v>297.27</v>
      </c>
      <c r="AQ14" s="91">
        <v>288.47399999999999</v>
      </c>
      <c r="AR14" s="90">
        <v>290.71199999999999</v>
      </c>
      <c r="AS14" s="90">
        <v>274.74099999999999</v>
      </c>
      <c r="AT14" s="90">
        <v>234.60300000000001</v>
      </c>
      <c r="AU14" s="91">
        <v>227.929</v>
      </c>
      <c r="AV14" s="90">
        <v>223.48400000000001</v>
      </c>
      <c r="AW14" s="90">
        <v>236.04</v>
      </c>
      <c r="AX14" s="90">
        <v>241.43899999999999</v>
      </c>
      <c r="AY14" s="91">
        <v>247.24199999999999</v>
      </c>
      <c r="AZ14" s="90">
        <v>245.34700000000001</v>
      </c>
      <c r="BA14" s="90">
        <v>259.59699999999998</v>
      </c>
      <c r="BB14" s="90">
        <v>273.61599999999999</v>
      </c>
      <c r="BC14" s="88">
        <f t="shared" ref="BC14:BG14" si="30">BC55/360*BC60*4</f>
        <v>266.56368680614247</v>
      </c>
      <c r="BD14" s="87">
        <f t="shared" si="30"/>
        <v>246.94259976865433</v>
      </c>
      <c r="BE14" s="87">
        <f t="shared" si="30"/>
        <v>246.6553827079272</v>
      </c>
      <c r="BF14" s="87">
        <f t="shared" si="30"/>
        <v>257.97257422192104</v>
      </c>
      <c r="BG14" s="88">
        <f t="shared" si="30"/>
        <v>258.30898824854609</v>
      </c>
      <c r="BH14" s="87">
        <f>BH55/360*BH60*4</f>
        <v>254.94852706586403</v>
      </c>
      <c r="BI14" s="87">
        <f>BI55/360*BI60*4</f>
        <v>254.75269931292377</v>
      </c>
      <c r="BJ14" s="87">
        <f>BJ55/360*BJ60*4</f>
        <v>263.48388280249401</v>
      </c>
      <c r="BK14" s="88">
        <f>BK55/360*BK60*4</f>
        <v>268.81413399495045</v>
      </c>
      <c r="BL14" s="128"/>
      <c r="BM14" s="87">
        <f t="shared" si="0"/>
        <v>210.89500000000001</v>
      </c>
      <c r="BN14" s="87">
        <f t="shared" si="1"/>
        <v>262.71300000000002</v>
      </c>
      <c r="BO14" s="87">
        <f t="shared" si="2"/>
        <v>272.42099999999999</v>
      </c>
      <c r="BP14" s="87">
        <f t="shared" si="3"/>
        <v>217.84700000000001</v>
      </c>
      <c r="BQ14" s="87">
        <f t="shared" si="4"/>
        <v>206.04</v>
      </c>
      <c r="BR14" s="87">
        <f t="shared" si="5"/>
        <v>237.928</v>
      </c>
      <c r="BS14" s="87">
        <f t="shared" si="6"/>
        <v>242.16200000000001</v>
      </c>
      <c r="BT14" s="87">
        <f t="shared" si="7"/>
        <v>275.64</v>
      </c>
      <c r="BU14" s="87">
        <f t="shared" si="8"/>
        <v>289.29199999999997</v>
      </c>
      <c r="BV14" s="87">
        <f t="shared" si="9"/>
        <v>288.47399999999999</v>
      </c>
      <c r="BW14" s="87">
        <f t="shared" si="10"/>
        <v>227.929</v>
      </c>
      <c r="BX14" s="87">
        <f t="shared" si="11"/>
        <v>247.24199999999999</v>
      </c>
      <c r="BY14" s="87">
        <f t="shared" si="12"/>
        <v>266.56368680614247</v>
      </c>
      <c r="BZ14" s="87">
        <f t="shared" si="13"/>
        <v>258.30898824854609</v>
      </c>
      <c r="CA14" s="88">
        <f t="shared" si="14"/>
        <v>268.81413399495045</v>
      </c>
      <c r="CB14" s="86"/>
      <c r="CC14" s="87"/>
      <c r="CD14" s="87"/>
      <c r="CE14" s="260"/>
      <c r="CF14" s="86">
        <f t="shared" si="15"/>
        <v>246.86099999999999</v>
      </c>
      <c r="CG14" s="87">
        <f t="shared" si="16"/>
        <v>255.16499999999999</v>
      </c>
      <c r="CH14" s="87">
        <f t="shared" si="17"/>
        <v>251.661</v>
      </c>
      <c r="CI14" s="87">
        <f t="shared" si="18"/>
        <v>196.04400000000001</v>
      </c>
      <c r="CJ14" s="87">
        <f t="shared" si="19"/>
        <v>217.578</v>
      </c>
      <c r="CK14" s="87">
        <f t="shared" si="20"/>
        <v>233.404</v>
      </c>
      <c r="CL14" s="87">
        <f t="shared" si="21"/>
        <v>257.69</v>
      </c>
      <c r="CM14" s="87">
        <f t="shared" si="22"/>
        <v>297.23399999999998</v>
      </c>
      <c r="CN14" s="87">
        <f t="shared" si="23"/>
        <v>306.56400000000002</v>
      </c>
      <c r="CO14" s="87">
        <f t="shared" si="24"/>
        <v>274.74099999999999</v>
      </c>
      <c r="CP14" s="87">
        <f t="shared" si="25"/>
        <v>236.04</v>
      </c>
      <c r="CQ14" s="87">
        <f t="shared" si="26"/>
        <v>259.59699999999998</v>
      </c>
      <c r="CR14" s="87">
        <f t="shared" si="27"/>
        <v>246.6553827079272</v>
      </c>
      <c r="CS14" s="88">
        <f t="shared" si="28"/>
        <v>254.75269931292377</v>
      </c>
      <c r="CT14" s="22"/>
    </row>
    <row r="15" spans="1:98" ht="14.25" customHeight="1">
      <c r="A15" s="8"/>
      <c r="B15" s="28" t="s">
        <v>2</v>
      </c>
      <c r="C15" s="29"/>
      <c r="D15" s="89">
        <v>133.04</v>
      </c>
      <c r="E15" s="90">
        <v>133.51499999999999</v>
      </c>
      <c r="F15" s="90">
        <v>128.81800000000001</v>
      </c>
      <c r="G15" s="91">
        <v>179.29400000000001</v>
      </c>
      <c r="H15" s="89">
        <v>181.20400000000001</v>
      </c>
      <c r="I15" s="90">
        <v>227.78</v>
      </c>
      <c r="J15" s="90">
        <v>234.58799999999999</v>
      </c>
      <c r="K15" s="91">
        <v>247.953</v>
      </c>
      <c r="L15" s="89">
        <v>235.12</v>
      </c>
      <c r="M15" s="90">
        <v>233.09700000000001</v>
      </c>
      <c r="N15" s="90">
        <v>241.114</v>
      </c>
      <c r="O15" s="91">
        <v>253.49</v>
      </c>
      <c r="P15" s="89">
        <v>263.58199999999999</v>
      </c>
      <c r="Q15" s="90">
        <v>214.43</v>
      </c>
      <c r="R15" s="90">
        <v>217.08799999999999</v>
      </c>
      <c r="S15" s="91">
        <f>211.879+13.072</f>
        <v>224.95099999999999</v>
      </c>
      <c r="T15" s="89">
        <f>194.373+1.26</f>
        <v>195.63299999999998</v>
      </c>
      <c r="U15" s="90">
        <f>188.867+0.432</f>
        <v>189.29899999999998</v>
      </c>
      <c r="V15" s="90">
        <f>247.249+15.608</f>
        <v>262.85699999999997</v>
      </c>
      <c r="W15" s="91">
        <f>217.017+83.813</f>
        <v>300.83</v>
      </c>
      <c r="X15" s="90">
        <f>121.034+40.578</f>
        <v>161.61200000000002</v>
      </c>
      <c r="Y15" s="90">
        <f>122.552+0.643</f>
        <v>123.19500000000001</v>
      </c>
      <c r="Z15" s="90">
        <f>128.371+0.416</f>
        <v>128.78700000000001</v>
      </c>
      <c r="AA15" s="91">
        <f>113.427+0.483</f>
        <v>113.91000000000001</v>
      </c>
      <c r="AB15" s="90">
        <f>77.885+2.597</f>
        <v>80.481999999999999</v>
      </c>
      <c r="AC15" s="90">
        <v>87.635999999999996</v>
      </c>
      <c r="AD15" s="90">
        <v>105.298</v>
      </c>
      <c r="AE15" s="91">
        <v>98.18</v>
      </c>
      <c r="AF15" s="90">
        <v>71.561000000000007</v>
      </c>
      <c r="AG15" s="90">
        <v>80.991</v>
      </c>
      <c r="AH15" s="90">
        <v>81.808999999999997</v>
      </c>
      <c r="AI15" s="91">
        <v>82.173000000000002</v>
      </c>
      <c r="AJ15" s="90">
        <v>54.853999999999999</v>
      </c>
      <c r="AK15" s="90">
        <v>69.153999999999996</v>
      </c>
      <c r="AL15" s="90">
        <v>74.037999999999997</v>
      </c>
      <c r="AM15" s="91">
        <v>74.596999999999994</v>
      </c>
      <c r="AN15" s="90">
        <v>54.378999999999998</v>
      </c>
      <c r="AO15" s="90">
        <v>59.793999999999997</v>
      </c>
      <c r="AP15" s="90">
        <v>71.353999999999999</v>
      </c>
      <c r="AQ15" s="91">
        <v>77.305999999999997</v>
      </c>
      <c r="AR15" s="90">
        <v>50.603999999999999</v>
      </c>
      <c r="AS15" s="90">
        <v>0</v>
      </c>
      <c r="AT15" s="90">
        <v>0</v>
      </c>
      <c r="AU15" s="91">
        <v>0</v>
      </c>
      <c r="AV15" s="90">
        <v>0</v>
      </c>
      <c r="AW15" s="90">
        <v>0</v>
      </c>
      <c r="AX15" s="90">
        <v>0</v>
      </c>
      <c r="AY15" s="91">
        <v>0</v>
      </c>
      <c r="AZ15" s="90">
        <v>0</v>
      </c>
      <c r="BA15" s="90">
        <v>0</v>
      </c>
      <c r="BB15" s="1509"/>
      <c r="BC15" s="88">
        <f t="shared" ref="BC15:BG15" si="31">BB15</f>
        <v>0</v>
      </c>
      <c r="BD15" s="87">
        <f t="shared" si="31"/>
        <v>0</v>
      </c>
      <c r="BE15" s="87">
        <f t="shared" si="31"/>
        <v>0</v>
      </c>
      <c r="BF15" s="87">
        <f t="shared" si="31"/>
        <v>0</v>
      </c>
      <c r="BG15" s="88">
        <f t="shared" si="31"/>
        <v>0</v>
      </c>
      <c r="BH15" s="87">
        <f>BG15</f>
        <v>0</v>
      </c>
      <c r="BI15" s="87">
        <f>BH15</f>
        <v>0</v>
      </c>
      <c r="BJ15" s="87">
        <f>BI15</f>
        <v>0</v>
      </c>
      <c r="BK15" s="88">
        <f>BJ15</f>
        <v>0</v>
      </c>
      <c r="BL15" s="128"/>
      <c r="BM15" s="87">
        <f t="shared" si="0"/>
        <v>179.29400000000001</v>
      </c>
      <c r="BN15" s="87">
        <f t="shared" si="1"/>
        <v>247.953</v>
      </c>
      <c r="BO15" s="87">
        <f t="shared" si="2"/>
        <v>253.49</v>
      </c>
      <c r="BP15" s="87">
        <f t="shared" si="3"/>
        <v>224.95099999999999</v>
      </c>
      <c r="BQ15" s="87">
        <f t="shared" si="4"/>
        <v>300.83</v>
      </c>
      <c r="BR15" s="87">
        <f t="shared" si="5"/>
        <v>113.91000000000001</v>
      </c>
      <c r="BS15" s="87">
        <f t="shared" si="6"/>
        <v>98.18</v>
      </c>
      <c r="BT15" s="87">
        <f t="shared" si="7"/>
        <v>82.173000000000002</v>
      </c>
      <c r="BU15" s="87">
        <f t="shared" si="8"/>
        <v>74.596999999999994</v>
      </c>
      <c r="BV15" s="87">
        <f t="shared" si="9"/>
        <v>77.305999999999997</v>
      </c>
      <c r="BW15" s="87">
        <f t="shared" si="10"/>
        <v>0</v>
      </c>
      <c r="BX15" s="87">
        <f t="shared" si="11"/>
        <v>0</v>
      </c>
      <c r="BY15" s="87">
        <f t="shared" si="12"/>
        <v>0</v>
      </c>
      <c r="BZ15" s="87">
        <f t="shared" si="13"/>
        <v>0</v>
      </c>
      <c r="CA15" s="88">
        <f t="shared" si="14"/>
        <v>0</v>
      </c>
      <c r="CB15" s="86"/>
      <c r="CC15" s="87"/>
      <c r="CD15" s="87"/>
      <c r="CE15" s="260"/>
      <c r="CF15" s="86">
        <f t="shared" si="15"/>
        <v>227.78</v>
      </c>
      <c r="CG15" s="87">
        <f t="shared" si="16"/>
        <v>233.09700000000001</v>
      </c>
      <c r="CH15" s="87">
        <f t="shared" si="17"/>
        <v>214.43</v>
      </c>
      <c r="CI15" s="87">
        <f t="shared" si="18"/>
        <v>189.29899999999998</v>
      </c>
      <c r="CJ15" s="87">
        <f t="shared" si="19"/>
        <v>123.19500000000001</v>
      </c>
      <c r="CK15" s="87">
        <f t="shared" si="20"/>
        <v>87.635999999999996</v>
      </c>
      <c r="CL15" s="87">
        <f t="shared" si="21"/>
        <v>80.991</v>
      </c>
      <c r="CM15" s="87">
        <f t="shared" si="22"/>
        <v>69.153999999999996</v>
      </c>
      <c r="CN15" s="87">
        <f t="shared" si="23"/>
        <v>59.793999999999997</v>
      </c>
      <c r="CO15" s="87">
        <f t="shared" si="24"/>
        <v>0</v>
      </c>
      <c r="CP15" s="87">
        <f t="shared" si="25"/>
        <v>0</v>
      </c>
      <c r="CQ15" s="87">
        <f t="shared" si="26"/>
        <v>0</v>
      </c>
      <c r="CR15" s="87">
        <f t="shared" si="27"/>
        <v>0</v>
      </c>
      <c r="CS15" s="88">
        <f t="shared" si="28"/>
        <v>0</v>
      </c>
      <c r="CT15" s="22"/>
    </row>
    <row r="16" spans="1:98" ht="14.25" customHeight="1">
      <c r="A16" s="8"/>
      <c r="B16" s="129" t="s">
        <v>28</v>
      </c>
      <c r="C16" s="130"/>
      <c r="D16" s="89">
        <v>11.241</v>
      </c>
      <c r="E16" s="90">
        <v>16.081</v>
      </c>
      <c r="F16" s="90">
        <v>11.805</v>
      </c>
      <c r="G16" s="91">
        <v>21.992000000000001</v>
      </c>
      <c r="H16" s="89">
        <v>21.562000000000001</v>
      </c>
      <c r="I16" s="90">
        <v>24.228000000000002</v>
      </c>
      <c r="J16" s="90">
        <v>19.052</v>
      </c>
      <c r="K16" s="91">
        <v>15.555</v>
      </c>
      <c r="L16" s="89">
        <v>9.5289999999999999</v>
      </c>
      <c r="M16" s="90">
        <v>52.197000000000003</v>
      </c>
      <c r="N16" s="90">
        <v>45.695999999999998</v>
      </c>
      <c r="O16" s="91">
        <v>30.422999999999998</v>
      </c>
      <c r="P16" s="89">
        <v>18.747</v>
      </c>
      <c r="Q16" s="90">
        <f>73.096+17.681</f>
        <v>90.777000000000001</v>
      </c>
      <c r="R16" s="90">
        <f>33.778+22.59</f>
        <v>56.367999999999995</v>
      </c>
      <c r="S16" s="91">
        <v>20.943000000000001</v>
      </c>
      <c r="T16" s="89">
        <v>24.077999999999999</v>
      </c>
      <c r="U16" s="90">
        <v>26.535</v>
      </c>
      <c r="V16" s="90">
        <v>23.091000000000001</v>
      </c>
      <c r="W16" s="91">
        <v>33.908999999999999</v>
      </c>
      <c r="X16" s="90">
        <v>46.234999999999999</v>
      </c>
      <c r="Y16" s="90">
        <v>129.30500000000001</v>
      </c>
      <c r="Z16" s="90">
        <v>89.435000000000002</v>
      </c>
      <c r="AA16" s="90">
        <v>65.495000000000005</v>
      </c>
      <c r="AB16" s="89">
        <v>80.971999999999994</v>
      </c>
      <c r="AC16" s="90">
        <v>81.396000000000001</v>
      </c>
      <c r="AD16" s="90">
        <v>79.584000000000003</v>
      </c>
      <c r="AE16" s="91">
        <v>85.177000000000007</v>
      </c>
      <c r="AF16" s="90">
        <v>94.875</v>
      </c>
      <c r="AG16" s="90">
        <v>90.47</v>
      </c>
      <c r="AH16" s="90">
        <v>113.01</v>
      </c>
      <c r="AI16" s="91">
        <v>96.608999999999995</v>
      </c>
      <c r="AJ16" s="90">
        <v>116.22499999999999</v>
      </c>
      <c r="AK16" s="90">
        <v>85.554000000000002</v>
      </c>
      <c r="AL16" s="90">
        <v>79.346000000000004</v>
      </c>
      <c r="AM16" s="91">
        <v>54.56</v>
      </c>
      <c r="AN16" s="90">
        <v>67.382999999999996</v>
      </c>
      <c r="AO16" s="90">
        <v>67.244</v>
      </c>
      <c r="AP16" s="90">
        <v>66.298000000000002</v>
      </c>
      <c r="AQ16" s="91">
        <v>49.838000000000001</v>
      </c>
      <c r="AR16" s="90">
        <v>46.627000000000002</v>
      </c>
      <c r="AS16" s="90">
        <v>47.234999999999999</v>
      </c>
      <c r="AT16" s="90">
        <v>88.388999999999996</v>
      </c>
      <c r="AU16" s="91">
        <v>91.92</v>
      </c>
      <c r="AV16" s="90">
        <v>89.397999999999996</v>
      </c>
      <c r="AW16" s="90">
        <v>75.284000000000006</v>
      </c>
      <c r="AX16" s="90">
        <v>60.195</v>
      </c>
      <c r="AY16" s="91">
        <v>57.058999999999997</v>
      </c>
      <c r="AZ16" s="90">
        <v>55.033000000000001</v>
      </c>
      <c r="BA16" s="90">
        <v>24.152999999999999</v>
      </c>
      <c r="BB16" s="90">
        <v>22.274999999999999</v>
      </c>
      <c r="BC16" s="88">
        <f t="shared" ref="BC16:BG16" si="32">BC57*BC59</f>
        <v>21.632366249999997</v>
      </c>
      <c r="BD16" s="87">
        <f t="shared" si="32"/>
        <v>21.1005729</v>
      </c>
      <c r="BE16" s="87">
        <f t="shared" si="32"/>
        <v>21.140091868500001</v>
      </c>
      <c r="BF16" s="87">
        <f t="shared" si="32"/>
        <v>22.245284045159998</v>
      </c>
      <c r="BG16" s="88">
        <f t="shared" si="32"/>
        <v>22.480536887275498</v>
      </c>
      <c r="BH16" s="87">
        <f>BH57*BH59</f>
        <v>22.119806171417626</v>
      </c>
      <c r="BI16" s="87">
        <f>BI57*BI59</f>
        <v>22.102815793054297</v>
      </c>
      <c r="BJ16" s="87">
        <f>BJ57*BJ59</f>
        <v>23.001899587166516</v>
      </c>
      <c r="BK16" s="88">
        <f>BK57*BK59</f>
        <v>23.613438836254172</v>
      </c>
      <c r="BL16" s="128"/>
      <c r="BM16" s="131">
        <f t="shared" si="0"/>
        <v>21.992000000000001</v>
      </c>
      <c r="BN16" s="131">
        <f t="shared" si="1"/>
        <v>15.555</v>
      </c>
      <c r="BO16" s="131">
        <f t="shared" si="2"/>
        <v>30.422999999999998</v>
      </c>
      <c r="BP16" s="131">
        <f t="shared" si="3"/>
        <v>20.943000000000001</v>
      </c>
      <c r="BQ16" s="131">
        <f t="shared" si="4"/>
        <v>33.908999999999999</v>
      </c>
      <c r="BR16" s="131">
        <f t="shared" si="5"/>
        <v>65.495000000000005</v>
      </c>
      <c r="BS16" s="131">
        <f t="shared" si="6"/>
        <v>85.177000000000007</v>
      </c>
      <c r="BT16" s="131">
        <f t="shared" si="7"/>
        <v>96.608999999999995</v>
      </c>
      <c r="BU16" s="131">
        <f t="shared" si="8"/>
        <v>54.56</v>
      </c>
      <c r="BV16" s="131">
        <f t="shared" si="9"/>
        <v>49.838000000000001</v>
      </c>
      <c r="BW16" s="131">
        <f t="shared" si="10"/>
        <v>91.92</v>
      </c>
      <c r="BX16" s="131">
        <f t="shared" si="11"/>
        <v>57.058999999999997</v>
      </c>
      <c r="BY16" s="131">
        <f t="shared" si="12"/>
        <v>21.632366249999997</v>
      </c>
      <c r="BZ16" s="131">
        <f t="shared" si="13"/>
        <v>22.480536887275498</v>
      </c>
      <c r="CA16" s="132">
        <f t="shared" si="14"/>
        <v>23.613438836254172</v>
      </c>
      <c r="CB16" s="86"/>
      <c r="CC16" s="87"/>
      <c r="CD16" s="87"/>
      <c r="CE16" s="260"/>
      <c r="CF16" s="335">
        <f t="shared" si="15"/>
        <v>24.228000000000002</v>
      </c>
      <c r="CG16" s="131">
        <f t="shared" si="16"/>
        <v>52.197000000000003</v>
      </c>
      <c r="CH16" s="131">
        <f t="shared" si="17"/>
        <v>90.777000000000001</v>
      </c>
      <c r="CI16" s="131">
        <f t="shared" si="18"/>
        <v>26.535</v>
      </c>
      <c r="CJ16" s="131">
        <f t="shared" si="19"/>
        <v>129.30500000000001</v>
      </c>
      <c r="CK16" s="131">
        <f t="shared" si="20"/>
        <v>81.396000000000001</v>
      </c>
      <c r="CL16" s="131">
        <f t="shared" si="21"/>
        <v>90.47</v>
      </c>
      <c r="CM16" s="131">
        <f t="shared" si="22"/>
        <v>85.554000000000002</v>
      </c>
      <c r="CN16" s="131">
        <f t="shared" si="23"/>
        <v>67.244</v>
      </c>
      <c r="CO16" s="131">
        <f t="shared" si="24"/>
        <v>47.234999999999999</v>
      </c>
      <c r="CP16" s="131">
        <f t="shared" si="25"/>
        <v>75.284000000000006</v>
      </c>
      <c r="CQ16" s="131">
        <f t="shared" si="26"/>
        <v>24.152999999999999</v>
      </c>
      <c r="CR16" s="131">
        <f t="shared" si="27"/>
        <v>21.140091868500001</v>
      </c>
      <c r="CS16" s="132">
        <f t="shared" si="28"/>
        <v>22.102815793054297</v>
      </c>
      <c r="CT16" s="22"/>
    </row>
    <row r="17" spans="1:98" ht="14.25" customHeight="1">
      <c r="A17" s="8"/>
      <c r="B17" s="1367" t="s">
        <v>446</v>
      </c>
      <c r="C17" s="1368"/>
      <c r="D17" s="135">
        <f t="shared" ref="D17:AD17" si="33">SUM(D11:D16)</f>
        <v>2125.5860000000002</v>
      </c>
      <c r="E17" s="133">
        <f t="shared" si="33"/>
        <v>1909.7929999999999</v>
      </c>
      <c r="F17" s="133">
        <f t="shared" si="33"/>
        <v>1941.2429999999999</v>
      </c>
      <c r="G17" s="134">
        <f t="shared" si="33"/>
        <v>2052.1160000000004</v>
      </c>
      <c r="H17" s="135">
        <f t="shared" si="33"/>
        <v>2116.5349999999999</v>
      </c>
      <c r="I17" s="133">
        <f t="shared" si="33"/>
        <v>2091.6710000000003</v>
      </c>
      <c r="J17" s="133">
        <f t="shared" si="33"/>
        <v>2077.6710000000003</v>
      </c>
      <c r="K17" s="134">
        <f t="shared" si="33"/>
        <v>2070.5729999999999</v>
      </c>
      <c r="L17" s="135">
        <f t="shared" si="33"/>
        <v>2130.0150000000003</v>
      </c>
      <c r="M17" s="133">
        <f t="shared" si="33"/>
        <v>1981.9349999999999</v>
      </c>
      <c r="N17" s="133">
        <f t="shared" si="33"/>
        <v>2009.2279999999998</v>
      </c>
      <c r="O17" s="134">
        <f t="shared" si="33"/>
        <v>2046.5610000000001</v>
      </c>
      <c r="P17" s="135">
        <f t="shared" si="33"/>
        <v>2070.5989999999997</v>
      </c>
      <c r="Q17" s="133">
        <f t="shared" si="33"/>
        <v>1695.6970000000003</v>
      </c>
      <c r="R17" s="133">
        <f t="shared" si="33"/>
        <v>1607.999</v>
      </c>
      <c r="S17" s="134">
        <f t="shared" si="33"/>
        <v>1584.951</v>
      </c>
      <c r="T17" s="135">
        <f t="shared" si="33"/>
        <v>1578.4110000000001</v>
      </c>
      <c r="U17" s="133">
        <f t="shared" si="33"/>
        <v>1531.5600000000002</v>
      </c>
      <c r="V17" s="133">
        <f t="shared" si="33"/>
        <v>1632.7499999999998</v>
      </c>
      <c r="W17" s="134">
        <f t="shared" si="33"/>
        <v>1706.6129999999998</v>
      </c>
      <c r="X17" s="133">
        <f t="shared" si="33"/>
        <v>1461.6809999999998</v>
      </c>
      <c r="Y17" s="133">
        <f t="shared" si="33"/>
        <v>1561.6860000000001</v>
      </c>
      <c r="Z17" s="133">
        <f t="shared" si="33"/>
        <v>1676.5930000000001</v>
      </c>
      <c r="AA17" s="134">
        <f t="shared" si="33"/>
        <v>1727.8520000000003</v>
      </c>
      <c r="AB17" s="135">
        <f>SUM(AB11:AB16)</f>
        <v>1503.9419999999998</v>
      </c>
      <c r="AC17" s="133">
        <f t="shared" si="33"/>
        <v>1465.1999999999998</v>
      </c>
      <c r="AD17" s="133">
        <f t="shared" si="33"/>
        <v>1637.2460000000001</v>
      </c>
      <c r="AE17" s="134">
        <f t="shared" ref="AE17:AN17" si="34">SUM(AE11:AE16)</f>
        <v>1699.366</v>
      </c>
      <c r="AF17" s="133">
        <f t="shared" si="34"/>
        <v>1666.796</v>
      </c>
      <c r="AG17" s="133">
        <f t="shared" si="34"/>
        <v>1723.9950000000001</v>
      </c>
      <c r="AH17" s="133">
        <f t="shared" si="34"/>
        <v>2335.9580000000005</v>
      </c>
      <c r="AI17" s="134">
        <f t="shared" si="34"/>
        <v>1939.9059999999997</v>
      </c>
      <c r="AJ17" s="133">
        <f t="shared" si="34"/>
        <v>1781.768</v>
      </c>
      <c r="AK17" s="133">
        <f t="shared" si="34"/>
        <v>1890.1360000000002</v>
      </c>
      <c r="AL17" s="133">
        <f t="shared" si="34"/>
        <v>1979.278</v>
      </c>
      <c r="AM17" s="134">
        <f t="shared" si="34"/>
        <v>2086.7019999999998</v>
      </c>
      <c r="AN17" s="133">
        <f t="shared" si="34"/>
        <v>2027.779</v>
      </c>
      <c r="AO17" s="133">
        <f t="shared" ref="AO17:AT17" si="35">SUM(AO11:AO16)</f>
        <v>2072.9900000000002</v>
      </c>
      <c r="AP17" s="133">
        <f t="shared" si="35"/>
        <v>2180.6880000000001</v>
      </c>
      <c r="AQ17" s="134">
        <f t="shared" si="35"/>
        <v>2320.5810000000001</v>
      </c>
      <c r="AR17" s="133">
        <f t="shared" si="35"/>
        <v>2279.0459999999998</v>
      </c>
      <c r="AS17" s="133">
        <f t="shared" si="35"/>
        <v>2326.6290000000004</v>
      </c>
      <c r="AT17" s="133">
        <f t="shared" si="35"/>
        <v>2461.9100000000003</v>
      </c>
      <c r="AU17" s="134">
        <f>SUM(AU11:AU16)</f>
        <v>2807.0479999999998</v>
      </c>
      <c r="AV17" s="133">
        <f>SUM(AV11:AV16)</f>
        <v>2833.9139999999998</v>
      </c>
      <c r="AW17" s="133">
        <f>SUM(AW11:AW16)</f>
        <v>2622.5619999999999</v>
      </c>
      <c r="AX17" s="133">
        <f t="shared" ref="AX17:BC17" si="36">SUM(AX11:AX16)</f>
        <v>2715.1070000000004</v>
      </c>
      <c r="AY17" s="134">
        <f>SUM(AY11:AY16)</f>
        <v>3305.5940000000005</v>
      </c>
      <c r="AZ17" s="133">
        <f>SUM(AZ11:AZ16)</f>
        <v>3307.5820000000003</v>
      </c>
      <c r="BA17" s="133">
        <f>SUM(BA11:BA16)</f>
        <v>3342.72</v>
      </c>
      <c r="BB17" s="133">
        <f t="shared" ref="BB17" si="37">SUM(BB11:BB16)</f>
        <v>3340.8380000000002</v>
      </c>
      <c r="BC17" s="134">
        <f t="shared" si="36"/>
        <v>3289.6436173656557</v>
      </c>
      <c r="BD17" s="133">
        <f t="shared" ref="BD17:BK17" si="38">SUM(BD11:BD16)</f>
        <v>3265.9940972295844</v>
      </c>
      <c r="BE17" s="133">
        <f t="shared" si="38"/>
        <v>3249.5227524571587</v>
      </c>
      <c r="BF17" s="133">
        <f t="shared" si="38"/>
        <v>3253.7226811693918</v>
      </c>
      <c r="BG17" s="134">
        <f t="shared" si="38"/>
        <v>3259.9314758339774</v>
      </c>
      <c r="BH17" s="133">
        <f t="shared" si="38"/>
        <v>3259.5699854451404</v>
      </c>
      <c r="BI17" s="133">
        <f t="shared" si="38"/>
        <v>3260.0766396934032</v>
      </c>
      <c r="BJ17" s="133">
        <f t="shared" si="38"/>
        <v>3276.8277038080278</v>
      </c>
      <c r="BK17" s="134">
        <f t="shared" si="38"/>
        <v>3302.4945961686608</v>
      </c>
      <c r="BL17" s="128"/>
      <c r="BM17" s="136">
        <f t="shared" ref="BM17:BS17" si="39">SUM(BM11:BM16)</f>
        <v>2052.1160000000004</v>
      </c>
      <c r="BN17" s="136">
        <f t="shared" si="39"/>
        <v>2070.5729999999999</v>
      </c>
      <c r="BO17" s="136">
        <f t="shared" si="39"/>
        <v>2046.5610000000001</v>
      </c>
      <c r="BP17" s="136">
        <f t="shared" si="39"/>
        <v>1584.951</v>
      </c>
      <c r="BQ17" s="136">
        <f t="shared" si="39"/>
        <v>1706.6129999999998</v>
      </c>
      <c r="BR17" s="136">
        <f t="shared" si="39"/>
        <v>1727.8520000000003</v>
      </c>
      <c r="BS17" s="136">
        <f t="shared" si="39"/>
        <v>1699.366</v>
      </c>
      <c r="BT17" s="136">
        <f t="shared" ref="BT17:CA17" si="40">SUM(BT11:BT16)</f>
        <v>1939.9059999999997</v>
      </c>
      <c r="BU17" s="136">
        <f t="shared" si="40"/>
        <v>2086.7019999999998</v>
      </c>
      <c r="BV17" s="136">
        <f t="shared" si="40"/>
        <v>2320.5810000000001</v>
      </c>
      <c r="BW17" s="136">
        <f t="shared" si="40"/>
        <v>2807.0479999999998</v>
      </c>
      <c r="BX17" s="136">
        <f t="shared" si="40"/>
        <v>3305.5940000000005</v>
      </c>
      <c r="BY17" s="136">
        <f t="shared" si="40"/>
        <v>3289.6436173656557</v>
      </c>
      <c r="BZ17" s="136">
        <f t="shared" si="40"/>
        <v>3259.9314758339774</v>
      </c>
      <c r="CA17" s="137">
        <f t="shared" si="40"/>
        <v>3302.4945961686608</v>
      </c>
      <c r="CB17" s="147"/>
      <c r="CC17" s="136"/>
      <c r="CD17" s="136"/>
      <c r="CE17" s="260"/>
      <c r="CF17" s="147">
        <f t="shared" ref="CF17:CL17" si="41">SUM(CF11:CF16)</f>
        <v>2091.6710000000003</v>
      </c>
      <c r="CG17" s="136">
        <f t="shared" si="41"/>
        <v>1981.9349999999999</v>
      </c>
      <c r="CH17" s="136">
        <f t="shared" si="41"/>
        <v>1695.6970000000003</v>
      </c>
      <c r="CI17" s="136">
        <f t="shared" si="41"/>
        <v>1531.5600000000002</v>
      </c>
      <c r="CJ17" s="136">
        <f t="shared" si="41"/>
        <v>1561.6860000000001</v>
      </c>
      <c r="CK17" s="136">
        <f t="shared" si="41"/>
        <v>1465.1999999999998</v>
      </c>
      <c r="CL17" s="136">
        <f t="shared" si="41"/>
        <v>1723.9950000000001</v>
      </c>
      <c r="CM17" s="136">
        <f t="shared" ref="CM17:CR17" si="42">SUM(CM11:CM16)</f>
        <v>1890.1360000000002</v>
      </c>
      <c r="CN17" s="136">
        <f t="shared" si="42"/>
        <v>2072.9900000000002</v>
      </c>
      <c r="CO17" s="136">
        <f t="shared" si="42"/>
        <v>2326.6290000000004</v>
      </c>
      <c r="CP17" s="136">
        <f t="shared" si="42"/>
        <v>2622.5619999999999</v>
      </c>
      <c r="CQ17" s="136">
        <f t="shared" si="42"/>
        <v>3342.72</v>
      </c>
      <c r="CR17" s="136">
        <f t="shared" si="42"/>
        <v>3249.5227524571587</v>
      </c>
      <c r="CS17" s="137">
        <f>SUM(CS11:CS16)</f>
        <v>3260.0766396934032</v>
      </c>
      <c r="CT17" s="22"/>
    </row>
    <row r="18" spans="1:98" ht="14.25" customHeight="1">
      <c r="A18" s="8"/>
      <c r="B18" s="23"/>
      <c r="C18" s="24"/>
      <c r="D18" s="89"/>
      <c r="E18" s="90"/>
      <c r="F18" s="90"/>
      <c r="G18" s="91"/>
      <c r="H18" s="89"/>
      <c r="I18" s="90"/>
      <c r="J18" s="90"/>
      <c r="K18" s="91"/>
      <c r="L18" s="89"/>
      <c r="M18" s="90"/>
      <c r="N18" s="90"/>
      <c r="O18" s="91"/>
      <c r="P18" s="89"/>
      <c r="Q18" s="90"/>
      <c r="R18" s="90"/>
      <c r="S18" s="91"/>
      <c r="T18" s="89"/>
      <c r="U18" s="90"/>
      <c r="V18" s="90"/>
      <c r="W18" s="91"/>
      <c r="X18" s="90"/>
      <c r="Y18" s="90"/>
      <c r="Z18" s="138"/>
      <c r="AA18" s="138"/>
      <c r="AB18" s="139"/>
      <c r="AC18" s="90"/>
      <c r="AD18" s="138"/>
      <c r="AE18" s="140"/>
      <c r="AF18" s="138"/>
      <c r="AG18" s="138"/>
      <c r="AH18" s="138"/>
      <c r="AI18" s="140"/>
      <c r="AJ18" s="138"/>
      <c r="AK18" s="138"/>
      <c r="AL18" s="138"/>
      <c r="AM18" s="140"/>
      <c r="AN18" s="138"/>
      <c r="AO18" s="138"/>
      <c r="AP18" s="138"/>
      <c r="AQ18" s="140"/>
      <c r="AR18" s="138"/>
      <c r="AS18" s="138"/>
      <c r="AT18" s="138"/>
      <c r="AU18" s="140"/>
      <c r="AV18" s="138"/>
      <c r="AW18" s="138"/>
      <c r="AX18" s="138"/>
      <c r="AY18" s="140"/>
      <c r="AZ18" s="138"/>
      <c r="BA18" s="138"/>
      <c r="BB18" s="138"/>
      <c r="BC18" s="140"/>
      <c r="BD18" s="138"/>
      <c r="BE18" s="138"/>
      <c r="BF18" s="138"/>
      <c r="BG18" s="140"/>
      <c r="BH18" s="138"/>
      <c r="BI18" s="138"/>
      <c r="BJ18" s="138"/>
      <c r="BK18" s="140"/>
      <c r="BL18" s="128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1"/>
      <c r="CB18" s="89"/>
      <c r="CC18" s="90"/>
      <c r="CD18" s="90"/>
      <c r="CE18" s="260"/>
      <c r="CF18" s="89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1"/>
      <c r="CT18" s="22"/>
    </row>
    <row r="19" spans="1:98" ht="14.25" customHeight="1">
      <c r="A19" s="8"/>
      <c r="B19" s="28" t="s">
        <v>3</v>
      </c>
      <c r="C19" s="29"/>
      <c r="D19" s="89">
        <v>999.78800000000001</v>
      </c>
      <c r="E19" s="90">
        <v>1017.612</v>
      </c>
      <c r="F19" s="90">
        <v>1060.854</v>
      </c>
      <c r="G19" s="91">
        <v>1164.4839999999999</v>
      </c>
      <c r="H19" s="89">
        <v>1254.4929999999999</v>
      </c>
      <c r="I19" s="90">
        <v>1304.0039999999999</v>
      </c>
      <c r="J19" s="90">
        <v>1349.1849999999999</v>
      </c>
      <c r="K19" s="91">
        <v>1431.2729999999999</v>
      </c>
      <c r="L19" s="89">
        <v>1469.7439999999999</v>
      </c>
      <c r="M19" s="90">
        <v>1500.819</v>
      </c>
      <c r="N19" s="90">
        <v>1497.461</v>
      </c>
      <c r="O19" s="91">
        <v>1485.2</v>
      </c>
      <c r="P19" s="89">
        <v>1461.769</v>
      </c>
      <c r="Q19" s="90">
        <v>1404.2329999999999</v>
      </c>
      <c r="R19" s="90">
        <v>1381.4739999999999</v>
      </c>
      <c r="S19" s="91">
        <v>1366.0519999999999</v>
      </c>
      <c r="T19" s="89">
        <v>1352.857</v>
      </c>
      <c r="U19" s="90">
        <v>1341.8320000000001</v>
      </c>
      <c r="V19" s="90">
        <v>1325.348</v>
      </c>
      <c r="W19" s="91">
        <v>1324.4359999999999</v>
      </c>
      <c r="X19" s="90">
        <v>1323.192</v>
      </c>
      <c r="Y19" s="90">
        <v>1298.155</v>
      </c>
      <c r="Z19" s="90">
        <v>1286.0609999999999</v>
      </c>
      <c r="AA19" s="90">
        <v>1308.8499999999999</v>
      </c>
      <c r="AB19" s="89">
        <v>1328.8320000000001</v>
      </c>
      <c r="AC19" s="90">
        <v>1365.8150000000001</v>
      </c>
      <c r="AD19" s="90">
        <v>1361.3</v>
      </c>
      <c r="AE19" s="91">
        <v>1353.606</v>
      </c>
      <c r="AF19" s="90">
        <v>1359.8820000000001</v>
      </c>
      <c r="AG19" s="90">
        <v>1359.0139999999999</v>
      </c>
      <c r="AH19" s="90">
        <v>1368.905</v>
      </c>
      <c r="AI19" s="91">
        <v>1373.124</v>
      </c>
      <c r="AJ19" s="90">
        <v>1374.5440000000001</v>
      </c>
      <c r="AK19" s="90">
        <v>1372.393</v>
      </c>
      <c r="AL19" s="90">
        <v>1355.268</v>
      </c>
      <c r="AM19" s="91">
        <v>1331.519</v>
      </c>
      <c r="AN19" s="90">
        <v>1303.8610000000001</v>
      </c>
      <c r="AO19" s="90">
        <v>1195.3230000000001</v>
      </c>
      <c r="AP19" s="90">
        <v>1155.5889999999999</v>
      </c>
      <c r="AQ19" s="91">
        <v>1090.739</v>
      </c>
      <c r="AR19" s="90">
        <v>805.58</v>
      </c>
      <c r="AS19" s="90">
        <v>770.548</v>
      </c>
      <c r="AT19" s="90">
        <v>748.78099999999995</v>
      </c>
      <c r="AU19" s="91">
        <v>692.55100000000004</v>
      </c>
      <c r="AV19" s="90">
        <v>678.447</v>
      </c>
      <c r="AW19" s="90">
        <v>660.66</v>
      </c>
      <c r="AX19" s="90">
        <v>636.83500000000004</v>
      </c>
      <c r="AY19" s="91">
        <v>606.58100000000002</v>
      </c>
      <c r="AZ19" s="90">
        <v>595.62199999999996</v>
      </c>
      <c r="BA19" s="90">
        <v>597.81799999999998</v>
      </c>
      <c r="BB19" s="90">
        <v>589.17700000000002</v>
      </c>
      <c r="BC19" s="1318">
        <f>CFS!BC73</f>
        <v>576.77473837699995</v>
      </c>
      <c r="BD19" s="1314">
        <f>CFS!BD73</f>
        <v>533.06278370347991</v>
      </c>
      <c r="BE19" s="1314">
        <f>CFS!BE73</f>
        <v>489.37384313855705</v>
      </c>
      <c r="BF19" s="1314">
        <f>CFS!BF73</f>
        <v>446.32851787382674</v>
      </c>
      <c r="BG19" s="1318">
        <f>CFS!BG73</f>
        <v>403.42019351427575</v>
      </c>
      <c r="BH19" s="1314">
        <f>CFS!BH73</f>
        <v>360.3017954563411</v>
      </c>
      <c r="BI19" s="1314">
        <f>CFS!BI73</f>
        <v>317.17350294954804</v>
      </c>
      <c r="BJ19" s="1314">
        <f>CFS!BJ73</f>
        <v>274.56879728879517</v>
      </c>
      <c r="BK19" s="1318">
        <f>CFS!BK73</f>
        <v>232.32022518172948</v>
      </c>
      <c r="BL19" s="128"/>
      <c r="BM19" s="87">
        <f t="shared" ref="BM19:BM26" si="43">G19</f>
        <v>1164.4839999999999</v>
      </c>
      <c r="BN19" s="87">
        <f t="shared" ref="BN19:BN26" si="44">K19</f>
        <v>1431.2729999999999</v>
      </c>
      <c r="BO19" s="87">
        <f t="shared" ref="BO19:BO26" si="45">O19</f>
        <v>1485.2</v>
      </c>
      <c r="BP19" s="87">
        <f t="shared" ref="BP19:BP26" si="46">S19</f>
        <v>1366.0519999999999</v>
      </c>
      <c r="BQ19" s="87">
        <f t="shared" ref="BQ19:BQ26" si="47">W19</f>
        <v>1324.4359999999999</v>
      </c>
      <c r="BR19" s="87">
        <f t="shared" ref="BR19:BR26" si="48">AA19</f>
        <v>1308.8499999999999</v>
      </c>
      <c r="BS19" s="87">
        <f t="shared" ref="BS19:BS26" si="49">AE19</f>
        <v>1353.606</v>
      </c>
      <c r="BT19" s="87">
        <f t="shared" ref="BT19:BT26" si="50">AI19</f>
        <v>1373.124</v>
      </c>
      <c r="BU19" s="87">
        <f t="shared" ref="BU19:BU26" si="51">AM19</f>
        <v>1331.519</v>
      </c>
      <c r="BV19" s="87">
        <f t="shared" ref="BV19:BV26" si="52">AQ19</f>
        <v>1090.739</v>
      </c>
      <c r="BW19" s="87">
        <f t="shared" ref="BW19:BW26" si="53">AU19</f>
        <v>692.55100000000004</v>
      </c>
      <c r="BX19" s="87">
        <f t="shared" ref="BX19:BX26" si="54">AY19</f>
        <v>606.58100000000002</v>
      </c>
      <c r="BY19" s="87">
        <f t="shared" ref="BY19:BY26" si="55">BC19</f>
        <v>576.77473837699995</v>
      </c>
      <c r="BZ19" s="87">
        <f t="shared" ref="BZ19:BZ26" si="56">BG19</f>
        <v>403.42019351427575</v>
      </c>
      <c r="CA19" s="88">
        <f>BK19</f>
        <v>232.32022518172948</v>
      </c>
      <c r="CB19" s="1313"/>
      <c r="CC19" s="1314"/>
      <c r="CD19" s="1314"/>
      <c r="CE19" s="260"/>
      <c r="CF19" s="86">
        <f t="shared" ref="CF19:CF26" si="57">I19</f>
        <v>1304.0039999999999</v>
      </c>
      <c r="CG19" s="87">
        <f t="shared" ref="CG19:CG26" si="58">M19</f>
        <v>1500.819</v>
      </c>
      <c r="CH19" s="87">
        <f t="shared" ref="CH19:CH26" si="59">Q19</f>
        <v>1404.2329999999999</v>
      </c>
      <c r="CI19" s="87">
        <f t="shared" ref="CI19:CI26" si="60">U19</f>
        <v>1341.8320000000001</v>
      </c>
      <c r="CJ19" s="87">
        <f t="shared" ref="CJ19:CJ26" si="61">Y19</f>
        <v>1298.155</v>
      </c>
      <c r="CK19" s="87">
        <f t="shared" ref="CK19:CK26" si="62">AC19</f>
        <v>1365.8150000000001</v>
      </c>
      <c r="CL19" s="87">
        <f t="shared" ref="CL19:CL26" si="63">AG19</f>
        <v>1359.0139999999999</v>
      </c>
      <c r="CM19" s="87">
        <f t="shared" ref="CM19:CM26" si="64">AK19</f>
        <v>1372.393</v>
      </c>
      <c r="CN19" s="87">
        <f t="shared" ref="CN19:CN26" si="65">AO19</f>
        <v>1195.3230000000001</v>
      </c>
      <c r="CO19" s="87">
        <f t="shared" ref="CO19:CO26" si="66">AS19</f>
        <v>770.548</v>
      </c>
      <c r="CP19" s="87">
        <f t="shared" ref="CP19:CP26" si="67">AW19</f>
        <v>660.66</v>
      </c>
      <c r="CQ19" s="87">
        <f t="shared" ref="CQ19:CQ26" si="68">BA19</f>
        <v>597.81799999999998</v>
      </c>
      <c r="CR19" s="87">
        <f t="shared" ref="CR19:CR26" si="69">BE19</f>
        <v>489.37384313855705</v>
      </c>
      <c r="CS19" s="88">
        <f t="shared" ref="CS19:CS26" si="70">BI19</f>
        <v>317.17350294954804</v>
      </c>
      <c r="CT19" s="22"/>
    </row>
    <row r="20" spans="1:98" ht="14.25" customHeight="1">
      <c r="A20" s="8"/>
      <c r="B20" s="28" t="s">
        <v>5</v>
      </c>
      <c r="C20" s="29"/>
      <c r="D20" s="89">
        <v>0</v>
      </c>
      <c r="E20" s="90">
        <v>0</v>
      </c>
      <c r="F20" s="90">
        <v>0</v>
      </c>
      <c r="G20" s="91">
        <v>0</v>
      </c>
      <c r="H20" s="89">
        <v>0</v>
      </c>
      <c r="I20" s="90">
        <v>0</v>
      </c>
      <c r="J20" s="90">
        <v>0</v>
      </c>
      <c r="K20" s="91">
        <v>0</v>
      </c>
      <c r="L20" s="89">
        <v>0</v>
      </c>
      <c r="M20" s="90">
        <v>0</v>
      </c>
      <c r="N20" s="90">
        <v>0</v>
      </c>
      <c r="O20" s="91">
        <v>0</v>
      </c>
      <c r="P20" s="89">
        <v>0</v>
      </c>
      <c r="Q20" s="90">
        <v>0</v>
      </c>
      <c r="R20" s="90">
        <v>0</v>
      </c>
      <c r="S20" s="91">
        <v>0</v>
      </c>
      <c r="T20" s="89">
        <v>0</v>
      </c>
      <c r="U20" s="90">
        <v>0</v>
      </c>
      <c r="V20" s="90">
        <v>0</v>
      </c>
      <c r="W20" s="91">
        <v>0</v>
      </c>
      <c r="X20" s="90">
        <v>0</v>
      </c>
      <c r="Y20" s="90">
        <v>0</v>
      </c>
      <c r="Z20" s="90">
        <v>0</v>
      </c>
      <c r="AA20" s="91">
        <v>0</v>
      </c>
      <c r="AB20" s="90">
        <v>0</v>
      </c>
      <c r="AC20" s="90">
        <v>0</v>
      </c>
      <c r="AD20" s="90">
        <v>0</v>
      </c>
      <c r="AE20" s="91">
        <v>0</v>
      </c>
      <c r="AF20" s="90">
        <v>0</v>
      </c>
      <c r="AG20" s="90">
        <v>0</v>
      </c>
      <c r="AH20" s="90">
        <v>0</v>
      </c>
      <c r="AI20" s="91">
        <v>0</v>
      </c>
      <c r="AJ20" s="90">
        <v>0</v>
      </c>
      <c r="AK20" s="90">
        <v>0</v>
      </c>
      <c r="AL20" s="90">
        <v>0</v>
      </c>
      <c r="AM20" s="91">
        <v>0</v>
      </c>
      <c r="AN20" s="90">
        <v>0</v>
      </c>
      <c r="AO20" s="90">
        <v>0</v>
      </c>
      <c r="AP20" s="90">
        <v>0</v>
      </c>
      <c r="AQ20" s="91">
        <v>0</v>
      </c>
      <c r="AR20" s="90">
        <v>0</v>
      </c>
      <c r="AS20" s="90">
        <v>0</v>
      </c>
      <c r="AT20" s="90">
        <v>0</v>
      </c>
      <c r="AU20" s="91">
        <v>0</v>
      </c>
      <c r="AV20" s="90">
        <v>0</v>
      </c>
      <c r="AW20" s="90">
        <v>0</v>
      </c>
      <c r="AX20" s="90">
        <v>0</v>
      </c>
      <c r="AY20" s="91">
        <v>0</v>
      </c>
      <c r="AZ20" s="90">
        <v>0</v>
      </c>
      <c r="BA20" s="90">
        <v>0</v>
      </c>
      <c r="BB20" s="90">
        <v>0</v>
      </c>
      <c r="BC20" s="88">
        <f t="shared" ref="BC20:BG20" si="71">BB20</f>
        <v>0</v>
      </c>
      <c r="BD20" s="87">
        <f t="shared" si="71"/>
        <v>0</v>
      </c>
      <c r="BE20" s="87">
        <f t="shared" si="71"/>
        <v>0</v>
      </c>
      <c r="BF20" s="87">
        <f t="shared" si="71"/>
        <v>0</v>
      </c>
      <c r="BG20" s="88">
        <f t="shared" si="71"/>
        <v>0</v>
      </c>
      <c r="BH20" s="87">
        <f>BG20</f>
        <v>0</v>
      </c>
      <c r="BI20" s="87">
        <f>BH20</f>
        <v>0</v>
      </c>
      <c r="BJ20" s="87">
        <f>BI20</f>
        <v>0</v>
      </c>
      <c r="BK20" s="88">
        <f>BJ20</f>
        <v>0</v>
      </c>
      <c r="BL20" s="128"/>
      <c r="BM20" s="87">
        <f t="shared" si="43"/>
        <v>0</v>
      </c>
      <c r="BN20" s="87">
        <f t="shared" si="44"/>
        <v>0</v>
      </c>
      <c r="BO20" s="87">
        <f t="shared" si="45"/>
        <v>0</v>
      </c>
      <c r="BP20" s="87">
        <f t="shared" si="46"/>
        <v>0</v>
      </c>
      <c r="BQ20" s="87">
        <f t="shared" si="47"/>
        <v>0</v>
      </c>
      <c r="BR20" s="87">
        <f t="shared" si="48"/>
        <v>0</v>
      </c>
      <c r="BS20" s="87">
        <f t="shared" si="49"/>
        <v>0</v>
      </c>
      <c r="BT20" s="87">
        <f t="shared" si="50"/>
        <v>0</v>
      </c>
      <c r="BU20" s="87">
        <f t="shared" si="51"/>
        <v>0</v>
      </c>
      <c r="BV20" s="87">
        <f t="shared" si="52"/>
        <v>0</v>
      </c>
      <c r="BW20" s="87">
        <f t="shared" si="53"/>
        <v>0</v>
      </c>
      <c r="BX20" s="87">
        <f t="shared" si="54"/>
        <v>0</v>
      </c>
      <c r="BY20" s="87">
        <f t="shared" si="55"/>
        <v>0</v>
      </c>
      <c r="BZ20" s="87">
        <f t="shared" si="56"/>
        <v>0</v>
      </c>
      <c r="CA20" s="88">
        <f t="shared" ref="CA20:CA26" si="72">BK20</f>
        <v>0</v>
      </c>
      <c r="CB20" s="86"/>
      <c r="CC20" s="87"/>
      <c r="CD20" s="87"/>
      <c r="CE20" s="260"/>
      <c r="CF20" s="86">
        <f t="shared" si="57"/>
        <v>0</v>
      </c>
      <c r="CG20" s="87">
        <f t="shared" si="58"/>
        <v>0</v>
      </c>
      <c r="CH20" s="87">
        <f t="shared" si="59"/>
        <v>0</v>
      </c>
      <c r="CI20" s="87">
        <f t="shared" si="60"/>
        <v>0</v>
      </c>
      <c r="CJ20" s="87">
        <f t="shared" si="61"/>
        <v>0</v>
      </c>
      <c r="CK20" s="87">
        <f t="shared" si="62"/>
        <v>0</v>
      </c>
      <c r="CL20" s="87">
        <f t="shared" si="63"/>
        <v>0</v>
      </c>
      <c r="CM20" s="87">
        <f t="shared" si="64"/>
        <v>0</v>
      </c>
      <c r="CN20" s="87">
        <f t="shared" si="65"/>
        <v>0</v>
      </c>
      <c r="CO20" s="87">
        <f t="shared" si="66"/>
        <v>0</v>
      </c>
      <c r="CP20" s="87">
        <f t="shared" si="67"/>
        <v>0</v>
      </c>
      <c r="CQ20" s="87">
        <f t="shared" si="68"/>
        <v>0</v>
      </c>
      <c r="CR20" s="87">
        <f t="shared" si="69"/>
        <v>0</v>
      </c>
      <c r="CS20" s="88">
        <f t="shared" si="70"/>
        <v>0</v>
      </c>
      <c r="CT20" s="22"/>
    </row>
    <row r="21" spans="1:98" ht="14.25" customHeight="1">
      <c r="A21" s="8"/>
      <c r="B21" s="28" t="s">
        <v>533</v>
      </c>
      <c r="C21" s="29"/>
      <c r="D21" s="89">
        <v>0</v>
      </c>
      <c r="E21" s="90">
        <v>0</v>
      </c>
      <c r="F21" s="90">
        <v>0</v>
      </c>
      <c r="G21" s="91">
        <v>0</v>
      </c>
      <c r="H21" s="89">
        <v>0</v>
      </c>
      <c r="I21" s="90">
        <v>0</v>
      </c>
      <c r="J21" s="90">
        <v>0</v>
      </c>
      <c r="K21" s="91">
        <v>0</v>
      </c>
      <c r="L21" s="89">
        <v>0</v>
      </c>
      <c r="M21" s="90">
        <v>0</v>
      </c>
      <c r="N21" s="90">
        <v>0</v>
      </c>
      <c r="O21" s="91">
        <v>0</v>
      </c>
      <c r="P21" s="89">
        <v>0</v>
      </c>
      <c r="Q21" s="90">
        <v>0</v>
      </c>
      <c r="R21" s="90">
        <v>0</v>
      </c>
      <c r="S21" s="91">
        <v>0</v>
      </c>
      <c r="T21" s="89">
        <v>0</v>
      </c>
      <c r="U21" s="90">
        <v>0</v>
      </c>
      <c r="V21" s="90">
        <v>0</v>
      </c>
      <c r="W21" s="91">
        <v>0</v>
      </c>
      <c r="X21" s="90">
        <v>0</v>
      </c>
      <c r="Y21" s="90">
        <v>0</v>
      </c>
      <c r="Z21" s="90">
        <v>0</v>
      </c>
      <c r="AA21" s="90">
        <v>0</v>
      </c>
      <c r="AB21" s="89">
        <v>0</v>
      </c>
      <c r="AC21" s="90">
        <v>0</v>
      </c>
      <c r="AD21" s="90">
        <v>0</v>
      </c>
      <c r="AE21" s="91">
        <v>0</v>
      </c>
      <c r="AF21" s="90">
        <v>0</v>
      </c>
      <c r="AG21" s="90">
        <v>0</v>
      </c>
      <c r="AH21" s="90">
        <v>0</v>
      </c>
      <c r="AI21" s="91">
        <v>0</v>
      </c>
      <c r="AJ21" s="90">
        <v>0</v>
      </c>
      <c r="AK21" s="90">
        <v>0</v>
      </c>
      <c r="AL21" s="90">
        <v>0</v>
      </c>
      <c r="AM21" s="91">
        <v>0</v>
      </c>
      <c r="AN21" s="90">
        <v>0</v>
      </c>
      <c r="AO21" s="90">
        <v>0</v>
      </c>
      <c r="AP21" s="90">
        <v>0</v>
      </c>
      <c r="AQ21" s="91">
        <v>0</v>
      </c>
      <c r="AR21" s="90">
        <v>0</v>
      </c>
      <c r="AS21" s="90">
        <v>0</v>
      </c>
      <c r="AT21" s="90">
        <v>0</v>
      </c>
      <c r="AU21" s="91">
        <v>0</v>
      </c>
      <c r="AV21" s="90">
        <v>0</v>
      </c>
      <c r="AW21" s="90">
        <v>0</v>
      </c>
      <c r="AX21" s="90">
        <v>0</v>
      </c>
      <c r="AY21" s="91">
        <v>0</v>
      </c>
      <c r="AZ21" s="90">
        <v>0</v>
      </c>
      <c r="BA21" s="90">
        <v>0</v>
      </c>
      <c r="BB21" s="90">
        <v>0</v>
      </c>
      <c r="BC21" s="1318">
        <f>BB21+CFS!BC39</f>
        <v>0</v>
      </c>
      <c r="BD21" s="1314">
        <f>BC21+CFS!BD39</f>
        <v>0</v>
      </c>
      <c r="BE21" s="1314">
        <f>BD21+CFS!BE39</f>
        <v>0</v>
      </c>
      <c r="BF21" s="1314">
        <f>BE21+CFS!BF39</f>
        <v>0</v>
      </c>
      <c r="BG21" s="1318">
        <f>BF21+CFS!BG39</f>
        <v>0</v>
      </c>
      <c r="BH21" s="1314">
        <f>BG21+CFS!BH39</f>
        <v>0</v>
      </c>
      <c r="BI21" s="1314">
        <f>BH21+CFS!BI39</f>
        <v>0</v>
      </c>
      <c r="BJ21" s="1314">
        <f>BI21+CFS!BJ39</f>
        <v>0</v>
      </c>
      <c r="BK21" s="1318">
        <f>BJ21+CFS!BK39</f>
        <v>0</v>
      </c>
      <c r="BL21" s="128"/>
      <c r="BM21" s="87">
        <f t="shared" si="43"/>
        <v>0</v>
      </c>
      <c r="BN21" s="87">
        <f t="shared" si="44"/>
        <v>0</v>
      </c>
      <c r="BO21" s="87">
        <f t="shared" si="45"/>
        <v>0</v>
      </c>
      <c r="BP21" s="87">
        <f t="shared" si="46"/>
        <v>0</v>
      </c>
      <c r="BQ21" s="87">
        <f t="shared" si="47"/>
        <v>0</v>
      </c>
      <c r="BR21" s="87">
        <f t="shared" si="48"/>
        <v>0</v>
      </c>
      <c r="BS21" s="87">
        <f t="shared" si="49"/>
        <v>0</v>
      </c>
      <c r="BT21" s="87">
        <f t="shared" si="50"/>
        <v>0</v>
      </c>
      <c r="BU21" s="87">
        <f t="shared" si="51"/>
        <v>0</v>
      </c>
      <c r="BV21" s="87">
        <f t="shared" si="52"/>
        <v>0</v>
      </c>
      <c r="BW21" s="87">
        <f t="shared" si="53"/>
        <v>0</v>
      </c>
      <c r="BX21" s="87">
        <f t="shared" si="54"/>
        <v>0</v>
      </c>
      <c r="BY21" s="87">
        <f t="shared" si="55"/>
        <v>0</v>
      </c>
      <c r="BZ21" s="87">
        <f t="shared" si="56"/>
        <v>0</v>
      </c>
      <c r="CA21" s="88">
        <f t="shared" si="72"/>
        <v>0</v>
      </c>
      <c r="CB21" s="1313"/>
      <c r="CC21" s="1314"/>
      <c r="CD21" s="1314"/>
      <c r="CE21" s="260"/>
      <c r="CF21" s="86">
        <f t="shared" si="57"/>
        <v>0</v>
      </c>
      <c r="CG21" s="87">
        <f t="shared" si="58"/>
        <v>0</v>
      </c>
      <c r="CH21" s="87">
        <f t="shared" si="59"/>
        <v>0</v>
      </c>
      <c r="CI21" s="87">
        <f t="shared" si="60"/>
        <v>0</v>
      </c>
      <c r="CJ21" s="87">
        <f t="shared" si="61"/>
        <v>0</v>
      </c>
      <c r="CK21" s="87">
        <f t="shared" si="62"/>
        <v>0</v>
      </c>
      <c r="CL21" s="87">
        <f t="shared" si="63"/>
        <v>0</v>
      </c>
      <c r="CM21" s="87">
        <f t="shared" si="64"/>
        <v>0</v>
      </c>
      <c r="CN21" s="87">
        <f t="shared" si="65"/>
        <v>0</v>
      </c>
      <c r="CO21" s="87">
        <f t="shared" si="66"/>
        <v>0</v>
      </c>
      <c r="CP21" s="87">
        <f t="shared" si="67"/>
        <v>0</v>
      </c>
      <c r="CQ21" s="87">
        <f t="shared" si="68"/>
        <v>0</v>
      </c>
      <c r="CR21" s="87">
        <f t="shared" si="69"/>
        <v>0</v>
      </c>
      <c r="CS21" s="88">
        <f t="shared" si="70"/>
        <v>0</v>
      </c>
      <c r="CT21" s="22"/>
    </row>
    <row r="22" spans="1:98" ht="14.25" customHeight="1">
      <c r="A22" s="8"/>
      <c r="B22" s="28" t="s">
        <v>4</v>
      </c>
      <c r="C22" s="29"/>
      <c r="D22" s="89">
        <v>0</v>
      </c>
      <c r="E22" s="90">
        <v>0</v>
      </c>
      <c r="F22" s="90">
        <v>0</v>
      </c>
      <c r="G22" s="91">
        <v>0</v>
      </c>
      <c r="H22" s="89">
        <v>0</v>
      </c>
      <c r="I22" s="90">
        <v>0</v>
      </c>
      <c r="J22" s="90">
        <v>0</v>
      </c>
      <c r="K22" s="91">
        <v>0</v>
      </c>
      <c r="L22" s="89">
        <v>0</v>
      </c>
      <c r="M22" s="90">
        <v>0</v>
      </c>
      <c r="N22" s="90">
        <v>0</v>
      </c>
      <c r="O22" s="91">
        <v>0</v>
      </c>
      <c r="P22" s="89">
        <v>0</v>
      </c>
      <c r="Q22" s="90">
        <v>0</v>
      </c>
      <c r="R22" s="90">
        <v>0</v>
      </c>
      <c r="S22" s="91">
        <v>0</v>
      </c>
      <c r="T22" s="89">
        <v>0</v>
      </c>
      <c r="U22" s="90">
        <v>0</v>
      </c>
      <c r="V22" s="90">
        <v>0</v>
      </c>
      <c r="W22" s="91">
        <v>0</v>
      </c>
      <c r="X22" s="90">
        <v>0</v>
      </c>
      <c r="Y22" s="90">
        <v>0</v>
      </c>
      <c r="Z22" s="90">
        <v>0</v>
      </c>
      <c r="AA22" s="91">
        <v>0</v>
      </c>
      <c r="AB22" s="90">
        <v>0</v>
      </c>
      <c r="AC22" s="90">
        <v>0</v>
      </c>
      <c r="AD22" s="90">
        <v>0</v>
      </c>
      <c r="AE22" s="91">
        <v>0</v>
      </c>
      <c r="AF22" s="90">
        <v>0</v>
      </c>
      <c r="AG22" s="90">
        <v>0</v>
      </c>
      <c r="AH22" s="90">
        <v>0</v>
      </c>
      <c r="AI22" s="91">
        <v>0</v>
      </c>
      <c r="AJ22" s="90">
        <v>0</v>
      </c>
      <c r="AK22" s="90">
        <v>0</v>
      </c>
      <c r="AL22" s="90">
        <v>0</v>
      </c>
      <c r="AM22" s="91">
        <v>0</v>
      </c>
      <c r="AN22" s="90">
        <v>0</v>
      </c>
      <c r="AO22" s="90">
        <v>0</v>
      </c>
      <c r="AP22" s="90">
        <v>0</v>
      </c>
      <c r="AQ22" s="91">
        <v>0</v>
      </c>
      <c r="AR22" s="90">
        <v>0</v>
      </c>
      <c r="AS22" s="90">
        <v>0</v>
      </c>
      <c r="AT22" s="90">
        <v>0</v>
      </c>
      <c r="AU22" s="91">
        <v>0</v>
      </c>
      <c r="AV22" s="90">
        <v>0</v>
      </c>
      <c r="AW22" s="90">
        <v>0</v>
      </c>
      <c r="AX22" s="90">
        <v>0</v>
      </c>
      <c r="AY22" s="91">
        <v>0</v>
      </c>
      <c r="AZ22" s="90">
        <v>0</v>
      </c>
      <c r="BA22" s="90">
        <v>0</v>
      </c>
      <c r="BB22" s="90">
        <v>0</v>
      </c>
      <c r="BC22" s="88">
        <f t="shared" ref="BC22:BC26" si="73">BB22</f>
        <v>0</v>
      </c>
      <c r="BD22" s="87">
        <f t="shared" ref="BD22:BG26" si="74">BC22</f>
        <v>0</v>
      </c>
      <c r="BE22" s="87">
        <f t="shared" si="74"/>
        <v>0</v>
      </c>
      <c r="BF22" s="87">
        <f t="shared" si="74"/>
        <v>0</v>
      </c>
      <c r="BG22" s="88">
        <f t="shared" si="74"/>
        <v>0</v>
      </c>
      <c r="BH22" s="87">
        <f t="shared" ref="BH22:BK26" si="75">BG22</f>
        <v>0</v>
      </c>
      <c r="BI22" s="87">
        <f t="shared" si="75"/>
        <v>0</v>
      </c>
      <c r="BJ22" s="87">
        <f t="shared" si="75"/>
        <v>0</v>
      </c>
      <c r="BK22" s="88">
        <f t="shared" si="75"/>
        <v>0</v>
      </c>
      <c r="BL22" s="128"/>
      <c r="BM22" s="87">
        <f>G22</f>
        <v>0</v>
      </c>
      <c r="BN22" s="87">
        <f>K22</f>
        <v>0</v>
      </c>
      <c r="BO22" s="87">
        <f>O22</f>
        <v>0</v>
      </c>
      <c r="BP22" s="87">
        <f>S22</f>
        <v>0</v>
      </c>
      <c r="BQ22" s="87">
        <f>W22</f>
        <v>0</v>
      </c>
      <c r="BR22" s="87">
        <f>AA22</f>
        <v>0</v>
      </c>
      <c r="BS22" s="87">
        <f>AE22</f>
        <v>0</v>
      </c>
      <c r="BT22" s="87">
        <f>AI22</f>
        <v>0</v>
      </c>
      <c r="BU22" s="87">
        <f>AM22</f>
        <v>0</v>
      </c>
      <c r="BV22" s="87">
        <f t="shared" si="52"/>
        <v>0</v>
      </c>
      <c r="BW22" s="87">
        <f t="shared" si="53"/>
        <v>0</v>
      </c>
      <c r="BX22" s="87">
        <f t="shared" si="54"/>
        <v>0</v>
      </c>
      <c r="BY22" s="87">
        <f t="shared" si="55"/>
        <v>0</v>
      </c>
      <c r="BZ22" s="87">
        <f t="shared" si="56"/>
        <v>0</v>
      </c>
      <c r="CA22" s="88">
        <f t="shared" si="72"/>
        <v>0</v>
      </c>
      <c r="CB22" s="86"/>
      <c r="CC22" s="87"/>
      <c r="CD22" s="87"/>
      <c r="CE22" s="260"/>
      <c r="CF22" s="86">
        <f t="shared" si="57"/>
        <v>0</v>
      </c>
      <c r="CG22" s="87">
        <f t="shared" si="58"/>
        <v>0</v>
      </c>
      <c r="CH22" s="87">
        <f t="shared" si="59"/>
        <v>0</v>
      </c>
      <c r="CI22" s="87">
        <f t="shared" si="60"/>
        <v>0</v>
      </c>
      <c r="CJ22" s="87">
        <f t="shared" si="61"/>
        <v>0</v>
      </c>
      <c r="CK22" s="87">
        <f t="shared" si="62"/>
        <v>0</v>
      </c>
      <c r="CL22" s="87">
        <f t="shared" si="63"/>
        <v>0</v>
      </c>
      <c r="CM22" s="87">
        <f t="shared" si="64"/>
        <v>0</v>
      </c>
      <c r="CN22" s="87">
        <f t="shared" si="65"/>
        <v>0</v>
      </c>
      <c r="CO22" s="87">
        <f t="shared" si="66"/>
        <v>0</v>
      </c>
      <c r="CP22" s="87">
        <f t="shared" si="67"/>
        <v>0</v>
      </c>
      <c r="CQ22" s="87">
        <f t="shared" si="68"/>
        <v>0</v>
      </c>
      <c r="CR22" s="87">
        <f t="shared" si="69"/>
        <v>0</v>
      </c>
      <c r="CS22" s="88">
        <f t="shared" si="70"/>
        <v>0</v>
      </c>
      <c r="CT22" s="22"/>
    </row>
    <row r="23" spans="1:98" ht="14.25" customHeight="1">
      <c r="A23" s="8"/>
      <c r="B23" s="28" t="s">
        <v>0</v>
      </c>
      <c r="C23" s="29"/>
      <c r="D23" s="89">
        <v>0</v>
      </c>
      <c r="E23" s="90">
        <v>0</v>
      </c>
      <c r="F23" s="90">
        <v>0</v>
      </c>
      <c r="G23" s="91">
        <v>0</v>
      </c>
      <c r="H23" s="89">
        <v>0</v>
      </c>
      <c r="I23" s="90">
        <v>0</v>
      </c>
      <c r="J23" s="90">
        <v>0</v>
      </c>
      <c r="K23" s="91">
        <v>0</v>
      </c>
      <c r="L23" s="89">
        <v>0</v>
      </c>
      <c r="M23" s="90">
        <v>0</v>
      </c>
      <c r="N23" s="90">
        <v>0</v>
      </c>
      <c r="O23" s="91">
        <v>0</v>
      </c>
      <c r="P23" s="89">
        <v>0</v>
      </c>
      <c r="Q23" s="90">
        <v>0</v>
      </c>
      <c r="R23" s="90">
        <v>0</v>
      </c>
      <c r="S23" s="91">
        <v>76.295000000000002</v>
      </c>
      <c r="T23" s="89">
        <v>0</v>
      </c>
      <c r="U23" s="90">
        <v>0</v>
      </c>
      <c r="V23" s="90">
        <v>0</v>
      </c>
      <c r="W23" s="91">
        <v>194.72800000000001</v>
      </c>
      <c r="X23" s="90">
        <v>240.815</v>
      </c>
      <c r="Y23" s="90">
        <v>228.45</v>
      </c>
      <c r="Z23" s="90">
        <v>216.43899999999999</v>
      </c>
      <c r="AA23" s="90">
        <v>204.26300000000001</v>
      </c>
      <c r="AB23" s="89">
        <v>257.01600000000002</v>
      </c>
      <c r="AC23" s="90">
        <v>237.77600000000001</v>
      </c>
      <c r="AD23" s="90">
        <v>222.35400000000001</v>
      </c>
      <c r="AE23" s="91">
        <v>208.91300000000001</v>
      </c>
      <c r="AF23" s="90">
        <v>195.41</v>
      </c>
      <c r="AG23" s="90">
        <v>182.52099999999999</v>
      </c>
      <c r="AH23" s="90">
        <v>165.59100000000001</v>
      </c>
      <c r="AI23" s="91">
        <v>157.14599999999999</v>
      </c>
      <c r="AJ23" s="90">
        <v>145.61799999999999</v>
      </c>
      <c r="AK23" s="90">
        <v>404.65199999999999</v>
      </c>
      <c r="AL23" s="90">
        <v>384.16699999999997</v>
      </c>
      <c r="AM23" s="91">
        <v>360.99400000000003</v>
      </c>
      <c r="AN23" s="90">
        <v>337.91699999999997</v>
      </c>
      <c r="AO23" s="90">
        <v>306.11099999999999</v>
      </c>
      <c r="AP23" s="90">
        <v>283.38499999999999</v>
      </c>
      <c r="AQ23" s="91">
        <v>261.65199999999999</v>
      </c>
      <c r="AR23" s="90">
        <v>241.423</v>
      </c>
      <c r="AS23" s="90">
        <v>202.87700000000001</v>
      </c>
      <c r="AT23" s="90">
        <v>188.51</v>
      </c>
      <c r="AU23" s="91">
        <v>146.54</v>
      </c>
      <c r="AV23" s="90">
        <v>131.49600000000001</v>
      </c>
      <c r="AW23" s="90">
        <v>117.393</v>
      </c>
      <c r="AX23" s="90">
        <v>103.98099999999999</v>
      </c>
      <c r="AY23" s="91">
        <v>90.867000000000004</v>
      </c>
      <c r="AZ23" s="90">
        <v>79.849999999999994</v>
      </c>
      <c r="BA23" s="90">
        <v>67.715999999999994</v>
      </c>
      <c r="BB23" s="90">
        <v>90.847999999999999</v>
      </c>
      <c r="BC23" s="88">
        <f t="shared" si="73"/>
        <v>90.847999999999999</v>
      </c>
      <c r="BD23" s="87">
        <f t="shared" si="74"/>
        <v>90.847999999999999</v>
      </c>
      <c r="BE23" s="87">
        <f t="shared" si="74"/>
        <v>90.847999999999999</v>
      </c>
      <c r="BF23" s="87">
        <f t="shared" si="74"/>
        <v>90.847999999999999</v>
      </c>
      <c r="BG23" s="88">
        <f t="shared" si="74"/>
        <v>90.847999999999999</v>
      </c>
      <c r="BH23" s="87">
        <f t="shared" si="75"/>
        <v>90.847999999999999</v>
      </c>
      <c r="BI23" s="87">
        <f t="shared" si="75"/>
        <v>90.847999999999999</v>
      </c>
      <c r="BJ23" s="87">
        <f t="shared" si="75"/>
        <v>90.847999999999999</v>
      </c>
      <c r="BK23" s="88">
        <f t="shared" si="75"/>
        <v>90.847999999999999</v>
      </c>
      <c r="BL23" s="128"/>
      <c r="BM23" s="87">
        <f t="shared" si="43"/>
        <v>0</v>
      </c>
      <c r="BN23" s="87">
        <f t="shared" si="44"/>
        <v>0</v>
      </c>
      <c r="BO23" s="87">
        <f t="shared" si="45"/>
        <v>0</v>
      </c>
      <c r="BP23" s="87">
        <f t="shared" si="46"/>
        <v>76.295000000000002</v>
      </c>
      <c r="BQ23" s="87">
        <f t="shared" si="47"/>
        <v>194.72800000000001</v>
      </c>
      <c r="BR23" s="87">
        <f t="shared" si="48"/>
        <v>204.26300000000001</v>
      </c>
      <c r="BS23" s="87">
        <f t="shared" si="49"/>
        <v>208.91300000000001</v>
      </c>
      <c r="BT23" s="87">
        <f t="shared" si="50"/>
        <v>157.14599999999999</v>
      </c>
      <c r="BU23" s="87">
        <f t="shared" si="51"/>
        <v>360.99400000000003</v>
      </c>
      <c r="BV23" s="87">
        <f t="shared" si="52"/>
        <v>261.65199999999999</v>
      </c>
      <c r="BW23" s="87">
        <f t="shared" si="53"/>
        <v>146.54</v>
      </c>
      <c r="BX23" s="87">
        <f t="shared" si="54"/>
        <v>90.867000000000004</v>
      </c>
      <c r="BY23" s="87">
        <f t="shared" si="55"/>
        <v>90.847999999999999</v>
      </c>
      <c r="BZ23" s="87">
        <f t="shared" si="56"/>
        <v>90.847999999999999</v>
      </c>
      <c r="CA23" s="88">
        <f t="shared" si="72"/>
        <v>90.847999999999999</v>
      </c>
      <c r="CB23" s="86"/>
      <c r="CC23" s="87"/>
      <c r="CD23" s="87"/>
      <c r="CE23" s="260"/>
      <c r="CF23" s="86">
        <f t="shared" si="57"/>
        <v>0</v>
      </c>
      <c r="CG23" s="87">
        <f t="shared" si="58"/>
        <v>0</v>
      </c>
      <c r="CH23" s="87">
        <f t="shared" si="59"/>
        <v>0</v>
      </c>
      <c r="CI23" s="87">
        <f t="shared" si="60"/>
        <v>0</v>
      </c>
      <c r="CJ23" s="87">
        <f t="shared" si="61"/>
        <v>228.45</v>
      </c>
      <c r="CK23" s="87">
        <f t="shared" si="62"/>
        <v>237.77600000000001</v>
      </c>
      <c r="CL23" s="87">
        <f t="shared" si="63"/>
        <v>182.52099999999999</v>
      </c>
      <c r="CM23" s="87">
        <f t="shared" si="64"/>
        <v>404.65199999999999</v>
      </c>
      <c r="CN23" s="87">
        <f t="shared" si="65"/>
        <v>306.11099999999999</v>
      </c>
      <c r="CO23" s="87">
        <f t="shared" si="66"/>
        <v>202.87700000000001</v>
      </c>
      <c r="CP23" s="87">
        <f t="shared" si="67"/>
        <v>117.393</v>
      </c>
      <c r="CQ23" s="87">
        <f t="shared" si="68"/>
        <v>67.715999999999994</v>
      </c>
      <c r="CR23" s="87">
        <f t="shared" si="69"/>
        <v>90.847999999999999</v>
      </c>
      <c r="CS23" s="88">
        <f t="shared" si="70"/>
        <v>90.847999999999999</v>
      </c>
      <c r="CT23" s="22"/>
    </row>
    <row r="24" spans="1:98" ht="14.25" customHeight="1">
      <c r="A24" s="8"/>
      <c r="B24" s="28" t="s">
        <v>447</v>
      </c>
      <c r="C24" s="29"/>
      <c r="D24" s="89">
        <v>0</v>
      </c>
      <c r="E24" s="90">
        <v>0</v>
      </c>
      <c r="F24" s="90">
        <v>0</v>
      </c>
      <c r="G24" s="91">
        <v>0</v>
      </c>
      <c r="H24" s="89">
        <v>0</v>
      </c>
      <c r="I24" s="90">
        <v>0</v>
      </c>
      <c r="J24" s="90">
        <v>0</v>
      </c>
      <c r="K24" s="91">
        <v>0</v>
      </c>
      <c r="L24" s="89">
        <v>0</v>
      </c>
      <c r="M24" s="90">
        <v>0</v>
      </c>
      <c r="N24" s="90">
        <v>0</v>
      </c>
      <c r="O24" s="91">
        <v>0</v>
      </c>
      <c r="P24" s="89">
        <v>0</v>
      </c>
      <c r="Q24" s="90">
        <v>0</v>
      </c>
      <c r="R24" s="90">
        <v>0</v>
      </c>
      <c r="S24" s="91">
        <v>26.71</v>
      </c>
      <c r="T24" s="89">
        <v>0</v>
      </c>
      <c r="U24" s="90">
        <v>0</v>
      </c>
      <c r="V24" s="90">
        <v>0</v>
      </c>
      <c r="W24" s="91">
        <v>226.22300000000001</v>
      </c>
      <c r="X24" s="90">
        <v>249.447</v>
      </c>
      <c r="Y24" s="90">
        <v>249.77699999999999</v>
      </c>
      <c r="Z24" s="90">
        <v>247.52600000000001</v>
      </c>
      <c r="AA24" s="90">
        <v>265.125</v>
      </c>
      <c r="AB24" s="89">
        <v>411.24099999999999</v>
      </c>
      <c r="AC24" s="90">
        <v>432.80900000000003</v>
      </c>
      <c r="AD24" s="90">
        <v>423.07299999999998</v>
      </c>
      <c r="AE24" s="91">
        <v>423.07299999999998</v>
      </c>
      <c r="AF24" s="90">
        <v>422.08300000000003</v>
      </c>
      <c r="AG24" s="90">
        <v>422.08300000000003</v>
      </c>
      <c r="AH24" s="90">
        <v>422.00400000000002</v>
      </c>
      <c r="AI24" s="91">
        <v>422.00400000000002</v>
      </c>
      <c r="AJ24" s="90">
        <v>422.00400000000002</v>
      </c>
      <c r="AK24" s="90">
        <v>596.89800000000002</v>
      </c>
      <c r="AL24" s="90">
        <v>597.67600000000004</v>
      </c>
      <c r="AM24" s="91">
        <v>596.63699999999994</v>
      </c>
      <c r="AN24" s="90">
        <v>595.44100000000003</v>
      </c>
      <c r="AO24" s="90">
        <v>511.83800000000002</v>
      </c>
      <c r="AP24" s="90">
        <v>511.82400000000001</v>
      </c>
      <c r="AQ24" s="91">
        <v>511.64699999999999</v>
      </c>
      <c r="AR24" s="90">
        <v>511.64699999999999</v>
      </c>
      <c r="AS24" s="90">
        <v>490.64800000000002</v>
      </c>
      <c r="AT24" s="90">
        <v>490.64800000000002</v>
      </c>
      <c r="AU24" s="91">
        <v>490.64800000000002</v>
      </c>
      <c r="AV24" s="90">
        <v>491.01499999999999</v>
      </c>
      <c r="AW24" s="90">
        <v>491.01499999999999</v>
      </c>
      <c r="AX24" s="90">
        <v>491.01499999999999</v>
      </c>
      <c r="AY24" s="91">
        <v>491.01499999999999</v>
      </c>
      <c r="AZ24" s="90">
        <v>491.01499999999999</v>
      </c>
      <c r="BA24" s="90">
        <v>491.01499999999999</v>
      </c>
      <c r="BB24" s="90">
        <v>532.904</v>
      </c>
      <c r="BC24" s="88">
        <f t="shared" si="73"/>
        <v>532.904</v>
      </c>
      <c r="BD24" s="87">
        <f t="shared" si="74"/>
        <v>532.904</v>
      </c>
      <c r="BE24" s="87">
        <f t="shared" si="74"/>
        <v>532.904</v>
      </c>
      <c r="BF24" s="87">
        <f t="shared" si="74"/>
        <v>532.904</v>
      </c>
      <c r="BG24" s="88">
        <f t="shared" si="74"/>
        <v>532.904</v>
      </c>
      <c r="BH24" s="87">
        <f t="shared" si="75"/>
        <v>532.904</v>
      </c>
      <c r="BI24" s="87">
        <f t="shared" si="75"/>
        <v>532.904</v>
      </c>
      <c r="BJ24" s="87">
        <f t="shared" si="75"/>
        <v>532.904</v>
      </c>
      <c r="BK24" s="88">
        <f t="shared" si="75"/>
        <v>532.904</v>
      </c>
      <c r="BL24" s="128"/>
      <c r="BM24" s="87">
        <f>G24</f>
        <v>0</v>
      </c>
      <c r="BN24" s="87">
        <f>K24</f>
        <v>0</v>
      </c>
      <c r="BO24" s="87">
        <f>O24</f>
        <v>0</v>
      </c>
      <c r="BP24" s="87">
        <f>S24</f>
        <v>26.71</v>
      </c>
      <c r="BQ24" s="87">
        <f>W24</f>
        <v>226.22300000000001</v>
      </c>
      <c r="BR24" s="87">
        <f>AA24</f>
        <v>265.125</v>
      </c>
      <c r="BS24" s="87">
        <f>AE24</f>
        <v>423.07299999999998</v>
      </c>
      <c r="BT24" s="87">
        <f>AI24</f>
        <v>422.00400000000002</v>
      </c>
      <c r="BU24" s="87">
        <f>AM24</f>
        <v>596.63699999999994</v>
      </c>
      <c r="BV24" s="87">
        <f t="shared" si="52"/>
        <v>511.64699999999999</v>
      </c>
      <c r="BW24" s="87">
        <f t="shared" si="53"/>
        <v>490.64800000000002</v>
      </c>
      <c r="BX24" s="87">
        <f t="shared" si="54"/>
        <v>491.01499999999999</v>
      </c>
      <c r="BY24" s="87">
        <f t="shared" si="55"/>
        <v>532.904</v>
      </c>
      <c r="BZ24" s="87">
        <f t="shared" si="56"/>
        <v>532.904</v>
      </c>
      <c r="CA24" s="88">
        <f t="shared" si="72"/>
        <v>532.904</v>
      </c>
      <c r="CB24" s="86"/>
      <c r="CC24" s="87"/>
      <c r="CD24" s="87"/>
      <c r="CE24" s="260"/>
      <c r="CF24" s="86">
        <f t="shared" si="57"/>
        <v>0</v>
      </c>
      <c r="CG24" s="87">
        <f t="shared" si="58"/>
        <v>0</v>
      </c>
      <c r="CH24" s="87">
        <f t="shared" si="59"/>
        <v>0</v>
      </c>
      <c r="CI24" s="87">
        <f t="shared" si="60"/>
        <v>0</v>
      </c>
      <c r="CJ24" s="87">
        <f t="shared" si="61"/>
        <v>249.77699999999999</v>
      </c>
      <c r="CK24" s="87">
        <f t="shared" si="62"/>
        <v>432.80900000000003</v>
      </c>
      <c r="CL24" s="87">
        <f t="shared" si="63"/>
        <v>422.08300000000003</v>
      </c>
      <c r="CM24" s="87">
        <f t="shared" si="64"/>
        <v>596.89800000000002</v>
      </c>
      <c r="CN24" s="87">
        <f t="shared" si="65"/>
        <v>511.83800000000002</v>
      </c>
      <c r="CO24" s="87">
        <f t="shared" si="66"/>
        <v>490.64800000000002</v>
      </c>
      <c r="CP24" s="87">
        <f t="shared" si="67"/>
        <v>491.01499999999999</v>
      </c>
      <c r="CQ24" s="87">
        <f t="shared" si="68"/>
        <v>491.01499999999999</v>
      </c>
      <c r="CR24" s="87">
        <f t="shared" si="69"/>
        <v>532.904</v>
      </c>
      <c r="CS24" s="88">
        <f t="shared" si="70"/>
        <v>532.904</v>
      </c>
      <c r="CT24" s="22"/>
    </row>
    <row r="25" spans="1:98" ht="14.25" customHeight="1">
      <c r="A25" s="8"/>
      <c r="B25" s="28" t="s">
        <v>2</v>
      </c>
      <c r="C25" s="29"/>
      <c r="D25" s="89">
        <v>0</v>
      </c>
      <c r="E25" s="90">
        <v>0</v>
      </c>
      <c r="F25" s="90">
        <v>0</v>
      </c>
      <c r="G25" s="91">
        <v>0</v>
      </c>
      <c r="H25" s="89">
        <v>0</v>
      </c>
      <c r="I25" s="90">
        <v>0</v>
      </c>
      <c r="J25" s="90">
        <v>0</v>
      </c>
      <c r="K25" s="91">
        <v>0</v>
      </c>
      <c r="L25" s="89">
        <v>0</v>
      </c>
      <c r="M25" s="90">
        <v>0</v>
      </c>
      <c r="N25" s="90">
        <v>0</v>
      </c>
      <c r="O25" s="91">
        <v>0</v>
      </c>
      <c r="P25" s="89">
        <v>0</v>
      </c>
      <c r="Q25" s="90">
        <v>0</v>
      </c>
      <c r="R25" s="90">
        <v>0</v>
      </c>
      <c r="S25" s="91">
        <v>0</v>
      </c>
      <c r="T25" s="89">
        <v>0</v>
      </c>
      <c r="U25" s="90">
        <v>0</v>
      </c>
      <c r="V25" s="90">
        <v>0</v>
      </c>
      <c r="W25" s="91">
        <v>0</v>
      </c>
      <c r="X25" s="90">
        <v>0</v>
      </c>
      <c r="Y25" s="90">
        <v>0</v>
      </c>
      <c r="Z25" s="90">
        <v>0</v>
      </c>
      <c r="AA25" s="91">
        <v>0</v>
      </c>
      <c r="AB25" s="90">
        <v>0</v>
      </c>
      <c r="AC25" s="90">
        <v>0</v>
      </c>
      <c r="AD25" s="90">
        <v>0</v>
      </c>
      <c r="AE25" s="91">
        <v>0</v>
      </c>
      <c r="AF25" s="90">
        <v>0</v>
      </c>
      <c r="AG25" s="90">
        <v>0</v>
      </c>
      <c r="AH25" s="90">
        <v>0</v>
      </c>
      <c r="AI25" s="91">
        <v>0</v>
      </c>
      <c r="AJ25" s="90">
        <v>0</v>
      </c>
      <c r="AK25" s="90">
        <v>0</v>
      </c>
      <c r="AL25" s="90">
        <v>0</v>
      </c>
      <c r="AM25" s="91">
        <v>0</v>
      </c>
      <c r="AN25" s="90">
        <v>0</v>
      </c>
      <c r="AO25" s="90">
        <v>0</v>
      </c>
      <c r="AP25" s="90">
        <v>0</v>
      </c>
      <c r="AQ25" s="91">
        <v>0</v>
      </c>
      <c r="AR25" s="90">
        <v>0</v>
      </c>
      <c r="AS25" s="90">
        <v>0</v>
      </c>
      <c r="AT25" s="90">
        <v>0</v>
      </c>
      <c r="AU25" s="91">
        <v>0</v>
      </c>
      <c r="AV25" s="90">
        <v>0</v>
      </c>
      <c r="AW25" s="90">
        <v>0</v>
      </c>
      <c r="AX25" s="90">
        <v>0</v>
      </c>
      <c r="AY25" s="91">
        <v>0</v>
      </c>
      <c r="AZ25" s="90">
        <v>0</v>
      </c>
      <c r="BA25" s="90">
        <v>0</v>
      </c>
      <c r="BB25" s="90">
        <v>0</v>
      </c>
      <c r="BC25" s="88">
        <f t="shared" si="73"/>
        <v>0</v>
      </c>
      <c r="BD25" s="87">
        <f t="shared" si="74"/>
        <v>0</v>
      </c>
      <c r="BE25" s="87">
        <f t="shared" si="74"/>
        <v>0</v>
      </c>
      <c r="BF25" s="87">
        <f t="shared" si="74"/>
        <v>0</v>
      </c>
      <c r="BG25" s="88">
        <f t="shared" si="74"/>
        <v>0</v>
      </c>
      <c r="BH25" s="87">
        <f t="shared" si="75"/>
        <v>0</v>
      </c>
      <c r="BI25" s="87">
        <f t="shared" si="75"/>
        <v>0</v>
      </c>
      <c r="BJ25" s="87">
        <f t="shared" si="75"/>
        <v>0</v>
      </c>
      <c r="BK25" s="88">
        <f t="shared" si="75"/>
        <v>0</v>
      </c>
      <c r="BL25" s="128"/>
      <c r="BM25" s="87">
        <f t="shared" si="43"/>
        <v>0</v>
      </c>
      <c r="BN25" s="87">
        <f t="shared" si="44"/>
        <v>0</v>
      </c>
      <c r="BO25" s="87">
        <f t="shared" si="45"/>
        <v>0</v>
      </c>
      <c r="BP25" s="87">
        <f t="shared" si="46"/>
        <v>0</v>
      </c>
      <c r="BQ25" s="87">
        <f t="shared" si="47"/>
        <v>0</v>
      </c>
      <c r="BR25" s="87">
        <f t="shared" si="48"/>
        <v>0</v>
      </c>
      <c r="BS25" s="87">
        <f t="shared" si="49"/>
        <v>0</v>
      </c>
      <c r="BT25" s="87">
        <f t="shared" si="50"/>
        <v>0</v>
      </c>
      <c r="BU25" s="87">
        <f t="shared" si="51"/>
        <v>0</v>
      </c>
      <c r="BV25" s="87">
        <f t="shared" si="52"/>
        <v>0</v>
      </c>
      <c r="BW25" s="87">
        <f t="shared" si="53"/>
        <v>0</v>
      </c>
      <c r="BX25" s="87">
        <f t="shared" si="54"/>
        <v>0</v>
      </c>
      <c r="BY25" s="87">
        <f t="shared" si="55"/>
        <v>0</v>
      </c>
      <c r="BZ25" s="87">
        <f t="shared" si="56"/>
        <v>0</v>
      </c>
      <c r="CA25" s="88">
        <f t="shared" si="72"/>
        <v>0</v>
      </c>
      <c r="CB25" s="86"/>
      <c r="CC25" s="87"/>
      <c r="CD25" s="87"/>
      <c r="CE25" s="260"/>
      <c r="CF25" s="86">
        <f t="shared" si="57"/>
        <v>0</v>
      </c>
      <c r="CG25" s="87">
        <f t="shared" si="58"/>
        <v>0</v>
      </c>
      <c r="CH25" s="87">
        <f t="shared" si="59"/>
        <v>0</v>
      </c>
      <c r="CI25" s="87">
        <f t="shared" si="60"/>
        <v>0</v>
      </c>
      <c r="CJ25" s="87">
        <f t="shared" si="61"/>
        <v>0</v>
      </c>
      <c r="CK25" s="87">
        <f t="shared" si="62"/>
        <v>0</v>
      </c>
      <c r="CL25" s="87">
        <f t="shared" si="63"/>
        <v>0</v>
      </c>
      <c r="CM25" s="87">
        <f t="shared" si="64"/>
        <v>0</v>
      </c>
      <c r="CN25" s="87">
        <f t="shared" si="65"/>
        <v>0</v>
      </c>
      <c r="CO25" s="87">
        <f t="shared" si="66"/>
        <v>0</v>
      </c>
      <c r="CP25" s="87">
        <f t="shared" si="67"/>
        <v>0</v>
      </c>
      <c r="CQ25" s="87">
        <f t="shared" si="68"/>
        <v>0</v>
      </c>
      <c r="CR25" s="87">
        <f t="shared" si="69"/>
        <v>0</v>
      </c>
      <c r="CS25" s="88">
        <f t="shared" si="70"/>
        <v>0</v>
      </c>
      <c r="CT25" s="22"/>
    </row>
    <row r="26" spans="1:98" ht="14.25" customHeight="1">
      <c r="A26" s="8"/>
      <c r="B26" s="28" t="s">
        <v>580</v>
      </c>
      <c r="C26" s="29"/>
      <c r="D26" s="89">
        <v>28.85</v>
      </c>
      <c r="E26" s="90">
        <v>29.628</v>
      </c>
      <c r="F26" s="90">
        <v>39.459000000000003</v>
      </c>
      <c r="G26" s="91">
        <v>69.936999999999998</v>
      </c>
      <c r="H26" s="89">
        <v>109.209</v>
      </c>
      <c r="I26" s="90">
        <v>87.774000000000001</v>
      </c>
      <c r="J26" s="90">
        <v>96.2</v>
      </c>
      <c r="K26" s="91">
        <v>104.938</v>
      </c>
      <c r="L26" s="89">
        <v>142.31</v>
      </c>
      <c r="M26" s="90">
        <v>155.84100000000001</v>
      </c>
      <c r="N26" s="90">
        <v>167.32900000000001</v>
      </c>
      <c r="O26" s="91">
        <v>176.62899999999999</v>
      </c>
      <c r="P26" s="89">
        <v>168.39500000000001</v>
      </c>
      <c r="Q26" s="90">
        <v>110.05200000000001</v>
      </c>
      <c r="R26" s="90">
        <v>140.45500000000001</v>
      </c>
      <c r="S26" s="91">
        <v>27.766999999999999</v>
      </c>
      <c r="T26" s="89">
        <v>130.03899999999999</v>
      </c>
      <c r="U26" s="90">
        <v>125.06</v>
      </c>
      <c r="V26" s="90">
        <v>120.575</v>
      </c>
      <c r="W26" s="91">
        <v>30.324999999999999</v>
      </c>
      <c r="X26" s="90">
        <v>29.968</v>
      </c>
      <c r="Y26" s="90">
        <v>27.625</v>
      </c>
      <c r="Z26" s="90">
        <v>25.797999999999998</v>
      </c>
      <c r="AA26" s="91">
        <v>21.652999999999999</v>
      </c>
      <c r="AB26" s="90">
        <v>20.552</v>
      </c>
      <c r="AC26" s="90">
        <v>19.055</v>
      </c>
      <c r="AD26" s="90">
        <v>26.263999999999999</v>
      </c>
      <c r="AE26" s="91">
        <v>52.988</v>
      </c>
      <c r="AF26" s="90">
        <v>60.402999999999999</v>
      </c>
      <c r="AG26" s="90">
        <v>50.94</v>
      </c>
      <c r="AH26" s="90">
        <v>41.66</v>
      </c>
      <c r="AI26" s="91">
        <v>43.73</v>
      </c>
      <c r="AJ26" s="90">
        <v>40.063000000000002</v>
      </c>
      <c r="AK26" s="90">
        <v>42.802999999999997</v>
      </c>
      <c r="AL26" s="90">
        <v>38.176000000000002</v>
      </c>
      <c r="AM26" s="91">
        <v>29.765999999999998</v>
      </c>
      <c r="AN26" s="90">
        <v>40.127000000000002</v>
      </c>
      <c r="AO26" s="90">
        <v>38.265000000000001</v>
      </c>
      <c r="AP26" s="90">
        <v>36.231000000000002</v>
      </c>
      <c r="AQ26" s="91">
        <v>43.765000000000001</v>
      </c>
      <c r="AR26" s="90">
        <v>107.19</v>
      </c>
      <c r="AS26" s="90">
        <f>64.105+82.674</f>
        <v>146.779</v>
      </c>
      <c r="AT26" s="90">
        <f>77.886+13.733</f>
        <v>91.619</v>
      </c>
      <c r="AU26" s="91">
        <f>84.1+13.729</f>
        <v>97.828999999999994</v>
      </c>
      <c r="AV26" s="90">
        <f>54.89+2.854</f>
        <v>57.744</v>
      </c>
      <c r="AW26" s="90">
        <f>55.188+1.156</f>
        <v>56.344000000000001</v>
      </c>
      <c r="AX26" s="90">
        <f>69.689+1.156</f>
        <v>70.844999999999999</v>
      </c>
      <c r="AY26" s="91">
        <f>72.974+3.202</f>
        <v>76.176000000000002</v>
      </c>
      <c r="AZ26" s="90">
        <f>59.246+2.691</f>
        <v>61.937000000000005</v>
      </c>
      <c r="BA26" s="90">
        <v>65.242999999999995</v>
      </c>
      <c r="BB26" s="90">
        <v>69.427999999999997</v>
      </c>
      <c r="BC26" s="88">
        <f t="shared" si="73"/>
        <v>69.427999999999997</v>
      </c>
      <c r="BD26" s="87">
        <f t="shared" si="74"/>
        <v>69.427999999999997</v>
      </c>
      <c r="BE26" s="87">
        <f t="shared" si="74"/>
        <v>69.427999999999997</v>
      </c>
      <c r="BF26" s="87">
        <f t="shared" si="74"/>
        <v>69.427999999999997</v>
      </c>
      <c r="BG26" s="88">
        <f t="shared" si="74"/>
        <v>69.427999999999997</v>
      </c>
      <c r="BH26" s="87">
        <f t="shared" si="75"/>
        <v>69.427999999999997</v>
      </c>
      <c r="BI26" s="87">
        <f t="shared" si="75"/>
        <v>69.427999999999997</v>
      </c>
      <c r="BJ26" s="87">
        <f t="shared" si="75"/>
        <v>69.427999999999997</v>
      </c>
      <c r="BK26" s="88">
        <f t="shared" si="75"/>
        <v>69.427999999999997</v>
      </c>
      <c r="BL26" s="128"/>
      <c r="BM26" s="87">
        <f t="shared" si="43"/>
        <v>69.936999999999998</v>
      </c>
      <c r="BN26" s="87">
        <f t="shared" si="44"/>
        <v>104.938</v>
      </c>
      <c r="BO26" s="87">
        <f t="shared" si="45"/>
        <v>176.62899999999999</v>
      </c>
      <c r="BP26" s="87">
        <f t="shared" si="46"/>
        <v>27.766999999999999</v>
      </c>
      <c r="BQ26" s="87">
        <f t="shared" si="47"/>
        <v>30.324999999999999</v>
      </c>
      <c r="BR26" s="87">
        <f t="shared" si="48"/>
        <v>21.652999999999999</v>
      </c>
      <c r="BS26" s="87">
        <f t="shared" si="49"/>
        <v>52.988</v>
      </c>
      <c r="BT26" s="87">
        <f t="shared" si="50"/>
        <v>43.73</v>
      </c>
      <c r="BU26" s="87">
        <f t="shared" si="51"/>
        <v>29.765999999999998</v>
      </c>
      <c r="BV26" s="87">
        <f t="shared" si="52"/>
        <v>43.765000000000001</v>
      </c>
      <c r="BW26" s="87">
        <f t="shared" si="53"/>
        <v>97.828999999999994</v>
      </c>
      <c r="BX26" s="87">
        <f t="shared" si="54"/>
        <v>76.176000000000002</v>
      </c>
      <c r="BY26" s="87">
        <f t="shared" si="55"/>
        <v>69.427999999999997</v>
      </c>
      <c r="BZ26" s="87">
        <f t="shared" si="56"/>
        <v>69.427999999999997</v>
      </c>
      <c r="CA26" s="88">
        <f t="shared" si="72"/>
        <v>69.427999999999997</v>
      </c>
      <c r="CB26" s="86"/>
      <c r="CC26" s="87"/>
      <c r="CD26" s="87"/>
      <c r="CE26" s="260"/>
      <c r="CF26" s="86">
        <f t="shared" si="57"/>
        <v>87.774000000000001</v>
      </c>
      <c r="CG26" s="87">
        <f t="shared" si="58"/>
        <v>155.84100000000001</v>
      </c>
      <c r="CH26" s="87">
        <f t="shared" si="59"/>
        <v>110.05200000000001</v>
      </c>
      <c r="CI26" s="87">
        <f t="shared" si="60"/>
        <v>125.06</v>
      </c>
      <c r="CJ26" s="87">
        <f t="shared" si="61"/>
        <v>27.625</v>
      </c>
      <c r="CK26" s="87">
        <f t="shared" si="62"/>
        <v>19.055</v>
      </c>
      <c r="CL26" s="87">
        <f t="shared" si="63"/>
        <v>50.94</v>
      </c>
      <c r="CM26" s="87">
        <f t="shared" si="64"/>
        <v>42.802999999999997</v>
      </c>
      <c r="CN26" s="87">
        <f t="shared" si="65"/>
        <v>38.265000000000001</v>
      </c>
      <c r="CO26" s="87">
        <f t="shared" si="66"/>
        <v>146.779</v>
      </c>
      <c r="CP26" s="87">
        <f t="shared" si="67"/>
        <v>56.344000000000001</v>
      </c>
      <c r="CQ26" s="87">
        <f t="shared" si="68"/>
        <v>65.242999999999995</v>
      </c>
      <c r="CR26" s="87">
        <f t="shared" si="69"/>
        <v>69.427999999999997</v>
      </c>
      <c r="CS26" s="88">
        <f t="shared" si="70"/>
        <v>69.427999999999997</v>
      </c>
      <c r="CT26" s="22"/>
    </row>
    <row r="27" spans="1:98" ht="14.25" customHeight="1">
      <c r="A27" s="8"/>
      <c r="B27" s="1369" t="s">
        <v>448</v>
      </c>
      <c r="C27" s="1370"/>
      <c r="D27" s="143">
        <f t="shared" ref="D27:AK27" si="76">SUM(D19:D26)+D17</f>
        <v>3154.2240000000002</v>
      </c>
      <c r="E27" s="141">
        <f t="shared" si="76"/>
        <v>2957.0329999999999</v>
      </c>
      <c r="F27" s="141">
        <f t="shared" si="76"/>
        <v>3041.556</v>
      </c>
      <c r="G27" s="142">
        <f t="shared" si="76"/>
        <v>3286.5370000000003</v>
      </c>
      <c r="H27" s="143">
        <f t="shared" si="76"/>
        <v>3480.2370000000001</v>
      </c>
      <c r="I27" s="141">
        <f t="shared" si="76"/>
        <v>3483.4490000000001</v>
      </c>
      <c r="J27" s="141">
        <f t="shared" si="76"/>
        <v>3523.0560000000005</v>
      </c>
      <c r="K27" s="142">
        <f t="shared" si="76"/>
        <v>3606.7839999999997</v>
      </c>
      <c r="L27" s="143">
        <f t="shared" si="76"/>
        <v>3742.0690000000004</v>
      </c>
      <c r="M27" s="141">
        <f t="shared" si="76"/>
        <v>3638.5949999999998</v>
      </c>
      <c r="N27" s="141">
        <f t="shared" si="76"/>
        <v>3674.018</v>
      </c>
      <c r="O27" s="142">
        <f t="shared" si="76"/>
        <v>3708.3900000000003</v>
      </c>
      <c r="P27" s="143">
        <f t="shared" si="76"/>
        <v>3700.7629999999999</v>
      </c>
      <c r="Q27" s="141">
        <f t="shared" si="76"/>
        <v>3209.982</v>
      </c>
      <c r="R27" s="141">
        <f t="shared" si="76"/>
        <v>3129.9279999999999</v>
      </c>
      <c r="S27" s="142">
        <f t="shared" si="76"/>
        <v>3081.7750000000001</v>
      </c>
      <c r="T27" s="143">
        <f t="shared" si="76"/>
        <v>3061.3069999999998</v>
      </c>
      <c r="U27" s="141">
        <f t="shared" si="76"/>
        <v>2998.4520000000002</v>
      </c>
      <c r="V27" s="141">
        <f t="shared" si="76"/>
        <v>3078.6729999999998</v>
      </c>
      <c r="W27" s="142">
        <f t="shared" si="76"/>
        <v>3482.3249999999998</v>
      </c>
      <c r="X27" s="141">
        <f t="shared" si="76"/>
        <v>3305.1030000000001</v>
      </c>
      <c r="Y27" s="141">
        <f t="shared" si="76"/>
        <v>3365.6930000000002</v>
      </c>
      <c r="Z27" s="141">
        <f t="shared" si="76"/>
        <v>3452.4170000000004</v>
      </c>
      <c r="AA27" s="142">
        <f t="shared" si="76"/>
        <v>3527.7430000000004</v>
      </c>
      <c r="AB27" s="143">
        <f t="shared" si="76"/>
        <v>3521.5829999999996</v>
      </c>
      <c r="AC27" s="141">
        <f t="shared" si="76"/>
        <v>3520.6549999999997</v>
      </c>
      <c r="AD27" s="141">
        <f t="shared" si="76"/>
        <v>3670.2370000000001</v>
      </c>
      <c r="AE27" s="142">
        <f t="shared" si="76"/>
        <v>3737.9459999999999</v>
      </c>
      <c r="AF27" s="141">
        <f t="shared" si="76"/>
        <v>3704.5740000000005</v>
      </c>
      <c r="AG27" s="141">
        <f t="shared" si="76"/>
        <v>3738.5529999999999</v>
      </c>
      <c r="AH27" s="141">
        <f t="shared" si="76"/>
        <v>4334.1180000000004</v>
      </c>
      <c r="AI27" s="142">
        <f t="shared" si="76"/>
        <v>3935.91</v>
      </c>
      <c r="AJ27" s="141">
        <f t="shared" si="76"/>
        <v>3763.9970000000003</v>
      </c>
      <c r="AK27" s="141">
        <f t="shared" si="76"/>
        <v>4306.8820000000005</v>
      </c>
      <c r="AL27" s="141">
        <f t="shared" ref="AL27:AQ27" si="77">SUM(AL19:AL26)+AL17</f>
        <v>4354.5649999999996</v>
      </c>
      <c r="AM27" s="142">
        <f t="shared" si="77"/>
        <v>4405.6179999999995</v>
      </c>
      <c r="AN27" s="141">
        <f t="shared" si="77"/>
        <v>4305.125</v>
      </c>
      <c r="AO27" s="141">
        <f t="shared" si="77"/>
        <v>4124.527</v>
      </c>
      <c r="AP27" s="141">
        <f t="shared" si="77"/>
        <v>4167.7170000000006</v>
      </c>
      <c r="AQ27" s="142">
        <f t="shared" si="77"/>
        <v>4228.384</v>
      </c>
      <c r="AR27" s="141">
        <f t="shared" ref="AR27:BC27" si="78">SUM(AR19:AR26)+AR17</f>
        <v>3944.886</v>
      </c>
      <c r="AS27" s="141">
        <f t="shared" si="78"/>
        <v>3937.4810000000002</v>
      </c>
      <c r="AT27" s="141">
        <f t="shared" si="78"/>
        <v>3981.4679999999998</v>
      </c>
      <c r="AU27" s="142">
        <f t="shared" si="78"/>
        <v>4234.616</v>
      </c>
      <c r="AV27" s="141">
        <f>SUM(AV19:AV26)+AV17</f>
        <v>4192.616</v>
      </c>
      <c r="AW27" s="141">
        <f>SUM(AW19:AW26)+AW17</f>
        <v>3947.9740000000002</v>
      </c>
      <c r="AX27" s="141">
        <f t="shared" si="78"/>
        <v>4017.7830000000004</v>
      </c>
      <c r="AY27" s="142">
        <f>SUM(AY19:AY26)+AY17</f>
        <v>4570.2330000000002</v>
      </c>
      <c r="AZ27" s="141">
        <f>SUM(AZ19:AZ26)+AZ17</f>
        <v>4536.0060000000003</v>
      </c>
      <c r="BA27" s="141">
        <f>SUM(BA19:BA26)+BA17</f>
        <v>4564.5119999999997</v>
      </c>
      <c r="BB27" s="141">
        <f t="shared" ref="BB27" si="79">SUM(BB19:BB26)+BB17</f>
        <v>4623.1949999999997</v>
      </c>
      <c r="BC27" s="142">
        <f t="shared" si="78"/>
        <v>4559.5983557426553</v>
      </c>
      <c r="BD27" s="141">
        <f t="shared" ref="BD27:BK27" si="80">SUM(BD19:BD26)+BD17</f>
        <v>4492.2368809330637</v>
      </c>
      <c r="BE27" s="141">
        <f t="shared" si="80"/>
        <v>4432.0765955957158</v>
      </c>
      <c r="BF27" s="141">
        <f t="shared" si="80"/>
        <v>4393.231199043219</v>
      </c>
      <c r="BG27" s="142">
        <f t="shared" si="80"/>
        <v>4356.5316693482528</v>
      </c>
      <c r="BH27" s="141">
        <f t="shared" si="80"/>
        <v>4313.0517809014818</v>
      </c>
      <c r="BI27" s="141">
        <f t="shared" si="80"/>
        <v>4270.4301426429511</v>
      </c>
      <c r="BJ27" s="141">
        <f t="shared" si="80"/>
        <v>4244.5765010968225</v>
      </c>
      <c r="BK27" s="142">
        <f t="shared" si="80"/>
        <v>4227.9948213503903</v>
      </c>
      <c r="BL27" s="128"/>
      <c r="BM27" s="141">
        <f t="shared" ref="BM27:BW27" si="81">SUM(BM19:BM26)+BM17</f>
        <v>3286.5370000000003</v>
      </c>
      <c r="BN27" s="141">
        <f t="shared" si="81"/>
        <v>3606.7839999999997</v>
      </c>
      <c r="BO27" s="141">
        <f t="shared" si="81"/>
        <v>3708.3900000000003</v>
      </c>
      <c r="BP27" s="141">
        <f t="shared" si="81"/>
        <v>3081.7750000000001</v>
      </c>
      <c r="BQ27" s="141">
        <f t="shared" si="81"/>
        <v>3482.3249999999998</v>
      </c>
      <c r="BR27" s="141">
        <f t="shared" si="81"/>
        <v>3527.7430000000004</v>
      </c>
      <c r="BS27" s="141">
        <f t="shared" si="81"/>
        <v>3737.9459999999999</v>
      </c>
      <c r="BT27" s="141">
        <f t="shared" si="81"/>
        <v>3935.91</v>
      </c>
      <c r="BU27" s="141">
        <f t="shared" si="81"/>
        <v>4405.6179999999995</v>
      </c>
      <c r="BV27" s="141">
        <f t="shared" si="81"/>
        <v>4228.384</v>
      </c>
      <c r="BW27" s="141">
        <f t="shared" si="81"/>
        <v>4234.616</v>
      </c>
      <c r="BX27" s="141">
        <f>SUM(BX19:BX26)+BX17</f>
        <v>4570.2330000000002</v>
      </c>
      <c r="BY27" s="141">
        <f>SUM(BY19:BY26)+BY17</f>
        <v>4559.5983557426553</v>
      </c>
      <c r="BZ27" s="141">
        <f>SUM(BZ19:BZ26)+BZ17</f>
        <v>4356.5316693482528</v>
      </c>
      <c r="CA27" s="142">
        <f>SUM(CA19:CA26)+CA17</f>
        <v>4227.9948213503903</v>
      </c>
      <c r="CB27" s="147"/>
      <c r="CC27" s="136"/>
      <c r="CD27" s="136"/>
      <c r="CE27" s="260"/>
      <c r="CF27" s="143">
        <f t="shared" ref="CF27:CO27" si="82">SUM(CF19:CF26)+CF17</f>
        <v>3483.4490000000001</v>
      </c>
      <c r="CG27" s="141">
        <f t="shared" si="82"/>
        <v>3638.5949999999998</v>
      </c>
      <c r="CH27" s="141">
        <f t="shared" si="82"/>
        <v>3209.982</v>
      </c>
      <c r="CI27" s="141">
        <f t="shared" si="82"/>
        <v>2998.4520000000002</v>
      </c>
      <c r="CJ27" s="141">
        <f t="shared" si="82"/>
        <v>3365.6930000000002</v>
      </c>
      <c r="CK27" s="141">
        <f t="shared" si="82"/>
        <v>3520.6549999999997</v>
      </c>
      <c r="CL27" s="141">
        <f t="shared" si="82"/>
        <v>3738.5529999999999</v>
      </c>
      <c r="CM27" s="141">
        <f t="shared" si="82"/>
        <v>4306.8820000000005</v>
      </c>
      <c r="CN27" s="141">
        <f t="shared" si="82"/>
        <v>4124.527</v>
      </c>
      <c r="CO27" s="141">
        <f t="shared" si="82"/>
        <v>3937.4810000000002</v>
      </c>
      <c r="CP27" s="141">
        <f>SUM(CP19:CP26)+CP17</f>
        <v>3947.9740000000002</v>
      </c>
      <c r="CQ27" s="141">
        <f>SUM(CQ19:CQ26)+CQ17</f>
        <v>4564.5119999999997</v>
      </c>
      <c r="CR27" s="141">
        <f>SUM(CR19:CR26)+CR17</f>
        <v>4432.0765955957158</v>
      </c>
      <c r="CS27" s="142">
        <f>SUM(CS19:CS26)+CS17</f>
        <v>4270.4301426429511</v>
      </c>
      <c r="CT27" s="22"/>
    </row>
    <row r="28" spans="1:98" ht="14.25" customHeight="1">
      <c r="A28" s="8"/>
      <c r="B28" s="79"/>
      <c r="C28" s="80"/>
      <c r="D28" s="81"/>
      <c r="E28" s="82"/>
      <c r="F28" s="82"/>
      <c r="G28" s="83"/>
      <c r="H28" s="81"/>
      <c r="I28" s="82"/>
      <c r="J28" s="82"/>
      <c r="K28" s="83"/>
      <c r="L28" s="81"/>
      <c r="M28" s="82"/>
      <c r="N28" s="82"/>
      <c r="O28" s="83"/>
      <c r="P28" s="81"/>
      <c r="Q28" s="82"/>
      <c r="R28" s="82"/>
      <c r="S28" s="83"/>
      <c r="T28" s="81"/>
      <c r="U28" s="82"/>
      <c r="V28" s="82"/>
      <c r="W28" s="83"/>
      <c r="X28" s="82"/>
      <c r="Y28" s="82"/>
      <c r="Z28" s="82"/>
      <c r="AA28" s="82"/>
      <c r="AB28" s="81"/>
      <c r="AC28" s="82"/>
      <c r="AD28" s="82"/>
      <c r="AE28" s="83"/>
      <c r="AF28" s="82"/>
      <c r="AG28" s="82"/>
      <c r="AH28" s="82"/>
      <c r="AI28" s="83"/>
      <c r="AJ28" s="82"/>
      <c r="AK28" s="82"/>
      <c r="AL28" s="82"/>
      <c r="AM28" s="83"/>
      <c r="AN28" s="82"/>
      <c r="AO28" s="82"/>
      <c r="AP28" s="82"/>
      <c r="AQ28" s="83"/>
      <c r="AR28" s="82"/>
      <c r="AS28" s="82"/>
      <c r="AT28" s="82"/>
      <c r="AU28" s="83"/>
      <c r="AV28" s="82"/>
      <c r="AW28" s="82"/>
      <c r="AX28" s="82"/>
      <c r="AY28" s="83"/>
      <c r="AZ28" s="82"/>
      <c r="BA28" s="82"/>
      <c r="BB28" s="82"/>
      <c r="BC28" s="83"/>
      <c r="BD28" s="82"/>
      <c r="BE28" s="82"/>
      <c r="BF28" s="82"/>
      <c r="BG28" s="83"/>
      <c r="BH28" s="82"/>
      <c r="BI28" s="82"/>
      <c r="BJ28" s="82"/>
      <c r="BK28" s="83"/>
      <c r="BL28" s="128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3"/>
      <c r="CB28" s="89"/>
      <c r="CC28" s="90"/>
      <c r="CD28" s="90"/>
      <c r="CE28" s="260"/>
      <c r="CF28" s="81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3"/>
      <c r="CT28" s="22"/>
    </row>
    <row r="29" spans="1:98" ht="14.25" customHeight="1">
      <c r="A29" s="8"/>
      <c r="B29" s="1365" t="s">
        <v>449</v>
      </c>
      <c r="C29" s="1366"/>
      <c r="D29" s="89"/>
      <c r="E29" s="90"/>
      <c r="F29" s="90"/>
      <c r="G29" s="91"/>
      <c r="H29" s="89"/>
      <c r="I29" s="90"/>
      <c r="J29" s="90"/>
      <c r="K29" s="91"/>
      <c r="L29" s="89"/>
      <c r="M29" s="90"/>
      <c r="N29" s="90"/>
      <c r="O29" s="91"/>
      <c r="P29" s="89"/>
      <c r="Q29" s="90"/>
      <c r="R29" s="90"/>
      <c r="S29" s="91"/>
      <c r="T29" s="89"/>
      <c r="U29" s="90"/>
      <c r="V29" s="90"/>
      <c r="W29" s="91"/>
      <c r="X29" s="90"/>
      <c r="Y29" s="90"/>
      <c r="Z29" s="90"/>
      <c r="AA29" s="90"/>
      <c r="AB29" s="89"/>
      <c r="AC29" s="90"/>
      <c r="AD29" s="90"/>
      <c r="AE29" s="91"/>
      <c r="AF29" s="90"/>
      <c r="AG29" s="90"/>
      <c r="AH29" s="90"/>
      <c r="AI29" s="91"/>
      <c r="AJ29" s="90"/>
      <c r="AK29" s="90"/>
      <c r="AL29" s="90"/>
      <c r="AM29" s="91"/>
      <c r="AN29" s="90"/>
      <c r="AO29" s="90"/>
      <c r="AP29" s="90"/>
      <c r="AQ29" s="91"/>
      <c r="AR29" s="90"/>
      <c r="AS29" s="90"/>
      <c r="AT29" s="90"/>
      <c r="AU29" s="91"/>
      <c r="AV29" s="90"/>
      <c r="AW29" s="90"/>
      <c r="AX29" s="90"/>
      <c r="AY29" s="91"/>
      <c r="AZ29" s="90"/>
      <c r="BA29" s="90"/>
      <c r="BB29" s="90"/>
      <c r="BC29" s="91"/>
      <c r="BD29" s="90"/>
      <c r="BE29" s="90"/>
      <c r="BF29" s="90"/>
      <c r="BG29" s="91"/>
      <c r="BH29" s="90"/>
      <c r="BI29" s="90"/>
      <c r="BJ29" s="90"/>
      <c r="BK29" s="91"/>
      <c r="BL29" s="128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1"/>
      <c r="CB29" s="89"/>
      <c r="CC29" s="90"/>
      <c r="CD29" s="90"/>
      <c r="CE29" s="260"/>
      <c r="CF29" s="89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1"/>
      <c r="CT29" s="22"/>
    </row>
    <row r="30" spans="1:98" ht="14.25" customHeight="1">
      <c r="A30" s="8"/>
      <c r="B30" s="28" t="s">
        <v>450</v>
      </c>
      <c r="C30" s="29"/>
      <c r="D30" s="89">
        <v>64.694999999999993</v>
      </c>
      <c r="E30" s="90">
        <v>77.042000000000002</v>
      </c>
      <c r="F30" s="90">
        <v>82.516000000000005</v>
      </c>
      <c r="G30" s="91">
        <v>127.081</v>
      </c>
      <c r="H30" s="89">
        <v>138.78299999999999</v>
      </c>
      <c r="I30" s="90">
        <v>101.254</v>
      </c>
      <c r="J30" s="90">
        <v>118.997</v>
      </c>
      <c r="K30" s="91">
        <v>93.772999999999996</v>
      </c>
      <c r="L30" s="89">
        <v>105.33799999999999</v>
      </c>
      <c r="M30" s="90">
        <v>90.287999999999997</v>
      </c>
      <c r="N30" s="90">
        <v>77.498999999999995</v>
      </c>
      <c r="O30" s="91">
        <v>79.673000000000002</v>
      </c>
      <c r="P30" s="89">
        <v>86.537999999999997</v>
      </c>
      <c r="Q30" s="90">
        <v>81.656999999999996</v>
      </c>
      <c r="R30" s="90">
        <v>63.395000000000003</v>
      </c>
      <c r="S30" s="91">
        <v>70.087000000000003</v>
      </c>
      <c r="T30" s="89">
        <v>57.966000000000001</v>
      </c>
      <c r="U30" s="90">
        <v>69.254999999999995</v>
      </c>
      <c r="V30" s="90">
        <v>79.350999999999999</v>
      </c>
      <c r="W30" s="91">
        <v>107.797</v>
      </c>
      <c r="X30" s="90">
        <v>120.345</v>
      </c>
      <c r="Y30" s="90">
        <v>96.468999999999994</v>
      </c>
      <c r="Z30" s="90">
        <v>107.444</v>
      </c>
      <c r="AA30" s="91">
        <v>110.15300000000001</v>
      </c>
      <c r="AB30" s="89">
        <v>126.794</v>
      </c>
      <c r="AC30" s="90">
        <v>118.42700000000001</v>
      </c>
      <c r="AD30" s="90">
        <v>132.90600000000001</v>
      </c>
      <c r="AE30" s="91">
        <v>147.08600000000001</v>
      </c>
      <c r="AF30" s="90">
        <v>127.306</v>
      </c>
      <c r="AG30" s="90">
        <v>110.495</v>
      </c>
      <c r="AH30" s="90">
        <v>114.629</v>
      </c>
      <c r="AI30" s="91">
        <v>105.322</v>
      </c>
      <c r="AJ30" s="90">
        <v>101.06</v>
      </c>
      <c r="AK30" s="90">
        <v>99.009</v>
      </c>
      <c r="AL30" s="90">
        <v>94.314999999999998</v>
      </c>
      <c r="AM30" s="91">
        <v>102.07599999999999</v>
      </c>
      <c r="AN30" s="90">
        <v>96.346999999999994</v>
      </c>
      <c r="AO30" s="90">
        <v>82.525999999999996</v>
      </c>
      <c r="AP30" s="90">
        <v>85.361000000000004</v>
      </c>
      <c r="AQ30" s="91">
        <v>88.322000000000003</v>
      </c>
      <c r="AR30" s="90">
        <v>80.751999999999995</v>
      </c>
      <c r="AS30" s="90">
        <v>74.144999999999996</v>
      </c>
      <c r="AT30" s="90">
        <v>82.695999999999998</v>
      </c>
      <c r="AU30" s="91">
        <v>82.534999999999997</v>
      </c>
      <c r="AV30" s="90">
        <v>83.588999999999999</v>
      </c>
      <c r="AW30" s="90">
        <v>70.504999999999995</v>
      </c>
      <c r="AX30" s="90">
        <v>82.938000000000002</v>
      </c>
      <c r="AY30" s="91">
        <v>77.373000000000005</v>
      </c>
      <c r="AZ30" s="90">
        <v>66.915000000000006</v>
      </c>
      <c r="BA30" s="90">
        <v>84.77</v>
      </c>
      <c r="BB30" s="90">
        <v>84.406999999999996</v>
      </c>
      <c r="BC30" s="88">
        <f t="shared" ref="BC30:BG30" si="83">BC56/360*BC60*4</f>
        <v>82.231452518295953</v>
      </c>
      <c r="BD30" s="87">
        <f t="shared" si="83"/>
        <v>76.178600734872248</v>
      </c>
      <c r="BE30" s="87">
        <f t="shared" si="83"/>
        <v>76.089997983407443</v>
      </c>
      <c r="BF30" s="87">
        <f t="shared" si="83"/>
        <v>79.581205310909041</v>
      </c>
      <c r="BG30" s="88">
        <f t="shared" si="83"/>
        <v>79.684984690570104</v>
      </c>
      <c r="BH30" s="87">
        <f>BH56/360*BH60*4</f>
        <v>78.648325843694764</v>
      </c>
      <c r="BI30" s="87">
        <f>BI56/360*BI60*4</f>
        <v>78.587915512637991</v>
      </c>
      <c r="BJ30" s="87">
        <f>BJ56/360*BJ60*4</f>
        <v>81.281372784157782</v>
      </c>
      <c r="BK30" s="88">
        <f>BK56/360*BK60*4</f>
        <v>82.925686393017159</v>
      </c>
      <c r="BL30" s="128"/>
      <c r="BM30" s="87">
        <f t="shared" ref="BM30:BM36" si="84">G30</f>
        <v>127.081</v>
      </c>
      <c r="BN30" s="87">
        <f t="shared" ref="BN30:BN36" si="85">K30</f>
        <v>93.772999999999996</v>
      </c>
      <c r="BO30" s="87">
        <f t="shared" ref="BO30:BO36" si="86">O30</f>
        <v>79.673000000000002</v>
      </c>
      <c r="BP30" s="87">
        <f t="shared" ref="BP30:BP36" si="87">S30</f>
        <v>70.087000000000003</v>
      </c>
      <c r="BQ30" s="87">
        <f t="shared" ref="BQ30:BQ36" si="88">W30</f>
        <v>107.797</v>
      </c>
      <c r="BR30" s="87">
        <f t="shared" ref="BR30:BR36" si="89">AA30</f>
        <v>110.15300000000001</v>
      </c>
      <c r="BS30" s="87">
        <f t="shared" ref="BS30:BS36" si="90">AE30</f>
        <v>147.08600000000001</v>
      </c>
      <c r="BT30" s="87">
        <f t="shared" ref="BT30:BT36" si="91">AI30</f>
        <v>105.322</v>
      </c>
      <c r="BU30" s="87">
        <f t="shared" ref="BU30:BU36" si="92">AM30</f>
        <v>102.07599999999999</v>
      </c>
      <c r="BV30" s="87">
        <f t="shared" ref="BV30:BV36" si="93">AQ30</f>
        <v>88.322000000000003</v>
      </c>
      <c r="BW30" s="87">
        <f t="shared" ref="BW30:BW36" si="94">AU30</f>
        <v>82.534999999999997</v>
      </c>
      <c r="BX30" s="87">
        <f t="shared" ref="BX30:BX36" si="95">AY30</f>
        <v>77.373000000000005</v>
      </c>
      <c r="BY30" s="87">
        <f t="shared" ref="BY30:BY36" si="96">BC30</f>
        <v>82.231452518295953</v>
      </c>
      <c r="BZ30" s="87">
        <f t="shared" ref="BZ30:BZ36" si="97">BG30</f>
        <v>79.684984690570104</v>
      </c>
      <c r="CA30" s="88">
        <f t="shared" ref="CA30:CA36" si="98">BK30</f>
        <v>82.925686393017159</v>
      </c>
      <c r="CB30" s="86"/>
      <c r="CC30" s="87"/>
      <c r="CD30" s="87"/>
      <c r="CE30" s="260"/>
      <c r="CF30" s="86">
        <f t="shared" ref="CF30:CF36" si="99">I30</f>
        <v>101.254</v>
      </c>
      <c r="CG30" s="87">
        <f t="shared" ref="CG30:CG36" si="100">M30</f>
        <v>90.287999999999997</v>
      </c>
      <c r="CH30" s="87">
        <f t="shared" ref="CH30:CH36" si="101">Q30</f>
        <v>81.656999999999996</v>
      </c>
      <c r="CI30" s="87">
        <f t="shared" ref="CI30:CI36" si="102">U30</f>
        <v>69.254999999999995</v>
      </c>
      <c r="CJ30" s="87">
        <f t="shared" ref="CJ30:CJ36" si="103">Y30</f>
        <v>96.468999999999994</v>
      </c>
      <c r="CK30" s="87">
        <f t="shared" ref="CK30:CK36" si="104">AC30</f>
        <v>118.42700000000001</v>
      </c>
      <c r="CL30" s="87">
        <f t="shared" ref="CL30:CL36" si="105">AG30</f>
        <v>110.495</v>
      </c>
      <c r="CM30" s="87">
        <f t="shared" ref="CM30:CM36" si="106">AK30</f>
        <v>99.009</v>
      </c>
      <c r="CN30" s="87">
        <f t="shared" ref="CN30:CN36" si="107">AO30</f>
        <v>82.525999999999996</v>
      </c>
      <c r="CO30" s="87">
        <f t="shared" ref="CO30:CO36" si="108">AS30</f>
        <v>74.144999999999996</v>
      </c>
      <c r="CP30" s="87">
        <f t="shared" ref="CP30:CP36" si="109">AW30</f>
        <v>70.504999999999995</v>
      </c>
      <c r="CQ30" s="87">
        <f t="shared" ref="CQ30:CQ36" si="110">BA30</f>
        <v>84.77</v>
      </c>
      <c r="CR30" s="87">
        <f t="shared" ref="CR30:CR36" si="111">BE30</f>
        <v>76.089997983407443</v>
      </c>
      <c r="CS30" s="88">
        <f t="shared" ref="CS30:CS36" si="112">BI30</f>
        <v>78.587915512637991</v>
      </c>
      <c r="CT30" s="22"/>
    </row>
    <row r="31" spans="1:98" ht="14.25" customHeight="1">
      <c r="A31" s="8"/>
      <c r="B31" s="28" t="s">
        <v>556</v>
      </c>
      <c r="C31" s="29"/>
      <c r="D31" s="90">
        <v>52.701000000000001</v>
      </c>
      <c r="E31" s="90">
        <v>52.774999999999999</v>
      </c>
      <c r="F31" s="90">
        <v>43.82</v>
      </c>
      <c r="G31" s="91">
        <v>84.347999999999999</v>
      </c>
      <c r="H31" s="90">
        <v>130.01</v>
      </c>
      <c r="I31" s="90">
        <v>85.433000000000007</v>
      </c>
      <c r="J31" s="90">
        <v>43.094999999999999</v>
      </c>
      <c r="K31" s="91">
        <v>70.302000000000007</v>
      </c>
      <c r="L31" s="90">
        <v>53.459000000000003</v>
      </c>
      <c r="M31" s="90">
        <v>4.0019999999999998</v>
      </c>
      <c r="N31" s="90">
        <v>4.0019999999999998</v>
      </c>
      <c r="O31" s="91">
        <v>0.82499999999999996</v>
      </c>
      <c r="P31" s="90">
        <v>21.806999999999999</v>
      </c>
      <c r="Q31" s="90">
        <v>0.83199999999999996</v>
      </c>
      <c r="R31" s="90">
        <v>0.82</v>
      </c>
      <c r="S31" s="91">
        <v>2.14</v>
      </c>
      <c r="T31" s="90">
        <v>26.332999999999998</v>
      </c>
      <c r="U31" s="90">
        <v>2.5009999999999999</v>
      </c>
      <c r="V31" s="90">
        <v>0.91400000000000003</v>
      </c>
      <c r="W31" s="91">
        <v>13.053000000000001</v>
      </c>
      <c r="X31" s="90">
        <v>11.991</v>
      </c>
      <c r="Y31" s="90">
        <v>8.0229999999999997</v>
      </c>
      <c r="Z31" s="90">
        <v>5.3630000000000004</v>
      </c>
      <c r="AA31" s="90">
        <v>3.9119999999999999</v>
      </c>
      <c r="AB31" s="89">
        <v>5.0590000000000002</v>
      </c>
      <c r="AC31" s="90">
        <v>7.8659999999999997</v>
      </c>
      <c r="AD31" s="90">
        <v>21.806999999999999</v>
      </c>
      <c r="AE31" s="91">
        <v>22.588999999999999</v>
      </c>
      <c r="AF31" s="90">
        <v>19.437000000000001</v>
      </c>
      <c r="AG31" s="90">
        <v>22.146000000000001</v>
      </c>
      <c r="AH31" s="90">
        <v>20.2</v>
      </c>
      <c r="AI31" s="91">
        <v>22.437000000000001</v>
      </c>
      <c r="AJ31" s="90">
        <v>21.798999999999999</v>
      </c>
      <c r="AK31" s="90">
        <v>21.716999999999999</v>
      </c>
      <c r="AL31" s="90">
        <v>20.72</v>
      </c>
      <c r="AM31" s="91">
        <v>20.065000000000001</v>
      </c>
      <c r="AN31" s="90">
        <v>20.122</v>
      </c>
      <c r="AO31" s="90">
        <v>20.102</v>
      </c>
      <c r="AP31" s="90">
        <v>20.102</v>
      </c>
      <c r="AQ31" s="91">
        <v>34.779000000000003</v>
      </c>
      <c r="AR31" s="90">
        <v>59.478999999999999</v>
      </c>
      <c r="AS31" s="90">
        <v>32.527999999999999</v>
      </c>
      <c r="AT31" s="90">
        <v>30.907</v>
      </c>
      <c r="AU31" s="91">
        <v>21.152999999999999</v>
      </c>
      <c r="AV31" s="90">
        <v>3.1379999999999999</v>
      </c>
      <c r="AW31" s="90">
        <v>3.1379999999999999</v>
      </c>
      <c r="AX31" s="90">
        <v>4.5380000000000003</v>
      </c>
      <c r="AY31" s="91">
        <v>3.6880000000000002</v>
      </c>
      <c r="AZ31" s="90">
        <v>3.6880000000000002</v>
      </c>
      <c r="BA31" s="90">
        <v>10.523</v>
      </c>
      <c r="BB31" s="90">
        <v>24.338999999999999</v>
      </c>
      <c r="BC31" s="88">
        <f t="shared" ref="BC31:BC34" si="113">BB31</f>
        <v>24.338999999999999</v>
      </c>
      <c r="BD31" s="87">
        <f t="shared" ref="BD31:BG34" si="114">BC31</f>
        <v>24.338999999999999</v>
      </c>
      <c r="BE31" s="87">
        <f t="shared" si="114"/>
        <v>24.338999999999999</v>
      </c>
      <c r="BF31" s="87">
        <f t="shared" si="114"/>
        <v>24.338999999999999</v>
      </c>
      <c r="BG31" s="88">
        <f t="shared" si="114"/>
        <v>24.338999999999999</v>
      </c>
      <c r="BH31" s="87">
        <f t="shared" ref="BH31:BK34" si="115">BG31</f>
        <v>24.338999999999999</v>
      </c>
      <c r="BI31" s="87">
        <f t="shared" si="115"/>
        <v>24.338999999999999</v>
      </c>
      <c r="BJ31" s="87">
        <f t="shared" si="115"/>
        <v>24.338999999999999</v>
      </c>
      <c r="BK31" s="88">
        <f t="shared" si="115"/>
        <v>24.338999999999999</v>
      </c>
      <c r="BL31" s="128"/>
      <c r="BM31" s="87">
        <f>G31</f>
        <v>84.347999999999999</v>
      </c>
      <c r="BN31" s="87">
        <f>K31</f>
        <v>70.302000000000007</v>
      </c>
      <c r="BO31" s="87">
        <f>O31</f>
        <v>0.82499999999999996</v>
      </c>
      <c r="BP31" s="87">
        <f>S31</f>
        <v>2.14</v>
      </c>
      <c r="BQ31" s="87">
        <f>W31</f>
        <v>13.053000000000001</v>
      </c>
      <c r="BR31" s="87">
        <f>AA31</f>
        <v>3.9119999999999999</v>
      </c>
      <c r="BS31" s="87">
        <f>AE31</f>
        <v>22.588999999999999</v>
      </c>
      <c r="BT31" s="87">
        <f>AI31</f>
        <v>22.437000000000001</v>
      </c>
      <c r="BU31" s="87">
        <f>AM31</f>
        <v>20.065000000000001</v>
      </c>
      <c r="BV31" s="87">
        <f t="shared" si="93"/>
        <v>34.779000000000003</v>
      </c>
      <c r="BW31" s="87">
        <f t="shared" si="94"/>
        <v>21.152999999999999</v>
      </c>
      <c r="BX31" s="87">
        <f t="shared" si="95"/>
        <v>3.6880000000000002</v>
      </c>
      <c r="BY31" s="87">
        <f t="shared" si="96"/>
        <v>24.338999999999999</v>
      </c>
      <c r="BZ31" s="87">
        <f t="shared" si="97"/>
        <v>24.338999999999999</v>
      </c>
      <c r="CA31" s="88">
        <f t="shared" si="98"/>
        <v>24.338999999999999</v>
      </c>
      <c r="CB31" s="86"/>
      <c r="CC31" s="87"/>
      <c r="CD31" s="87"/>
      <c r="CE31" s="260"/>
      <c r="CF31" s="86">
        <f t="shared" si="99"/>
        <v>85.433000000000007</v>
      </c>
      <c r="CG31" s="87">
        <f t="shared" si="100"/>
        <v>4.0019999999999998</v>
      </c>
      <c r="CH31" s="87">
        <f t="shared" si="101"/>
        <v>0.83199999999999996</v>
      </c>
      <c r="CI31" s="87">
        <f t="shared" si="102"/>
        <v>2.5009999999999999</v>
      </c>
      <c r="CJ31" s="87">
        <f t="shared" si="103"/>
        <v>8.0229999999999997</v>
      </c>
      <c r="CK31" s="87">
        <f t="shared" si="104"/>
        <v>7.8659999999999997</v>
      </c>
      <c r="CL31" s="87">
        <f t="shared" si="105"/>
        <v>22.146000000000001</v>
      </c>
      <c r="CM31" s="87">
        <f t="shared" si="106"/>
        <v>21.716999999999999</v>
      </c>
      <c r="CN31" s="87">
        <f t="shared" si="107"/>
        <v>20.102</v>
      </c>
      <c r="CO31" s="87">
        <f t="shared" si="108"/>
        <v>32.527999999999999</v>
      </c>
      <c r="CP31" s="87">
        <f t="shared" si="109"/>
        <v>3.1379999999999999</v>
      </c>
      <c r="CQ31" s="87">
        <f t="shared" si="110"/>
        <v>10.523</v>
      </c>
      <c r="CR31" s="87">
        <f t="shared" si="111"/>
        <v>24.338999999999999</v>
      </c>
      <c r="CS31" s="88">
        <f t="shared" si="112"/>
        <v>24.338999999999999</v>
      </c>
      <c r="CT31" s="22"/>
    </row>
    <row r="32" spans="1:98" ht="14.25" customHeight="1">
      <c r="A32" s="8"/>
      <c r="B32" s="28" t="s">
        <v>30</v>
      </c>
      <c r="C32" s="29"/>
      <c r="D32" s="90">
        <v>128.92699999999999</v>
      </c>
      <c r="E32" s="90">
        <v>114.649</v>
      </c>
      <c r="F32" s="90">
        <v>112.636</v>
      </c>
      <c r="G32" s="91">
        <v>177.63900000000001</v>
      </c>
      <c r="H32" s="90">
        <v>182.31700000000001</v>
      </c>
      <c r="I32" s="90">
        <v>195.59399999999999</v>
      </c>
      <c r="J32" s="90">
        <v>190.57300000000001</v>
      </c>
      <c r="K32" s="91">
        <v>195.494</v>
      </c>
      <c r="L32" s="90">
        <v>338.66199999999998</v>
      </c>
      <c r="M32" s="90">
        <v>227.44900000000001</v>
      </c>
      <c r="N32" s="90">
        <v>249.53299999999999</v>
      </c>
      <c r="O32" s="91">
        <v>249.07900000000001</v>
      </c>
      <c r="P32" s="90">
        <v>215.18899999999999</v>
      </c>
      <c r="Q32" s="90">
        <v>146.584</v>
      </c>
      <c r="R32" s="90">
        <v>155.25700000000001</v>
      </c>
      <c r="S32" s="91">
        <v>141.334</v>
      </c>
      <c r="T32" s="90">
        <v>125.821</v>
      </c>
      <c r="U32" s="90">
        <v>129.36600000000001</v>
      </c>
      <c r="V32" s="90">
        <v>163.661</v>
      </c>
      <c r="W32" s="91">
        <v>175.858</v>
      </c>
      <c r="X32" s="90">
        <v>144.19499999999999</v>
      </c>
      <c r="Y32" s="90">
        <v>160.435</v>
      </c>
      <c r="Z32" s="90">
        <v>201.791</v>
      </c>
      <c r="AA32" s="90">
        <v>215.62700000000001</v>
      </c>
      <c r="AB32" s="89">
        <v>147.16800000000001</v>
      </c>
      <c r="AC32" s="90">
        <v>159.65100000000001</v>
      </c>
      <c r="AD32" s="90">
        <v>181.94300000000001</v>
      </c>
      <c r="AE32" s="91">
        <v>191.846</v>
      </c>
      <c r="AF32" s="90">
        <v>132.84700000000001</v>
      </c>
      <c r="AG32" s="90">
        <v>152.12200000000001</v>
      </c>
      <c r="AH32" s="90">
        <v>182.89400000000001</v>
      </c>
      <c r="AI32" s="91">
        <v>187.97</v>
      </c>
      <c r="AJ32" s="90">
        <v>124.95399999999999</v>
      </c>
      <c r="AK32" s="90">
        <v>140.738</v>
      </c>
      <c r="AL32" s="90">
        <v>168.33600000000001</v>
      </c>
      <c r="AM32" s="91">
        <v>186.732</v>
      </c>
      <c r="AN32" s="90">
        <v>126.624</v>
      </c>
      <c r="AO32" s="90">
        <v>150.405</v>
      </c>
      <c r="AP32" s="90">
        <v>163.35400000000001</v>
      </c>
      <c r="AQ32" s="91">
        <v>181.36</v>
      </c>
      <c r="AR32" s="90">
        <v>120.642</v>
      </c>
      <c r="AS32" s="90">
        <v>129.208</v>
      </c>
      <c r="AT32" s="90">
        <v>151.411</v>
      </c>
      <c r="AU32" s="91">
        <v>166.69800000000001</v>
      </c>
      <c r="AV32" s="90">
        <v>111.126</v>
      </c>
      <c r="AW32" s="90">
        <v>109.47499999999999</v>
      </c>
      <c r="AX32" s="90">
        <v>135.702</v>
      </c>
      <c r="AY32" s="91">
        <v>145.29900000000001</v>
      </c>
      <c r="AZ32" s="90">
        <v>103.194</v>
      </c>
      <c r="BA32" s="90">
        <v>113.71599999999999</v>
      </c>
      <c r="BB32" s="90">
        <v>147.77099999999999</v>
      </c>
      <c r="BC32" s="88">
        <f t="shared" si="113"/>
        <v>147.77099999999999</v>
      </c>
      <c r="BD32" s="87">
        <f t="shared" si="114"/>
        <v>147.77099999999999</v>
      </c>
      <c r="BE32" s="87">
        <f t="shared" si="114"/>
        <v>147.77099999999999</v>
      </c>
      <c r="BF32" s="87">
        <f t="shared" si="114"/>
        <v>147.77099999999999</v>
      </c>
      <c r="BG32" s="88">
        <f t="shared" si="114"/>
        <v>147.77099999999999</v>
      </c>
      <c r="BH32" s="87">
        <f t="shared" si="115"/>
        <v>147.77099999999999</v>
      </c>
      <c r="BI32" s="87">
        <f t="shared" si="115"/>
        <v>147.77099999999999</v>
      </c>
      <c r="BJ32" s="87">
        <f t="shared" si="115"/>
        <v>147.77099999999999</v>
      </c>
      <c r="BK32" s="88">
        <f t="shared" si="115"/>
        <v>147.77099999999999</v>
      </c>
      <c r="BL32" s="128"/>
      <c r="BM32" s="87">
        <f>G32</f>
        <v>177.63900000000001</v>
      </c>
      <c r="BN32" s="87">
        <f>K32</f>
        <v>195.494</v>
      </c>
      <c r="BO32" s="87">
        <f>O32</f>
        <v>249.07900000000001</v>
      </c>
      <c r="BP32" s="87">
        <f>S32</f>
        <v>141.334</v>
      </c>
      <c r="BQ32" s="87">
        <f>W32</f>
        <v>175.858</v>
      </c>
      <c r="BR32" s="87">
        <f>AA32</f>
        <v>215.62700000000001</v>
      </c>
      <c r="BS32" s="87">
        <f>AE32</f>
        <v>191.846</v>
      </c>
      <c r="BT32" s="87">
        <f>AI32</f>
        <v>187.97</v>
      </c>
      <c r="BU32" s="87">
        <f>AM32</f>
        <v>186.732</v>
      </c>
      <c r="BV32" s="87">
        <f t="shared" si="93"/>
        <v>181.36</v>
      </c>
      <c r="BW32" s="87">
        <f t="shared" si="94"/>
        <v>166.69800000000001</v>
      </c>
      <c r="BX32" s="87">
        <f t="shared" si="95"/>
        <v>145.29900000000001</v>
      </c>
      <c r="BY32" s="87">
        <f t="shared" si="96"/>
        <v>147.77099999999999</v>
      </c>
      <c r="BZ32" s="87">
        <f t="shared" si="97"/>
        <v>147.77099999999999</v>
      </c>
      <c r="CA32" s="88">
        <f t="shared" si="98"/>
        <v>147.77099999999999</v>
      </c>
      <c r="CB32" s="86"/>
      <c r="CC32" s="87"/>
      <c r="CD32" s="87"/>
      <c r="CE32" s="260"/>
      <c r="CF32" s="86">
        <f t="shared" si="99"/>
        <v>195.59399999999999</v>
      </c>
      <c r="CG32" s="87">
        <f t="shared" si="100"/>
        <v>227.44900000000001</v>
      </c>
      <c r="CH32" s="87">
        <f t="shared" si="101"/>
        <v>146.584</v>
      </c>
      <c r="CI32" s="87">
        <f t="shared" si="102"/>
        <v>129.36600000000001</v>
      </c>
      <c r="CJ32" s="87">
        <f t="shared" si="103"/>
        <v>160.435</v>
      </c>
      <c r="CK32" s="87">
        <f t="shared" si="104"/>
        <v>159.65100000000001</v>
      </c>
      <c r="CL32" s="87">
        <f t="shared" si="105"/>
        <v>152.12200000000001</v>
      </c>
      <c r="CM32" s="87">
        <f t="shared" si="106"/>
        <v>140.738</v>
      </c>
      <c r="CN32" s="87">
        <f t="shared" si="107"/>
        <v>150.405</v>
      </c>
      <c r="CO32" s="87">
        <f t="shared" si="108"/>
        <v>129.208</v>
      </c>
      <c r="CP32" s="87">
        <f t="shared" si="109"/>
        <v>109.47499999999999</v>
      </c>
      <c r="CQ32" s="87">
        <f t="shared" si="110"/>
        <v>113.71599999999999</v>
      </c>
      <c r="CR32" s="87">
        <f t="shared" si="111"/>
        <v>147.77099999999999</v>
      </c>
      <c r="CS32" s="88">
        <f t="shared" si="112"/>
        <v>147.77099999999999</v>
      </c>
      <c r="CT32" s="22"/>
    </row>
    <row r="33" spans="1:98" ht="14.25" customHeight="1">
      <c r="A33" s="8"/>
      <c r="B33" s="28" t="s">
        <v>29</v>
      </c>
      <c r="C33" s="29"/>
      <c r="D33" s="90">
        <v>62.701999999999998</v>
      </c>
      <c r="E33" s="90">
        <v>58.924999999999997</v>
      </c>
      <c r="F33" s="90">
        <v>61.881999999999998</v>
      </c>
      <c r="G33" s="91">
        <v>84.165999999999997</v>
      </c>
      <c r="H33" s="90">
        <v>87.403999999999996</v>
      </c>
      <c r="I33" s="90">
        <v>83.055999999999997</v>
      </c>
      <c r="J33" s="90">
        <v>84.551000000000002</v>
      </c>
      <c r="K33" s="91">
        <v>71.694000000000003</v>
      </c>
      <c r="L33" s="90">
        <v>72.194999999999993</v>
      </c>
      <c r="M33" s="90">
        <v>73.671000000000006</v>
      </c>
      <c r="N33" s="90">
        <v>75.751000000000005</v>
      </c>
      <c r="O33" s="91">
        <v>68.131</v>
      </c>
      <c r="P33" s="90">
        <v>57.225000000000001</v>
      </c>
      <c r="Q33" s="90">
        <v>43.697000000000003</v>
      </c>
      <c r="R33" s="90">
        <v>39.088999999999999</v>
      </c>
      <c r="S33" s="91">
        <v>38.454999999999998</v>
      </c>
      <c r="T33" s="90">
        <v>40.058999999999997</v>
      </c>
      <c r="U33" s="90">
        <v>38.042999999999999</v>
      </c>
      <c r="V33" s="90">
        <v>34.572000000000003</v>
      </c>
      <c r="W33" s="91">
        <v>37.03</v>
      </c>
      <c r="X33" s="90">
        <v>47.942999999999998</v>
      </c>
      <c r="Y33" s="90">
        <v>36.158000000000001</v>
      </c>
      <c r="Z33" s="90">
        <v>40.984000000000002</v>
      </c>
      <c r="AA33" s="90">
        <v>47.767000000000003</v>
      </c>
      <c r="AB33" s="89">
        <v>73.066000000000003</v>
      </c>
      <c r="AC33" s="90">
        <v>62.579000000000001</v>
      </c>
      <c r="AD33" s="90">
        <v>72.242000000000004</v>
      </c>
      <c r="AE33" s="91">
        <v>64.091999999999999</v>
      </c>
      <c r="AF33" s="90">
        <v>72.510000000000005</v>
      </c>
      <c r="AG33" s="90">
        <v>58.9</v>
      </c>
      <c r="AH33" s="90">
        <v>59.075000000000003</v>
      </c>
      <c r="AI33" s="91">
        <v>60.591999999999999</v>
      </c>
      <c r="AJ33" s="90">
        <v>55.561</v>
      </c>
      <c r="AK33" s="90">
        <v>91.144999999999996</v>
      </c>
      <c r="AL33" s="90">
        <v>81.231999999999999</v>
      </c>
      <c r="AM33" s="91">
        <v>64.028000000000006</v>
      </c>
      <c r="AN33" s="90">
        <v>65.215999999999994</v>
      </c>
      <c r="AO33" s="90">
        <v>54.103000000000002</v>
      </c>
      <c r="AP33" s="90">
        <v>55.966999999999999</v>
      </c>
      <c r="AQ33" s="91">
        <v>48.389000000000003</v>
      </c>
      <c r="AR33" s="90">
        <v>49.99</v>
      </c>
      <c r="AS33" s="90">
        <v>47.302999999999997</v>
      </c>
      <c r="AT33" s="90">
        <v>42.561999999999998</v>
      </c>
      <c r="AU33" s="91">
        <v>50.521000000000001</v>
      </c>
      <c r="AV33" s="90">
        <v>48.572000000000003</v>
      </c>
      <c r="AW33" s="90">
        <v>41.417999999999999</v>
      </c>
      <c r="AX33" s="90">
        <v>35.207999999999998</v>
      </c>
      <c r="AY33" s="91">
        <v>37.662999999999997</v>
      </c>
      <c r="AZ33" s="90">
        <v>43.121000000000002</v>
      </c>
      <c r="BA33" s="90">
        <v>37.686999999999998</v>
      </c>
      <c r="BB33" s="90">
        <v>48.384</v>
      </c>
      <c r="BC33" s="88">
        <f t="shared" si="113"/>
        <v>48.384</v>
      </c>
      <c r="BD33" s="87">
        <f t="shared" si="114"/>
        <v>48.384</v>
      </c>
      <c r="BE33" s="87">
        <f t="shared" si="114"/>
        <v>48.384</v>
      </c>
      <c r="BF33" s="87">
        <f t="shared" si="114"/>
        <v>48.384</v>
      </c>
      <c r="BG33" s="88">
        <f t="shared" si="114"/>
        <v>48.384</v>
      </c>
      <c r="BH33" s="87">
        <f t="shared" si="115"/>
        <v>48.384</v>
      </c>
      <c r="BI33" s="87">
        <f t="shared" si="115"/>
        <v>48.384</v>
      </c>
      <c r="BJ33" s="87">
        <f t="shared" si="115"/>
        <v>48.384</v>
      </c>
      <c r="BK33" s="88">
        <f t="shared" si="115"/>
        <v>48.384</v>
      </c>
      <c r="BL33" s="128"/>
      <c r="BM33" s="87">
        <f>G33</f>
        <v>84.165999999999997</v>
      </c>
      <c r="BN33" s="87">
        <f>K33</f>
        <v>71.694000000000003</v>
      </c>
      <c r="BO33" s="87">
        <f>O33</f>
        <v>68.131</v>
      </c>
      <c r="BP33" s="87">
        <f>S33</f>
        <v>38.454999999999998</v>
      </c>
      <c r="BQ33" s="87">
        <f>W33</f>
        <v>37.03</v>
      </c>
      <c r="BR33" s="87">
        <f>AA33</f>
        <v>47.767000000000003</v>
      </c>
      <c r="BS33" s="87">
        <f>AE33</f>
        <v>64.091999999999999</v>
      </c>
      <c r="BT33" s="87">
        <f>AI33</f>
        <v>60.591999999999999</v>
      </c>
      <c r="BU33" s="87">
        <f>AM33</f>
        <v>64.028000000000006</v>
      </c>
      <c r="BV33" s="87">
        <f t="shared" si="93"/>
        <v>48.389000000000003</v>
      </c>
      <c r="BW33" s="87">
        <f t="shared" si="94"/>
        <v>50.521000000000001</v>
      </c>
      <c r="BX33" s="87">
        <f t="shared" si="95"/>
        <v>37.662999999999997</v>
      </c>
      <c r="BY33" s="87">
        <f t="shared" si="96"/>
        <v>48.384</v>
      </c>
      <c r="BZ33" s="87">
        <f t="shared" si="97"/>
        <v>48.384</v>
      </c>
      <c r="CA33" s="88">
        <f t="shared" si="98"/>
        <v>48.384</v>
      </c>
      <c r="CB33" s="86"/>
      <c r="CC33" s="87"/>
      <c r="CD33" s="87"/>
      <c r="CE33" s="260"/>
      <c r="CF33" s="86">
        <f t="shared" si="99"/>
        <v>83.055999999999997</v>
      </c>
      <c r="CG33" s="87">
        <f t="shared" si="100"/>
        <v>73.671000000000006</v>
      </c>
      <c r="CH33" s="87">
        <f t="shared" si="101"/>
        <v>43.697000000000003</v>
      </c>
      <c r="CI33" s="87">
        <f t="shared" si="102"/>
        <v>38.042999999999999</v>
      </c>
      <c r="CJ33" s="87">
        <f t="shared" si="103"/>
        <v>36.158000000000001</v>
      </c>
      <c r="CK33" s="87">
        <f t="shared" si="104"/>
        <v>62.579000000000001</v>
      </c>
      <c r="CL33" s="87">
        <f t="shared" si="105"/>
        <v>58.9</v>
      </c>
      <c r="CM33" s="87">
        <f t="shared" si="106"/>
        <v>91.144999999999996</v>
      </c>
      <c r="CN33" s="87">
        <f t="shared" si="107"/>
        <v>54.103000000000002</v>
      </c>
      <c r="CO33" s="87">
        <f t="shared" si="108"/>
        <v>47.302999999999997</v>
      </c>
      <c r="CP33" s="87">
        <f t="shared" si="109"/>
        <v>41.417999999999999</v>
      </c>
      <c r="CQ33" s="87">
        <f t="shared" si="110"/>
        <v>37.686999999999998</v>
      </c>
      <c r="CR33" s="87">
        <f t="shared" si="111"/>
        <v>48.384</v>
      </c>
      <c r="CS33" s="88">
        <f t="shared" si="112"/>
        <v>48.384</v>
      </c>
      <c r="CT33" s="22"/>
    </row>
    <row r="34" spans="1:98" ht="14.25" customHeight="1">
      <c r="A34" s="8"/>
      <c r="B34" s="28" t="s">
        <v>31</v>
      </c>
      <c r="C34" s="29"/>
      <c r="D34" s="90">
        <v>19.247</v>
      </c>
      <c r="E34" s="90">
        <v>19.399999999999999</v>
      </c>
      <c r="F34" s="90">
        <v>22.433</v>
      </c>
      <c r="G34" s="91">
        <v>21.126999999999999</v>
      </c>
      <c r="H34" s="90">
        <v>22.253</v>
      </c>
      <c r="I34" s="90">
        <v>21.190999999999999</v>
      </c>
      <c r="J34" s="90">
        <v>23.812000000000001</v>
      </c>
      <c r="K34" s="91">
        <v>23.640999999999998</v>
      </c>
      <c r="L34" s="90">
        <v>21.727</v>
      </c>
      <c r="M34" s="90">
        <v>22.25</v>
      </c>
      <c r="N34" s="90">
        <v>19.791</v>
      </c>
      <c r="O34" s="91">
        <v>21.446999999999999</v>
      </c>
      <c r="P34" s="90">
        <v>21.309000000000001</v>
      </c>
      <c r="Q34" s="90">
        <v>20.597000000000001</v>
      </c>
      <c r="R34" s="90">
        <v>18.010000000000002</v>
      </c>
      <c r="S34" s="91">
        <v>16.760000000000002</v>
      </c>
      <c r="T34" s="90">
        <v>18.763999999999999</v>
      </c>
      <c r="U34" s="90">
        <v>18.227</v>
      </c>
      <c r="V34" s="90">
        <v>21.105</v>
      </c>
      <c r="W34" s="91">
        <v>25.779</v>
      </c>
      <c r="X34" s="90">
        <v>32.286000000000001</v>
      </c>
      <c r="Y34" s="90">
        <v>34.265000000000001</v>
      </c>
      <c r="Z34" s="90">
        <v>35.570999999999998</v>
      </c>
      <c r="AA34" s="90">
        <v>36.881</v>
      </c>
      <c r="AB34" s="89">
        <v>34.58</v>
      </c>
      <c r="AC34" s="90">
        <v>31.135999999999999</v>
      </c>
      <c r="AD34" s="90">
        <v>28.728999999999999</v>
      </c>
      <c r="AE34" s="91">
        <v>26.28</v>
      </c>
      <c r="AF34" s="90">
        <v>27.024999999999999</v>
      </c>
      <c r="AG34" s="90">
        <v>25.361999999999998</v>
      </c>
      <c r="AH34" s="90">
        <v>25.850999999999999</v>
      </c>
      <c r="AI34" s="91">
        <v>26.556999999999999</v>
      </c>
      <c r="AJ34" s="90">
        <v>27.178999999999998</v>
      </c>
      <c r="AK34" s="90">
        <v>25.542000000000002</v>
      </c>
      <c r="AL34" s="90">
        <v>24.259</v>
      </c>
      <c r="AM34" s="91">
        <v>25.734000000000002</v>
      </c>
      <c r="AN34" s="90">
        <v>26.821000000000002</v>
      </c>
      <c r="AO34" s="90">
        <v>27.103000000000002</v>
      </c>
      <c r="AP34" s="90">
        <v>30.55</v>
      </c>
      <c r="AQ34" s="91">
        <v>30.327000000000002</v>
      </c>
      <c r="AR34" s="90">
        <v>35.091000000000001</v>
      </c>
      <c r="AS34" s="90">
        <v>32.067</v>
      </c>
      <c r="AT34" s="90">
        <v>34.457000000000001</v>
      </c>
      <c r="AU34" s="91">
        <v>38.779000000000003</v>
      </c>
      <c r="AV34" s="90">
        <v>35.753999999999998</v>
      </c>
      <c r="AW34" s="90">
        <v>36.137</v>
      </c>
      <c r="AX34" s="90">
        <v>35.723999999999997</v>
      </c>
      <c r="AY34" s="91">
        <v>14.974</v>
      </c>
      <c r="AZ34" s="90">
        <v>16.994</v>
      </c>
      <c r="BA34" s="90">
        <v>0</v>
      </c>
      <c r="BB34" s="90">
        <v>0</v>
      </c>
      <c r="BC34" s="88">
        <f t="shared" si="113"/>
        <v>0</v>
      </c>
      <c r="BD34" s="87">
        <f t="shared" si="114"/>
        <v>0</v>
      </c>
      <c r="BE34" s="87">
        <f t="shared" si="114"/>
        <v>0</v>
      </c>
      <c r="BF34" s="87">
        <f t="shared" si="114"/>
        <v>0</v>
      </c>
      <c r="BG34" s="88">
        <f t="shared" si="114"/>
        <v>0</v>
      </c>
      <c r="BH34" s="87">
        <f t="shared" si="115"/>
        <v>0</v>
      </c>
      <c r="BI34" s="87">
        <f t="shared" si="115"/>
        <v>0</v>
      </c>
      <c r="BJ34" s="87">
        <f t="shared" si="115"/>
        <v>0</v>
      </c>
      <c r="BK34" s="88">
        <f t="shared" si="115"/>
        <v>0</v>
      </c>
      <c r="BL34" s="128"/>
      <c r="BM34" s="87">
        <f t="shared" si="84"/>
        <v>21.126999999999999</v>
      </c>
      <c r="BN34" s="87">
        <f t="shared" si="85"/>
        <v>23.640999999999998</v>
      </c>
      <c r="BO34" s="87">
        <f t="shared" si="86"/>
        <v>21.446999999999999</v>
      </c>
      <c r="BP34" s="87">
        <f t="shared" si="87"/>
        <v>16.760000000000002</v>
      </c>
      <c r="BQ34" s="87">
        <f t="shared" si="88"/>
        <v>25.779</v>
      </c>
      <c r="BR34" s="87">
        <f t="shared" si="89"/>
        <v>36.881</v>
      </c>
      <c r="BS34" s="87">
        <f t="shared" si="90"/>
        <v>26.28</v>
      </c>
      <c r="BT34" s="87">
        <f t="shared" si="91"/>
        <v>26.556999999999999</v>
      </c>
      <c r="BU34" s="87">
        <f t="shared" si="92"/>
        <v>25.734000000000002</v>
      </c>
      <c r="BV34" s="87">
        <f t="shared" si="93"/>
        <v>30.327000000000002</v>
      </c>
      <c r="BW34" s="87">
        <f t="shared" si="94"/>
        <v>38.779000000000003</v>
      </c>
      <c r="BX34" s="87">
        <f t="shared" si="95"/>
        <v>14.974</v>
      </c>
      <c r="BY34" s="87">
        <f t="shared" si="96"/>
        <v>0</v>
      </c>
      <c r="BZ34" s="87">
        <f t="shared" si="97"/>
        <v>0</v>
      </c>
      <c r="CA34" s="88">
        <f t="shared" si="98"/>
        <v>0</v>
      </c>
      <c r="CB34" s="86"/>
      <c r="CC34" s="87"/>
      <c r="CD34" s="87"/>
      <c r="CE34" s="260"/>
      <c r="CF34" s="86">
        <f t="shared" si="99"/>
        <v>21.190999999999999</v>
      </c>
      <c r="CG34" s="87">
        <f t="shared" si="100"/>
        <v>22.25</v>
      </c>
      <c r="CH34" s="87">
        <f t="shared" si="101"/>
        <v>20.597000000000001</v>
      </c>
      <c r="CI34" s="87">
        <f t="shared" si="102"/>
        <v>18.227</v>
      </c>
      <c r="CJ34" s="87">
        <f t="shared" si="103"/>
        <v>34.265000000000001</v>
      </c>
      <c r="CK34" s="87">
        <f t="shared" si="104"/>
        <v>31.135999999999999</v>
      </c>
      <c r="CL34" s="87">
        <f t="shared" si="105"/>
        <v>25.361999999999998</v>
      </c>
      <c r="CM34" s="87">
        <f t="shared" si="106"/>
        <v>25.542000000000002</v>
      </c>
      <c r="CN34" s="87">
        <f t="shared" si="107"/>
        <v>27.103000000000002</v>
      </c>
      <c r="CO34" s="87">
        <f t="shared" si="108"/>
        <v>32.067</v>
      </c>
      <c r="CP34" s="87">
        <f t="shared" si="109"/>
        <v>36.137</v>
      </c>
      <c r="CQ34" s="87">
        <f t="shared" si="110"/>
        <v>0</v>
      </c>
      <c r="CR34" s="87">
        <f t="shared" si="111"/>
        <v>0</v>
      </c>
      <c r="CS34" s="88">
        <f t="shared" si="112"/>
        <v>0</v>
      </c>
      <c r="CT34" s="22"/>
    </row>
    <row r="35" spans="1:98" ht="14.25" customHeight="1">
      <c r="A35" s="8"/>
      <c r="B35" s="28" t="s">
        <v>582</v>
      </c>
      <c r="C35" s="29"/>
      <c r="D35" s="90">
        <v>0</v>
      </c>
      <c r="E35" s="90">
        <v>0</v>
      </c>
      <c r="F35" s="90">
        <v>0</v>
      </c>
      <c r="G35" s="91">
        <v>0</v>
      </c>
      <c r="H35" s="90">
        <v>0</v>
      </c>
      <c r="I35" s="90">
        <v>0</v>
      </c>
      <c r="J35" s="90">
        <v>0</v>
      </c>
      <c r="K35" s="91">
        <v>0</v>
      </c>
      <c r="L35" s="90">
        <v>0</v>
      </c>
      <c r="M35" s="90">
        <v>0</v>
      </c>
      <c r="N35" s="90">
        <v>0</v>
      </c>
      <c r="O35" s="91">
        <v>0</v>
      </c>
      <c r="P35" s="90">
        <v>0</v>
      </c>
      <c r="Q35" s="90">
        <v>0</v>
      </c>
      <c r="R35" s="90">
        <v>0</v>
      </c>
      <c r="S35" s="91">
        <v>0</v>
      </c>
      <c r="T35" s="90">
        <v>0</v>
      </c>
      <c r="U35" s="90">
        <v>0</v>
      </c>
      <c r="V35" s="90">
        <v>0</v>
      </c>
      <c r="W35" s="91">
        <v>0</v>
      </c>
      <c r="X35" s="90">
        <v>0</v>
      </c>
      <c r="Y35" s="90">
        <v>0</v>
      </c>
      <c r="Z35" s="90">
        <v>0</v>
      </c>
      <c r="AA35" s="90">
        <v>0</v>
      </c>
      <c r="AB35" s="89">
        <v>0</v>
      </c>
      <c r="AC35" s="90">
        <v>0</v>
      </c>
      <c r="AD35" s="90">
        <v>0</v>
      </c>
      <c r="AE35" s="91">
        <v>303.49599999999998</v>
      </c>
      <c r="AF35" s="90">
        <v>303.27199999999999</v>
      </c>
      <c r="AG35" s="90">
        <v>304.79399999999998</v>
      </c>
      <c r="AH35" s="90">
        <v>304.31400000000002</v>
      </c>
      <c r="AI35" s="91">
        <v>2.0150000000000001</v>
      </c>
      <c r="AJ35" s="90">
        <v>4.8040000000000003</v>
      </c>
      <c r="AK35" s="90">
        <v>2.9649999999999999</v>
      </c>
      <c r="AL35" s="90">
        <v>2.5259999999999998</v>
      </c>
      <c r="AM35" s="91">
        <v>0</v>
      </c>
      <c r="AN35" s="90">
        <v>0</v>
      </c>
      <c r="AO35" s="90">
        <v>0</v>
      </c>
      <c r="AP35" s="90">
        <v>0</v>
      </c>
      <c r="AQ35" s="91">
        <v>0</v>
      </c>
      <c r="AR35" s="90">
        <v>0</v>
      </c>
      <c r="AS35" s="90">
        <v>0</v>
      </c>
      <c r="AT35" s="90">
        <v>0</v>
      </c>
      <c r="AU35" s="91">
        <v>249.71700000000001</v>
      </c>
      <c r="AV35" s="90">
        <v>249.78800000000001</v>
      </c>
      <c r="AW35" s="90">
        <v>0</v>
      </c>
      <c r="AX35" s="90">
        <v>0</v>
      </c>
      <c r="AY35" s="91">
        <v>0</v>
      </c>
      <c r="AZ35" s="90">
        <v>0</v>
      </c>
      <c r="BA35" s="90">
        <v>498.69400000000002</v>
      </c>
      <c r="BB35" s="90">
        <v>499.05</v>
      </c>
      <c r="BC35" s="1318">
        <f>BB35+CFS!BC44</f>
        <v>499.05</v>
      </c>
      <c r="BD35" s="1314">
        <f>BC35+CFS!BD44</f>
        <v>499.05</v>
      </c>
      <c r="BE35" s="1314">
        <f>BD35+CFS!BE44</f>
        <v>499.05</v>
      </c>
      <c r="BF35" s="1314">
        <f>BE35+CFS!BF44</f>
        <v>499.05</v>
      </c>
      <c r="BG35" s="1318">
        <f>BF35+CFS!BG44</f>
        <v>499.05</v>
      </c>
      <c r="BH35" s="1314">
        <f>BG35+CFS!BH44</f>
        <v>499.05</v>
      </c>
      <c r="BI35" s="1314">
        <f>BH35+CFS!BI44</f>
        <v>499.05</v>
      </c>
      <c r="BJ35" s="1314">
        <f>BI35+CFS!BJ44</f>
        <v>499.05</v>
      </c>
      <c r="BK35" s="1318">
        <f>BJ35+CFS!BK44</f>
        <v>499.05</v>
      </c>
      <c r="BL35" s="128"/>
      <c r="BM35" s="87">
        <f t="shared" si="84"/>
        <v>0</v>
      </c>
      <c r="BN35" s="87">
        <f t="shared" si="85"/>
        <v>0</v>
      </c>
      <c r="BO35" s="87">
        <f t="shared" si="86"/>
        <v>0</v>
      </c>
      <c r="BP35" s="87">
        <f t="shared" si="87"/>
        <v>0</v>
      </c>
      <c r="BQ35" s="87">
        <f t="shared" si="88"/>
        <v>0</v>
      </c>
      <c r="BR35" s="87">
        <f t="shared" si="89"/>
        <v>0</v>
      </c>
      <c r="BS35" s="87">
        <f t="shared" si="90"/>
        <v>303.49599999999998</v>
      </c>
      <c r="BT35" s="87">
        <f t="shared" si="91"/>
        <v>2.0150000000000001</v>
      </c>
      <c r="BU35" s="87">
        <f t="shared" si="92"/>
        <v>0</v>
      </c>
      <c r="BV35" s="87">
        <f t="shared" si="93"/>
        <v>0</v>
      </c>
      <c r="BW35" s="87">
        <f t="shared" si="94"/>
        <v>249.71700000000001</v>
      </c>
      <c r="BX35" s="87">
        <f t="shared" si="95"/>
        <v>0</v>
      </c>
      <c r="BY35" s="87">
        <f t="shared" si="96"/>
        <v>499.05</v>
      </c>
      <c r="BZ35" s="87">
        <f t="shared" si="97"/>
        <v>499.05</v>
      </c>
      <c r="CA35" s="88">
        <f t="shared" si="98"/>
        <v>499.05</v>
      </c>
      <c r="CB35" s="1313"/>
      <c r="CC35" s="1314"/>
      <c r="CD35" s="1314"/>
      <c r="CE35" s="260"/>
      <c r="CF35" s="86">
        <f t="shared" si="99"/>
        <v>0</v>
      </c>
      <c r="CG35" s="87">
        <f t="shared" si="100"/>
        <v>0</v>
      </c>
      <c r="CH35" s="87">
        <f t="shared" si="101"/>
        <v>0</v>
      </c>
      <c r="CI35" s="87">
        <f t="shared" si="102"/>
        <v>0</v>
      </c>
      <c r="CJ35" s="87">
        <f t="shared" si="103"/>
        <v>0</v>
      </c>
      <c r="CK35" s="87">
        <f t="shared" si="104"/>
        <v>0</v>
      </c>
      <c r="CL35" s="87">
        <f t="shared" si="105"/>
        <v>304.79399999999998</v>
      </c>
      <c r="CM35" s="87">
        <f t="shared" si="106"/>
        <v>2.9649999999999999</v>
      </c>
      <c r="CN35" s="87">
        <f t="shared" si="107"/>
        <v>0</v>
      </c>
      <c r="CO35" s="87">
        <f t="shared" si="108"/>
        <v>0</v>
      </c>
      <c r="CP35" s="87">
        <f t="shared" si="109"/>
        <v>0</v>
      </c>
      <c r="CQ35" s="87">
        <f t="shared" si="110"/>
        <v>498.69400000000002</v>
      </c>
      <c r="CR35" s="87">
        <f t="shared" si="111"/>
        <v>499.05</v>
      </c>
      <c r="CS35" s="88">
        <f t="shared" si="112"/>
        <v>499.05</v>
      </c>
      <c r="CT35" s="22"/>
    </row>
    <row r="36" spans="1:98" ht="14.25" customHeight="1">
      <c r="A36" s="8"/>
      <c r="B36" s="129" t="s">
        <v>583</v>
      </c>
      <c r="C36" s="130"/>
      <c r="D36" s="388">
        <v>0</v>
      </c>
      <c r="E36" s="388">
        <v>0</v>
      </c>
      <c r="F36" s="388">
        <v>0</v>
      </c>
      <c r="G36" s="178">
        <v>0</v>
      </c>
      <c r="H36" s="388">
        <v>0</v>
      </c>
      <c r="I36" s="388">
        <v>0</v>
      </c>
      <c r="J36" s="388">
        <v>0</v>
      </c>
      <c r="K36" s="178">
        <v>0</v>
      </c>
      <c r="L36" s="388">
        <v>0</v>
      </c>
      <c r="M36" s="388">
        <v>0</v>
      </c>
      <c r="N36" s="388">
        <v>0</v>
      </c>
      <c r="O36" s="178">
        <v>0</v>
      </c>
      <c r="P36" s="388">
        <v>0</v>
      </c>
      <c r="Q36" s="388">
        <v>0</v>
      </c>
      <c r="R36" s="388">
        <v>0</v>
      </c>
      <c r="S36" s="178">
        <v>0</v>
      </c>
      <c r="T36" s="388">
        <v>0</v>
      </c>
      <c r="U36" s="388">
        <v>0</v>
      </c>
      <c r="V36" s="388">
        <v>173</v>
      </c>
      <c r="W36" s="178">
        <v>173</v>
      </c>
      <c r="X36" s="388">
        <v>0</v>
      </c>
      <c r="Y36" s="388">
        <v>0</v>
      </c>
      <c r="Z36" s="388">
        <v>0</v>
      </c>
      <c r="AA36" s="388">
        <v>0</v>
      </c>
      <c r="AB36" s="506">
        <v>0</v>
      </c>
      <c r="AC36" s="388">
        <v>0</v>
      </c>
      <c r="AD36" s="388">
        <v>0</v>
      </c>
      <c r="AE36" s="178">
        <v>0</v>
      </c>
      <c r="AF36" s="388">
        <v>0</v>
      </c>
      <c r="AG36" s="388">
        <v>0</v>
      </c>
      <c r="AH36" s="388">
        <v>0</v>
      </c>
      <c r="AI36" s="178">
        <v>0</v>
      </c>
      <c r="AJ36" s="388">
        <v>0</v>
      </c>
      <c r="AK36" s="388">
        <v>0</v>
      </c>
      <c r="AL36" s="388">
        <v>0</v>
      </c>
      <c r="AM36" s="178">
        <v>0</v>
      </c>
      <c r="AN36" s="388">
        <v>0</v>
      </c>
      <c r="AO36" s="388">
        <v>0</v>
      </c>
      <c r="AP36" s="388">
        <v>0</v>
      </c>
      <c r="AQ36" s="178">
        <v>0</v>
      </c>
      <c r="AR36" s="388">
        <v>0</v>
      </c>
      <c r="AS36" s="388">
        <v>0</v>
      </c>
      <c r="AT36" s="388">
        <v>0</v>
      </c>
      <c r="AU36" s="178">
        <v>0</v>
      </c>
      <c r="AV36" s="388">
        <v>0</v>
      </c>
      <c r="AW36" s="388">
        <v>0</v>
      </c>
      <c r="AX36" s="388">
        <v>0</v>
      </c>
      <c r="AY36" s="178">
        <v>0</v>
      </c>
      <c r="AZ36" s="388">
        <v>0</v>
      </c>
      <c r="BA36" s="388">
        <v>0</v>
      </c>
      <c r="BB36" s="388">
        <v>0</v>
      </c>
      <c r="BC36" s="132">
        <f t="shared" ref="BC36:BG36" si="116">BB36</f>
        <v>0</v>
      </c>
      <c r="BD36" s="131">
        <f t="shared" si="116"/>
        <v>0</v>
      </c>
      <c r="BE36" s="131">
        <f t="shared" si="116"/>
        <v>0</v>
      </c>
      <c r="BF36" s="131">
        <f t="shared" si="116"/>
        <v>0</v>
      </c>
      <c r="BG36" s="132">
        <f t="shared" si="116"/>
        <v>0</v>
      </c>
      <c r="BH36" s="131">
        <f>BG36</f>
        <v>0</v>
      </c>
      <c r="BI36" s="131">
        <f>BH36</f>
        <v>0</v>
      </c>
      <c r="BJ36" s="131">
        <f>BI36</f>
        <v>0</v>
      </c>
      <c r="BK36" s="132">
        <f>BJ36</f>
        <v>0</v>
      </c>
      <c r="BL36" s="128"/>
      <c r="BM36" s="131">
        <f t="shared" si="84"/>
        <v>0</v>
      </c>
      <c r="BN36" s="131">
        <f t="shared" si="85"/>
        <v>0</v>
      </c>
      <c r="BO36" s="131">
        <f t="shared" si="86"/>
        <v>0</v>
      </c>
      <c r="BP36" s="131">
        <f t="shared" si="87"/>
        <v>0</v>
      </c>
      <c r="BQ36" s="131">
        <f t="shared" si="88"/>
        <v>173</v>
      </c>
      <c r="BR36" s="131">
        <f t="shared" si="89"/>
        <v>0</v>
      </c>
      <c r="BS36" s="131">
        <f t="shared" si="90"/>
        <v>0</v>
      </c>
      <c r="BT36" s="131">
        <f t="shared" si="91"/>
        <v>0</v>
      </c>
      <c r="BU36" s="131">
        <f t="shared" si="92"/>
        <v>0</v>
      </c>
      <c r="BV36" s="131">
        <f t="shared" si="93"/>
        <v>0</v>
      </c>
      <c r="BW36" s="131">
        <f t="shared" si="94"/>
        <v>0</v>
      </c>
      <c r="BX36" s="131">
        <f t="shared" si="95"/>
        <v>0</v>
      </c>
      <c r="BY36" s="131">
        <f t="shared" si="96"/>
        <v>0</v>
      </c>
      <c r="BZ36" s="131">
        <f t="shared" si="97"/>
        <v>0</v>
      </c>
      <c r="CA36" s="132">
        <f t="shared" si="98"/>
        <v>0</v>
      </c>
      <c r="CB36" s="86"/>
      <c r="CC36" s="87"/>
      <c r="CD36" s="87"/>
      <c r="CE36" s="260"/>
      <c r="CF36" s="335">
        <f t="shared" si="99"/>
        <v>0</v>
      </c>
      <c r="CG36" s="131">
        <f t="shared" si="100"/>
        <v>0</v>
      </c>
      <c r="CH36" s="131">
        <f t="shared" si="101"/>
        <v>0</v>
      </c>
      <c r="CI36" s="131">
        <f t="shared" si="102"/>
        <v>0</v>
      </c>
      <c r="CJ36" s="131">
        <f t="shared" si="103"/>
        <v>0</v>
      </c>
      <c r="CK36" s="131">
        <f t="shared" si="104"/>
        <v>0</v>
      </c>
      <c r="CL36" s="131">
        <f t="shared" si="105"/>
        <v>0</v>
      </c>
      <c r="CM36" s="131">
        <f t="shared" si="106"/>
        <v>0</v>
      </c>
      <c r="CN36" s="131">
        <f t="shared" si="107"/>
        <v>0</v>
      </c>
      <c r="CO36" s="131">
        <f t="shared" si="108"/>
        <v>0</v>
      </c>
      <c r="CP36" s="131">
        <f t="shared" si="109"/>
        <v>0</v>
      </c>
      <c r="CQ36" s="131">
        <f t="shared" si="110"/>
        <v>0</v>
      </c>
      <c r="CR36" s="131">
        <f t="shared" si="111"/>
        <v>0</v>
      </c>
      <c r="CS36" s="132">
        <f t="shared" si="112"/>
        <v>0</v>
      </c>
      <c r="CT36" s="22"/>
    </row>
    <row r="37" spans="1:98" ht="14.25" customHeight="1">
      <c r="A37" s="8"/>
      <c r="B37" s="1371" t="s">
        <v>451</v>
      </c>
      <c r="C37" s="1372"/>
      <c r="D37" s="147">
        <f t="shared" ref="D37:AK37" si="117">SUM(D30:D36)</f>
        <v>328.27199999999999</v>
      </c>
      <c r="E37" s="133">
        <f t="shared" si="117"/>
        <v>322.791</v>
      </c>
      <c r="F37" s="133">
        <f t="shared" si="117"/>
        <v>323.28699999999998</v>
      </c>
      <c r="G37" s="134">
        <f t="shared" si="117"/>
        <v>494.36099999999999</v>
      </c>
      <c r="H37" s="135">
        <f t="shared" si="117"/>
        <v>560.76700000000005</v>
      </c>
      <c r="I37" s="133">
        <f t="shared" si="117"/>
        <v>486.52799999999996</v>
      </c>
      <c r="J37" s="133">
        <f t="shared" si="117"/>
        <v>461.02799999999996</v>
      </c>
      <c r="K37" s="134">
        <f t="shared" si="117"/>
        <v>454.904</v>
      </c>
      <c r="L37" s="135">
        <f t="shared" si="117"/>
        <v>591.38099999999997</v>
      </c>
      <c r="M37" s="133">
        <f t="shared" si="117"/>
        <v>417.66</v>
      </c>
      <c r="N37" s="133">
        <f t="shared" si="117"/>
        <v>426.57599999999996</v>
      </c>
      <c r="O37" s="134">
        <f t="shared" si="117"/>
        <v>419.15499999999997</v>
      </c>
      <c r="P37" s="135">
        <f t="shared" si="117"/>
        <v>402.06800000000004</v>
      </c>
      <c r="Q37" s="133">
        <f t="shared" si="117"/>
        <v>293.36699999999996</v>
      </c>
      <c r="R37" s="133">
        <f t="shared" si="117"/>
        <v>276.57100000000003</v>
      </c>
      <c r="S37" s="134">
        <f t="shared" si="117"/>
        <v>268.77600000000001</v>
      </c>
      <c r="T37" s="135">
        <f t="shared" si="117"/>
        <v>268.94299999999998</v>
      </c>
      <c r="U37" s="133">
        <f t="shared" si="117"/>
        <v>257.392</v>
      </c>
      <c r="V37" s="133">
        <f t="shared" si="117"/>
        <v>472.60300000000001</v>
      </c>
      <c r="W37" s="134">
        <f t="shared" si="117"/>
        <v>532.51699999999994</v>
      </c>
      <c r="X37" s="133">
        <f t="shared" si="117"/>
        <v>356.76</v>
      </c>
      <c r="Y37" s="133">
        <f t="shared" si="117"/>
        <v>335.35</v>
      </c>
      <c r="Z37" s="133">
        <f t="shared" si="117"/>
        <v>391.15300000000002</v>
      </c>
      <c r="AA37" s="134">
        <f t="shared" si="117"/>
        <v>414.34000000000003</v>
      </c>
      <c r="AB37" s="135">
        <f t="shared" si="117"/>
        <v>386.66699999999997</v>
      </c>
      <c r="AC37" s="133">
        <f t="shared" si="117"/>
        <v>379.65900000000005</v>
      </c>
      <c r="AD37" s="133">
        <f t="shared" si="117"/>
        <v>437.62700000000001</v>
      </c>
      <c r="AE37" s="134">
        <f t="shared" si="117"/>
        <v>755.38900000000001</v>
      </c>
      <c r="AF37" s="133">
        <f t="shared" si="117"/>
        <v>682.39699999999993</v>
      </c>
      <c r="AG37" s="133">
        <f t="shared" si="117"/>
        <v>673.81899999999996</v>
      </c>
      <c r="AH37" s="133">
        <f t="shared" si="117"/>
        <v>706.96299999999997</v>
      </c>
      <c r="AI37" s="134">
        <f t="shared" si="117"/>
        <v>404.89299999999997</v>
      </c>
      <c r="AJ37" s="133">
        <f t="shared" si="117"/>
        <v>335.35699999999991</v>
      </c>
      <c r="AK37" s="133">
        <f t="shared" si="117"/>
        <v>381.11599999999993</v>
      </c>
      <c r="AL37" s="133">
        <f t="shared" ref="AL37:AQ37" si="118">SUM(AL30:AL36)</f>
        <v>391.38799999999998</v>
      </c>
      <c r="AM37" s="134">
        <f t="shared" si="118"/>
        <v>398.63499999999999</v>
      </c>
      <c r="AN37" s="133">
        <f t="shared" si="118"/>
        <v>335.13</v>
      </c>
      <c r="AO37" s="133">
        <f t="shared" si="118"/>
        <v>334.23900000000003</v>
      </c>
      <c r="AP37" s="133">
        <f t="shared" si="118"/>
        <v>355.334</v>
      </c>
      <c r="AQ37" s="134">
        <f t="shared" si="118"/>
        <v>383.17700000000002</v>
      </c>
      <c r="AR37" s="133">
        <f t="shared" ref="AR37:BC37" si="119">SUM(AR30:AR36)</f>
        <v>345.95400000000001</v>
      </c>
      <c r="AS37" s="133">
        <f t="shared" si="119"/>
        <v>315.25099999999998</v>
      </c>
      <c r="AT37" s="133">
        <f t="shared" si="119"/>
        <v>342.03300000000002</v>
      </c>
      <c r="AU37" s="134">
        <f t="shared" si="119"/>
        <v>609.40300000000002</v>
      </c>
      <c r="AV37" s="133">
        <f>SUM(AV30:AV36)</f>
        <v>531.9670000000001</v>
      </c>
      <c r="AW37" s="133">
        <f>SUM(AW30:AW36)</f>
        <v>260.673</v>
      </c>
      <c r="AX37" s="133">
        <f t="shared" si="119"/>
        <v>294.10999999999996</v>
      </c>
      <c r="AY37" s="134">
        <f>SUM(AY30:AY36)</f>
        <v>278.99700000000001</v>
      </c>
      <c r="AZ37" s="133">
        <f>SUM(AZ30:AZ36)</f>
        <v>233.91200000000003</v>
      </c>
      <c r="BA37" s="133">
        <f>SUM(BA30:BA36)</f>
        <v>745.39</v>
      </c>
      <c r="BB37" s="133">
        <f t="shared" ref="BB37" si="120">SUM(BB30:BB36)</f>
        <v>803.95100000000002</v>
      </c>
      <c r="BC37" s="134">
        <f t="shared" si="119"/>
        <v>801.77545251829588</v>
      </c>
      <c r="BD37" s="133">
        <f t="shared" ref="BD37:BK37" si="121">SUM(BD30:BD36)</f>
        <v>795.72260073487223</v>
      </c>
      <c r="BE37" s="133">
        <f t="shared" si="121"/>
        <v>795.63399798340743</v>
      </c>
      <c r="BF37" s="133">
        <f t="shared" si="121"/>
        <v>799.125205310909</v>
      </c>
      <c r="BG37" s="134">
        <f t="shared" si="121"/>
        <v>799.22898469057009</v>
      </c>
      <c r="BH37" s="133">
        <f t="shared" si="121"/>
        <v>798.19232584369479</v>
      </c>
      <c r="BI37" s="133">
        <f t="shared" si="121"/>
        <v>798.13191551263799</v>
      </c>
      <c r="BJ37" s="133">
        <f t="shared" si="121"/>
        <v>800.82537278415771</v>
      </c>
      <c r="BK37" s="134">
        <f t="shared" si="121"/>
        <v>802.46968639301713</v>
      </c>
      <c r="BL37" s="128"/>
      <c r="BM37" s="136">
        <f t="shared" ref="BM37:BW37" si="122">SUM(BM30:BM36)</f>
        <v>494.36099999999999</v>
      </c>
      <c r="BN37" s="136">
        <f t="shared" si="122"/>
        <v>454.904</v>
      </c>
      <c r="BO37" s="136">
        <f t="shared" si="122"/>
        <v>419.15499999999997</v>
      </c>
      <c r="BP37" s="136">
        <f t="shared" si="122"/>
        <v>268.77600000000001</v>
      </c>
      <c r="BQ37" s="136">
        <f t="shared" si="122"/>
        <v>532.51699999999994</v>
      </c>
      <c r="BR37" s="136">
        <f t="shared" si="122"/>
        <v>414.34000000000003</v>
      </c>
      <c r="BS37" s="136">
        <f t="shared" si="122"/>
        <v>755.38900000000001</v>
      </c>
      <c r="BT37" s="136">
        <f t="shared" si="122"/>
        <v>404.89299999999997</v>
      </c>
      <c r="BU37" s="136">
        <f t="shared" si="122"/>
        <v>398.63499999999999</v>
      </c>
      <c r="BV37" s="136">
        <f t="shared" si="122"/>
        <v>383.17700000000002</v>
      </c>
      <c r="BW37" s="136">
        <f t="shared" si="122"/>
        <v>609.40300000000002</v>
      </c>
      <c r="BX37" s="136">
        <f>SUM(BX30:BX36)</f>
        <v>278.99700000000001</v>
      </c>
      <c r="BY37" s="136">
        <f>SUM(BY30:BY36)</f>
        <v>801.77545251829588</v>
      </c>
      <c r="BZ37" s="136">
        <f>SUM(BZ30:BZ36)</f>
        <v>799.22898469057009</v>
      </c>
      <c r="CA37" s="137">
        <f>SUM(CA30:CA36)</f>
        <v>802.46968639301713</v>
      </c>
      <c r="CB37" s="147"/>
      <c r="CC37" s="136"/>
      <c r="CD37" s="136"/>
      <c r="CE37" s="260"/>
      <c r="CF37" s="147">
        <f t="shared" ref="CF37:CO37" si="123">SUM(CF30:CF36)</f>
        <v>486.52799999999996</v>
      </c>
      <c r="CG37" s="136">
        <f t="shared" si="123"/>
        <v>417.66</v>
      </c>
      <c r="CH37" s="136">
        <f t="shared" si="123"/>
        <v>293.36699999999996</v>
      </c>
      <c r="CI37" s="136">
        <f t="shared" si="123"/>
        <v>257.392</v>
      </c>
      <c r="CJ37" s="136">
        <f t="shared" si="123"/>
        <v>335.35</v>
      </c>
      <c r="CK37" s="136">
        <f t="shared" si="123"/>
        <v>379.65900000000005</v>
      </c>
      <c r="CL37" s="136">
        <f t="shared" si="123"/>
        <v>673.81899999999996</v>
      </c>
      <c r="CM37" s="136">
        <f t="shared" si="123"/>
        <v>381.11599999999993</v>
      </c>
      <c r="CN37" s="136">
        <f t="shared" si="123"/>
        <v>334.23900000000003</v>
      </c>
      <c r="CO37" s="136">
        <f t="shared" si="123"/>
        <v>315.25099999999998</v>
      </c>
      <c r="CP37" s="136">
        <f>SUM(CP30:CP36)</f>
        <v>260.673</v>
      </c>
      <c r="CQ37" s="136">
        <f>SUM(CQ30:CQ36)</f>
        <v>745.39</v>
      </c>
      <c r="CR37" s="136">
        <f>SUM(CR30:CR36)</f>
        <v>795.63399798340743</v>
      </c>
      <c r="CS37" s="137">
        <f>SUM(CS30:CS36)</f>
        <v>798.13191551263799</v>
      </c>
      <c r="CT37" s="22"/>
    </row>
    <row r="38" spans="1:98" ht="14.25" customHeight="1">
      <c r="A38" s="8"/>
      <c r="B38" s="23"/>
      <c r="C38" s="24"/>
      <c r="D38" s="89"/>
      <c r="E38" s="90"/>
      <c r="F38" s="90"/>
      <c r="G38" s="91"/>
      <c r="H38" s="89"/>
      <c r="I38" s="90"/>
      <c r="J38" s="90"/>
      <c r="K38" s="91"/>
      <c r="L38" s="89"/>
      <c r="M38" s="90"/>
      <c r="N38" s="90"/>
      <c r="O38" s="91"/>
      <c r="P38" s="89"/>
      <c r="Q38" s="90"/>
      <c r="R38" s="90"/>
      <c r="S38" s="91"/>
      <c r="T38" s="89"/>
      <c r="U38" s="90"/>
      <c r="V38" s="90"/>
      <c r="W38" s="91"/>
      <c r="X38" s="90"/>
      <c r="Y38" s="90"/>
      <c r="Z38" s="90"/>
      <c r="AA38" s="90"/>
      <c r="AB38" s="89"/>
      <c r="AC38" s="90"/>
      <c r="AD38" s="90"/>
      <c r="AE38" s="91"/>
      <c r="AF38" s="90"/>
      <c r="AG38" s="90"/>
      <c r="AH38" s="90"/>
      <c r="AI38" s="91"/>
      <c r="AJ38" s="90"/>
      <c r="AK38" s="90"/>
      <c r="AL38" s="90"/>
      <c r="AM38" s="91"/>
      <c r="AN38" s="90"/>
      <c r="AO38" s="90"/>
      <c r="AP38" s="90"/>
      <c r="AQ38" s="91"/>
      <c r="AR38" s="90"/>
      <c r="AS38" s="90"/>
      <c r="AT38" s="90"/>
      <c r="AU38" s="91"/>
      <c r="AV38" s="90"/>
      <c r="AW38" s="90"/>
      <c r="AX38" s="90"/>
      <c r="AY38" s="91"/>
      <c r="AZ38" s="90"/>
      <c r="BA38" s="90"/>
      <c r="BB38" s="90"/>
      <c r="BC38" s="91"/>
      <c r="BD38" s="90"/>
      <c r="BE38" s="90"/>
      <c r="BF38" s="90"/>
      <c r="BG38" s="91"/>
      <c r="BH38" s="90"/>
      <c r="BI38" s="90"/>
      <c r="BJ38" s="90"/>
      <c r="BK38" s="91"/>
      <c r="BL38" s="128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1"/>
      <c r="CB38" s="89"/>
      <c r="CC38" s="90"/>
      <c r="CD38" s="90"/>
      <c r="CE38" s="260"/>
      <c r="CF38" s="89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1"/>
      <c r="CT38" s="22"/>
    </row>
    <row r="39" spans="1:98" ht="14.25" customHeight="1">
      <c r="A39" s="8"/>
      <c r="B39" s="28" t="s">
        <v>6</v>
      </c>
      <c r="C39" s="29"/>
      <c r="D39" s="89">
        <v>0</v>
      </c>
      <c r="E39" s="90">
        <v>0</v>
      </c>
      <c r="F39" s="90">
        <v>0</v>
      </c>
      <c r="G39" s="91">
        <v>0</v>
      </c>
      <c r="H39" s="89">
        <v>0</v>
      </c>
      <c r="I39" s="90">
        <v>0</v>
      </c>
      <c r="J39" s="90">
        <v>0</v>
      </c>
      <c r="K39" s="91">
        <v>0</v>
      </c>
      <c r="L39" s="89">
        <v>0</v>
      </c>
      <c r="M39" s="90">
        <v>0</v>
      </c>
      <c r="N39" s="90">
        <v>0</v>
      </c>
      <c r="O39" s="91">
        <v>0</v>
      </c>
      <c r="P39" s="89">
        <v>0</v>
      </c>
      <c r="Q39" s="90">
        <v>0</v>
      </c>
      <c r="R39" s="90">
        <v>0</v>
      </c>
      <c r="S39" s="91">
        <v>0</v>
      </c>
      <c r="T39" s="89">
        <v>0</v>
      </c>
      <c r="U39" s="90">
        <v>0</v>
      </c>
      <c r="V39" s="90">
        <v>0</v>
      </c>
      <c r="W39" s="91">
        <v>300</v>
      </c>
      <c r="X39" s="90">
        <v>300</v>
      </c>
      <c r="Y39" s="90">
        <v>300</v>
      </c>
      <c r="Z39" s="90">
        <v>300</v>
      </c>
      <c r="AA39" s="91">
        <v>300</v>
      </c>
      <c r="AB39" s="90">
        <v>311.79199999999997</v>
      </c>
      <c r="AC39" s="90">
        <v>308.7</v>
      </c>
      <c r="AD39" s="90">
        <v>308.7</v>
      </c>
      <c r="AE39" s="91">
        <v>5.5919999999999996</v>
      </c>
      <c r="AF39" s="90">
        <v>5.5919999999999996</v>
      </c>
      <c r="AG39" s="90">
        <v>3.9969999999999999</v>
      </c>
      <c r="AH39" s="90">
        <v>503.57299999999998</v>
      </c>
      <c r="AI39" s="91">
        <v>503.57299999999998</v>
      </c>
      <c r="AJ39" s="90">
        <v>500.95499999999998</v>
      </c>
      <c r="AK39" s="90">
        <v>1000.871</v>
      </c>
      <c r="AL39" s="90">
        <v>1000.871</v>
      </c>
      <c r="AM39" s="91">
        <v>1001.026</v>
      </c>
      <c r="AN39" s="90">
        <v>1001.026</v>
      </c>
      <c r="AO39" s="90">
        <v>1000</v>
      </c>
      <c r="AP39" s="90">
        <v>1000</v>
      </c>
      <c r="AQ39" s="91">
        <v>1000</v>
      </c>
      <c r="AR39" s="90">
        <v>1000</v>
      </c>
      <c r="AS39" s="90">
        <v>1000</v>
      </c>
      <c r="AT39" s="90">
        <v>1000</v>
      </c>
      <c r="AU39" s="91">
        <v>990.09</v>
      </c>
      <c r="AV39" s="90">
        <v>990.68499999999995</v>
      </c>
      <c r="AW39" s="90">
        <v>991.28099999999995</v>
      </c>
      <c r="AX39" s="90">
        <v>991.87699999999995</v>
      </c>
      <c r="AY39" s="91">
        <v>1487.6780000000001</v>
      </c>
      <c r="AZ39" s="90">
        <v>1488.4059999999999</v>
      </c>
      <c r="BA39" s="90">
        <v>990.428</v>
      </c>
      <c r="BB39" s="90">
        <v>990.78700000000003</v>
      </c>
      <c r="BC39" s="1318">
        <f>BB39+CFS!BC45+CFS!BC46</f>
        <v>990.78700000000003</v>
      </c>
      <c r="BD39" s="1314">
        <f>BC39+CFS!BD45+CFS!BD46</f>
        <v>990.78700000000003</v>
      </c>
      <c r="BE39" s="1314">
        <f>BD39+CFS!BE45+CFS!BE46</f>
        <v>990.78700000000003</v>
      </c>
      <c r="BF39" s="1314">
        <f>BE39+CFS!BF45+CFS!BF46</f>
        <v>990.78700000000003</v>
      </c>
      <c r="BG39" s="1318">
        <f>BF39+CFS!BG45+CFS!BG46</f>
        <v>990.78700000000003</v>
      </c>
      <c r="BH39" s="1314">
        <f>BG39+CFS!BH45+CFS!BH46</f>
        <v>990.78700000000003</v>
      </c>
      <c r="BI39" s="1314">
        <f>BH39+CFS!BI45+CFS!BI46</f>
        <v>990.78700000000003</v>
      </c>
      <c r="BJ39" s="1314">
        <f>BI39+CFS!BJ45+CFS!BJ46</f>
        <v>990.78700000000003</v>
      </c>
      <c r="BK39" s="1318">
        <f>BJ39+CFS!BK45+CFS!BK46</f>
        <v>990.78700000000003</v>
      </c>
      <c r="BL39" s="128"/>
      <c r="BM39" s="87">
        <f>G39</f>
        <v>0</v>
      </c>
      <c r="BN39" s="87">
        <f>K39</f>
        <v>0</v>
      </c>
      <c r="BO39" s="87">
        <f>O39</f>
        <v>0</v>
      </c>
      <c r="BP39" s="87">
        <f>S39</f>
        <v>0</v>
      </c>
      <c r="BQ39" s="87">
        <f>W39</f>
        <v>300</v>
      </c>
      <c r="BR39" s="87">
        <f>AA39</f>
        <v>300</v>
      </c>
      <c r="BS39" s="87">
        <f>AE39</f>
        <v>5.5919999999999996</v>
      </c>
      <c r="BT39" s="87">
        <f>AI39</f>
        <v>503.57299999999998</v>
      </c>
      <c r="BU39" s="87">
        <f>AM39</f>
        <v>1001.026</v>
      </c>
      <c r="BV39" s="87">
        <f>AQ39</f>
        <v>1000</v>
      </c>
      <c r="BW39" s="87">
        <f>AU39</f>
        <v>990.09</v>
      </c>
      <c r="BX39" s="87">
        <f t="shared" ref="BX39:BX45" si="124">AY39</f>
        <v>1487.6780000000001</v>
      </c>
      <c r="BY39" s="87">
        <f t="shared" ref="BY39:BY45" si="125">BC39</f>
        <v>990.78700000000003</v>
      </c>
      <c r="BZ39" s="87">
        <f t="shared" ref="BZ39:BZ45" si="126">BG39</f>
        <v>990.78700000000003</v>
      </c>
      <c r="CA39" s="88">
        <f t="shared" ref="CA39:CA45" si="127">BK39</f>
        <v>990.78700000000003</v>
      </c>
      <c r="CB39" s="1313"/>
      <c r="CC39" s="1314"/>
      <c r="CD39" s="1314"/>
      <c r="CE39" s="260"/>
      <c r="CF39" s="86">
        <f>I39</f>
        <v>0</v>
      </c>
      <c r="CG39" s="87">
        <f>M39</f>
        <v>0</v>
      </c>
      <c r="CH39" s="87">
        <f>Q39</f>
        <v>0</v>
      </c>
      <c r="CI39" s="87">
        <f>U39</f>
        <v>0</v>
      </c>
      <c r="CJ39" s="87">
        <f>Y39</f>
        <v>300</v>
      </c>
      <c r="CK39" s="87">
        <f>AC39</f>
        <v>308.7</v>
      </c>
      <c r="CL39" s="87">
        <f>AG39</f>
        <v>3.9969999999999999</v>
      </c>
      <c r="CM39" s="87">
        <f>AK39</f>
        <v>1000.871</v>
      </c>
      <c r="CN39" s="87">
        <f>AO39</f>
        <v>1000</v>
      </c>
      <c r="CO39" s="87">
        <f>AS39</f>
        <v>1000</v>
      </c>
      <c r="CP39" s="87">
        <f t="shared" ref="CP39:CP45" si="128">AW39</f>
        <v>991.28099999999995</v>
      </c>
      <c r="CQ39" s="87">
        <f t="shared" ref="CQ39:CQ45" si="129">BA39</f>
        <v>990.428</v>
      </c>
      <c r="CR39" s="87">
        <f t="shared" ref="CR39:CR45" si="130">BE39</f>
        <v>990.78700000000003</v>
      </c>
      <c r="CS39" s="88">
        <f t="shared" ref="CS39:CS45" si="131">BI39</f>
        <v>990.78700000000003</v>
      </c>
      <c r="CT39" s="22"/>
    </row>
    <row r="40" spans="1:98" ht="14.25" customHeight="1">
      <c r="A40" s="8"/>
      <c r="B40" s="28" t="s">
        <v>556</v>
      </c>
      <c r="C40" s="29"/>
      <c r="D40" s="89">
        <v>128.196</v>
      </c>
      <c r="E40" s="90">
        <v>118.636</v>
      </c>
      <c r="F40" s="90">
        <v>110.259</v>
      </c>
      <c r="G40" s="91">
        <v>0</v>
      </c>
      <c r="H40" s="89">
        <v>0</v>
      </c>
      <c r="I40" s="90">
        <v>0</v>
      </c>
      <c r="J40" s="90">
        <v>0</v>
      </c>
      <c r="K40" s="91">
        <v>0</v>
      </c>
      <c r="L40" s="89">
        <v>101.94499999999999</v>
      </c>
      <c r="M40" s="90">
        <v>101.94499999999999</v>
      </c>
      <c r="N40" s="90">
        <v>101.94499999999999</v>
      </c>
      <c r="O40" s="91">
        <v>110.633</v>
      </c>
      <c r="P40" s="89">
        <v>111.154</v>
      </c>
      <c r="Q40" s="90">
        <f>113.107+34.793</f>
        <v>147.9</v>
      </c>
      <c r="R40" s="90">
        <f>114.311+79.971</f>
        <v>194.28200000000001</v>
      </c>
      <c r="S40" s="91">
        <f>124.863+67.273</f>
        <v>192.136</v>
      </c>
      <c r="T40" s="89">
        <f>126.055+67.76</f>
        <v>193.815</v>
      </c>
      <c r="U40" s="90">
        <f>99.322+71.061</f>
        <v>170.38300000000001</v>
      </c>
      <c r="V40" s="90">
        <f>100.184+76.173</f>
        <v>176.357</v>
      </c>
      <c r="W40" s="91">
        <f>132.4+136.524</f>
        <v>268.92399999999998</v>
      </c>
      <c r="X40" s="90">
        <f>133.626+147.952</f>
        <v>281.57799999999997</v>
      </c>
      <c r="Y40" s="90">
        <f>159.775+161.43</f>
        <v>321.20500000000004</v>
      </c>
      <c r="Z40" s="90">
        <f>92.11+180.442</f>
        <v>272.55200000000002</v>
      </c>
      <c r="AA40" s="90">
        <f>96.099+183.715</f>
        <v>279.81400000000002</v>
      </c>
      <c r="AB40" s="89">
        <f>98.65+189.763</f>
        <v>288.41300000000001</v>
      </c>
      <c r="AC40" s="90">
        <f>108.462+197.839</f>
        <v>306.30099999999999</v>
      </c>
      <c r="AD40" s="90">
        <f>192.842+205.727</f>
        <v>398.56900000000002</v>
      </c>
      <c r="AE40" s="91">
        <f>212.389+198.502</f>
        <v>410.89100000000002</v>
      </c>
      <c r="AF40" s="90">
        <f>226.001+195.893</f>
        <v>421.89400000000001</v>
      </c>
      <c r="AG40" s="90">
        <f>260.77+192.434</f>
        <v>453.20399999999995</v>
      </c>
      <c r="AH40" s="90">
        <f>271.815+213.138</f>
        <v>484.95299999999997</v>
      </c>
      <c r="AI40" s="91">
        <f>282.697+206.855</f>
        <v>489.55200000000002</v>
      </c>
      <c r="AJ40" s="90">
        <f>294.728+205.221</f>
        <v>499.94900000000001</v>
      </c>
      <c r="AK40" s="90">
        <f>337.053+202.435</f>
        <v>539.48800000000006</v>
      </c>
      <c r="AL40" s="90">
        <f>352.294+171.431</f>
        <v>523.72500000000002</v>
      </c>
      <c r="AM40" s="91">
        <f>362.802+159.879</f>
        <v>522.68100000000004</v>
      </c>
      <c r="AN40" s="90">
        <f>350.396+145.597</f>
        <v>495.99300000000005</v>
      </c>
      <c r="AO40" s="90">
        <f>363.251+120.308</f>
        <v>483.55899999999997</v>
      </c>
      <c r="AP40" s="90">
        <f>385.838+116.284</f>
        <v>502.12200000000001</v>
      </c>
      <c r="AQ40" s="91">
        <f>410.378+90.588</f>
        <v>500.96600000000001</v>
      </c>
      <c r="AR40" s="90">
        <f>419.805+10.602</f>
        <v>430.40699999999998</v>
      </c>
      <c r="AS40" s="90">
        <v>419.88099999999997</v>
      </c>
      <c r="AT40" s="90">
        <v>451.09899999999999</v>
      </c>
      <c r="AU40" s="91">
        <v>480.64499999999998</v>
      </c>
      <c r="AV40" s="90">
        <v>497.36</v>
      </c>
      <c r="AW40" s="90">
        <v>514.49800000000005</v>
      </c>
      <c r="AX40" s="90">
        <v>534.02800000000002</v>
      </c>
      <c r="AY40" s="91">
        <v>557.49800000000005</v>
      </c>
      <c r="AZ40" s="90">
        <v>573.83100000000002</v>
      </c>
      <c r="BA40" s="90">
        <v>801.26</v>
      </c>
      <c r="BB40" s="90">
        <v>817.96900000000005</v>
      </c>
      <c r="BC40" s="88">
        <f t="shared" ref="BC40:BC42" si="132">BB40</f>
        <v>817.96900000000005</v>
      </c>
      <c r="BD40" s="87">
        <f t="shared" ref="BD40:BG42" si="133">BC40</f>
        <v>817.96900000000005</v>
      </c>
      <c r="BE40" s="87">
        <f t="shared" si="133"/>
        <v>817.96900000000005</v>
      </c>
      <c r="BF40" s="87">
        <f t="shared" si="133"/>
        <v>817.96900000000005</v>
      </c>
      <c r="BG40" s="88">
        <f t="shared" si="133"/>
        <v>817.96900000000005</v>
      </c>
      <c r="BH40" s="87">
        <f t="shared" ref="BH40:BK42" si="134">BG40</f>
        <v>817.96900000000005</v>
      </c>
      <c r="BI40" s="87">
        <f t="shared" si="134"/>
        <v>817.96900000000005</v>
      </c>
      <c r="BJ40" s="87">
        <f t="shared" si="134"/>
        <v>817.96900000000005</v>
      </c>
      <c r="BK40" s="88">
        <f t="shared" si="134"/>
        <v>817.96900000000005</v>
      </c>
      <c r="BL40" s="128"/>
      <c r="BM40" s="87">
        <f>G40</f>
        <v>0</v>
      </c>
      <c r="BN40" s="87">
        <f>K40</f>
        <v>0</v>
      </c>
      <c r="BO40" s="87">
        <f>O40</f>
        <v>110.633</v>
      </c>
      <c r="BP40" s="87">
        <f>S40</f>
        <v>192.136</v>
      </c>
      <c r="BQ40" s="87">
        <f>W40</f>
        <v>268.92399999999998</v>
      </c>
      <c r="BR40" s="87">
        <f>AA40</f>
        <v>279.81400000000002</v>
      </c>
      <c r="BS40" s="87">
        <f>AE40</f>
        <v>410.89100000000002</v>
      </c>
      <c r="BT40" s="87">
        <f>AI40</f>
        <v>489.55200000000002</v>
      </c>
      <c r="BU40" s="87">
        <f>AM40</f>
        <v>522.68100000000004</v>
      </c>
      <c r="BV40" s="87">
        <f>AQ40</f>
        <v>500.96600000000001</v>
      </c>
      <c r="BW40" s="87">
        <f>AU40</f>
        <v>480.64499999999998</v>
      </c>
      <c r="BX40" s="87">
        <f t="shared" si="124"/>
        <v>557.49800000000005</v>
      </c>
      <c r="BY40" s="87">
        <f t="shared" si="125"/>
        <v>817.96900000000005</v>
      </c>
      <c r="BZ40" s="87">
        <f t="shared" si="126"/>
        <v>817.96900000000005</v>
      </c>
      <c r="CA40" s="88">
        <f t="shared" si="127"/>
        <v>817.96900000000005</v>
      </c>
      <c r="CB40" s="86"/>
      <c r="CC40" s="87"/>
      <c r="CD40" s="87"/>
      <c r="CE40" s="260"/>
      <c r="CF40" s="86">
        <f>I40</f>
        <v>0</v>
      </c>
      <c r="CG40" s="87">
        <f>M40</f>
        <v>101.94499999999999</v>
      </c>
      <c r="CH40" s="87">
        <f>Q40</f>
        <v>147.9</v>
      </c>
      <c r="CI40" s="87">
        <f>U40</f>
        <v>170.38300000000001</v>
      </c>
      <c r="CJ40" s="87">
        <f>Y40</f>
        <v>321.20500000000004</v>
      </c>
      <c r="CK40" s="87">
        <f>AC40</f>
        <v>306.30099999999999</v>
      </c>
      <c r="CL40" s="87">
        <f>AG40</f>
        <v>453.20399999999995</v>
      </c>
      <c r="CM40" s="87">
        <f>AK40</f>
        <v>539.48800000000006</v>
      </c>
      <c r="CN40" s="87">
        <f>AO40</f>
        <v>483.55899999999997</v>
      </c>
      <c r="CO40" s="87">
        <f>AS40</f>
        <v>419.88099999999997</v>
      </c>
      <c r="CP40" s="87">
        <f t="shared" si="128"/>
        <v>514.49800000000005</v>
      </c>
      <c r="CQ40" s="87">
        <f t="shared" si="129"/>
        <v>801.26</v>
      </c>
      <c r="CR40" s="87">
        <f t="shared" si="130"/>
        <v>817.96900000000005</v>
      </c>
      <c r="CS40" s="88">
        <f t="shared" si="131"/>
        <v>817.96900000000005</v>
      </c>
      <c r="CT40" s="22"/>
    </row>
    <row r="41" spans="1:98" ht="14.25" customHeight="1">
      <c r="A41" s="8"/>
      <c r="B41" s="28" t="s">
        <v>7</v>
      </c>
      <c r="C41" s="29"/>
      <c r="D41" s="89">
        <v>0</v>
      </c>
      <c r="E41" s="90">
        <v>0</v>
      </c>
      <c r="F41" s="90">
        <v>0</v>
      </c>
      <c r="G41" s="91">
        <v>0</v>
      </c>
      <c r="H41" s="89">
        <v>0</v>
      </c>
      <c r="I41" s="90">
        <v>0</v>
      </c>
      <c r="J41" s="90">
        <v>0</v>
      </c>
      <c r="K41" s="91">
        <v>0</v>
      </c>
      <c r="L41" s="89">
        <v>0</v>
      </c>
      <c r="M41" s="90">
        <v>0</v>
      </c>
      <c r="N41" s="90">
        <v>0</v>
      </c>
      <c r="O41" s="91">
        <v>0</v>
      </c>
      <c r="P41" s="89">
        <v>0</v>
      </c>
      <c r="Q41" s="90">
        <v>0</v>
      </c>
      <c r="R41" s="90">
        <v>0</v>
      </c>
      <c r="S41" s="91">
        <v>0</v>
      </c>
      <c r="T41" s="89">
        <v>0</v>
      </c>
      <c r="U41" s="90">
        <v>0</v>
      </c>
      <c r="V41" s="90">
        <v>0</v>
      </c>
      <c r="W41" s="91">
        <v>0</v>
      </c>
      <c r="X41" s="90">
        <v>0</v>
      </c>
      <c r="Y41" s="90">
        <v>0</v>
      </c>
      <c r="Z41" s="90">
        <v>0</v>
      </c>
      <c r="AA41" s="90">
        <v>0</v>
      </c>
      <c r="AB41" s="89">
        <v>0</v>
      </c>
      <c r="AC41" s="90">
        <v>0</v>
      </c>
      <c r="AD41" s="90">
        <v>0</v>
      </c>
      <c r="AE41" s="91">
        <v>0</v>
      </c>
      <c r="AF41" s="90">
        <v>0</v>
      </c>
      <c r="AG41" s="90">
        <v>0</v>
      </c>
      <c r="AH41" s="90">
        <v>0</v>
      </c>
      <c r="AI41" s="91">
        <v>0</v>
      </c>
      <c r="AJ41" s="90">
        <v>0</v>
      </c>
      <c r="AK41" s="90">
        <v>0</v>
      </c>
      <c r="AL41" s="90">
        <v>0</v>
      </c>
      <c r="AM41" s="91">
        <v>0</v>
      </c>
      <c r="AN41" s="90">
        <v>0</v>
      </c>
      <c r="AO41" s="90">
        <v>0</v>
      </c>
      <c r="AP41" s="90">
        <v>0</v>
      </c>
      <c r="AQ41" s="91">
        <v>0</v>
      </c>
      <c r="AR41" s="90">
        <v>0</v>
      </c>
      <c r="AS41" s="90">
        <v>0</v>
      </c>
      <c r="AT41" s="90">
        <v>0</v>
      </c>
      <c r="AU41" s="91">
        <v>0</v>
      </c>
      <c r="AV41" s="90">
        <v>0</v>
      </c>
      <c r="AW41" s="90">
        <v>0</v>
      </c>
      <c r="AX41" s="90">
        <v>0</v>
      </c>
      <c r="AY41" s="91">
        <v>0</v>
      </c>
      <c r="AZ41" s="90">
        <v>0</v>
      </c>
      <c r="BA41" s="90">
        <v>0</v>
      </c>
      <c r="BB41" s="90">
        <v>0</v>
      </c>
      <c r="BC41" s="88">
        <f t="shared" si="132"/>
        <v>0</v>
      </c>
      <c r="BD41" s="87">
        <f t="shared" si="133"/>
        <v>0</v>
      </c>
      <c r="BE41" s="87">
        <f t="shared" si="133"/>
        <v>0</v>
      </c>
      <c r="BF41" s="87">
        <f t="shared" si="133"/>
        <v>0</v>
      </c>
      <c r="BG41" s="88">
        <f t="shared" si="133"/>
        <v>0</v>
      </c>
      <c r="BH41" s="87">
        <f t="shared" si="134"/>
        <v>0</v>
      </c>
      <c r="BI41" s="87">
        <f t="shared" si="134"/>
        <v>0</v>
      </c>
      <c r="BJ41" s="87">
        <f t="shared" si="134"/>
        <v>0</v>
      </c>
      <c r="BK41" s="88">
        <f t="shared" si="134"/>
        <v>0</v>
      </c>
      <c r="BL41" s="128"/>
      <c r="BM41" s="87">
        <f>G41</f>
        <v>0</v>
      </c>
      <c r="BN41" s="87">
        <f>K41</f>
        <v>0</v>
      </c>
      <c r="BO41" s="87">
        <f>O41</f>
        <v>0</v>
      </c>
      <c r="BP41" s="87">
        <f>S41</f>
        <v>0</v>
      </c>
      <c r="BQ41" s="87">
        <f>W41</f>
        <v>0</v>
      </c>
      <c r="BR41" s="87">
        <f>AA41</f>
        <v>0</v>
      </c>
      <c r="BS41" s="87">
        <f>AE41</f>
        <v>0</v>
      </c>
      <c r="BT41" s="87">
        <f>AI41</f>
        <v>0</v>
      </c>
      <c r="BU41" s="87">
        <f>AM41</f>
        <v>0</v>
      </c>
      <c r="BV41" s="87">
        <f>AQ41</f>
        <v>0</v>
      </c>
      <c r="BW41" s="87">
        <f>AU41</f>
        <v>0</v>
      </c>
      <c r="BX41" s="87">
        <f t="shared" si="124"/>
        <v>0</v>
      </c>
      <c r="BY41" s="87">
        <f t="shared" si="125"/>
        <v>0</v>
      </c>
      <c r="BZ41" s="87">
        <f t="shared" si="126"/>
        <v>0</v>
      </c>
      <c r="CA41" s="88">
        <f t="shared" si="127"/>
        <v>0</v>
      </c>
      <c r="CB41" s="86"/>
      <c r="CC41" s="87"/>
      <c r="CD41" s="87"/>
      <c r="CE41" s="260"/>
      <c r="CF41" s="86">
        <f>I41</f>
        <v>0</v>
      </c>
      <c r="CG41" s="87">
        <f>M41</f>
        <v>0</v>
      </c>
      <c r="CH41" s="87">
        <f>Q41</f>
        <v>0</v>
      </c>
      <c r="CI41" s="87">
        <f>U41</f>
        <v>0</v>
      </c>
      <c r="CJ41" s="87">
        <f>Y41</f>
        <v>0</v>
      </c>
      <c r="CK41" s="87">
        <f>AC41</f>
        <v>0</v>
      </c>
      <c r="CL41" s="87">
        <f>AG41</f>
        <v>0</v>
      </c>
      <c r="CM41" s="87">
        <f>AK41</f>
        <v>0</v>
      </c>
      <c r="CN41" s="87">
        <f>AO41</f>
        <v>0</v>
      </c>
      <c r="CO41" s="87">
        <f>AS41</f>
        <v>0</v>
      </c>
      <c r="CP41" s="87">
        <f t="shared" si="128"/>
        <v>0</v>
      </c>
      <c r="CQ41" s="87">
        <f t="shared" si="129"/>
        <v>0</v>
      </c>
      <c r="CR41" s="87">
        <f t="shared" si="130"/>
        <v>0</v>
      </c>
      <c r="CS41" s="88">
        <f t="shared" si="131"/>
        <v>0</v>
      </c>
      <c r="CT41" s="22"/>
    </row>
    <row r="42" spans="1:98" ht="14.25" customHeight="1">
      <c r="A42" s="8"/>
      <c r="B42" s="28" t="s">
        <v>8</v>
      </c>
      <c r="C42" s="29"/>
      <c r="D42" s="89">
        <v>0</v>
      </c>
      <c r="E42" s="90">
        <v>0</v>
      </c>
      <c r="F42" s="90">
        <v>0</v>
      </c>
      <c r="G42" s="91">
        <v>16.687000000000001</v>
      </c>
      <c r="H42" s="89">
        <v>16.085000000000001</v>
      </c>
      <c r="I42" s="90">
        <v>15.423</v>
      </c>
      <c r="J42" s="90">
        <v>17.7</v>
      </c>
      <c r="K42" s="91">
        <v>19.946000000000002</v>
      </c>
      <c r="L42" s="89">
        <v>32.46</v>
      </c>
      <c r="M42" s="90">
        <v>31.972000000000001</v>
      </c>
      <c r="N42" s="90">
        <v>31.427</v>
      </c>
      <c r="O42" s="91">
        <v>30.791</v>
      </c>
      <c r="P42" s="89">
        <v>30.951000000000001</v>
      </c>
      <c r="Q42" s="90">
        <v>27.625</v>
      </c>
      <c r="R42" s="90">
        <v>27.148</v>
      </c>
      <c r="S42" s="91">
        <v>26.398</v>
      </c>
      <c r="T42" s="89">
        <v>26.21</v>
      </c>
      <c r="U42" s="90">
        <v>25.544</v>
      </c>
      <c r="V42" s="90">
        <v>24.591000000000001</v>
      </c>
      <c r="W42" s="91">
        <v>27.925999999999998</v>
      </c>
      <c r="X42" s="90">
        <v>24.844999999999999</v>
      </c>
      <c r="Y42" s="90">
        <v>24.172000000000001</v>
      </c>
      <c r="Z42" s="90">
        <v>23.672000000000001</v>
      </c>
      <c r="AA42" s="90">
        <v>22.771000000000001</v>
      </c>
      <c r="AB42" s="89">
        <v>22.155000000000001</v>
      </c>
      <c r="AC42" s="90">
        <v>21.529</v>
      </c>
      <c r="AD42" s="90">
        <v>22.143000000000001</v>
      </c>
      <c r="AE42" s="91">
        <v>27.797000000000001</v>
      </c>
      <c r="AF42" s="90">
        <v>26.254000000000001</v>
      </c>
      <c r="AG42" s="90">
        <v>26.321000000000002</v>
      </c>
      <c r="AH42" s="90">
        <v>26.062999999999999</v>
      </c>
      <c r="AI42" s="91">
        <v>29.893999999999998</v>
      </c>
      <c r="AJ42" s="90">
        <v>29.3</v>
      </c>
      <c r="AK42" s="90">
        <v>29.343</v>
      </c>
      <c r="AL42" s="90">
        <v>37.976999999999997</v>
      </c>
      <c r="AM42" s="91">
        <v>53.365000000000002</v>
      </c>
      <c r="AN42" s="90">
        <v>61.572000000000003</v>
      </c>
      <c r="AO42" s="90">
        <v>64.988</v>
      </c>
      <c r="AP42" s="90">
        <v>56.411999999999999</v>
      </c>
      <c r="AQ42" s="91">
        <v>54.220999999999997</v>
      </c>
      <c r="AR42" s="90">
        <v>53.723999999999997</v>
      </c>
      <c r="AS42" s="90">
        <f>52.874+0.651</f>
        <v>53.525000000000006</v>
      </c>
      <c r="AT42" s="90">
        <f>0.643+48.93</f>
        <v>49.573</v>
      </c>
      <c r="AU42" s="91">
        <f>45.908+0.756</f>
        <v>46.664000000000001</v>
      </c>
      <c r="AV42" s="90">
        <v>37.368000000000002</v>
      </c>
      <c r="AW42" s="90">
        <v>37.331000000000003</v>
      </c>
      <c r="AX42" s="90">
        <f>37.459</f>
        <v>37.459000000000003</v>
      </c>
      <c r="AY42" s="91">
        <v>43.366</v>
      </c>
      <c r="AZ42" s="90">
        <f>40.677+1.436</f>
        <v>42.113</v>
      </c>
      <c r="BA42" s="90">
        <v>41.735999999999997</v>
      </c>
      <c r="BB42" s="90">
        <v>59.497</v>
      </c>
      <c r="BC42" s="88">
        <f t="shared" si="132"/>
        <v>59.497</v>
      </c>
      <c r="BD42" s="87">
        <f t="shared" si="133"/>
        <v>59.497</v>
      </c>
      <c r="BE42" s="87">
        <f t="shared" si="133"/>
        <v>59.497</v>
      </c>
      <c r="BF42" s="87">
        <f t="shared" si="133"/>
        <v>59.497</v>
      </c>
      <c r="BG42" s="88">
        <f t="shared" si="133"/>
        <v>59.497</v>
      </c>
      <c r="BH42" s="87">
        <f t="shared" si="134"/>
        <v>59.497</v>
      </c>
      <c r="BI42" s="87">
        <f t="shared" si="134"/>
        <v>59.497</v>
      </c>
      <c r="BJ42" s="87">
        <f t="shared" si="134"/>
        <v>59.497</v>
      </c>
      <c r="BK42" s="88">
        <f t="shared" si="134"/>
        <v>59.497</v>
      </c>
      <c r="BL42" s="128"/>
      <c r="BM42" s="87">
        <f>G42</f>
        <v>16.687000000000001</v>
      </c>
      <c r="BN42" s="87">
        <f>K42</f>
        <v>19.946000000000002</v>
      </c>
      <c r="BO42" s="87">
        <f>O42</f>
        <v>30.791</v>
      </c>
      <c r="BP42" s="87">
        <f>S42</f>
        <v>26.398</v>
      </c>
      <c r="BQ42" s="87">
        <f>W42</f>
        <v>27.925999999999998</v>
      </c>
      <c r="BR42" s="87">
        <f>AA42</f>
        <v>22.771000000000001</v>
      </c>
      <c r="BS42" s="87">
        <f>AE42</f>
        <v>27.797000000000001</v>
      </c>
      <c r="BT42" s="87">
        <f>AI42</f>
        <v>29.893999999999998</v>
      </c>
      <c r="BU42" s="87">
        <f>AM42</f>
        <v>53.365000000000002</v>
      </c>
      <c r="BV42" s="87">
        <f>AQ42</f>
        <v>54.220999999999997</v>
      </c>
      <c r="BW42" s="87">
        <f>AU42</f>
        <v>46.664000000000001</v>
      </c>
      <c r="BX42" s="87">
        <f t="shared" si="124"/>
        <v>43.366</v>
      </c>
      <c r="BY42" s="87">
        <f t="shared" si="125"/>
        <v>59.497</v>
      </c>
      <c r="BZ42" s="87">
        <f t="shared" si="126"/>
        <v>59.497</v>
      </c>
      <c r="CA42" s="88">
        <f t="shared" si="127"/>
        <v>59.497</v>
      </c>
      <c r="CB42" s="86"/>
      <c r="CC42" s="87"/>
      <c r="CD42" s="87"/>
      <c r="CE42" s="260"/>
      <c r="CF42" s="86">
        <f>I42</f>
        <v>15.423</v>
      </c>
      <c r="CG42" s="87">
        <f>M42</f>
        <v>31.972000000000001</v>
      </c>
      <c r="CH42" s="87">
        <f>Q42</f>
        <v>27.625</v>
      </c>
      <c r="CI42" s="87">
        <f>U42</f>
        <v>25.544</v>
      </c>
      <c r="CJ42" s="87">
        <f>Y42</f>
        <v>24.172000000000001</v>
      </c>
      <c r="CK42" s="87">
        <f>AC42</f>
        <v>21.529</v>
      </c>
      <c r="CL42" s="87">
        <f>AG42</f>
        <v>26.321000000000002</v>
      </c>
      <c r="CM42" s="87">
        <f>AK42</f>
        <v>29.343</v>
      </c>
      <c r="CN42" s="87">
        <f>AO42</f>
        <v>64.988</v>
      </c>
      <c r="CO42" s="87">
        <f>AS42</f>
        <v>53.525000000000006</v>
      </c>
      <c r="CP42" s="87">
        <f t="shared" si="128"/>
        <v>37.331000000000003</v>
      </c>
      <c r="CQ42" s="87">
        <f t="shared" si="129"/>
        <v>41.735999999999997</v>
      </c>
      <c r="CR42" s="87">
        <f t="shared" si="130"/>
        <v>59.497</v>
      </c>
      <c r="CS42" s="88">
        <f t="shared" si="131"/>
        <v>59.497</v>
      </c>
      <c r="CT42" s="22"/>
    </row>
    <row r="43" spans="1:98" ht="14.25" customHeight="1">
      <c r="A43" s="8"/>
      <c r="B43" s="28" t="s">
        <v>585</v>
      </c>
      <c r="C43" s="29"/>
      <c r="D43" s="89">
        <v>0</v>
      </c>
      <c r="E43" s="90">
        <v>0</v>
      </c>
      <c r="F43" s="90">
        <v>0</v>
      </c>
      <c r="G43" s="91">
        <v>0</v>
      </c>
      <c r="H43" s="89">
        <v>0</v>
      </c>
      <c r="I43" s="90">
        <v>0</v>
      </c>
      <c r="J43" s="90">
        <v>0</v>
      </c>
      <c r="K43" s="91">
        <v>0</v>
      </c>
      <c r="L43" s="89">
        <v>0</v>
      </c>
      <c r="M43" s="90">
        <v>0</v>
      </c>
      <c r="N43" s="90">
        <v>0</v>
      </c>
      <c r="O43" s="91">
        <v>0</v>
      </c>
      <c r="P43" s="89">
        <v>0</v>
      </c>
      <c r="Q43" s="90">
        <v>0</v>
      </c>
      <c r="R43" s="90">
        <v>0</v>
      </c>
      <c r="S43" s="91">
        <v>0</v>
      </c>
      <c r="T43" s="89">
        <v>0</v>
      </c>
      <c r="U43" s="90">
        <v>0</v>
      </c>
      <c r="V43" s="90">
        <v>0</v>
      </c>
      <c r="W43" s="91">
        <v>0</v>
      </c>
      <c r="X43" s="90">
        <v>0</v>
      </c>
      <c r="Y43" s="90">
        <v>0</v>
      </c>
      <c r="Z43" s="90">
        <v>0</v>
      </c>
      <c r="AA43" s="90">
        <v>0</v>
      </c>
      <c r="AB43" s="89">
        <v>0</v>
      </c>
      <c r="AC43" s="90">
        <v>0</v>
      </c>
      <c r="AD43" s="90">
        <v>0</v>
      </c>
      <c r="AE43" s="91">
        <v>0</v>
      </c>
      <c r="AF43" s="90">
        <v>0</v>
      </c>
      <c r="AG43" s="90">
        <v>0</v>
      </c>
      <c r="AH43" s="90">
        <v>0</v>
      </c>
      <c r="AI43" s="91">
        <v>0</v>
      </c>
      <c r="AJ43" s="90">
        <v>0</v>
      </c>
      <c r="AK43" s="90">
        <v>0</v>
      </c>
      <c r="AL43" s="90">
        <v>0</v>
      </c>
      <c r="AM43" s="91">
        <v>0</v>
      </c>
      <c r="AN43" s="90">
        <v>0</v>
      </c>
      <c r="AO43" s="90">
        <v>0</v>
      </c>
      <c r="AP43" s="90">
        <v>0</v>
      </c>
      <c r="AQ43" s="91">
        <v>0</v>
      </c>
      <c r="AR43" s="90">
        <v>0</v>
      </c>
      <c r="AS43" s="90">
        <v>0</v>
      </c>
      <c r="AT43" s="90">
        <v>0</v>
      </c>
      <c r="AU43" s="91">
        <v>0</v>
      </c>
      <c r="AV43" s="90">
        <v>0</v>
      </c>
      <c r="AW43" s="90">
        <v>0</v>
      </c>
      <c r="AX43" s="90">
        <v>0</v>
      </c>
      <c r="AY43" s="91">
        <v>0</v>
      </c>
      <c r="AZ43" s="90">
        <v>0</v>
      </c>
      <c r="BA43" s="90">
        <v>0</v>
      </c>
      <c r="BB43" s="90">
        <v>0</v>
      </c>
      <c r="BC43" s="1318">
        <f>BB43+CFS!BC50</f>
        <v>0</v>
      </c>
      <c r="BD43" s="1314">
        <f>BC43+CFS!BD50</f>
        <v>0</v>
      </c>
      <c r="BE43" s="1314">
        <f>BD43+CFS!BE50</f>
        <v>0</v>
      </c>
      <c r="BF43" s="1314">
        <f>BE43+CFS!BF50</f>
        <v>0</v>
      </c>
      <c r="BG43" s="1318">
        <f>BF43+CFS!BG50</f>
        <v>0</v>
      </c>
      <c r="BH43" s="1314">
        <f>BG43+CFS!BH50</f>
        <v>0</v>
      </c>
      <c r="BI43" s="1314">
        <f>BH43+CFS!BI50</f>
        <v>0</v>
      </c>
      <c r="BJ43" s="1314">
        <f>BI43+CFS!BJ50</f>
        <v>0</v>
      </c>
      <c r="BK43" s="1318">
        <f>BJ43+CFS!BK50</f>
        <v>0</v>
      </c>
      <c r="BL43" s="128"/>
      <c r="BM43" s="87">
        <f>G43</f>
        <v>0</v>
      </c>
      <c r="BN43" s="87">
        <f>K43</f>
        <v>0</v>
      </c>
      <c r="BO43" s="87">
        <f>O43</f>
        <v>0</v>
      </c>
      <c r="BP43" s="87">
        <f>S43</f>
        <v>0</v>
      </c>
      <c r="BQ43" s="87">
        <f>W43</f>
        <v>0</v>
      </c>
      <c r="BR43" s="87">
        <f>AA43</f>
        <v>0</v>
      </c>
      <c r="BS43" s="87">
        <f>AE43</f>
        <v>0</v>
      </c>
      <c r="BT43" s="87">
        <f>AI43</f>
        <v>0</v>
      </c>
      <c r="BU43" s="87">
        <f>AM43</f>
        <v>0</v>
      </c>
      <c r="BV43" s="87">
        <f>AQ43</f>
        <v>0</v>
      </c>
      <c r="BW43" s="87">
        <f>AU43</f>
        <v>0</v>
      </c>
      <c r="BX43" s="87">
        <f t="shared" si="124"/>
        <v>0</v>
      </c>
      <c r="BY43" s="87">
        <f t="shared" si="125"/>
        <v>0</v>
      </c>
      <c r="BZ43" s="87">
        <f t="shared" si="126"/>
        <v>0</v>
      </c>
      <c r="CA43" s="88">
        <f t="shared" si="127"/>
        <v>0</v>
      </c>
      <c r="CB43" s="1313"/>
      <c r="CC43" s="1314"/>
      <c r="CD43" s="1314"/>
      <c r="CE43" s="260"/>
      <c r="CF43" s="86">
        <f>I43</f>
        <v>0</v>
      </c>
      <c r="CG43" s="87">
        <f>M43</f>
        <v>0</v>
      </c>
      <c r="CH43" s="87">
        <f>Q43</f>
        <v>0</v>
      </c>
      <c r="CI43" s="87">
        <f>U43</f>
        <v>0</v>
      </c>
      <c r="CJ43" s="87">
        <f>Y43</f>
        <v>0</v>
      </c>
      <c r="CK43" s="87">
        <f>AC43</f>
        <v>0</v>
      </c>
      <c r="CL43" s="87">
        <f>AG43</f>
        <v>0</v>
      </c>
      <c r="CM43" s="87">
        <f>AK43</f>
        <v>0</v>
      </c>
      <c r="CN43" s="87">
        <f>AO43</f>
        <v>0</v>
      </c>
      <c r="CO43" s="87">
        <f>AS43</f>
        <v>0</v>
      </c>
      <c r="CP43" s="87">
        <f t="shared" si="128"/>
        <v>0</v>
      </c>
      <c r="CQ43" s="87">
        <f t="shared" si="129"/>
        <v>0</v>
      </c>
      <c r="CR43" s="87">
        <f t="shared" si="130"/>
        <v>0</v>
      </c>
      <c r="CS43" s="88">
        <f t="shared" si="131"/>
        <v>0</v>
      </c>
      <c r="CT43" s="22"/>
    </row>
    <row r="44" spans="1:98" ht="14.25" customHeight="1">
      <c r="A44" s="8"/>
      <c r="B44" s="23"/>
      <c r="C44" s="24"/>
      <c r="D44" s="89"/>
      <c r="E44" s="90"/>
      <c r="F44" s="90"/>
      <c r="G44" s="91"/>
      <c r="H44" s="89"/>
      <c r="I44" s="90"/>
      <c r="J44" s="90"/>
      <c r="K44" s="91"/>
      <c r="L44" s="89"/>
      <c r="M44" s="90"/>
      <c r="N44" s="90"/>
      <c r="O44" s="91"/>
      <c r="P44" s="89"/>
      <c r="Q44" s="90"/>
      <c r="R44" s="90"/>
      <c r="S44" s="91"/>
      <c r="T44" s="89"/>
      <c r="U44" s="90"/>
      <c r="V44" s="90"/>
      <c r="W44" s="91"/>
      <c r="X44" s="90"/>
      <c r="Y44" s="90"/>
      <c r="Z44" s="90"/>
      <c r="AA44" s="90"/>
      <c r="AB44" s="380"/>
      <c r="AC44" s="90"/>
      <c r="AD44" s="90"/>
      <c r="AE44" s="91"/>
      <c r="AF44" s="90"/>
      <c r="AG44" s="90"/>
      <c r="AH44" s="90"/>
      <c r="AI44" s="91"/>
      <c r="AJ44" s="90"/>
      <c r="AK44" s="90"/>
      <c r="AL44" s="90"/>
      <c r="AM44" s="91"/>
      <c r="AN44" s="90"/>
      <c r="AO44" s="90"/>
      <c r="AP44" s="90"/>
      <c r="AQ44" s="91"/>
      <c r="AR44" s="90"/>
      <c r="AS44" s="90"/>
      <c r="AT44" s="90"/>
      <c r="AU44" s="91"/>
      <c r="AV44" s="90"/>
      <c r="AW44" s="90"/>
      <c r="AX44" s="90"/>
      <c r="AY44" s="91"/>
      <c r="AZ44" s="90"/>
      <c r="BA44" s="90"/>
      <c r="BB44" s="90"/>
      <c r="BC44" s="91"/>
      <c r="BD44" s="90"/>
      <c r="BE44" s="90"/>
      <c r="BF44" s="90"/>
      <c r="BG44" s="91"/>
      <c r="BH44" s="90"/>
      <c r="BI44" s="90"/>
      <c r="BJ44" s="90"/>
      <c r="BK44" s="91"/>
      <c r="BL44" s="128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>
        <f t="shared" si="124"/>
        <v>0</v>
      </c>
      <c r="BY44" s="90">
        <f t="shared" si="125"/>
        <v>0</v>
      </c>
      <c r="BZ44" s="90">
        <f t="shared" si="126"/>
        <v>0</v>
      </c>
      <c r="CA44" s="91">
        <f t="shared" si="127"/>
        <v>0</v>
      </c>
      <c r="CB44" s="89"/>
      <c r="CC44" s="90"/>
      <c r="CD44" s="90"/>
      <c r="CE44" s="260"/>
      <c r="CF44" s="89"/>
      <c r="CG44" s="90"/>
      <c r="CH44" s="90"/>
      <c r="CI44" s="90"/>
      <c r="CJ44" s="90"/>
      <c r="CK44" s="90"/>
      <c r="CL44" s="90"/>
      <c r="CM44" s="90"/>
      <c r="CN44" s="90"/>
      <c r="CO44" s="90"/>
      <c r="CP44" s="90">
        <f t="shared" si="128"/>
        <v>0</v>
      </c>
      <c r="CQ44" s="90">
        <f t="shared" si="129"/>
        <v>0</v>
      </c>
      <c r="CR44" s="90">
        <f t="shared" si="130"/>
        <v>0</v>
      </c>
      <c r="CS44" s="91">
        <f t="shared" si="131"/>
        <v>0</v>
      </c>
      <c r="CT44" s="22"/>
    </row>
    <row r="45" spans="1:98" ht="14.25" customHeight="1">
      <c r="A45" s="8"/>
      <c r="B45" s="1371" t="s">
        <v>452</v>
      </c>
      <c r="C45" s="1372"/>
      <c r="D45" s="146">
        <v>2697.7559999999999</v>
      </c>
      <c r="E45" s="144">
        <v>2515.6060000000002</v>
      </c>
      <c r="F45" s="144">
        <v>2608.0100000000002</v>
      </c>
      <c r="G45" s="145">
        <v>2775.489</v>
      </c>
      <c r="H45" s="146">
        <v>2903.3850000000002</v>
      </c>
      <c r="I45" s="144">
        <v>2981.498</v>
      </c>
      <c r="J45" s="144">
        <v>3044.328</v>
      </c>
      <c r="K45" s="145">
        <v>3131.9340000000002</v>
      </c>
      <c r="L45" s="146">
        <v>3016.2829999999999</v>
      </c>
      <c r="M45" s="144">
        <v>3087.018</v>
      </c>
      <c r="N45" s="144">
        <v>3114.07</v>
      </c>
      <c r="O45" s="145">
        <v>3147.8110000000001</v>
      </c>
      <c r="P45" s="146">
        <v>3156.59</v>
      </c>
      <c r="Q45" s="144">
        <v>2741.09</v>
      </c>
      <c r="R45" s="144">
        <v>2631.9270000000001</v>
      </c>
      <c r="S45" s="145">
        <v>2594.4650000000001</v>
      </c>
      <c r="T45" s="146">
        <v>2572.3389999999999</v>
      </c>
      <c r="U45" s="144">
        <v>2545.1329999999998</v>
      </c>
      <c r="V45" s="144">
        <v>2405.1219999999998</v>
      </c>
      <c r="W45" s="145">
        <v>2352.9580000000001</v>
      </c>
      <c r="X45" s="144">
        <v>2341.92</v>
      </c>
      <c r="Y45" s="144">
        <v>2384.9659999999999</v>
      </c>
      <c r="Z45" s="144">
        <v>2465.04</v>
      </c>
      <c r="AA45" s="144">
        <v>2510.8180000000002</v>
      </c>
      <c r="AB45" s="146">
        <v>2512.556</v>
      </c>
      <c r="AC45" s="144">
        <v>2504.4659999999999</v>
      </c>
      <c r="AD45" s="144">
        <v>2503.1979999999999</v>
      </c>
      <c r="AE45" s="145">
        <v>2538.277</v>
      </c>
      <c r="AF45" s="144">
        <v>2568.4369999999999</v>
      </c>
      <c r="AG45" s="144">
        <v>2581.212</v>
      </c>
      <c r="AH45" s="144">
        <v>2612.5659999999998</v>
      </c>
      <c r="AI45" s="145">
        <v>2507.998</v>
      </c>
      <c r="AJ45" s="144">
        <v>2398.4360000000001</v>
      </c>
      <c r="AK45" s="144">
        <v>2356.0639999999999</v>
      </c>
      <c r="AL45" s="144">
        <v>2400.6039999999998</v>
      </c>
      <c r="AM45" s="145">
        <v>2429.9110000000001</v>
      </c>
      <c r="AN45" s="144">
        <v>2411.404</v>
      </c>
      <c r="AO45" s="144">
        <v>2241.741</v>
      </c>
      <c r="AP45" s="144">
        <v>2253.8490000000002</v>
      </c>
      <c r="AQ45" s="145">
        <v>2290.02</v>
      </c>
      <c r="AR45" s="144">
        <v>2114.8009999999999</v>
      </c>
      <c r="AS45" s="144">
        <v>2148.8240000000001</v>
      </c>
      <c r="AT45" s="144">
        <v>2138.7629999999999</v>
      </c>
      <c r="AU45" s="145">
        <v>2107.8139999999999</v>
      </c>
      <c r="AV45" s="144">
        <v>2135.2359999999999</v>
      </c>
      <c r="AW45" s="144">
        <v>2144.1909999999998</v>
      </c>
      <c r="AX45" s="144">
        <v>2160.3090000000002</v>
      </c>
      <c r="AY45" s="145">
        <v>2202.694</v>
      </c>
      <c r="AZ45" s="144">
        <v>2197.7440000000001</v>
      </c>
      <c r="BA45" s="144">
        <v>1985.6980000000001</v>
      </c>
      <c r="BB45" s="144">
        <v>1950.991</v>
      </c>
      <c r="BC45" s="137">
        <f t="shared" ref="BC45:BG45" si="135">BC74</f>
        <v>1889.5699032243601</v>
      </c>
      <c r="BD45" s="136">
        <f t="shared" si="135"/>
        <v>1828.2612801981925</v>
      </c>
      <c r="BE45" s="136">
        <f t="shared" si="135"/>
        <v>1768.1895976123087</v>
      </c>
      <c r="BF45" s="136">
        <f t="shared" si="135"/>
        <v>1725.8529937323094</v>
      </c>
      <c r="BG45" s="137">
        <f t="shared" si="135"/>
        <v>1689.0496846576834</v>
      </c>
      <c r="BH45" s="136">
        <f>BH74</f>
        <v>1646.6064550577869</v>
      </c>
      <c r="BI45" s="136">
        <f>BI74</f>
        <v>1604.0452271303136</v>
      </c>
      <c r="BJ45" s="136">
        <f>BJ74</f>
        <v>1575.4981283126656</v>
      </c>
      <c r="BK45" s="137">
        <f>BK74</f>
        <v>1557.2721349573733</v>
      </c>
      <c r="BL45" s="128"/>
      <c r="BM45" s="87">
        <f>G45</f>
        <v>2775.489</v>
      </c>
      <c r="BN45" s="87">
        <f>K45</f>
        <v>3131.9340000000002</v>
      </c>
      <c r="BO45" s="87">
        <f>O45</f>
        <v>3147.8110000000001</v>
      </c>
      <c r="BP45" s="87">
        <f>S45</f>
        <v>2594.4650000000001</v>
      </c>
      <c r="BQ45" s="87">
        <f>W45</f>
        <v>2352.9580000000001</v>
      </c>
      <c r="BR45" s="87">
        <f>AA45</f>
        <v>2510.8180000000002</v>
      </c>
      <c r="BS45" s="87">
        <f>AE45</f>
        <v>2538.277</v>
      </c>
      <c r="BT45" s="87">
        <f>AI45</f>
        <v>2507.998</v>
      </c>
      <c r="BU45" s="87">
        <f>AM45</f>
        <v>2429.9110000000001</v>
      </c>
      <c r="BV45" s="87">
        <f>AQ45</f>
        <v>2290.02</v>
      </c>
      <c r="BW45" s="87">
        <f>AU45</f>
        <v>2107.8139999999999</v>
      </c>
      <c r="BX45" s="87">
        <f t="shared" si="124"/>
        <v>2202.694</v>
      </c>
      <c r="BY45" s="87">
        <f t="shared" si="125"/>
        <v>1889.5699032243601</v>
      </c>
      <c r="BZ45" s="87">
        <f t="shared" si="126"/>
        <v>1689.0496846576834</v>
      </c>
      <c r="CA45" s="88">
        <f t="shared" si="127"/>
        <v>1557.2721349573733</v>
      </c>
      <c r="CB45" s="86"/>
      <c r="CC45" s="87"/>
      <c r="CD45" s="87"/>
      <c r="CE45" s="260"/>
      <c r="CF45" s="86">
        <f>I45</f>
        <v>2981.498</v>
      </c>
      <c r="CG45" s="87">
        <f>M45</f>
        <v>3087.018</v>
      </c>
      <c r="CH45" s="87">
        <f>Q45</f>
        <v>2741.09</v>
      </c>
      <c r="CI45" s="87">
        <f>U45</f>
        <v>2545.1329999999998</v>
      </c>
      <c r="CJ45" s="87">
        <f>Y45</f>
        <v>2384.9659999999999</v>
      </c>
      <c r="CK45" s="87">
        <f>AC45</f>
        <v>2504.4659999999999</v>
      </c>
      <c r="CL45" s="87">
        <f>AG45</f>
        <v>2581.212</v>
      </c>
      <c r="CM45" s="87">
        <f>AK45</f>
        <v>2356.0639999999999</v>
      </c>
      <c r="CN45" s="87">
        <f>AO45</f>
        <v>2241.741</v>
      </c>
      <c r="CO45" s="87">
        <f>AS45</f>
        <v>2148.8240000000001</v>
      </c>
      <c r="CP45" s="87">
        <f t="shared" si="128"/>
        <v>2144.1909999999998</v>
      </c>
      <c r="CQ45" s="87">
        <f t="shared" si="129"/>
        <v>1985.6980000000001</v>
      </c>
      <c r="CR45" s="87">
        <f t="shared" si="130"/>
        <v>1768.1895976123087</v>
      </c>
      <c r="CS45" s="88">
        <f t="shared" si="131"/>
        <v>1604.0452271303136</v>
      </c>
      <c r="CT45" s="22"/>
    </row>
    <row r="46" spans="1:98" ht="14.25" customHeight="1">
      <c r="A46" s="8"/>
      <c r="B46" s="71"/>
      <c r="C46" s="24"/>
      <c r="D46" s="89"/>
      <c r="E46" s="90"/>
      <c r="F46" s="90"/>
      <c r="G46" s="90"/>
      <c r="H46" s="89"/>
      <c r="I46" s="90"/>
      <c r="J46" s="90"/>
      <c r="K46" s="90"/>
      <c r="L46" s="89"/>
      <c r="M46" s="90"/>
      <c r="N46" s="90"/>
      <c r="O46" s="90"/>
      <c r="P46" s="89"/>
      <c r="Q46" s="90"/>
      <c r="R46" s="90"/>
      <c r="S46" s="90"/>
      <c r="T46" s="89"/>
      <c r="U46" s="90"/>
      <c r="V46" s="90"/>
      <c r="W46" s="90"/>
      <c r="X46" s="89"/>
      <c r="Y46" s="90"/>
      <c r="Z46" s="90"/>
      <c r="AA46" s="90"/>
      <c r="AB46" s="89"/>
      <c r="AC46" s="90"/>
      <c r="AD46" s="90"/>
      <c r="AE46" s="90"/>
      <c r="AF46" s="89"/>
      <c r="AG46" s="90"/>
      <c r="AH46" s="90"/>
      <c r="AI46" s="90"/>
      <c r="AJ46" s="89"/>
      <c r="AK46" s="90"/>
      <c r="AL46" s="90"/>
      <c r="AM46" s="90"/>
      <c r="AN46" s="89"/>
      <c r="AO46" s="90"/>
      <c r="AP46" s="90"/>
      <c r="AQ46" s="90"/>
      <c r="AR46" s="89"/>
      <c r="AS46" s="90"/>
      <c r="AT46" s="90"/>
      <c r="AU46" s="90"/>
      <c r="AV46" s="89"/>
      <c r="AW46" s="90"/>
      <c r="AX46" s="90"/>
      <c r="AY46" s="90"/>
      <c r="AZ46" s="89"/>
      <c r="BA46" s="90"/>
      <c r="BB46" s="90"/>
      <c r="BC46" s="91"/>
      <c r="BD46" s="90"/>
      <c r="BE46" s="90"/>
      <c r="BF46" s="90"/>
      <c r="BG46" s="91"/>
      <c r="BH46" s="90"/>
      <c r="BI46" s="90"/>
      <c r="BJ46" s="90"/>
      <c r="BK46" s="91"/>
      <c r="BL46" s="128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1"/>
      <c r="CB46" s="89"/>
      <c r="CC46" s="90"/>
      <c r="CD46" s="90"/>
      <c r="CE46" s="260"/>
      <c r="CF46" s="89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1"/>
      <c r="CT46" s="22"/>
    </row>
    <row r="47" spans="1:98" ht="14.25" customHeight="1">
      <c r="A47" s="8"/>
      <c r="B47" s="148" t="s">
        <v>453</v>
      </c>
      <c r="C47" s="149"/>
      <c r="D47" s="143">
        <f>D45+D37+SUM(D39:D43)</f>
        <v>3154.2239999999997</v>
      </c>
      <c r="E47" s="141">
        <f t="shared" ref="E47:AL47" si="136">E45+E37+SUM(E39:E43)</f>
        <v>2957.0330000000004</v>
      </c>
      <c r="F47" s="141">
        <f t="shared" si="136"/>
        <v>3041.556</v>
      </c>
      <c r="G47" s="142">
        <f t="shared" si="136"/>
        <v>3286.5369999999998</v>
      </c>
      <c r="H47" s="143">
        <f t="shared" si="136"/>
        <v>3480.2370000000001</v>
      </c>
      <c r="I47" s="141">
        <f t="shared" si="136"/>
        <v>3483.4489999999996</v>
      </c>
      <c r="J47" s="141">
        <f t="shared" si="136"/>
        <v>3523.0559999999996</v>
      </c>
      <c r="K47" s="142">
        <f t="shared" si="136"/>
        <v>3606.7840000000001</v>
      </c>
      <c r="L47" s="143">
        <f t="shared" si="136"/>
        <v>3742.069</v>
      </c>
      <c r="M47" s="141">
        <f t="shared" si="136"/>
        <v>3638.5949999999998</v>
      </c>
      <c r="N47" s="141">
        <f t="shared" si="136"/>
        <v>3674.018</v>
      </c>
      <c r="O47" s="142">
        <f t="shared" si="136"/>
        <v>3708.3900000000003</v>
      </c>
      <c r="P47" s="143">
        <f t="shared" si="136"/>
        <v>3700.7630000000004</v>
      </c>
      <c r="Q47" s="141">
        <f t="shared" si="136"/>
        <v>3209.9820000000004</v>
      </c>
      <c r="R47" s="141">
        <f t="shared" si="136"/>
        <v>3129.9279999999999</v>
      </c>
      <c r="S47" s="142">
        <f t="shared" si="136"/>
        <v>3081.7750000000001</v>
      </c>
      <c r="T47" s="143">
        <f t="shared" si="136"/>
        <v>3061.3070000000002</v>
      </c>
      <c r="U47" s="141">
        <f t="shared" si="136"/>
        <v>2998.4519999999998</v>
      </c>
      <c r="V47" s="141">
        <f t="shared" si="136"/>
        <v>3078.6729999999998</v>
      </c>
      <c r="W47" s="142">
        <f t="shared" si="136"/>
        <v>3482.3249999999998</v>
      </c>
      <c r="X47" s="141">
        <f t="shared" si="136"/>
        <v>3305.1030000000001</v>
      </c>
      <c r="Y47" s="141">
        <f t="shared" si="136"/>
        <v>3365.6929999999998</v>
      </c>
      <c r="Z47" s="141">
        <f t="shared" si="136"/>
        <v>3452.4170000000004</v>
      </c>
      <c r="AA47" s="142">
        <f t="shared" si="136"/>
        <v>3527.7430000000004</v>
      </c>
      <c r="AB47" s="143">
        <f t="shared" si="136"/>
        <v>3521.5829999999996</v>
      </c>
      <c r="AC47" s="141">
        <f>AC45+AC37+SUM(AC39:AC43)</f>
        <v>3520.6549999999997</v>
      </c>
      <c r="AD47" s="141">
        <f>AD45+AD37+SUM(AD39:AD43)</f>
        <v>3670.2370000000001</v>
      </c>
      <c r="AE47" s="142">
        <f>AE45+AE37+SUM(AE39:AE43)</f>
        <v>3737.9460000000004</v>
      </c>
      <c r="AF47" s="143">
        <f>AF45+AF37+SUM(AF39:AF43)</f>
        <v>3704.5739999999996</v>
      </c>
      <c r="AG47" s="141">
        <f t="shared" si="136"/>
        <v>3738.5529999999999</v>
      </c>
      <c r="AH47" s="141">
        <f t="shared" si="136"/>
        <v>4334.1179999999995</v>
      </c>
      <c r="AI47" s="142">
        <f>AI45+AI37+SUM(AI39:AI43)</f>
        <v>3935.91</v>
      </c>
      <c r="AJ47" s="143">
        <f>AJ45+AJ37+SUM(AJ39:AJ43)</f>
        <v>3763.9970000000003</v>
      </c>
      <c r="AK47" s="141">
        <f>AK45+AK37+SUM(AK39:AK43)</f>
        <v>4306.8819999999996</v>
      </c>
      <c r="AL47" s="141">
        <f t="shared" si="136"/>
        <v>4354.5649999999996</v>
      </c>
      <c r="AM47" s="142">
        <f t="shared" ref="AM47:AR47" si="137">AM45+AM37+SUM(AM39:AM43)</f>
        <v>4405.6180000000004</v>
      </c>
      <c r="AN47" s="143">
        <f t="shared" si="137"/>
        <v>4305.125</v>
      </c>
      <c r="AO47" s="141">
        <f t="shared" si="137"/>
        <v>4124.527</v>
      </c>
      <c r="AP47" s="141">
        <f t="shared" si="137"/>
        <v>4167.7170000000006</v>
      </c>
      <c r="AQ47" s="142">
        <f t="shared" si="137"/>
        <v>4228.384</v>
      </c>
      <c r="AR47" s="143">
        <f t="shared" si="137"/>
        <v>3944.886</v>
      </c>
      <c r="AS47" s="141">
        <f t="shared" ref="AS47:BC47" si="138">AS45+AS37+SUM(AS39:AS43)</f>
        <v>3937.4809999999998</v>
      </c>
      <c r="AT47" s="141">
        <f t="shared" si="138"/>
        <v>3981.4679999999998</v>
      </c>
      <c r="AU47" s="142">
        <f t="shared" si="138"/>
        <v>4234.616</v>
      </c>
      <c r="AV47" s="143">
        <f t="shared" si="138"/>
        <v>4192.616</v>
      </c>
      <c r="AW47" s="141">
        <f>AW45+AW37+SUM(AW39:AW43)</f>
        <v>3947.9739999999993</v>
      </c>
      <c r="AX47" s="141">
        <f t="shared" si="138"/>
        <v>4017.7830000000004</v>
      </c>
      <c r="AY47" s="142">
        <f>AY45+AY37+SUM(AY39:AY43)</f>
        <v>4570.2330000000002</v>
      </c>
      <c r="AZ47" s="143">
        <f>AZ45+AZ37+SUM(AZ39:AZ43)</f>
        <v>4536.0059999999994</v>
      </c>
      <c r="BA47" s="141">
        <f>BA45+BA37+SUM(BA39:BA43)</f>
        <v>4564.5120000000006</v>
      </c>
      <c r="BB47" s="141">
        <f t="shared" ref="BB47" si="139">BB45+BB37+SUM(BB39:BB43)</f>
        <v>4623.1949999999997</v>
      </c>
      <c r="BC47" s="142">
        <f t="shared" si="138"/>
        <v>4559.5983557426562</v>
      </c>
      <c r="BD47" s="143">
        <f t="shared" ref="BD47:BK47" si="140">BD45+BD37+SUM(BD39:BD43)</f>
        <v>4492.2368809330655</v>
      </c>
      <c r="BE47" s="141">
        <f t="shared" si="140"/>
        <v>4432.0765955957158</v>
      </c>
      <c r="BF47" s="141">
        <f t="shared" si="140"/>
        <v>4393.231199043219</v>
      </c>
      <c r="BG47" s="142">
        <f t="shared" si="140"/>
        <v>4356.5316693482537</v>
      </c>
      <c r="BH47" s="143">
        <f t="shared" si="140"/>
        <v>4313.0517809014818</v>
      </c>
      <c r="BI47" s="141">
        <f t="shared" si="140"/>
        <v>4270.430142642952</v>
      </c>
      <c r="BJ47" s="141">
        <f t="shared" si="140"/>
        <v>4244.5765010968234</v>
      </c>
      <c r="BK47" s="142">
        <f t="shared" si="140"/>
        <v>4227.9948213503903</v>
      </c>
      <c r="BL47" s="128"/>
      <c r="BM47" s="141">
        <f t="shared" ref="BM47:BV47" si="141">BM45+BM37+SUM(BM39:BM43)</f>
        <v>3286.5369999999998</v>
      </c>
      <c r="BN47" s="141">
        <f t="shared" si="141"/>
        <v>3606.7840000000001</v>
      </c>
      <c r="BO47" s="141">
        <f t="shared" si="141"/>
        <v>3708.3900000000003</v>
      </c>
      <c r="BP47" s="141">
        <f t="shared" si="141"/>
        <v>3081.7750000000001</v>
      </c>
      <c r="BQ47" s="141">
        <f t="shared" si="141"/>
        <v>3482.3249999999998</v>
      </c>
      <c r="BR47" s="141">
        <f t="shared" si="141"/>
        <v>3527.7430000000004</v>
      </c>
      <c r="BS47" s="141">
        <f t="shared" si="141"/>
        <v>3737.9460000000004</v>
      </c>
      <c r="BT47" s="141">
        <f t="shared" si="141"/>
        <v>3935.91</v>
      </c>
      <c r="BU47" s="141">
        <f t="shared" si="141"/>
        <v>4405.6180000000004</v>
      </c>
      <c r="BV47" s="141">
        <f t="shared" si="141"/>
        <v>4228.384</v>
      </c>
      <c r="BW47" s="141">
        <f>BW45+BW37+SUM(BW39:BW43)</f>
        <v>4234.616</v>
      </c>
      <c r="BX47" s="141">
        <f>BX45+BX37+SUM(BX39:BX43)</f>
        <v>4570.2330000000002</v>
      </c>
      <c r="BY47" s="141">
        <f>BY45+BY37+SUM(BY39:BY43)</f>
        <v>4559.5983557426562</v>
      </c>
      <c r="BZ47" s="141">
        <f>BZ45+BZ37+SUM(BZ39:BZ43)</f>
        <v>4356.5316693482537</v>
      </c>
      <c r="CA47" s="142">
        <f>CA45+CA37+SUM(CA39:CA43)</f>
        <v>4227.9948213503903</v>
      </c>
      <c r="CB47" s="147"/>
      <c r="CC47" s="136"/>
      <c r="CD47" s="136"/>
      <c r="CE47" s="260"/>
      <c r="CF47" s="143">
        <f t="shared" ref="CF47:CN47" si="142">CF45+CF37+SUM(CF39:CF43)</f>
        <v>3483.4489999999996</v>
      </c>
      <c r="CG47" s="141">
        <f t="shared" si="142"/>
        <v>3638.5949999999998</v>
      </c>
      <c r="CH47" s="141">
        <f t="shared" si="142"/>
        <v>3209.9820000000004</v>
      </c>
      <c r="CI47" s="141">
        <f t="shared" si="142"/>
        <v>2998.4519999999998</v>
      </c>
      <c r="CJ47" s="141">
        <f t="shared" si="142"/>
        <v>3365.6929999999998</v>
      </c>
      <c r="CK47" s="141">
        <f t="shared" si="142"/>
        <v>3520.6549999999997</v>
      </c>
      <c r="CL47" s="141">
        <f t="shared" si="142"/>
        <v>3738.5529999999999</v>
      </c>
      <c r="CM47" s="141">
        <f t="shared" si="142"/>
        <v>4306.8819999999996</v>
      </c>
      <c r="CN47" s="141">
        <f t="shared" si="142"/>
        <v>4124.527</v>
      </c>
      <c r="CO47" s="141">
        <f>CO45+CO37+SUM(CO39:CO43)</f>
        <v>3937.4809999999998</v>
      </c>
      <c r="CP47" s="141">
        <f>CP45+CP37+SUM(CP39:CP43)</f>
        <v>3947.9739999999993</v>
      </c>
      <c r="CQ47" s="141">
        <f>CQ45+CQ37+SUM(CQ39:CQ43)</f>
        <v>4564.5120000000006</v>
      </c>
      <c r="CR47" s="141">
        <f>CR45+CR37+SUM(CR39:CR43)</f>
        <v>4432.0765955957158</v>
      </c>
      <c r="CS47" s="142">
        <f>CS45+CS37+SUM(CS39:CS43)</f>
        <v>4270.430142642952</v>
      </c>
      <c r="CT47" s="22"/>
    </row>
    <row r="48" spans="1:98" ht="14.25" customHeight="1">
      <c r="A48" s="8"/>
      <c r="B48" s="150"/>
      <c r="C48" s="7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75"/>
      <c r="Y48" s="124"/>
      <c r="Z48" s="75"/>
      <c r="AA48" s="75"/>
      <c r="AB48" s="151"/>
      <c r="AC48" s="124"/>
      <c r="AD48" s="75"/>
      <c r="AE48" s="151"/>
      <c r="AF48" s="151"/>
      <c r="AG48" s="75"/>
      <c r="AH48" s="75"/>
      <c r="AI48" s="151"/>
      <c r="AJ48" s="151"/>
      <c r="AK48" s="75"/>
      <c r="AL48" s="75"/>
      <c r="AM48" s="151"/>
      <c r="AN48" s="151"/>
      <c r="AO48" s="75"/>
      <c r="AP48" s="75"/>
      <c r="AQ48" s="151"/>
      <c r="AR48" s="151"/>
      <c r="AS48" s="75"/>
      <c r="AT48" s="75"/>
      <c r="AU48" s="151"/>
      <c r="AV48" s="151"/>
      <c r="AW48" s="75"/>
      <c r="AX48" s="75"/>
      <c r="AY48" s="151"/>
      <c r="AZ48" s="151"/>
      <c r="BA48" s="75"/>
      <c r="BB48" s="75"/>
      <c r="BC48" s="151"/>
      <c r="BD48" s="151"/>
      <c r="BE48" s="75"/>
      <c r="BF48" s="75"/>
      <c r="BG48" s="151"/>
      <c r="BH48" s="151"/>
      <c r="BI48" s="75"/>
      <c r="BJ48" s="75"/>
      <c r="BK48" s="151"/>
      <c r="BL48" s="1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8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8"/>
    </row>
    <row r="49" spans="1:98" ht="14.25" customHeight="1">
      <c r="A49" s="8"/>
      <c r="B49" s="152" t="s">
        <v>454</v>
      </c>
      <c r="C49" s="153"/>
      <c r="D49" s="156">
        <f t="shared" ref="D49:AL49" si="143">IF(ROUND(D47,4)=ROUND(D27,4),0,D47-D27)</f>
        <v>0</v>
      </c>
      <c r="E49" s="154">
        <f t="shared" si="143"/>
        <v>0</v>
      </c>
      <c r="F49" s="154">
        <f t="shared" si="143"/>
        <v>0</v>
      </c>
      <c r="G49" s="155">
        <f t="shared" si="143"/>
        <v>0</v>
      </c>
      <c r="H49" s="156">
        <f t="shared" si="143"/>
        <v>0</v>
      </c>
      <c r="I49" s="154">
        <f t="shared" si="143"/>
        <v>0</v>
      </c>
      <c r="J49" s="154">
        <f t="shared" si="143"/>
        <v>0</v>
      </c>
      <c r="K49" s="155">
        <f t="shared" si="143"/>
        <v>0</v>
      </c>
      <c r="L49" s="156">
        <f t="shared" si="143"/>
        <v>0</v>
      </c>
      <c r="M49" s="154">
        <f t="shared" si="143"/>
        <v>0</v>
      </c>
      <c r="N49" s="154">
        <f t="shared" si="143"/>
        <v>0</v>
      </c>
      <c r="O49" s="155">
        <f t="shared" si="143"/>
        <v>0</v>
      </c>
      <c r="P49" s="156">
        <f t="shared" si="143"/>
        <v>0</v>
      </c>
      <c r="Q49" s="154">
        <f t="shared" si="143"/>
        <v>0</v>
      </c>
      <c r="R49" s="154">
        <f t="shared" si="143"/>
        <v>0</v>
      </c>
      <c r="S49" s="155">
        <f t="shared" si="143"/>
        <v>0</v>
      </c>
      <c r="T49" s="156">
        <f t="shared" si="143"/>
        <v>0</v>
      </c>
      <c r="U49" s="154">
        <f t="shared" si="143"/>
        <v>0</v>
      </c>
      <c r="V49" s="154">
        <f t="shared" si="143"/>
        <v>0</v>
      </c>
      <c r="W49" s="155">
        <f t="shared" si="143"/>
        <v>0</v>
      </c>
      <c r="X49" s="154">
        <f t="shared" si="143"/>
        <v>0</v>
      </c>
      <c r="Y49" s="154">
        <f t="shared" si="143"/>
        <v>0</v>
      </c>
      <c r="Z49" s="154">
        <f t="shared" si="143"/>
        <v>0</v>
      </c>
      <c r="AA49" s="154">
        <f t="shared" si="143"/>
        <v>0</v>
      </c>
      <c r="AB49" s="156">
        <f t="shared" si="143"/>
        <v>0</v>
      </c>
      <c r="AC49" s="154">
        <f>IF(ROUND(AC47,4)=ROUND(AC27,4),0,AC47-AC27)</f>
        <v>0</v>
      </c>
      <c r="AD49" s="154">
        <f>IF(ROUND(AD47,4)=ROUND(AD27,4),0,AD47-AD27)</f>
        <v>0</v>
      </c>
      <c r="AE49" s="155">
        <f t="shared" si="143"/>
        <v>0</v>
      </c>
      <c r="AF49" s="156">
        <f t="shared" si="143"/>
        <v>0</v>
      </c>
      <c r="AG49" s="154">
        <f t="shared" si="143"/>
        <v>0</v>
      </c>
      <c r="AH49" s="154">
        <f t="shared" si="143"/>
        <v>0</v>
      </c>
      <c r="AI49" s="155">
        <f>IF(ROUND(AI47,4)=ROUND(AI27,4),0,AI47-AI27)</f>
        <v>0</v>
      </c>
      <c r="AJ49" s="156">
        <f t="shared" si="143"/>
        <v>0</v>
      </c>
      <c r="AK49" s="154">
        <f>IF(ROUND(AK47,4)=ROUND(AK27,4),0,AK47-AK27)</f>
        <v>0</v>
      </c>
      <c r="AL49" s="154">
        <f t="shared" si="143"/>
        <v>0</v>
      </c>
      <c r="AM49" s="155">
        <f t="shared" ref="AM49:AR49" si="144">IF(ROUND(AM47,4)=ROUND(AM27,4),0,AM47-AM27)</f>
        <v>0</v>
      </c>
      <c r="AN49" s="156">
        <f t="shared" si="144"/>
        <v>0</v>
      </c>
      <c r="AO49" s="154">
        <f t="shared" si="144"/>
        <v>0</v>
      </c>
      <c r="AP49" s="154">
        <f t="shared" si="144"/>
        <v>0</v>
      </c>
      <c r="AQ49" s="155">
        <f t="shared" si="144"/>
        <v>0</v>
      </c>
      <c r="AR49" s="156">
        <f t="shared" si="144"/>
        <v>0</v>
      </c>
      <c r="AS49" s="154">
        <f t="shared" ref="AS49:BC49" si="145">IF(ROUND(AS47,4)=ROUND(AS27,4),0,AS47-AS27)</f>
        <v>0</v>
      </c>
      <c r="AT49" s="154">
        <f t="shared" si="145"/>
        <v>0</v>
      </c>
      <c r="AU49" s="155">
        <f t="shared" si="145"/>
        <v>0</v>
      </c>
      <c r="AV49" s="156">
        <f t="shared" si="145"/>
        <v>0</v>
      </c>
      <c r="AW49" s="154">
        <f>IF(ROUND(AW47,4)=ROUND(AW27,4),0,AW47-AW27)</f>
        <v>0</v>
      </c>
      <c r="AX49" s="154">
        <f t="shared" si="145"/>
        <v>0</v>
      </c>
      <c r="AY49" s="155">
        <f>IF(ROUND(AY47,4)=ROUND(AY27,4),0,AY47-AY27)</f>
        <v>0</v>
      </c>
      <c r="AZ49" s="156">
        <f>IF(ROUND(AZ47,4)=ROUND(AZ27,4),0,AZ47-AZ27)</f>
        <v>0</v>
      </c>
      <c r="BA49" s="154">
        <f>IF(ROUND(BA47,4)=ROUND(BA27,4),0,BA47-BA27)</f>
        <v>0</v>
      </c>
      <c r="BB49" s="154">
        <f t="shared" si="145"/>
        <v>0</v>
      </c>
      <c r="BC49" s="155">
        <f t="shared" si="145"/>
        <v>0</v>
      </c>
      <c r="BD49" s="156">
        <f t="shared" ref="BD49:BK49" si="146">IF(ROUND(BD47,4)=ROUND(BD27,4),0,BD47-BD27)</f>
        <v>0</v>
      </c>
      <c r="BE49" s="154">
        <f t="shared" si="146"/>
        <v>0</v>
      </c>
      <c r="BF49" s="154">
        <f t="shared" si="146"/>
        <v>0</v>
      </c>
      <c r="BG49" s="155">
        <f t="shared" si="146"/>
        <v>0</v>
      </c>
      <c r="BH49" s="156">
        <f t="shared" si="146"/>
        <v>0</v>
      </c>
      <c r="BI49" s="154">
        <f t="shared" si="146"/>
        <v>0</v>
      </c>
      <c r="BJ49" s="154">
        <f t="shared" si="146"/>
        <v>0</v>
      </c>
      <c r="BK49" s="155">
        <f t="shared" si="146"/>
        <v>0</v>
      </c>
      <c r="BL49" s="20"/>
      <c r="BM49" s="154">
        <f t="shared" ref="BM49:BV49" si="147">IF(ROUND(BM47,4)=ROUND(BM27,4),0,BM47-BM27)</f>
        <v>0</v>
      </c>
      <c r="BN49" s="154">
        <f t="shared" si="147"/>
        <v>0</v>
      </c>
      <c r="BO49" s="154">
        <f t="shared" si="147"/>
        <v>0</v>
      </c>
      <c r="BP49" s="154">
        <f t="shared" si="147"/>
        <v>0</v>
      </c>
      <c r="BQ49" s="154">
        <f t="shared" si="147"/>
        <v>0</v>
      </c>
      <c r="BR49" s="154">
        <f t="shared" si="147"/>
        <v>0</v>
      </c>
      <c r="BS49" s="154">
        <f t="shared" si="147"/>
        <v>0</v>
      </c>
      <c r="BT49" s="154">
        <f t="shared" si="147"/>
        <v>0</v>
      </c>
      <c r="BU49" s="154">
        <f t="shared" si="147"/>
        <v>0</v>
      </c>
      <c r="BV49" s="154">
        <f t="shared" si="147"/>
        <v>0</v>
      </c>
      <c r="BW49" s="154">
        <f>IF(ROUND(BW47,4)=ROUND(BW27,4),0,BW47-BW27)</f>
        <v>0</v>
      </c>
      <c r="BX49" s="154">
        <f>IF(ROUND(BX47,4)=ROUND(BX27,4),0,BX47-BX27)</f>
        <v>0</v>
      </c>
      <c r="BY49" s="154">
        <f>IF(ROUND(BY47,4)=ROUND(BY27,4),0,BY47-BY27)</f>
        <v>0</v>
      </c>
      <c r="BZ49" s="154">
        <f>IF(ROUND(BZ47,4)=ROUND(BZ27,4),0,BZ47-BZ27)</f>
        <v>0</v>
      </c>
      <c r="CA49" s="155">
        <f>IF(ROUND(CA47,4)=ROUND(CA27,4),0,CA47-CA27)</f>
        <v>0</v>
      </c>
      <c r="CB49" s="1481"/>
      <c r="CC49" s="1433"/>
      <c r="CD49" s="1433"/>
      <c r="CE49" s="260"/>
      <c r="CF49" s="156">
        <f t="shared" ref="CF49:CN49" si="148">IF(ROUND(CF47,4)=ROUND(CF27,4),0,CF47-CF27)</f>
        <v>0</v>
      </c>
      <c r="CG49" s="154">
        <f t="shared" si="148"/>
        <v>0</v>
      </c>
      <c r="CH49" s="154">
        <f t="shared" si="148"/>
        <v>0</v>
      </c>
      <c r="CI49" s="154">
        <f t="shared" si="148"/>
        <v>0</v>
      </c>
      <c r="CJ49" s="154">
        <f t="shared" si="148"/>
        <v>0</v>
      </c>
      <c r="CK49" s="154">
        <f t="shared" si="148"/>
        <v>0</v>
      </c>
      <c r="CL49" s="154">
        <f t="shared" si="148"/>
        <v>0</v>
      </c>
      <c r="CM49" s="154">
        <f t="shared" si="148"/>
        <v>0</v>
      </c>
      <c r="CN49" s="154">
        <f t="shared" si="148"/>
        <v>0</v>
      </c>
      <c r="CO49" s="154">
        <f>IF(ROUND(CO47,4)=ROUND(CO27,4),0,CO47-CO27)</f>
        <v>0</v>
      </c>
      <c r="CP49" s="154">
        <f>IF(ROUND(CP47,4)=ROUND(CP27,4),0,CP47-CP27)</f>
        <v>0</v>
      </c>
      <c r="CQ49" s="154">
        <f>IF(ROUND(CQ47,4)=ROUND(CQ27,4),0,CQ47-CQ27)</f>
        <v>0</v>
      </c>
      <c r="CR49" s="154">
        <f>IF(ROUND(CR47,4)=ROUND(CR27,4),0,CR47-CR27)</f>
        <v>0</v>
      </c>
      <c r="CS49" s="155">
        <f>IF(ROUND(CS47,4)=ROUND(CS27,4),0,CS47-CS27)</f>
        <v>0</v>
      </c>
      <c r="CT49" s="22"/>
    </row>
    <row r="50" spans="1:98" ht="14.25" customHeight="1">
      <c r="A50" s="8"/>
      <c r="B50" s="73"/>
      <c r="C50" s="74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157"/>
      <c r="AA50" s="157"/>
      <c r="AB50" s="157"/>
      <c r="AC50" s="75"/>
      <c r="AD50" s="157"/>
      <c r="AE50" s="158"/>
      <c r="AF50" s="157"/>
      <c r="AG50" s="157"/>
      <c r="AH50" s="157"/>
      <c r="AI50" s="158"/>
      <c r="AJ50" s="157"/>
      <c r="AK50" s="157"/>
      <c r="AL50" s="157"/>
      <c r="AM50" s="158"/>
      <c r="AN50" s="157"/>
      <c r="AO50" s="157"/>
      <c r="AP50" s="157"/>
      <c r="AQ50" s="158"/>
      <c r="AR50" s="157"/>
      <c r="AS50" s="157"/>
      <c r="AT50" s="157"/>
      <c r="AU50" s="158"/>
      <c r="AV50" s="157"/>
      <c r="AW50" s="157"/>
      <c r="AX50" s="157"/>
      <c r="AY50" s="158"/>
      <c r="AZ50" s="157"/>
      <c r="BA50" s="157"/>
      <c r="BB50" s="157"/>
      <c r="BC50" s="158"/>
      <c r="BD50" s="157"/>
      <c r="BE50" s="157"/>
      <c r="BF50" s="157"/>
      <c r="BG50" s="158"/>
      <c r="BH50" s="157"/>
      <c r="BI50" s="157"/>
      <c r="BJ50" s="157"/>
      <c r="BK50" s="158"/>
      <c r="BL50" s="14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24"/>
      <c r="BY50" s="124"/>
      <c r="BZ50" s="124"/>
      <c r="CA50" s="159"/>
      <c r="CB50" s="76"/>
      <c r="CC50" s="76"/>
      <c r="CD50" s="76"/>
      <c r="CE50" s="8"/>
      <c r="CF50" s="124"/>
      <c r="CG50" s="124"/>
      <c r="CH50" s="124"/>
      <c r="CI50" s="124"/>
      <c r="CJ50" s="124"/>
      <c r="CK50" s="124"/>
      <c r="CL50" s="124"/>
      <c r="CM50" s="124"/>
      <c r="CN50" s="124"/>
      <c r="CO50" s="159"/>
      <c r="CP50" s="159"/>
      <c r="CQ50" s="159"/>
      <c r="CR50" s="159"/>
      <c r="CS50" s="159"/>
      <c r="CT50" s="8"/>
    </row>
    <row r="51" spans="1:98" ht="14.25" customHeight="1">
      <c r="A51" s="8"/>
      <c r="B51" s="77"/>
      <c r="C51" s="74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157"/>
      <c r="AB51" s="75"/>
      <c r="AC51" s="75"/>
      <c r="AD51" s="75"/>
      <c r="AE51" s="160"/>
      <c r="AF51" s="75"/>
      <c r="AG51" s="75"/>
      <c r="AH51" s="75"/>
      <c r="AI51" s="160"/>
      <c r="AJ51" s="75"/>
      <c r="AK51" s="75"/>
      <c r="AL51" s="75"/>
      <c r="AM51" s="160"/>
      <c r="AN51" s="75"/>
      <c r="AO51" s="75"/>
      <c r="AP51" s="75"/>
      <c r="AQ51" s="160"/>
      <c r="AR51" s="75"/>
      <c r="AS51" s="75"/>
      <c r="AT51" s="75"/>
      <c r="AU51" s="160"/>
      <c r="AV51" s="75"/>
      <c r="AW51" s="75"/>
      <c r="AX51" s="75"/>
      <c r="AY51" s="160"/>
      <c r="AZ51" s="75"/>
      <c r="BA51" s="75"/>
      <c r="BB51" s="75"/>
      <c r="BC51" s="160"/>
      <c r="BD51" s="75"/>
      <c r="BE51" s="75"/>
      <c r="BF51" s="75"/>
      <c r="BG51" s="160"/>
      <c r="BH51" s="75"/>
      <c r="BI51" s="75"/>
      <c r="BJ51" s="75"/>
      <c r="BK51" s="160"/>
      <c r="BL51" s="14"/>
      <c r="BM51" s="124"/>
      <c r="BN51" s="124"/>
      <c r="BO51" s="124"/>
      <c r="BP51" s="124"/>
      <c r="BQ51" s="124"/>
      <c r="BR51" s="124"/>
      <c r="BS51" s="124"/>
      <c r="BT51" s="124"/>
      <c r="BU51" s="124"/>
      <c r="BV51" s="124"/>
      <c r="BW51" s="124"/>
      <c r="BX51" s="124"/>
      <c r="BY51" s="124"/>
      <c r="BZ51" s="124"/>
      <c r="CA51" s="124"/>
      <c r="CB51" s="124"/>
      <c r="CC51" s="124"/>
      <c r="CD51" s="124"/>
      <c r="CE51" s="8"/>
      <c r="CF51" s="124"/>
      <c r="CG51" s="124"/>
      <c r="CH51" s="124"/>
      <c r="CI51" s="124"/>
      <c r="CJ51" s="124"/>
      <c r="CK51" s="124"/>
      <c r="CL51" s="124"/>
      <c r="CM51" s="124"/>
      <c r="CN51" s="124"/>
      <c r="CO51" s="161"/>
      <c r="CP51" s="161"/>
      <c r="CQ51" s="161"/>
      <c r="CR51" s="161"/>
      <c r="CS51" s="161"/>
      <c r="CT51" s="8"/>
    </row>
    <row r="52" spans="1:98" ht="14.25" customHeight="1">
      <c r="A52" s="8"/>
      <c r="B52" s="162" t="s">
        <v>455</v>
      </c>
      <c r="C52" s="163"/>
      <c r="D52" s="17" t="str">
        <f t="shared" ref="D52:K52" si="149">D9</f>
        <v>F1Q06A</v>
      </c>
      <c r="E52" s="18" t="str">
        <f t="shared" si="149"/>
        <v>F2Q06A</v>
      </c>
      <c r="F52" s="18" t="str">
        <f t="shared" si="149"/>
        <v>F3Q06A</v>
      </c>
      <c r="G52" s="19" t="str">
        <f t="shared" si="149"/>
        <v>F4Q06A</v>
      </c>
      <c r="H52" s="17" t="str">
        <f t="shared" si="149"/>
        <v>F1Q07A</v>
      </c>
      <c r="I52" s="18" t="str">
        <f t="shared" si="149"/>
        <v>F2Q07A</v>
      </c>
      <c r="J52" s="18" t="str">
        <f t="shared" si="149"/>
        <v>F3Q07A</v>
      </c>
      <c r="K52" s="19" t="str">
        <f t="shared" si="149"/>
        <v>F4Q07A</v>
      </c>
      <c r="L52" s="17" t="str">
        <f t="shared" ref="L52:W52" si="150">L9</f>
        <v>F1Q08A</v>
      </c>
      <c r="M52" s="18" t="str">
        <f t="shared" si="150"/>
        <v>F2Q08A</v>
      </c>
      <c r="N52" s="18" t="str">
        <f t="shared" si="150"/>
        <v>F3Q08A</v>
      </c>
      <c r="O52" s="19" t="str">
        <f t="shared" si="150"/>
        <v>F4Q08A</v>
      </c>
      <c r="P52" s="17" t="str">
        <f t="shared" si="150"/>
        <v>F1Q09A</v>
      </c>
      <c r="Q52" s="18" t="str">
        <f t="shared" si="150"/>
        <v>F2Q09A</v>
      </c>
      <c r="R52" s="18" t="str">
        <f t="shared" si="150"/>
        <v>F3Q09A</v>
      </c>
      <c r="S52" s="19" t="str">
        <f t="shared" si="150"/>
        <v>F4Q09A</v>
      </c>
      <c r="T52" s="17" t="str">
        <f t="shared" si="150"/>
        <v>F1Q10A</v>
      </c>
      <c r="U52" s="18" t="str">
        <f t="shared" si="150"/>
        <v>F2Q10A</v>
      </c>
      <c r="V52" s="18" t="str">
        <f t="shared" si="150"/>
        <v>F3Q10A</v>
      </c>
      <c r="W52" s="19" t="str">
        <f t="shared" si="150"/>
        <v>F4Q10A</v>
      </c>
      <c r="X52" s="17" t="str">
        <f>X9</f>
        <v>F1Q11A</v>
      </c>
      <c r="Y52" s="18" t="str">
        <f t="shared" ref="Y52:AP52" si="151">Y9</f>
        <v>F2Q11A</v>
      </c>
      <c r="Z52" s="18" t="str">
        <f t="shared" si="151"/>
        <v>F3Q11A</v>
      </c>
      <c r="AA52" s="19" t="str">
        <f t="shared" si="151"/>
        <v>F4Q11A</v>
      </c>
      <c r="AB52" s="17" t="str">
        <f>AB9</f>
        <v>F1Q12A</v>
      </c>
      <c r="AC52" s="18" t="str">
        <f>AC9</f>
        <v>F2Q12A</v>
      </c>
      <c r="AD52" s="18" t="str">
        <f>AD9</f>
        <v>F3Q12A</v>
      </c>
      <c r="AE52" s="18" t="str">
        <f>AE9</f>
        <v>F4Q12A</v>
      </c>
      <c r="AF52" s="17" t="str">
        <f>AF9</f>
        <v>F1Q13A</v>
      </c>
      <c r="AG52" s="18" t="str">
        <f t="shared" si="151"/>
        <v>F2Q13A</v>
      </c>
      <c r="AH52" s="18" t="str">
        <f t="shared" si="151"/>
        <v>F3Q13A</v>
      </c>
      <c r="AI52" s="18" t="str">
        <f>AI9</f>
        <v>F4Q13A</v>
      </c>
      <c r="AJ52" s="17" t="str">
        <f t="shared" si="151"/>
        <v>F1Q14A</v>
      </c>
      <c r="AK52" s="18" t="str">
        <f t="shared" si="151"/>
        <v>F2Q14</v>
      </c>
      <c r="AL52" s="18" t="str">
        <f t="shared" si="151"/>
        <v>F3Q14A</v>
      </c>
      <c r="AM52" s="19" t="str">
        <f t="shared" si="151"/>
        <v>F4Q14A</v>
      </c>
      <c r="AN52" s="17" t="str">
        <f t="shared" si="151"/>
        <v>F1Q15A</v>
      </c>
      <c r="AO52" s="18" t="str">
        <f t="shared" si="151"/>
        <v>F2Q15A</v>
      </c>
      <c r="AP52" s="18" t="str">
        <f t="shared" si="151"/>
        <v>F3Q15A</v>
      </c>
      <c r="AQ52" s="19" t="str">
        <f t="shared" ref="AQ52:BC52" si="152">AQ9</f>
        <v>F4Q15A</v>
      </c>
      <c r="AR52" s="17" t="str">
        <f t="shared" si="152"/>
        <v>F1Q16A</v>
      </c>
      <c r="AS52" s="18" t="str">
        <f t="shared" si="152"/>
        <v>F2Q16A</v>
      </c>
      <c r="AT52" s="18" t="str">
        <f t="shared" si="152"/>
        <v>F3Q16A</v>
      </c>
      <c r="AU52" s="19" t="str">
        <f t="shared" si="152"/>
        <v>F4Q16A</v>
      </c>
      <c r="AV52" s="17" t="str">
        <f>AV9</f>
        <v>F1Q17A</v>
      </c>
      <c r="AW52" s="18" t="str">
        <f>AW9</f>
        <v>F2Q17A</v>
      </c>
      <c r="AX52" s="18" t="str">
        <f t="shared" si="152"/>
        <v>F3Q17A</v>
      </c>
      <c r="AY52" s="19" t="str">
        <f t="shared" si="152"/>
        <v>F4Q17A</v>
      </c>
      <c r="AZ52" s="18" t="str">
        <f t="shared" si="152"/>
        <v>F1Q18A</v>
      </c>
      <c r="BA52" s="18" t="str">
        <f t="shared" si="152"/>
        <v>F2Q18A</v>
      </c>
      <c r="BB52" s="18" t="str">
        <f t="shared" si="152"/>
        <v>F3Q18A</v>
      </c>
      <c r="BC52" s="19" t="str">
        <f t="shared" si="152"/>
        <v>F4Q18E</v>
      </c>
      <c r="BD52" s="18" t="str">
        <f t="shared" ref="BD52:BK52" si="153">BD9</f>
        <v>F1Q19E</v>
      </c>
      <c r="BE52" s="18" t="str">
        <f t="shared" si="153"/>
        <v>F2Q19E</v>
      </c>
      <c r="BF52" s="18" t="str">
        <f t="shared" si="153"/>
        <v>F3Q19E</v>
      </c>
      <c r="BG52" s="19" t="str">
        <f t="shared" si="153"/>
        <v>F4Q19E</v>
      </c>
      <c r="BH52" s="18" t="str">
        <f t="shared" si="153"/>
        <v>F1Q20E</v>
      </c>
      <c r="BI52" s="18" t="str">
        <f t="shared" si="153"/>
        <v>F2Q20E</v>
      </c>
      <c r="BJ52" s="18" t="str">
        <f t="shared" si="153"/>
        <v>F3Q20E</v>
      </c>
      <c r="BK52" s="19" t="str">
        <f t="shared" si="153"/>
        <v>F4Q20E</v>
      </c>
      <c r="BL52" s="20"/>
      <c r="BM52" s="723" t="str">
        <f t="shared" ref="BM52:BS52" si="154">BM9</f>
        <v>FY2006A</v>
      </c>
      <c r="BN52" s="18" t="str">
        <f t="shared" si="154"/>
        <v>FY2007A</v>
      </c>
      <c r="BO52" s="18" t="str">
        <f t="shared" si="154"/>
        <v>FY2008A</v>
      </c>
      <c r="BP52" s="18" t="str">
        <f t="shared" si="154"/>
        <v>FY2009A</v>
      </c>
      <c r="BQ52" s="18" t="str">
        <f t="shared" si="154"/>
        <v>FY2010A</v>
      </c>
      <c r="BR52" s="18" t="str">
        <f t="shared" si="154"/>
        <v>FY2011A</v>
      </c>
      <c r="BS52" s="18" t="str">
        <f t="shared" si="154"/>
        <v>FY2012A</v>
      </c>
      <c r="BT52" s="18" t="str">
        <f t="shared" ref="BT52:CA52" si="155">BT9</f>
        <v>FY2013A</v>
      </c>
      <c r="BU52" s="18" t="str">
        <f t="shared" si="155"/>
        <v>FY2014A</v>
      </c>
      <c r="BV52" s="18" t="str">
        <f t="shared" si="155"/>
        <v>FY2015A</v>
      </c>
      <c r="BW52" s="18" t="str">
        <f t="shared" si="155"/>
        <v>FY2016A</v>
      </c>
      <c r="BX52" s="18" t="str">
        <f t="shared" si="155"/>
        <v>FY2017A</v>
      </c>
      <c r="BY52" s="18" t="str">
        <f t="shared" si="155"/>
        <v>FY2018E</v>
      </c>
      <c r="BZ52" s="18" t="str">
        <f t="shared" si="155"/>
        <v>FY2019E</v>
      </c>
      <c r="CA52" s="19" t="str">
        <f t="shared" si="155"/>
        <v>FY2020E</v>
      </c>
      <c r="CB52" s="1470"/>
      <c r="CC52" s="1418"/>
      <c r="CD52" s="1418"/>
      <c r="CE52" s="260"/>
      <c r="CF52" s="723" t="str">
        <f t="shared" ref="CF52:CL52" si="156">CF7</f>
        <v>CY2006</v>
      </c>
      <c r="CG52" s="18" t="str">
        <f t="shared" si="156"/>
        <v>CY2007</v>
      </c>
      <c r="CH52" s="18" t="str">
        <f t="shared" si="156"/>
        <v>CY2008</v>
      </c>
      <c r="CI52" s="18" t="str">
        <f t="shared" si="156"/>
        <v>CY2009</v>
      </c>
      <c r="CJ52" s="18" t="str">
        <f t="shared" si="156"/>
        <v>CY2010</v>
      </c>
      <c r="CK52" s="18" t="str">
        <f t="shared" si="156"/>
        <v>CY2011</v>
      </c>
      <c r="CL52" s="18" t="str">
        <f t="shared" si="156"/>
        <v>CY2012</v>
      </c>
      <c r="CM52" s="18" t="str">
        <f t="shared" ref="CM52:CR52" si="157">CM7</f>
        <v>CY2013</v>
      </c>
      <c r="CN52" s="18" t="str">
        <f t="shared" si="157"/>
        <v>CY2014A</v>
      </c>
      <c r="CO52" s="18" t="str">
        <f t="shared" si="157"/>
        <v>CY2015A</v>
      </c>
      <c r="CP52" s="724" t="str">
        <f t="shared" si="157"/>
        <v>CY2016A</v>
      </c>
      <c r="CQ52" s="724" t="str">
        <f t="shared" si="157"/>
        <v>CY2017E</v>
      </c>
      <c r="CR52" s="724" t="str">
        <f t="shared" si="157"/>
        <v>CY2018E</v>
      </c>
      <c r="CS52" s="21" t="str">
        <f>CS7</f>
        <v>CY2019E</v>
      </c>
      <c r="CT52" s="22"/>
    </row>
    <row r="53" spans="1:98" ht="14.25" customHeight="1">
      <c r="A53" s="8"/>
      <c r="B53" s="23" t="s">
        <v>456</v>
      </c>
      <c r="C53" s="24"/>
      <c r="D53" s="86">
        <f t="shared" ref="D53:AB53" si="158">D13/(D59*4)*360</f>
        <v>45.191313267074591</v>
      </c>
      <c r="E53" s="87">
        <f t="shared" si="158"/>
        <v>44.650318728676602</v>
      </c>
      <c r="F53" s="87">
        <f t="shared" si="158"/>
        <v>48.92170148691887</v>
      </c>
      <c r="G53" s="88">
        <f t="shared" si="158"/>
        <v>52.548609474428496</v>
      </c>
      <c r="H53" s="86">
        <f t="shared" si="158"/>
        <v>53.071795840833822</v>
      </c>
      <c r="I53" s="87">
        <f t="shared" si="158"/>
        <v>50.1270471783264</v>
      </c>
      <c r="J53" s="87">
        <f t="shared" si="158"/>
        <v>47.346523808324733</v>
      </c>
      <c r="K53" s="88">
        <f t="shared" si="158"/>
        <v>41.418224167402371</v>
      </c>
      <c r="L53" s="86">
        <f t="shared" si="158"/>
        <v>47.291296574384489</v>
      </c>
      <c r="M53" s="87">
        <f t="shared" si="158"/>
        <v>47.77695477061247</v>
      </c>
      <c r="N53" s="87">
        <f t="shared" si="158"/>
        <v>49.724626084815654</v>
      </c>
      <c r="O53" s="88">
        <f t="shared" si="158"/>
        <v>48.841455751126652</v>
      </c>
      <c r="P53" s="86">
        <f t="shared" si="158"/>
        <v>48.226470658653959</v>
      </c>
      <c r="Q53" s="87">
        <f t="shared" si="158"/>
        <v>46.760333597126682</v>
      </c>
      <c r="R53" s="87">
        <f t="shared" si="158"/>
        <v>52.024671367376676</v>
      </c>
      <c r="S53" s="88">
        <f t="shared" si="158"/>
        <v>47.411926352000506</v>
      </c>
      <c r="T53" s="86">
        <f t="shared" si="158"/>
        <v>45.845416542384356</v>
      </c>
      <c r="U53" s="87">
        <f t="shared" si="158"/>
        <v>53.432267193225137</v>
      </c>
      <c r="V53" s="87">
        <f t="shared" si="158"/>
        <v>52.589372740135197</v>
      </c>
      <c r="W53" s="88">
        <f t="shared" si="158"/>
        <v>53.959417770097645</v>
      </c>
      <c r="X53" s="86">
        <f t="shared" si="158"/>
        <v>47.627172241307441</v>
      </c>
      <c r="Y53" s="87">
        <f t="shared" si="158"/>
        <v>43.061200516856573</v>
      </c>
      <c r="Z53" s="87">
        <f t="shared" si="158"/>
        <v>45.178509332124761</v>
      </c>
      <c r="AA53" s="88">
        <f t="shared" si="158"/>
        <v>42.757006884376658</v>
      </c>
      <c r="AB53" s="86">
        <f t="shared" si="158"/>
        <v>46.554900770752297</v>
      </c>
      <c r="AC53" s="87">
        <f t="shared" ref="AC53:AH53" si="159">AC13/(AC59*4)*360</f>
        <v>37.47403861275469</v>
      </c>
      <c r="AD53" s="87">
        <f t="shared" si="159"/>
        <v>46.677853406441038</v>
      </c>
      <c r="AE53" s="87">
        <f t="shared" si="159"/>
        <v>47.229038144922932</v>
      </c>
      <c r="AF53" s="86">
        <f t="shared" si="159"/>
        <v>45.722296673755167</v>
      </c>
      <c r="AG53" s="87">
        <f t="shared" si="159"/>
        <v>39.333907147789709</v>
      </c>
      <c r="AH53" s="87">
        <f t="shared" si="159"/>
        <v>44.643501894578129</v>
      </c>
      <c r="AI53" s="87">
        <f t="shared" ref="AI53:AN53" si="160">AI13/(AI59*4)*360</f>
        <v>42.238857995968395</v>
      </c>
      <c r="AJ53" s="86">
        <f t="shared" si="160"/>
        <v>45.810050902106987</v>
      </c>
      <c r="AK53" s="87">
        <f t="shared" si="160"/>
        <v>41.82933671248513</v>
      </c>
      <c r="AL53" s="87">
        <f t="shared" si="160"/>
        <v>45.19131357926036</v>
      </c>
      <c r="AM53" s="87">
        <f t="shared" si="160"/>
        <v>41.441070125002526</v>
      </c>
      <c r="AN53" s="86">
        <f t="shared" si="160"/>
        <v>43.72733617681272</v>
      </c>
      <c r="AO53" s="87">
        <f t="shared" ref="AO53:AT53" si="161">AO13/(AO59*4)*360</f>
        <v>41.046525372744611</v>
      </c>
      <c r="AP53" s="87">
        <f t="shared" si="161"/>
        <v>43.409035396344471</v>
      </c>
      <c r="AQ53" s="87">
        <f t="shared" si="161"/>
        <v>43.081935806165305</v>
      </c>
      <c r="AR53" s="86">
        <f t="shared" si="161"/>
        <v>45.194556541217047</v>
      </c>
      <c r="AS53" s="87">
        <f t="shared" si="161"/>
        <v>40.730104476823058</v>
      </c>
      <c r="AT53" s="87">
        <f t="shared" si="161"/>
        <v>45.141989583108213</v>
      </c>
      <c r="AU53" s="87">
        <f t="shared" ref="AU53:AZ53" si="162">AU13/(AU59*4)*360</f>
        <v>40.782069715928962</v>
      </c>
      <c r="AV53" s="86">
        <f t="shared" si="162"/>
        <v>40.642647970416611</v>
      </c>
      <c r="AW53" s="87">
        <f t="shared" si="162"/>
        <v>36.644016856685504</v>
      </c>
      <c r="AX53" s="87">
        <f t="shared" si="162"/>
        <v>39.887546110224079</v>
      </c>
      <c r="AY53" s="171">
        <f t="shared" si="162"/>
        <v>38.339980564945471</v>
      </c>
      <c r="AZ53" s="86">
        <f t="shared" si="162"/>
        <v>36.460352698392846</v>
      </c>
      <c r="BA53" s="87">
        <f>BA13/(BA59*4)*360</f>
        <v>34.068887650428742</v>
      </c>
      <c r="BB53" s="87">
        <f t="shared" ref="BB53" si="163">BB13/(BB59*4)*360</f>
        <v>44.480133333538902</v>
      </c>
      <c r="BC53" s="1380">
        <v>45</v>
      </c>
      <c r="BD53" s="1324">
        <v>45</v>
      </c>
      <c r="BE53" s="1324">
        <v>45</v>
      </c>
      <c r="BF53" s="1324">
        <v>45</v>
      </c>
      <c r="BG53" s="1324">
        <v>45</v>
      </c>
      <c r="BH53" s="1324">
        <v>45</v>
      </c>
      <c r="BI53" s="1324">
        <v>45</v>
      </c>
      <c r="BJ53" s="1324">
        <v>45</v>
      </c>
      <c r="BK53" s="1324">
        <v>45</v>
      </c>
      <c r="BL53" s="128"/>
      <c r="BM53" s="164">
        <f t="shared" ref="BM53:BV53" si="164">BM13/BM59*360</f>
        <v>57.633694051250849</v>
      </c>
      <c r="BN53" s="87">
        <f t="shared" si="164"/>
        <v>43.899371069182394</v>
      </c>
      <c r="BO53" s="87">
        <f t="shared" si="164"/>
        <v>47.706182290091064</v>
      </c>
      <c r="BP53" s="87">
        <f t="shared" si="164"/>
        <v>45.44947646285118</v>
      </c>
      <c r="BQ53" s="87">
        <f t="shared" si="164"/>
        <v>61.151249772852765</v>
      </c>
      <c r="BR53" s="87">
        <f t="shared" si="164"/>
        <v>43.338487692434022</v>
      </c>
      <c r="BS53" s="87">
        <f t="shared" si="164"/>
        <v>47.549232815580758</v>
      </c>
      <c r="BT53" s="87">
        <f t="shared" si="164"/>
        <v>42.088636344087696</v>
      </c>
      <c r="BU53" s="87">
        <f t="shared" si="164"/>
        <v>43.403711104581191</v>
      </c>
      <c r="BV53" s="87">
        <f t="shared" si="164"/>
        <v>43.515283085608871</v>
      </c>
      <c r="BW53" s="87">
        <f>BW13/BW59*360</f>
        <v>42.078808266570803</v>
      </c>
      <c r="BX53" s="87">
        <f>BX13/BX59*360</f>
        <v>40.217301246071315</v>
      </c>
      <c r="BY53" s="87">
        <f>BY13/BY59*360</f>
        <v>45.776685596117417</v>
      </c>
      <c r="BZ53" s="87">
        <f>BZ13/BZ59*360</f>
        <v>46.529379761588572</v>
      </c>
      <c r="CA53" s="88">
        <f>CA13/CA59*360</f>
        <v>46.791220018324751</v>
      </c>
      <c r="CB53" s="1475"/>
      <c r="CC53" s="1420"/>
      <c r="CD53" s="1420"/>
      <c r="CE53" s="260"/>
      <c r="CF53" s="172">
        <f t="shared" ref="CF53:CN53" si="165">CF13/CF59*360</f>
        <v>50.184651486670887</v>
      </c>
      <c r="CG53" s="87">
        <f t="shared" si="165"/>
        <v>49.783601989742557</v>
      </c>
      <c r="CH53" s="87">
        <f t="shared" si="165"/>
        <v>40.416172951494204</v>
      </c>
      <c r="CI53" s="87">
        <f t="shared" si="165"/>
        <v>61.080393047968592</v>
      </c>
      <c r="CJ53" s="87">
        <f t="shared" si="165"/>
        <v>45.626113641932697</v>
      </c>
      <c r="CK53" s="87">
        <f t="shared" si="165"/>
        <v>36.02433038408504</v>
      </c>
      <c r="CL53" s="87">
        <f t="shared" si="165"/>
        <v>39.606678840813814</v>
      </c>
      <c r="CM53" s="87">
        <f t="shared" si="165"/>
        <v>42.910320173753924</v>
      </c>
      <c r="CN53" s="87">
        <f t="shared" si="165"/>
        <v>38.853088135095049</v>
      </c>
      <c r="CO53" s="164">
        <f>CO13/CO59*360</f>
        <v>37.268379098132165</v>
      </c>
      <c r="CP53" s="164">
        <f>CP13/CP59*360</f>
        <v>36.155489459085352</v>
      </c>
      <c r="CQ53" s="164">
        <f>CQ13/CQ59*360</f>
        <v>35.628380699162811</v>
      </c>
      <c r="CR53" s="164">
        <f>CR13/CR59*360</f>
        <v>44.170673332195406</v>
      </c>
      <c r="CS53" s="171">
        <f>CS13/CS59*360</f>
        <v>44.728234842299855</v>
      </c>
      <c r="CT53" s="22"/>
    </row>
    <row r="54" spans="1:98" ht="14.25" customHeight="1">
      <c r="A54" s="8"/>
      <c r="B54" s="23" t="s">
        <v>457</v>
      </c>
      <c r="C54" s="24"/>
      <c r="D54" s="86">
        <f t="shared" ref="D54:BK54" si="166">360/D55</f>
        <v>3.1003858264708613</v>
      </c>
      <c r="E54" s="87">
        <f t="shared" si="166"/>
        <v>3.0806180854721599</v>
      </c>
      <c r="F54" s="87">
        <f t="shared" si="166"/>
        <v>3.2026315017742109</v>
      </c>
      <c r="G54" s="88">
        <f t="shared" si="166"/>
        <v>3.421380307736078</v>
      </c>
      <c r="H54" s="86">
        <f t="shared" si="166"/>
        <v>3.639949069627181</v>
      </c>
      <c r="I54" s="87">
        <f t="shared" si="166"/>
        <v>3.0668270808268625</v>
      </c>
      <c r="J54" s="87">
        <f t="shared" si="166"/>
        <v>3.055845959900112</v>
      </c>
      <c r="K54" s="88">
        <f t="shared" si="166"/>
        <v>3.0337440476870206</v>
      </c>
      <c r="L54" s="86">
        <f t="shared" si="166"/>
        <v>3.1190952348113927</v>
      </c>
      <c r="M54" s="87">
        <f t="shared" si="166"/>
        <v>3.2029471126525975</v>
      </c>
      <c r="N54" s="87">
        <f t="shared" si="166"/>
        <v>2.9995115024140868</v>
      </c>
      <c r="O54" s="88">
        <f t="shared" si="166"/>
        <v>2.9102602222295637</v>
      </c>
      <c r="P54" s="86">
        <f t="shared" si="166"/>
        <v>3.1856984394706047</v>
      </c>
      <c r="Q54" s="87">
        <f t="shared" si="166"/>
        <v>3.3630955928808994</v>
      </c>
      <c r="R54" s="87">
        <f t="shared" si="166"/>
        <v>2.867194664443518</v>
      </c>
      <c r="S54" s="88">
        <f t="shared" si="166"/>
        <v>3.7445363030016474</v>
      </c>
      <c r="T54" s="86">
        <f t="shared" si="166"/>
        <v>4.1111313365613151</v>
      </c>
      <c r="U54" s="87">
        <f t="shared" si="166"/>
        <v>3.707881904062353</v>
      </c>
      <c r="V54" s="87">
        <f t="shared" si="166"/>
        <v>4.2012288222300338</v>
      </c>
      <c r="W54" s="88">
        <f t="shared" si="166"/>
        <v>4.3683556590953216</v>
      </c>
      <c r="X54" s="86">
        <f t="shared" si="166"/>
        <v>4.6996430092993879</v>
      </c>
      <c r="Y54" s="87">
        <f t="shared" si="166"/>
        <v>4.2772890641517067</v>
      </c>
      <c r="Z54" s="87">
        <f t="shared" si="166"/>
        <v>3.9862428862697028</v>
      </c>
      <c r="AA54" s="88">
        <f t="shared" si="166"/>
        <v>3.9619716889142924</v>
      </c>
      <c r="AB54" s="86">
        <f t="shared" si="166"/>
        <v>3.8004416196935522</v>
      </c>
      <c r="AC54" s="87">
        <f t="shared" si="166"/>
        <v>4.1712909804459226</v>
      </c>
      <c r="AD54" s="87">
        <f t="shared" si="166"/>
        <v>4.2839661508132982</v>
      </c>
      <c r="AE54" s="87">
        <f t="shared" si="166"/>
        <v>3.8481182018648674</v>
      </c>
      <c r="AF54" s="86">
        <f t="shared" si="166"/>
        <v>3.6705696801951375</v>
      </c>
      <c r="AG54" s="87">
        <f t="shared" si="166"/>
        <v>3.7553804959447401</v>
      </c>
      <c r="AH54" s="87">
        <f t="shared" si="166"/>
        <v>3.4144273892052031</v>
      </c>
      <c r="AI54" s="87">
        <f t="shared" si="166"/>
        <v>3.4362937164417353</v>
      </c>
      <c r="AJ54" s="86">
        <f t="shared" si="166"/>
        <v>3.4224241422194099</v>
      </c>
      <c r="AK54" s="87">
        <f t="shared" si="166"/>
        <v>3.9242078631650483</v>
      </c>
      <c r="AL54" s="87">
        <f t="shared" si="166"/>
        <v>3.6588989322520473</v>
      </c>
      <c r="AM54" s="87">
        <f t="shared" si="166"/>
        <v>3.7817430139789558</v>
      </c>
      <c r="AN54" s="86">
        <f t="shared" si="166"/>
        <v>3.166681961797134</v>
      </c>
      <c r="AO54" s="87">
        <f t="shared" si="166"/>
        <v>3.297608329745175</v>
      </c>
      <c r="AP54" s="87">
        <f t="shared" si="166"/>
        <v>3.5253473273455112</v>
      </c>
      <c r="AQ54" s="87">
        <f t="shared" si="166"/>
        <v>3.866081518611729</v>
      </c>
      <c r="AR54" s="86">
        <f t="shared" si="166"/>
        <v>3.7997605877982328</v>
      </c>
      <c r="AS54" s="87">
        <f t="shared" si="166"/>
        <v>3.1835364943710625</v>
      </c>
      <c r="AT54" s="87">
        <f t="shared" si="166"/>
        <v>4.0308265452700942</v>
      </c>
      <c r="AU54" s="87">
        <f t="shared" si="166"/>
        <v>3.845039464043627</v>
      </c>
      <c r="AV54" s="86">
        <f t="shared" si="166"/>
        <v>3.8600347228436935</v>
      </c>
      <c r="AW54" s="87">
        <f t="shared" si="166"/>
        <v>3.5726148110489748</v>
      </c>
      <c r="AX54" s="87">
        <f t="shared" si="166"/>
        <v>3.5505779927849277</v>
      </c>
      <c r="AY54" s="88">
        <f t="shared" si="166"/>
        <v>3.3706085535629056</v>
      </c>
      <c r="AZ54" s="86">
        <f t="shared" si="166"/>
        <v>3.2907677697302185</v>
      </c>
      <c r="BA54" s="87">
        <f t="shared" si="166"/>
        <v>3.2814092612780583</v>
      </c>
      <c r="BB54" s="87">
        <f t="shared" si="166"/>
        <v>3.284208525817204</v>
      </c>
      <c r="BC54" s="88">
        <f t="shared" si="166"/>
        <v>3.284208525817204</v>
      </c>
      <c r="BD54" s="87">
        <f t="shared" si="166"/>
        <v>3.284208525817204</v>
      </c>
      <c r="BE54" s="87">
        <f t="shared" si="166"/>
        <v>3.284208525817204</v>
      </c>
      <c r="BF54" s="87">
        <f t="shared" si="166"/>
        <v>3.284208525817204</v>
      </c>
      <c r="BG54" s="88">
        <f t="shared" si="166"/>
        <v>3.284208525817204</v>
      </c>
      <c r="BH54" s="87">
        <f t="shared" si="166"/>
        <v>3.284208525817204</v>
      </c>
      <c r="BI54" s="87">
        <f t="shared" si="166"/>
        <v>3.284208525817204</v>
      </c>
      <c r="BJ54" s="87">
        <f t="shared" si="166"/>
        <v>3.284208525817204</v>
      </c>
      <c r="BK54" s="88">
        <f t="shared" si="166"/>
        <v>3.284208525817204</v>
      </c>
      <c r="BL54" s="128"/>
      <c r="BM54" s="87">
        <f t="shared" ref="BM54:CA54" si="167">360/BM55</f>
        <v>2.9863191674620917</v>
      </c>
      <c r="BN54" s="87">
        <f t="shared" si="167"/>
        <v>2.9377111300529055</v>
      </c>
      <c r="BO54" s="87">
        <f t="shared" si="167"/>
        <v>2.9111858644655206</v>
      </c>
      <c r="BP54" s="87">
        <f t="shared" si="167"/>
        <v>3.6090389189195302</v>
      </c>
      <c r="BQ54" s="87">
        <f t="shared" si="167"/>
        <v>3.851271331806831</v>
      </c>
      <c r="BR54" s="87">
        <f t="shared" si="167"/>
        <v>3.9065083808017436</v>
      </c>
      <c r="BS54" s="87">
        <f t="shared" si="167"/>
        <v>3.8801572093763119</v>
      </c>
      <c r="BT54" s="87">
        <f t="shared" si="167"/>
        <v>3.3810342257023751</v>
      </c>
      <c r="BU54" s="87">
        <f t="shared" si="167"/>
        <v>3.644261029146453</v>
      </c>
      <c r="BV54" s="87">
        <f t="shared" si="167"/>
        <v>3.538997318055586</v>
      </c>
      <c r="BW54" s="87">
        <f t="shared" si="167"/>
        <v>4.1123014935496913</v>
      </c>
      <c r="BX54" s="87">
        <f t="shared" si="167"/>
        <v>3.3873816491479207</v>
      </c>
      <c r="BY54" s="87">
        <f t="shared" si="167"/>
        <v>3.1758408734763921</v>
      </c>
      <c r="BZ54" s="87">
        <f t="shared" si="167"/>
        <v>3.1659964713660305</v>
      </c>
      <c r="CA54" s="88">
        <f t="shared" si="167"/>
        <v>3.139031493343579</v>
      </c>
      <c r="CB54" s="86"/>
      <c r="CC54" s="87"/>
      <c r="CD54" s="87"/>
      <c r="CE54" s="260"/>
      <c r="CF54" s="86">
        <f t="shared" ref="CF54:CS54" si="168">360/CF55</f>
        <v>11.944503181952596</v>
      </c>
      <c r="CG54" s="87">
        <f t="shared" si="168"/>
        <v>12.500021554680306</v>
      </c>
      <c r="CH54" s="87">
        <f t="shared" si="168"/>
        <v>12.993225013013536</v>
      </c>
      <c r="CI54" s="87">
        <f t="shared" si="168"/>
        <v>15.409601926098224</v>
      </c>
      <c r="CJ54" s="87">
        <f t="shared" si="168"/>
        <v>16.504922372666353</v>
      </c>
      <c r="CK54" s="87">
        <f t="shared" si="168"/>
        <v>16.34451851724906</v>
      </c>
      <c r="CL54" s="87">
        <f t="shared" si="168"/>
        <v>14.716349101633746</v>
      </c>
      <c r="CM54" s="87">
        <f t="shared" si="168"/>
        <v>13.393138066304662</v>
      </c>
      <c r="CN54" s="87">
        <f t="shared" si="168"/>
        <v>13.48531464881721</v>
      </c>
      <c r="CO54" s="87">
        <f t="shared" si="168"/>
        <v>15.077938858779723</v>
      </c>
      <c r="CP54" s="87">
        <f t="shared" si="168"/>
        <v>14.946517539400102</v>
      </c>
      <c r="CQ54" s="87">
        <f t="shared" si="168"/>
        <v>12.903954976367215</v>
      </c>
      <c r="CR54" s="87">
        <f t="shared" si="168"/>
        <v>13.764716577371672</v>
      </c>
      <c r="CS54" s="88">
        <f t="shared" si="168"/>
        <v>13.226715287289188</v>
      </c>
      <c r="CT54" s="22"/>
    </row>
    <row r="55" spans="1:98" ht="14.25" customHeight="1">
      <c r="A55" s="8"/>
      <c r="B55" s="23" t="s">
        <v>458</v>
      </c>
      <c r="C55" s="24"/>
      <c r="D55" s="86">
        <f t="shared" ref="D55:AB55" si="169">(D14/D60)*90</f>
        <v>116.11458061972385</v>
      </c>
      <c r="E55" s="87">
        <f t="shared" si="169"/>
        <v>116.8596658241145</v>
      </c>
      <c r="F55" s="87">
        <f t="shared" si="169"/>
        <v>112.40756228138183</v>
      </c>
      <c r="G55" s="88">
        <f t="shared" si="169"/>
        <v>105.22069095505242</v>
      </c>
      <c r="H55" s="86">
        <f t="shared" si="169"/>
        <v>98.902482730856647</v>
      </c>
      <c r="I55" s="87">
        <f t="shared" si="169"/>
        <v>117.38516405135519</v>
      </c>
      <c r="J55" s="87">
        <f t="shared" si="169"/>
        <v>117.80698527479687</v>
      </c>
      <c r="K55" s="88">
        <f t="shared" si="169"/>
        <v>118.665251366367</v>
      </c>
      <c r="L55" s="86">
        <f t="shared" si="169"/>
        <v>115.41808534158743</v>
      </c>
      <c r="M55" s="87">
        <f t="shared" si="169"/>
        <v>112.39648590446359</v>
      </c>
      <c r="N55" s="87">
        <f t="shared" si="169"/>
        <v>120.01954308568658</v>
      </c>
      <c r="O55" s="88">
        <f t="shared" si="169"/>
        <v>123.70027850093844</v>
      </c>
      <c r="P55" s="86">
        <f t="shared" si="169"/>
        <v>113.00504640979902</v>
      </c>
      <c r="Q55" s="87">
        <f t="shared" si="169"/>
        <v>107.04423649510846</v>
      </c>
      <c r="R55" s="87">
        <f t="shared" si="169"/>
        <v>125.55826936496861</v>
      </c>
      <c r="S55" s="88">
        <f t="shared" si="169"/>
        <v>96.140074730059737</v>
      </c>
      <c r="T55" s="86">
        <f t="shared" si="169"/>
        <v>87.567136763165479</v>
      </c>
      <c r="U55" s="87">
        <f t="shared" si="169"/>
        <v>97.090470871141889</v>
      </c>
      <c r="V55" s="87">
        <f t="shared" si="169"/>
        <v>85.689215044685454</v>
      </c>
      <c r="W55" s="88">
        <f t="shared" si="169"/>
        <v>82.41087221239566</v>
      </c>
      <c r="X55" s="86">
        <f t="shared" si="169"/>
        <v>76.601562988433884</v>
      </c>
      <c r="Y55" s="87">
        <f t="shared" si="169"/>
        <v>84.165459617211297</v>
      </c>
      <c r="Z55" s="87">
        <f t="shared" si="169"/>
        <v>90.310603310197536</v>
      </c>
      <c r="AA55" s="88">
        <f t="shared" si="169"/>
        <v>90.863849685571978</v>
      </c>
      <c r="AB55" s="86">
        <f t="shared" si="169"/>
        <v>94.72583347538135</v>
      </c>
      <c r="AC55" s="87">
        <f t="shared" ref="AC55:AH55" si="170">(AC14/AC60)*90</f>
        <v>86.304216533346477</v>
      </c>
      <c r="AD55" s="87">
        <f t="shared" si="170"/>
        <v>84.034277425757679</v>
      </c>
      <c r="AE55" s="87">
        <f t="shared" si="170"/>
        <v>93.552219842295258</v>
      </c>
      <c r="AF55" s="86">
        <f t="shared" si="170"/>
        <v>98.077418865635437</v>
      </c>
      <c r="AG55" s="87">
        <f t="shared" si="170"/>
        <v>95.862456650863251</v>
      </c>
      <c r="AH55" s="87">
        <f t="shared" si="170"/>
        <v>105.43495554720212</v>
      </c>
      <c r="AI55" s="87">
        <f t="shared" ref="AI55:AN55" si="171">(AI14/AI60)*90</f>
        <v>104.76403640279568</v>
      </c>
      <c r="AJ55" s="86">
        <f t="shared" si="171"/>
        <v>105.18859879434562</v>
      </c>
      <c r="AK55" s="87">
        <f t="shared" si="171"/>
        <v>91.738259682718223</v>
      </c>
      <c r="AL55" s="87">
        <f t="shared" si="171"/>
        <v>98.390255283280126</v>
      </c>
      <c r="AM55" s="87">
        <f t="shared" si="171"/>
        <v>95.194199782820903</v>
      </c>
      <c r="AN55" s="86">
        <f t="shared" si="171"/>
        <v>113.68366142954729</v>
      </c>
      <c r="AO55" s="87">
        <f t="shared" ref="AO55:AT55" si="172">(AO14/AO60)*90</f>
        <v>109.17002991310956</v>
      </c>
      <c r="AP55" s="87">
        <f t="shared" si="172"/>
        <v>102.11759766407755</v>
      </c>
      <c r="AQ55" s="87">
        <f t="shared" si="172"/>
        <v>93.117539882933556</v>
      </c>
      <c r="AR55" s="86">
        <f t="shared" si="172"/>
        <v>94.742811206587518</v>
      </c>
      <c r="AS55" s="87">
        <f t="shared" si="172"/>
        <v>113.08178833084851</v>
      </c>
      <c r="AT55" s="87">
        <f t="shared" si="172"/>
        <v>89.31170715406644</v>
      </c>
      <c r="AU55" s="88">
        <f t="shared" ref="AU55:AZ55" si="173">(AU14/AU60)*90</f>
        <v>93.627127462927731</v>
      </c>
      <c r="AV55" s="86">
        <f t="shared" si="173"/>
        <v>93.263409748497665</v>
      </c>
      <c r="AW55" s="87">
        <f t="shared" si="173"/>
        <v>100.76653068968788</v>
      </c>
      <c r="AX55" s="87">
        <f t="shared" si="173"/>
        <v>101.39194258837581</v>
      </c>
      <c r="AY55" s="88">
        <f t="shared" si="173"/>
        <v>106.80563888662229</v>
      </c>
      <c r="AZ55" s="86">
        <f t="shared" si="173"/>
        <v>109.39696301617579</v>
      </c>
      <c r="BA55" s="87">
        <f>(BA14/BA60)*90</f>
        <v>109.70896079563862</v>
      </c>
      <c r="BB55" s="87">
        <f t="shared" ref="BB55" si="174">(BB14/BB60)*90</f>
        <v>109.6154513850249</v>
      </c>
      <c r="BC55" s="1325">
        <f t="shared" ref="BC55:BC57" si="175">BB55</f>
        <v>109.6154513850249</v>
      </c>
      <c r="BD55" s="1324">
        <f t="shared" ref="BD55:BG57" si="176">BC55</f>
        <v>109.6154513850249</v>
      </c>
      <c r="BE55" s="1324">
        <f t="shared" si="176"/>
        <v>109.6154513850249</v>
      </c>
      <c r="BF55" s="1324">
        <f t="shared" si="176"/>
        <v>109.6154513850249</v>
      </c>
      <c r="BG55" s="1324">
        <f t="shared" si="176"/>
        <v>109.6154513850249</v>
      </c>
      <c r="BH55" s="1324">
        <f t="shared" ref="BH55:BK57" si="177">BG55</f>
        <v>109.6154513850249</v>
      </c>
      <c r="BI55" s="1324">
        <f t="shared" si="177"/>
        <v>109.6154513850249</v>
      </c>
      <c r="BJ55" s="1324">
        <f t="shared" si="177"/>
        <v>109.6154513850249</v>
      </c>
      <c r="BK55" s="1324">
        <f t="shared" si="177"/>
        <v>109.6154513850249</v>
      </c>
      <c r="BL55" s="128"/>
      <c r="BM55" s="87">
        <f t="shared" ref="BM55:BV55" si="178">(BM14/BM60)*365</f>
        <v>120.54974026970606</v>
      </c>
      <c r="BN55" s="87">
        <f t="shared" si="178"/>
        <v>122.54438372690399</v>
      </c>
      <c r="BO55" s="87">
        <f t="shared" si="178"/>
        <v>123.660946693314</v>
      </c>
      <c r="BP55" s="87">
        <f t="shared" si="178"/>
        <v>99.749547757101041</v>
      </c>
      <c r="BQ55" s="87">
        <f t="shared" si="178"/>
        <v>93.475626354039647</v>
      </c>
      <c r="BR55" s="87">
        <f t="shared" si="178"/>
        <v>92.153904435273787</v>
      </c>
      <c r="BS55" s="87">
        <f t="shared" si="178"/>
        <v>92.779745915982005</v>
      </c>
      <c r="BT55" s="87">
        <f t="shared" si="178"/>
        <v>106.47629570363598</v>
      </c>
      <c r="BU55" s="87">
        <f t="shared" si="178"/>
        <v>98.785459417081881</v>
      </c>
      <c r="BV55" s="87">
        <f t="shared" si="178"/>
        <v>101.72372783763313</v>
      </c>
      <c r="BW55" s="87">
        <f>(BW14/BW60)*365</f>
        <v>87.542219500363572</v>
      </c>
      <c r="BX55" s="87">
        <f>(BX14/BX60)*365</f>
        <v>106.27677577770318</v>
      </c>
      <c r="BY55" s="87">
        <f>(BY14/BY60)*365</f>
        <v>113.35580538893019</v>
      </c>
      <c r="BZ55" s="87">
        <f>(BZ14/BZ60)*365</f>
        <v>113.70827581645125</v>
      </c>
      <c r="CA55" s="88">
        <f>(CA14/CA60)*365</f>
        <v>114.68505517175983</v>
      </c>
      <c r="CB55" s="1475"/>
      <c r="CC55" s="1420"/>
      <c r="CD55" s="1420"/>
      <c r="CE55" s="260"/>
      <c r="CF55" s="86">
        <f t="shared" ref="CF55:CN55" si="179">(CF14/CF60)*90</f>
        <v>30.139386671514114</v>
      </c>
      <c r="CG55" s="87">
        <f t="shared" si="179"/>
        <v>28.79995033810221</v>
      </c>
      <c r="CH55" s="87">
        <f t="shared" si="179"/>
        <v>27.706747142409775</v>
      </c>
      <c r="CI55" s="87">
        <f t="shared" si="179"/>
        <v>23.362057094433556</v>
      </c>
      <c r="CJ55" s="87">
        <f t="shared" si="179"/>
        <v>21.811674836847011</v>
      </c>
      <c r="CK55" s="87">
        <f t="shared" si="179"/>
        <v>22.02573294649682</v>
      </c>
      <c r="CL55" s="87">
        <f t="shared" si="179"/>
        <v>24.462589023525837</v>
      </c>
      <c r="CM55" s="87">
        <f t="shared" si="179"/>
        <v>26.879436187230212</v>
      </c>
      <c r="CN55" s="87">
        <f t="shared" si="179"/>
        <v>26.695706357253993</v>
      </c>
      <c r="CO55" s="87">
        <f>(CO14/CO60)*90</f>
        <v>23.875942419701207</v>
      </c>
      <c r="CP55" s="87">
        <f>(CP14/CP60)*90</f>
        <v>24.085878135225411</v>
      </c>
      <c r="CQ55" s="87">
        <f>(CQ14/CQ60)*90</f>
        <v>27.898423441442368</v>
      </c>
      <c r="CR55" s="87">
        <f>(CR14/CR60)*90</f>
        <v>26.153825832623198</v>
      </c>
      <c r="CS55" s="88">
        <f>(CS14/CS60)*90</f>
        <v>27.217641884675505</v>
      </c>
      <c r="CT55" s="22"/>
    </row>
    <row r="56" spans="1:98" ht="14.25" customHeight="1">
      <c r="A56" s="8"/>
      <c r="B56" s="23" t="s">
        <v>459</v>
      </c>
      <c r="C56" s="24"/>
      <c r="D56" s="86">
        <f t="shared" ref="D56:AB56" si="180">(D30/D60)*90</f>
        <v>40.994923643429949</v>
      </c>
      <c r="E56" s="87">
        <f t="shared" si="180"/>
        <v>45.522634015034633</v>
      </c>
      <c r="F56" s="87">
        <f t="shared" si="180"/>
        <v>45.33486353341921</v>
      </c>
      <c r="G56" s="88">
        <f t="shared" si="180"/>
        <v>63.403829523028122</v>
      </c>
      <c r="H56" s="86">
        <f t="shared" si="180"/>
        <v>61.321881121524683</v>
      </c>
      <c r="I56" s="87">
        <f t="shared" si="180"/>
        <v>48.147408464098909</v>
      </c>
      <c r="J56" s="87">
        <f t="shared" si="180"/>
        <v>56.282280356936397</v>
      </c>
      <c r="K56" s="88">
        <f t="shared" si="180"/>
        <v>42.356474998870752</v>
      </c>
      <c r="L56" s="86">
        <f t="shared" si="180"/>
        <v>46.578819367676324</v>
      </c>
      <c r="M56" s="87">
        <f t="shared" si="180"/>
        <v>39.770555990602979</v>
      </c>
      <c r="N56" s="87">
        <f t="shared" si="180"/>
        <v>35.22254878196582</v>
      </c>
      <c r="O56" s="88">
        <f t="shared" si="180"/>
        <v>36.17772597929406</v>
      </c>
      <c r="P56" s="86">
        <f t="shared" si="180"/>
        <v>37.148921556469226</v>
      </c>
      <c r="Q56" s="87">
        <f t="shared" si="180"/>
        <v>34.732879625691197</v>
      </c>
      <c r="R56" s="87">
        <f t="shared" si="180"/>
        <v>33.179518492672713</v>
      </c>
      <c r="S56" s="88">
        <f t="shared" si="180"/>
        <v>30.930742298979091</v>
      </c>
      <c r="T56" s="86">
        <f t="shared" si="180"/>
        <v>26.39897985517587</v>
      </c>
      <c r="U56" s="87">
        <f t="shared" si="180"/>
        <v>34.298425660468723</v>
      </c>
      <c r="V56" s="87">
        <f t="shared" si="180"/>
        <v>35.676376406879911</v>
      </c>
      <c r="W56" s="88">
        <f t="shared" si="180"/>
        <v>43.116117219373002</v>
      </c>
      <c r="X56" s="86">
        <f t="shared" si="180"/>
        <v>45.143482338230697</v>
      </c>
      <c r="Y56" s="87">
        <f t="shared" si="180"/>
        <v>37.316997691920861</v>
      </c>
      <c r="Z56" s="87">
        <f t="shared" si="180"/>
        <v>41.302552055525901</v>
      </c>
      <c r="AA56" s="88">
        <f t="shared" si="180"/>
        <v>42.067035550312745</v>
      </c>
      <c r="AB56" s="86">
        <f t="shared" si="180"/>
        <v>47.443177329968528</v>
      </c>
      <c r="AC56" s="87">
        <f t="shared" ref="AC56:AH56" si="181">(AC30/AC60)*90</f>
        <v>43.78994983545536</v>
      </c>
      <c r="AD56" s="87">
        <f t="shared" si="181"/>
        <v>50.73135353843805</v>
      </c>
      <c r="AE56" s="87">
        <f t="shared" si="181"/>
        <v>56.822382569205082</v>
      </c>
      <c r="AF56" s="86">
        <f t="shared" si="181"/>
        <v>48.265847740370042</v>
      </c>
      <c r="AG56" s="87">
        <f t="shared" si="181"/>
        <v>41.104901810846897</v>
      </c>
      <c r="AH56" s="87">
        <f t="shared" si="181"/>
        <v>45.093626246820122</v>
      </c>
      <c r="AI56" s="87">
        <f t="shared" ref="AI56:AN56" si="182">(AI30/AI60)*90</f>
        <v>40.03032158618214</v>
      </c>
      <c r="AJ56" s="86">
        <f t="shared" si="182"/>
        <v>38.208742044571409</v>
      </c>
      <c r="AK56" s="87">
        <f t="shared" si="182"/>
        <v>30.558123744007247</v>
      </c>
      <c r="AL56" s="87">
        <f t="shared" si="182"/>
        <v>31.941831236076819</v>
      </c>
      <c r="AM56" s="87">
        <f t="shared" si="182"/>
        <v>33.589048909168682</v>
      </c>
      <c r="AN56" s="86">
        <f t="shared" si="182"/>
        <v>35.8990250263926</v>
      </c>
      <c r="AO56" s="87">
        <f t="shared" ref="AO56:AT56" si="183">(AO30/AO60)*90</f>
        <v>29.388205688238923</v>
      </c>
      <c r="AP56" s="87">
        <f t="shared" si="183"/>
        <v>29.323040516040383</v>
      </c>
      <c r="AQ56" s="87">
        <f t="shared" si="183"/>
        <v>28.509769884081258</v>
      </c>
      <c r="AR56" s="86">
        <f t="shared" si="183"/>
        <v>26.317013025105101</v>
      </c>
      <c r="AS56" s="87">
        <f t="shared" si="183"/>
        <v>30.517648242492978</v>
      </c>
      <c r="AT56" s="87">
        <f t="shared" si="183"/>
        <v>31.481783842545394</v>
      </c>
      <c r="AU56" s="87">
        <f t="shared" ref="AU56:AZ56" si="184">(AU30/AU60)*90</f>
        <v>33.903167061465368</v>
      </c>
      <c r="AV56" s="86">
        <f t="shared" si="184"/>
        <v>34.883012463832628</v>
      </c>
      <c r="AW56" s="87">
        <f t="shared" si="184"/>
        <v>30.098899535148465</v>
      </c>
      <c r="AX56" s="87">
        <f t="shared" si="184"/>
        <v>34.829687558326178</v>
      </c>
      <c r="AY56" s="88">
        <f t="shared" si="184"/>
        <v>33.424226861029382</v>
      </c>
      <c r="AZ56" s="86">
        <f t="shared" si="184"/>
        <v>29.83650821174664</v>
      </c>
      <c r="BA56" s="87">
        <f>(BA30/BA60)*90</f>
        <v>35.824869342273935</v>
      </c>
      <c r="BB56" s="87">
        <f t="shared" ref="BB56" si="185">(BB30/BB60)*90</f>
        <v>33.814950167591796</v>
      </c>
      <c r="BC56" s="1325">
        <f t="shared" si="175"/>
        <v>33.814950167591796</v>
      </c>
      <c r="BD56" s="1324">
        <f t="shared" si="176"/>
        <v>33.814950167591796</v>
      </c>
      <c r="BE56" s="1324">
        <f t="shared" si="176"/>
        <v>33.814950167591796</v>
      </c>
      <c r="BF56" s="1324">
        <f t="shared" si="176"/>
        <v>33.814950167591796</v>
      </c>
      <c r="BG56" s="1324">
        <f t="shared" si="176"/>
        <v>33.814950167591796</v>
      </c>
      <c r="BH56" s="1324">
        <f t="shared" si="177"/>
        <v>33.814950167591796</v>
      </c>
      <c r="BI56" s="1324">
        <f t="shared" si="177"/>
        <v>33.814950167591796</v>
      </c>
      <c r="BJ56" s="1324">
        <f t="shared" si="177"/>
        <v>33.814950167591796</v>
      </c>
      <c r="BK56" s="1324">
        <f t="shared" si="177"/>
        <v>33.814950167591796</v>
      </c>
      <c r="BL56" s="128"/>
      <c r="BM56" s="87">
        <f t="shared" ref="BM56:BV56" si="186">(BM30/BM60)*365</f>
        <v>72.640800129042958</v>
      </c>
      <c r="BN56" s="87">
        <f t="shared" si="186"/>
        <v>43.74109577837018</v>
      </c>
      <c r="BO56" s="87">
        <f t="shared" si="186"/>
        <v>36.166222889925542</v>
      </c>
      <c r="BP56" s="87">
        <f t="shared" si="186"/>
        <v>32.09200289034019</v>
      </c>
      <c r="BQ56" s="87">
        <f t="shared" si="186"/>
        <v>48.905028606515302</v>
      </c>
      <c r="BR56" s="87">
        <f t="shared" si="186"/>
        <v>42.664289344922473</v>
      </c>
      <c r="BS56" s="87">
        <f t="shared" si="186"/>
        <v>56.353192110232534</v>
      </c>
      <c r="BT56" s="87">
        <f t="shared" si="186"/>
        <v>40.684575591707841</v>
      </c>
      <c r="BU56" s="87">
        <f t="shared" si="186"/>
        <v>34.856216402313414</v>
      </c>
      <c r="BV56" s="87">
        <f t="shared" si="186"/>
        <v>31.144723926854528</v>
      </c>
      <c r="BW56" s="87">
        <f>(BW30/BW60)*365</f>
        <v>31.699770921920891</v>
      </c>
      <c r="BX56" s="87">
        <f>(BX30/BX60)*365</f>
        <v>33.258722111325056</v>
      </c>
      <c r="BY56" s="87">
        <f>(BY30/BY60)*365</f>
        <v>34.968801040375673</v>
      </c>
      <c r="BZ56" s="87">
        <f>(BZ30/BZ60)*365</f>
        <v>35.077533612212747</v>
      </c>
      <c r="CA56" s="88">
        <f>(CA30/CA60)*365</f>
        <v>35.378857420190087</v>
      </c>
      <c r="CB56" s="1475"/>
      <c r="CC56" s="1420"/>
      <c r="CD56" s="1420"/>
      <c r="CE56" s="260"/>
      <c r="CF56" s="86">
        <f t="shared" ref="CF56:CN56" si="187">(CF30/CF60)*90</f>
        <v>12.362153025538625</v>
      </c>
      <c r="CG56" s="87">
        <f t="shared" si="187"/>
        <v>10.190621425848265</v>
      </c>
      <c r="CH56" s="87">
        <f t="shared" si="187"/>
        <v>8.9900693846394741</v>
      </c>
      <c r="CI56" s="87">
        <f t="shared" si="187"/>
        <v>8.252939462952174</v>
      </c>
      <c r="CJ56" s="87">
        <f t="shared" si="187"/>
        <v>9.6707868435034534</v>
      </c>
      <c r="CK56" s="87">
        <f t="shared" si="187"/>
        <v>11.17565027015295</v>
      </c>
      <c r="CL56" s="87">
        <f t="shared" si="187"/>
        <v>10.489323505586119</v>
      </c>
      <c r="CM56" s="87">
        <f t="shared" si="187"/>
        <v>8.9535722611191044</v>
      </c>
      <c r="CN56" s="87">
        <f t="shared" si="187"/>
        <v>7.1863945630887596</v>
      </c>
      <c r="CO56" s="87">
        <f>(CO30/CO60)*90</f>
        <v>6.4434567491155166</v>
      </c>
      <c r="CP56" s="87">
        <f>(CP30/CP60)*90</f>
        <v>7.1944366968482782</v>
      </c>
      <c r="CQ56" s="87">
        <f>(CQ30/CQ60)*90</f>
        <v>9.1100796817030592</v>
      </c>
      <c r="CR56" s="87">
        <f>(CR30/CR60)*90</f>
        <v>8.0681172776965759</v>
      </c>
      <c r="CS56" s="88">
        <f>(CS30/CS60)*90</f>
        <v>8.3962907818249128</v>
      </c>
      <c r="CT56" s="22"/>
    </row>
    <row r="57" spans="1:98" ht="14.25" customHeight="1">
      <c r="A57" s="8"/>
      <c r="B57" s="23" t="s">
        <v>460</v>
      </c>
      <c r="C57" s="24"/>
      <c r="D57" s="104">
        <f t="shared" ref="D57:AB57" si="188">D16/D59</f>
        <v>2.65058536412832E-2</v>
      </c>
      <c r="E57" s="104">
        <f t="shared" si="188"/>
        <v>3.6094900341174359E-2</v>
      </c>
      <c r="F57" s="104">
        <f t="shared" si="188"/>
        <v>2.4687872513959468E-2</v>
      </c>
      <c r="G57" s="105">
        <f t="shared" si="188"/>
        <v>4.3192709560845331E-2</v>
      </c>
      <c r="H57" s="104">
        <f t="shared" si="188"/>
        <v>4.2888541904941874E-2</v>
      </c>
      <c r="I57" s="104">
        <f t="shared" si="188"/>
        <v>4.8704098678669143E-2</v>
      </c>
      <c r="J57" s="104">
        <f t="shared" si="188"/>
        <v>3.9978512493809751E-2</v>
      </c>
      <c r="K57" s="105">
        <f t="shared" si="188"/>
        <v>2.9218400736329996E-2</v>
      </c>
      <c r="L57" s="104">
        <f t="shared" si="188"/>
        <v>1.8182303880507022E-2</v>
      </c>
      <c r="M57" s="104">
        <f t="shared" si="188"/>
        <v>9.6656636266839513E-2</v>
      </c>
      <c r="N57" s="104">
        <f t="shared" si="188"/>
        <v>9.3752692804825496E-2</v>
      </c>
      <c r="O57" s="105">
        <f t="shared" si="188"/>
        <v>6.0692205950122396E-2</v>
      </c>
      <c r="P57" s="104">
        <f t="shared" si="188"/>
        <v>3.7403931333349294E-2</v>
      </c>
      <c r="Q57" s="104">
        <f t="shared" si="188"/>
        <v>0.22104340415170146</v>
      </c>
      <c r="R57" s="104">
        <f t="shared" si="188"/>
        <v>0.16595174657383008</v>
      </c>
      <c r="S57" s="105">
        <f t="shared" si="188"/>
        <v>5.3091355258054439E-2</v>
      </c>
      <c r="T57" s="104">
        <f t="shared" si="188"/>
        <v>5.3596470530622421E-2</v>
      </c>
      <c r="U57" s="104">
        <f t="shared" si="188"/>
        <v>5.6038351477777894E-2</v>
      </c>
      <c r="V57" s="104">
        <f t="shared" si="188"/>
        <v>4.5376120106901431E-2</v>
      </c>
      <c r="W57" s="105">
        <f t="shared" si="188"/>
        <v>5.9913916482025292E-2</v>
      </c>
      <c r="X57" s="104">
        <f t="shared" si="188"/>
        <v>7.3841431375461355E-2</v>
      </c>
      <c r="Y57" s="104">
        <f t="shared" si="188"/>
        <v>0.21096003497918217</v>
      </c>
      <c r="Z57" s="104">
        <f t="shared" si="188"/>
        <v>0.14739400931152405</v>
      </c>
      <c r="AA57" s="105">
        <f t="shared" si="188"/>
        <v>0.10454260316588752</v>
      </c>
      <c r="AB57" s="104">
        <f t="shared" si="188"/>
        <v>0.12731406505010989</v>
      </c>
      <c r="AC57" s="104">
        <f t="shared" ref="AC57:AH57" si="189">AC16/AC59</f>
        <v>0.13764227821002131</v>
      </c>
      <c r="AD57" s="104">
        <f t="shared" si="189"/>
        <v>0.13932480410075421</v>
      </c>
      <c r="AE57" s="104">
        <f t="shared" si="189"/>
        <v>0.14079866965531379</v>
      </c>
      <c r="AF57" s="165">
        <f t="shared" si="189"/>
        <v>0.15226898848453235</v>
      </c>
      <c r="AG57" s="104">
        <f t="shared" si="189"/>
        <v>0.14946159463147562</v>
      </c>
      <c r="AH57" s="104">
        <f t="shared" si="189"/>
        <v>0.18682921022873808</v>
      </c>
      <c r="AI57" s="104">
        <f t="shared" ref="AI57:AN57" si="190">AI16/AI59</f>
        <v>0.15884569726107131</v>
      </c>
      <c r="AJ57" s="165">
        <f t="shared" si="190"/>
        <v>0.19859339998393824</v>
      </c>
      <c r="AK57" s="104">
        <f t="shared" si="190"/>
        <v>0.13792936669923292</v>
      </c>
      <c r="AL57" s="104">
        <f t="shared" si="190"/>
        <v>0.13100295370005002</v>
      </c>
      <c r="AM57" s="104">
        <f t="shared" si="190"/>
        <v>8.4922649723643398E-2</v>
      </c>
      <c r="AN57" s="165">
        <f t="shared" si="190"/>
        <v>0.11612252811167119</v>
      </c>
      <c r="AO57" s="104">
        <f t="shared" ref="AO57:AT57" si="191">AO16/AO59</f>
        <v>0.1186360837601379</v>
      </c>
      <c r="AP57" s="104">
        <f t="shared" si="191"/>
        <v>0.1148488643824392</v>
      </c>
      <c r="AQ57" s="104">
        <f t="shared" si="191"/>
        <v>8.555630136116199E-2</v>
      </c>
      <c r="AR57" s="165">
        <f t="shared" si="191"/>
        <v>8.2890970827185301E-2</v>
      </c>
      <c r="AS57" s="104">
        <f t="shared" si="191"/>
        <v>9.2466980273319357E-2</v>
      </c>
      <c r="AT57" s="104">
        <f t="shared" si="191"/>
        <v>0.15918717987508374</v>
      </c>
      <c r="AU57" s="104">
        <f t="shared" ref="AU57:AZ57" si="192">AU16/AU59</f>
        <v>0.1623666816221124</v>
      </c>
      <c r="AV57" s="165">
        <f t="shared" si="192"/>
        <v>0.15924231736599478</v>
      </c>
      <c r="AW57" s="104">
        <f t="shared" si="192"/>
        <v>0.13663207488956403</v>
      </c>
      <c r="AX57" s="104">
        <f t="shared" si="192"/>
        <v>0.1035673484556516</v>
      </c>
      <c r="AY57" s="105">
        <f t="shared" si="192"/>
        <v>9.4781604803946803E-2</v>
      </c>
      <c r="AZ57" s="165">
        <f t="shared" si="192"/>
        <v>9.5597176189384306E-2</v>
      </c>
      <c r="BA57" s="104">
        <f>BA16/BA59</f>
        <v>3.8791462762412132E-2</v>
      </c>
      <c r="BB57" s="104">
        <f t="shared" ref="BB57" si="193">BB16/BB59</f>
        <v>3.4343253689876174E-2</v>
      </c>
      <c r="BC57" s="1317">
        <f t="shared" si="175"/>
        <v>3.4343253689876174E-2</v>
      </c>
      <c r="BD57" s="1316">
        <f t="shared" si="176"/>
        <v>3.4343253689876174E-2</v>
      </c>
      <c r="BE57" s="1316">
        <f t="shared" si="176"/>
        <v>3.4343253689876174E-2</v>
      </c>
      <c r="BF57" s="1316">
        <f t="shared" si="176"/>
        <v>3.4343253689876174E-2</v>
      </c>
      <c r="BG57" s="1316">
        <f t="shared" si="176"/>
        <v>3.4343253689876174E-2</v>
      </c>
      <c r="BH57" s="1316">
        <f t="shared" si="177"/>
        <v>3.4343253689876174E-2</v>
      </c>
      <c r="BI57" s="1316">
        <f t="shared" si="177"/>
        <v>3.4343253689876174E-2</v>
      </c>
      <c r="BJ57" s="1316">
        <f t="shared" si="177"/>
        <v>3.4343253689876174E-2</v>
      </c>
      <c r="BK57" s="1316">
        <f t="shared" si="177"/>
        <v>3.4343253689876174E-2</v>
      </c>
      <c r="BL57" s="167"/>
      <c r="BM57" s="104">
        <f t="shared" ref="BM57:BV57" si="194">BM16/BM59</f>
        <v>1.184310790034169E-2</v>
      </c>
      <c r="BN57" s="104">
        <f t="shared" si="194"/>
        <v>7.7421801740460029E-3</v>
      </c>
      <c r="BO57" s="104">
        <f t="shared" si="194"/>
        <v>1.4820368251295924E-2</v>
      </c>
      <c r="BP57" s="104">
        <f t="shared" si="194"/>
        <v>1.2723456347603149E-2</v>
      </c>
      <c r="BQ57" s="104">
        <f t="shared" si="194"/>
        <v>1.6974844350954619E-2</v>
      </c>
      <c r="BR57" s="104">
        <f t="shared" si="194"/>
        <v>2.6491086787785351E-2</v>
      </c>
      <c r="BS57" s="104">
        <f t="shared" si="194"/>
        <v>3.5438307588550003E-2</v>
      </c>
      <c r="BT57" s="104">
        <f t="shared" si="194"/>
        <v>3.9570191430615874E-2</v>
      </c>
      <c r="BU57" s="104">
        <f t="shared" si="194"/>
        <v>2.223614245314047E-2</v>
      </c>
      <c r="BV57" s="104">
        <f t="shared" si="194"/>
        <v>2.1604221141775157E-2</v>
      </c>
      <c r="BW57" s="104">
        <f>BW16/BW59</f>
        <v>4.1882354870942475E-2</v>
      </c>
      <c r="BX57" s="104">
        <f>BX16/BX59</f>
        <v>2.4855648704159884E-2</v>
      </c>
      <c r="BY57" s="104">
        <f>BY16/BY59</f>
        <v>8.7340018139397818E-3</v>
      </c>
      <c r="BZ57" s="104">
        <f>BZ16/BZ59</f>
        <v>8.8776127399157034E-3</v>
      </c>
      <c r="CA57" s="105">
        <f>CA16/CA59</f>
        <v>8.9275707752674398E-3</v>
      </c>
      <c r="CB57" s="1482"/>
      <c r="CC57" s="1434"/>
      <c r="CD57" s="1434"/>
      <c r="CE57" s="260"/>
      <c r="CF57" s="165">
        <f t="shared" ref="CF57:CN57" si="195">CF16/CF59</f>
        <v>1.219001694567322E-2</v>
      </c>
      <c r="CG57" s="104">
        <f t="shared" si="195"/>
        <v>2.5179061394131879E-2</v>
      </c>
      <c r="CH57" s="104">
        <f t="shared" si="195"/>
        <v>4.7763391344427635E-2</v>
      </c>
      <c r="CI57" s="104">
        <f t="shared" si="195"/>
        <v>1.6014876000137606E-2</v>
      </c>
      <c r="CJ57" s="104">
        <f t="shared" si="195"/>
        <v>5.5881433949445891E-2</v>
      </c>
      <c r="CK57" s="104">
        <f t="shared" si="195"/>
        <v>3.3079373671832432E-2</v>
      </c>
      <c r="CL57" s="104">
        <f t="shared" si="195"/>
        <v>3.7624519192580398E-2</v>
      </c>
      <c r="CM57" s="104">
        <f t="shared" si="195"/>
        <v>3.5373458866373962E-2</v>
      </c>
      <c r="CN57" s="104">
        <f t="shared" si="195"/>
        <v>2.8074107226356362E-2</v>
      </c>
      <c r="CO57" s="104">
        <f>CO16/CO59</f>
        <v>2.1152011019555141E-2</v>
      </c>
      <c r="CP57" s="104">
        <f>CP16/CP59</f>
        <v>3.3702633930410092E-2</v>
      </c>
      <c r="CQ57" s="104">
        <f>CQ16/CQ59</f>
        <v>1.0141782565354937E-2</v>
      </c>
      <c r="CR57" s="104">
        <f>CR16/CR59</f>
        <v>8.4275813327790838E-3</v>
      </c>
      <c r="CS57" s="105">
        <f>CS16/CS59</f>
        <v>8.5339617571636803E-3</v>
      </c>
      <c r="CT57" s="22"/>
    </row>
    <row r="58" spans="1:98" ht="14.25" customHeight="1">
      <c r="A58" s="8"/>
      <c r="B58" s="23"/>
      <c r="C58" s="24"/>
      <c r="D58" s="126"/>
      <c r="E58" s="124"/>
      <c r="F58" s="124"/>
      <c r="G58" s="124"/>
      <c r="H58" s="126"/>
      <c r="I58" s="124"/>
      <c r="J58" s="124"/>
      <c r="K58" s="124"/>
      <c r="L58" s="126"/>
      <c r="M58" s="124"/>
      <c r="N58" s="124"/>
      <c r="O58" s="124"/>
      <c r="P58" s="126"/>
      <c r="Q58" s="124"/>
      <c r="R58" s="124"/>
      <c r="S58" s="124"/>
      <c r="T58" s="126"/>
      <c r="U58" s="124"/>
      <c r="V58" s="124"/>
      <c r="W58" s="124"/>
      <c r="X58" s="126"/>
      <c r="Y58" s="124"/>
      <c r="Z58" s="124"/>
      <c r="AA58" s="124"/>
      <c r="AB58" s="126"/>
      <c r="AC58" s="124"/>
      <c r="AD58" s="124"/>
      <c r="AE58" s="124"/>
      <c r="AF58" s="126"/>
      <c r="AG58" s="124"/>
      <c r="AH58" s="124"/>
      <c r="AI58" s="124"/>
      <c r="AJ58" s="126"/>
      <c r="AK58" s="124"/>
      <c r="AL58" s="124"/>
      <c r="AM58" s="124"/>
      <c r="AN58" s="126"/>
      <c r="AO58" s="124"/>
      <c r="AP58" s="124"/>
      <c r="AQ58" s="124"/>
      <c r="AR58" s="126"/>
      <c r="AS58" s="124"/>
      <c r="AT58" s="124"/>
      <c r="AU58" s="124"/>
      <c r="AV58" s="126"/>
      <c r="AW58" s="124"/>
      <c r="AX58" s="124"/>
      <c r="AY58" s="125"/>
      <c r="AZ58" s="126"/>
      <c r="BA58" s="124"/>
      <c r="BB58" s="124"/>
      <c r="BC58" s="125"/>
      <c r="BD58" s="124"/>
      <c r="BE58" s="124"/>
      <c r="BF58" s="124"/>
      <c r="BG58" s="125"/>
      <c r="BH58" s="124"/>
      <c r="BI58" s="124"/>
      <c r="BJ58" s="124"/>
      <c r="BK58" s="125"/>
      <c r="BL58" s="20"/>
      <c r="BM58" s="124"/>
      <c r="BN58" s="124"/>
      <c r="BO58" s="124"/>
      <c r="BP58" s="124"/>
      <c r="BQ58" s="124"/>
      <c r="BR58" s="124"/>
      <c r="BS58" s="124"/>
      <c r="BT58" s="124"/>
      <c r="BU58" s="124"/>
      <c r="BV58" s="124"/>
      <c r="BW58" s="124"/>
      <c r="BX58" s="124"/>
      <c r="BY58" s="124"/>
      <c r="BZ58" s="124"/>
      <c r="CA58" s="125"/>
      <c r="CB58" s="126"/>
      <c r="CC58" s="124"/>
      <c r="CD58" s="124"/>
      <c r="CE58" s="260"/>
      <c r="CF58" s="126"/>
      <c r="CG58" s="124"/>
      <c r="CH58" s="124"/>
      <c r="CI58" s="124"/>
      <c r="CJ58" s="124"/>
      <c r="CK58" s="124"/>
      <c r="CL58" s="124"/>
      <c r="CM58" s="124"/>
      <c r="CN58" s="124"/>
      <c r="CO58" s="124"/>
      <c r="CP58" s="124"/>
      <c r="CQ58" s="124"/>
      <c r="CR58" s="124"/>
      <c r="CS58" s="125"/>
      <c r="CT58" s="22"/>
    </row>
    <row r="59" spans="1:98" ht="14.25" customHeight="1">
      <c r="A59" s="8"/>
      <c r="B59" s="23" t="s">
        <v>461</v>
      </c>
      <c r="C59" s="24"/>
      <c r="D59" s="1313">
        <f>IS!D10</f>
        <v>424.09500000000003</v>
      </c>
      <c r="E59" s="1314">
        <f>IS!E10</f>
        <v>445.52</v>
      </c>
      <c r="F59" s="1314">
        <f>IS!F10</f>
        <v>478.17</v>
      </c>
      <c r="G59" s="1318">
        <f>IS!G10</f>
        <v>509.15999999999985</v>
      </c>
      <c r="H59" s="1314">
        <f>IS!H10</f>
        <v>502.745</v>
      </c>
      <c r="I59" s="1314">
        <f>IS!I10</f>
        <v>497.45299999999997</v>
      </c>
      <c r="J59" s="1314">
        <f>IS!J10</f>
        <v>476.55599999999998</v>
      </c>
      <c r="K59" s="1318">
        <f>IS!K10</f>
        <v>532.37</v>
      </c>
      <c r="L59" s="1314">
        <f>IS!L10</f>
        <v>524.08100000000002</v>
      </c>
      <c r="M59" s="1314">
        <f>IS!M10</f>
        <v>540.02499999999998</v>
      </c>
      <c r="N59" s="1314">
        <f>IS!N10</f>
        <v>487.41</v>
      </c>
      <c r="O59" s="1318">
        <f>IS!O10</f>
        <v>501.26699999999994</v>
      </c>
      <c r="P59" s="1314">
        <f>IS!P10</f>
        <v>501.20400000000001</v>
      </c>
      <c r="Q59" s="1314">
        <f>IS!Q10</f>
        <v>410.67500000000001</v>
      </c>
      <c r="R59" s="1314">
        <f>IS!R10</f>
        <v>339.66500000000002</v>
      </c>
      <c r="S59" s="1318">
        <f>IS!S10</f>
        <v>394.47100000000017</v>
      </c>
      <c r="T59" s="1314">
        <f>IS!T10</f>
        <v>449.24599999999998</v>
      </c>
      <c r="U59" s="1314">
        <f>IS!U10</f>
        <v>473.51499999999999</v>
      </c>
      <c r="V59" s="1314">
        <f>IS!V10</f>
        <v>508.88</v>
      </c>
      <c r="W59" s="1318">
        <f>IS!W10</f>
        <v>565.96199999999999</v>
      </c>
      <c r="X59" s="1314">
        <f>IS!X10</f>
        <v>626.13900000000001</v>
      </c>
      <c r="Y59" s="1314">
        <f>IS!Y10</f>
        <v>612.93600000000004</v>
      </c>
      <c r="Z59" s="1314">
        <f>IS!Z10</f>
        <v>606.77499999999998</v>
      </c>
      <c r="AA59" s="1318">
        <f>IS!AA10</f>
        <v>626.49099999999964</v>
      </c>
      <c r="AB59" s="1314">
        <f>IS!AB10</f>
        <v>636.00199999999995</v>
      </c>
      <c r="AC59" s="1314">
        <f>IS!AC10</f>
        <v>591.35900000000004</v>
      </c>
      <c r="AD59" s="1314">
        <f>IS!AD10</f>
        <v>571.21199999999999</v>
      </c>
      <c r="AE59" s="1318">
        <f>IS!AE10</f>
        <v>604.95600000000002</v>
      </c>
      <c r="AF59" s="1314">
        <f>IS!AF10</f>
        <v>623.07500000000005</v>
      </c>
      <c r="AG59" s="1314">
        <f>IS!AG10</f>
        <v>605.30600000000004</v>
      </c>
      <c r="AH59" s="1314">
        <f>IS!AH10</f>
        <v>604.88400000000001</v>
      </c>
      <c r="AI59" s="1318">
        <f>IS!AI10</f>
        <v>608.19399999999996</v>
      </c>
      <c r="AJ59" s="1314">
        <f>IS!AJ10</f>
        <v>585.24099999999999</v>
      </c>
      <c r="AK59" s="1314">
        <f>IS!AK10</f>
        <v>620.274</v>
      </c>
      <c r="AL59" s="1314">
        <f>IS!AL10</f>
        <v>605.68100000000004</v>
      </c>
      <c r="AM59" s="1318">
        <f>IS!AM10</f>
        <v>642.46699999999998</v>
      </c>
      <c r="AN59" s="1314">
        <f>IS!AN10</f>
        <v>580.27499999999998</v>
      </c>
      <c r="AO59" s="1314">
        <f>IS!AO10</f>
        <v>566.80899999999997</v>
      </c>
      <c r="AP59" s="1314">
        <f>IS!AP10</f>
        <v>577.26300000000003</v>
      </c>
      <c r="AQ59" s="1318">
        <f>IS!AQ10</f>
        <v>582.51700000000005</v>
      </c>
      <c r="AR59" s="1314">
        <f>IS!AR10</f>
        <v>562.51</v>
      </c>
      <c r="AS59" s="1314">
        <f>IS!AS10</f>
        <v>510.83100000000002</v>
      </c>
      <c r="AT59" s="1314">
        <f>IS!AT10</f>
        <v>555.25199999999995</v>
      </c>
      <c r="AU59" s="1318">
        <f>IS!AU10</f>
        <v>566.12599999999998</v>
      </c>
      <c r="AV59" s="1314">
        <f>IS!AV10</f>
        <v>561.39599999999996</v>
      </c>
      <c r="AW59" s="1314">
        <f>IS!AW10</f>
        <v>550.99800000000005</v>
      </c>
      <c r="AX59" s="1314">
        <f>IS!AX10</f>
        <v>581.21600000000001</v>
      </c>
      <c r="AY59" s="1318">
        <f>IS!AY10</f>
        <v>602.005</v>
      </c>
      <c r="AZ59" s="1314">
        <f>IS!AZ10</f>
        <v>575.67600000000004</v>
      </c>
      <c r="BA59" s="1314">
        <f>IS!BA10</f>
        <v>622.63699999999994</v>
      </c>
      <c r="BB59" s="1314">
        <f>IS!BB10</f>
        <v>648.59900000000005</v>
      </c>
      <c r="BC59" s="1318">
        <f>IS!BC10</f>
        <v>629.88691885000003</v>
      </c>
      <c r="BD59" s="1314">
        <f>IS!BD10</f>
        <v>614.40226632400004</v>
      </c>
      <c r="BE59" s="1314">
        <f>IS!BE10</f>
        <v>615.55297175386011</v>
      </c>
      <c r="BF59" s="1314">
        <f>IS!BF10</f>
        <v>647.73373676348967</v>
      </c>
      <c r="BG59" s="1318">
        <f>IS!BG10</f>
        <v>654.58378202244683</v>
      </c>
      <c r="BH59" s="1314">
        <f>IS!BH10</f>
        <v>644.08009710326837</v>
      </c>
      <c r="BI59" s="1314">
        <f>IS!BI10</f>
        <v>643.58537466034682</v>
      </c>
      <c r="BJ59" s="1314">
        <f>IS!BJ10</f>
        <v>669.76471696236217</v>
      </c>
      <c r="BK59" s="1318">
        <f>IS!BK10</f>
        <v>687.57139464671707</v>
      </c>
      <c r="BL59" s="20"/>
      <c r="BM59" s="1313">
        <f>IS!BM10</f>
        <v>1856.9449999999999</v>
      </c>
      <c r="BN59" s="1314">
        <f>IS!BN10</f>
        <v>2009.1239999999998</v>
      </c>
      <c r="BO59" s="1314">
        <f>IS!BO10</f>
        <v>2052.7829999999999</v>
      </c>
      <c r="BP59" s="1314">
        <f>IS!BP10</f>
        <v>1646.0150000000003</v>
      </c>
      <c r="BQ59" s="1314">
        <f>IS!BQ10</f>
        <v>1997.6030000000001</v>
      </c>
      <c r="BR59" s="1314">
        <f>IS!BR10</f>
        <v>2472.3409999999994</v>
      </c>
      <c r="BS59" s="1314">
        <f>IS!BS10</f>
        <v>2403.529</v>
      </c>
      <c r="BT59" s="1314">
        <f>IS!BT10</f>
        <v>2441.4589999999998</v>
      </c>
      <c r="BU59" s="1314">
        <f>IS!BU10</f>
        <v>2453.663</v>
      </c>
      <c r="BV59" s="1314">
        <f>IS!BV10</f>
        <v>2306.8639999999996</v>
      </c>
      <c r="BW59" s="1314">
        <f>IS!BW10</f>
        <v>2194.7190000000001</v>
      </c>
      <c r="BX59" s="1314">
        <f>IS!BX10</f>
        <v>2295.6150000000002</v>
      </c>
      <c r="BY59" s="1314">
        <f>IS!BY10</f>
        <v>2476.7989188500005</v>
      </c>
      <c r="BZ59" s="1314">
        <f>IS!BZ10</f>
        <v>2532.2727568637965</v>
      </c>
      <c r="CA59" s="1318">
        <f>IS!CA10</f>
        <v>2645.0015833726943</v>
      </c>
      <c r="CB59" s="1313"/>
      <c r="CC59" s="1314"/>
      <c r="CD59" s="1314"/>
      <c r="CE59" s="260"/>
      <c r="CF59" s="1314">
        <f>IS!CF10</f>
        <v>1987.5279999999998</v>
      </c>
      <c r="CG59" s="1314">
        <f>IS!CG10</f>
        <v>2073.0320000000002</v>
      </c>
      <c r="CH59" s="1314">
        <f>IS!CH10</f>
        <v>1900.5559999999998</v>
      </c>
      <c r="CI59" s="1314">
        <f>IS!CI10</f>
        <v>1656.8969999999999</v>
      </c>
      <c r="CJ59" s="1314">
        <f>IS!CJ10</f>
        <v>2313.9170000000004</v>
      </c>
      <c r="CK59" s="1314">
        <f>IS!CK10</f>
        <v>2460.6269999999995</v>
      </c>
      <c r="CL59" s="1314">
        <f>IS!CL10</f>
        <v>2404.549</v>
      </c>
      <c r="CM59" s="1314">
        <f>IS!CM10</f>
        <v>2418.5929999999998</v>
      </c>
      <c r="CN59" s="1314">
        <f>IS!CN10</f>
        <v>2395.232</v>
      </c>
      <c r="CO59" s="1314">
        <f>IS!CO10</f>
        <v>2233.1210000000001</v>
      </c>
      <c r="CP59" s="1314">
        <f>IS!CP10</f>
        <v>2233.7719999999999</v>
      </c>
      <c r="CQ59" s="1314">
        <f>IS!CQ10</f>
        <v>2381.5339999999997</v>
      </c>
      <c r="CR59" s="1314">
        <f>IS!CR10</f>
        <v>2508.44115692786</v>
      </c>
      <c r="CS59" s="1318">
        <f>IS!CS10</f>
        <v>2589.9829905495517</v>
      </c>
      <c r="CT59" s="22"/>
    </row>
    <row r="60" spans="1:98" ht="14.25" customHeight="1">
      <c r="A60" s="8"/>
      <c r="B60" s="71" t="s">
        <v>462</v>
      </c>
      <c r="C60" s="72"/>
      <c r="D60" s="1326">
        <f>IS!D21</f>
        <v>142.03100000000001</v>
      </c>
      <c r="E60" s="1327">
        <f>IS!E21</f>
        <v>152.315</v>
      </c>
      <c r="F60" s="1327">
        <f>IS!F21</f>
        <v>163.81299999999999</v>
      </c>
      <c r="G60" s="1328">
        <f>IS!G21</f>
        <v>180.38800000000003</v>
      </c>
      <c r="H60" s="1327">
        <f>IS!H21</f>
        <v>203.68700000000001</v>
      </c>
      <c r="I60" s="1327">
        <f>IS!I21</f>
        <v>189.27</v>
      </c>
      <c r="J60" s="1327">
        <f>IS!J21</f>
        <v>190.286</v>
      </c>
      <c r="K60" s="1328">
        <f>IS!K21</f>
        <v>199.25100000000009</v>
      </c>
      <c r="L60" s="1327">
        <f>IS!L21</f>
        <v>203.535</v>
      </c>
      <c r="M60" s="1327">
        <f>IS!M21</f>
        <v>204.32</v>
      </c>
      <c r="N60" s="1327">
        <f>IS!N21</f>
        <v>198.024</v>
      </c>
      <c r="O60" s="1328">
        <f>IS!O21</f>
        <v>198.20399999999998</v>
      </c>
      <c r="P60" s="1327">
        <f>IS!P21</f>
        <v>209.654</v>
      </c>
      <c r="Q60" s="1327">
        <f>IS!Q21</f>
        <v>211.59</v>
      </c>
      <c r="R60" s="1327">
        <f>IS!R21</f>
        <v>171.96</v>
      </c>
      <c r="S60" s="1328">
        <f>IS!S21</f>
        <v>203.93399999999997</v>
      </c>
      <c r="T60" s="1327">
        <f>IS!T21</f>
        <v>197.619</v>
      </c>
      <c r="U60" s="1327">
        <f>IS!U21</f>
        <v>181.727</v>
      </c>
      <c r="V60" s="1327">
        <f>IS!V21</f>
        <v>200.17699999999999</v>
      </c>
      <c r="W60" s="1328">
        <f>IS!W21</f>
        <v>225.01400000000004</v>
      </c>
      <c r="X60" s="1327">
        <f>IS!X21</f>
        <v>239.92500000000001</v>
      </c>
      <c r="Y60" s="1327">
        <f>IS!Y21</f>
        <v>232.661</v>
      </c>
      <c r="Z60" s="1327">
        <f>IS!Z21</f>
        <v>234.125</v>
      </c>
      <c r="AA60" s="1328">
        <f>IS!AA21</f>
        <v>235.66599999999994</v>
      </c>
      <c r="AB60" s="1327">
        <f>IS!AB21</f>
        <v>240.529</v>
      </c>
      <c r="AC60" s="1327">
        <f>IS!AC21</f>
        <v>243.399</v>
      </c>
      <c r="AD60" s="1327">
        <f>IS!AD21</f>
        <v>235.78200000000001</v>
      </c>
      <c r="AE60" s="1328">
        <f>IS!AE21</f>
        <v>232.96700000000001</v>
      </c>
      <c r="AF60" s="1327">
        <f>IS!AF21</f>
        <v>237.38399999999999</v>
      </c>
      <c r="AG60" s="1327">
        <f>IS!AG21</f>
        <v>241.93100000000001</v>
      </c>
      <c r="AH60" s="1327">
        <f>IS!AH21</f>
        <v>228.78200000000001</v>
      </c>
      <c r="AI60" s="1328">
        <f>IS!AI21</f>
        <v>236.79499999999999</v>
      </c>
      <c r="AJ60" s="1327">
        <f>IS!AJ21</f>
        <v>238.04499999999999</v>
      </c>
      <c r="AK60" s="1327">
        <f>IS!AK21</f>
        <v>291.60199999999998</v>
      </c>
      <c r="AL60" s="1327">
        <f>IS!AL21</f>
        <v>265.74400000000003</v>
      </c>
      <c r="AM60" s="1328">
        <f>IS!AM21</f>
        <v>273.50700000000001</v>
      </c>
      <c r="AN60" s="1327">
        <f>IS!AN21</f>
        <v>241.54499999999999</v>
      </c>
      <c r="AO60" s="1327">
        <f>IS!AO21</f>
        <v>252.732</v>
      </c>
      <c r="AP60" s="1327">
        <f>IS!AP21</f>
        <v>261.995</v>
      </c>
      <c r="AQ60" s="1328">
        <f>IS!AQ21</f>
        <v>278.81599999999997</v>
      </c>
      <c r="AR60" s="1327">
        <f>IS!AR21</f>
        <v>276.15899999999999</v>
      </c>
      <c r="AS60" s="1327">
        <f>IS!AS21</f>
        <v>218.66200000000001</v>
      </c>
      <c r="AT60" s="1327">
        <f>IS!AT21</f>
        <v>236.411</v>
      </c>
      <c r="AU60" s="1328">
        <f>IS!AU21</f>
        <v>219.09899999999999</v>
      </c>
      <c r="AV60" s="1327">
        <f>IS!AV21</f>
        <v>215.66399999999999</v>
      </c>
      <c r="AW60" s="1327">
        <f>IS!AW21</f>
        <v>210.82</v>
      </c>
      <c r="AX60" s="1327">
        <f>IS!AX21</f>
        <v>214.31200000000001</v>
      </c>
      <c r="AY60" s="1328">
        <f>IS!AY21</f>
        <v>208.339</v>
      </c>
      <c r="AZ60" s="1327">
        <f>IS!AZ21</f>
        <v>201.845</v>
      </c>
      <c r="BA60" s="1327">
        <f>IS!BA21</f>
        <v>212.96100000000001</v>
      </c>
      <c r="BB60" s="1327">
        <f>IS!BB21</f>
        <v>224.65299999999999</v>
      </c>
      <c r="BC60" s="1328">
        <f>IS!BC21</f>
        <v>218.86268322049997</v>
      </c>
      <c r="BD60" s="1327">
        <f>IS!BD21</f>
        <v>202.75274788691999</v>
      </c>
      <c r="BE60" s="1327">
        <f>IS!BE21</f>
        <v>202.51692770701996</v>
      </c>
      <c r="BF60" s="1327">
        <f>IS!BF21</f>
        <v>211.8089319216611</v>
      </c>
      <c r="BG60" s="1328">
        <f>IS!BG21</f>
        <v>212.08514537527273</v>
      </c>
      <c r="BH60" s="1327">
        <f>IS!BH21</f>
        <v>209.32603155856219</v>
      </c>
      <c r="BI60" s="1327">
        <f>IS!BI21</f>
        <v>209.16524676461268</v>
      </c>
      <c r="BJ60" s="1327">
        <f>IS!BJ21</f>
        <v>216.33400357884295</v>
      </c>
      <c r="BK60" s="1328">
        <f>IS!BK21</f>
        <v>220.71041768159614</v>
      </c>
      <c r="BL60" s="20"/>
      <c r="BM60" s="1326">
        <f>IS!BM21</f>
        <v>638.54700000000003</v>
      </c>
      <c r="BN60" s="1327">
        <f>IS!BN21</f>
        <v>782.49400000000003</v>
      </c>
      <c r="BO60" s="1327">
        <f>IS!BO21</f>
        <v>804.08299999999997</v>
      </c>
      <c r="BP60" s="1327">
        <f>IS!BP21</f>
        <v>797.13800000000003</v>
      </c>
      <c r="BQ60" s="1327">
        <f>IS!BQ21</f>
        <v>804.53700000000003</v>
      </c>
      <c r="BR60" s="1327">
        <f>IS!BR21</f>
        <v>942.37699999999995</v>
      </c>
      <c r="BS60" s="1327">
        <f>IS!BS21</f>
        <v>952.67700000000002</v>
      </c>
      <c r="BT60" s="1327">
        <f>IS!BT21</f>
        <v>944.89199999999994</v>
      </c>
      <c r="BU60" s="1327">
        <f>IS!BU21</f>
        <v>1068.8979999999999</v>
      </c>
      <c r="BV60" s="1327">
        <f>IS!BV21</f>
        <v>1035.088</v>
      </c>
      <c r="BW60" s="1327">
        <f>IS!BW21</f>
        <v>950.3309999999999</v>
      </c>
      <c r="BX60" s="1327">
        <f>IS!BX21</f>
        <v>849.13499999999999</v>
      </c>
      <c r="BY60" s="1327">
        <f>IS!BY21</f>
        <v>858.32168322050006</v>
      </c>
      <c r="BZ60" s="1327">
        <f>IS!BZ21</f>
        <v>829.16375289087387</v>
      </c>
      <c r="CA60" s="1328">
        <f>IS!CA21</f>
        <v>855.53569958361402</v>
      </c>
      <c r="CB60" s="1313"/>
      <c r="CC60" s="1314"/>
      <c r="CD60" s="1314"/>
      <c r="CE60" s="260"/>
      <c r="CF60" s="1327">
        <f>IS!CF21</f>
        <v>737.15800000000002</v>
      </c>
      <c r="CG60" s="1327">
        <f>IS!CG21</f>
        <v>797.39200000000005</v>
      </c>
      <c r="CH60" s="1327">
        <f>IS!CH21</f>
        <v>817.47199999999998</v>
      </c>
      <c r="CI60" s="1327">
        <f>IS!CI21</f>
        <v>755.24</v>
      </c>
      <c r="CJ60" s="1327">
        <f>IS!CJ21</f>
        <v>897.77700000000004</v>
      </c>
      <c r="CK60" s="1327">
        <f>IS!CK21</f>
        <v>953.71899999999994</v>
      </c>
      <c r="CL60" s="1327">
        <f>IS!CL21</f>
        <v>948.06400000000008</v>
      </c>
      <c r="CM60" s="1327">
        <f>IS!CM21</f>
        <v>995.22399999999993</v>
      </c>
      <c r="CN60" s="1327">
        <f>IS!CN21</f>
        <v>1033.528</v>
      </c>
      <c r="CO60" s="1327">
        <f>IS!CO21</f>
        <v>1035.6319999999998</v>
      </c>
      <c r="CP60" s="1327">
        <f>IS!CP21</f>
        <v>881.99399999999991</v>
      </c>
      <c r="CQ60" s="1327">
        <f>IS!CQ21</f>
        <v>837.45699999999999</v>
      </c>
      <c r="CR60" s="1327">
        <f>IS!CR21</f>
        <v>848.78535881443986</v>
      </c>
      <c r="CS60" s="1328">
        <f>IS!CS21</f>
        <v>842.38535562010861</v>
      </c>
      <c r="CT60" s="22"/>
    </row>
    <row r="61" spans="1:98" ht="14.25" customHeight="1">
      <c r="A61" s="8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1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28"/>
      <c r="CC61" s="728"/>
      <c r="CD61" s="728"/>
      <c r="CE61" s="8"/>
      <c r="CF61" s="74"/>
      <c r="CG61" s="74"/>
      <c r="CH61" s="74"/>
      <c r="CI61" s="74"/>
      <c r="CJ61" s="74"/>
      <c r="CK61" s="74"/>
      <c r="CL61" s="74"/>
      <c r="CM61" s="74"/>
      <c r="CN61" s="74"/>
      <c r="CO61" s="74"/>
      <c r="CP61" s="74"/>
      <c r="CQ61" s="74"/>
      <c r="CR61" s="74"/>
      <c r="CS61" s="74"/>
      <c r="CT61" s="8"/>
    </row>
    <row r="62" spans="1:98" ht="14.25" customHeight="1">
      <c r="A62" s="8"/>
      <c r="B62" s="77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7"/>
      <c r="AF62" s="74"/>
      <c r="AG62" s="74"/>
      <c r="AH62" s="74"/>
      <c r="AI62" s="77"/>
      <c r="AJ62" s="74"/>
      <c r="AK62" s="74"/>
      <c r="AL62" s="74"/>
      <c r="AM62" s="77"/>
      <c r="AN62" s="74"/>
      <c r="AO62" s="74"/>
      <c r="AP62" s="74"/>
      <c r="AQ62" s="77"/>
      <c r="AR62" s="74"/>
      <c r="AS62" s="74"/>
      <c r="AT62" s="74"/>
      <c r="AU62" s="77"/>
      <c r="AV62" s="74"/>
      <c r="AW62" s="74"/>
      <c r="AX62" s="74"/>
      <c r="AY62" s="77"/>
      <c r="AZ62" s="74"/>
      <c r="BA62" s="74"/>
      <c r="BB62" s="74"/>
      <c r="BC62" s="77"/>
      <c r="BD62" s="74"/>
      <c r="BE62" s="74"/>
      <c r="BF62" s="74"/>
      <c r="BG62" s="77"/>
      <c r="BH62" s="74"/>
      <c r="BI62" s="74"/>
      <c r="BJ62" s="74"/>
      <c r="BK62" s="77"/>
      <c r="BL62" s="1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28"/>
      <c r="CC62" s="728"/>
      <c r="CD62" s="728"/>
      <c r="CE62" s="8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8"/>
    </row>
    <row r="63" spans="1:98" ht="14.25" customHeight="1">
      <c r="A63" s="8"/>
      <c r="B63" s="162" t="s">
        <v>463</v>
      </c>
      <c r="C63" s="163"/>
      <c r="D63" s="17" t="str">
        <f t="shared" ref="D63:AA63" si="196">D52</f>
        <v>F1Q06A</v>
      </c>
      <c r="E63" s="18" t="str">
        <f t="shared" si="196"/>
        <v>F2Q06A</v>
      </c>
      <c r="F63" s="18" t="str">
        <f t="shared" si="196"/>
        <v>F3Q06A</v>
      </c>
      <c r="G63" s="19" t="str">
        <f t="shared" si="196"/>
        <v>F4Q06A</v>
      </c>
      <c r="H63" s="17" t="str">
        <f t="shared" si="196"/>
        <v>F1Q07A</v>
      </c>
      <c r="I63" s="18" t="str">
        <f t="shared" si="196"/>
        <v>F2Q07A</v>
      </c>
      <c r="J63" s="18" t="str">
        <f t="shared" si="196"/>
        <v>F3Q07A</v>
      </c>
      <c r="K63" s="19" t="str">
        <f t="shared" si="196"/>
        <v>F4Q07A</v>
      </c>
      <c r="L63" s="17" t="str">
        <f t="shared" si="196"/>
        <v>F1Q08A</v>
      </c>
      <c r="M63" s="18" t="str">
        <f t="shared" si="196"/>
        <v>F2Q08A</v>
      </c>
      <c r="N63" s="18" t="str">
        <f t="shared" si="196"/>
        <v>F3Q08A</v>
      </c>
      <c r="O63" s="19" t="str">
        <f t="shared" si="196"/>
        <v>F4Q08A</v>
      </c>
      <c r="P63" s="17" t="str">
        <f t="shared" si="196"/>
        <v>F1Q09A</v>
      </c>
      <c r="Q63" s="18" t="str">
        <f t="shared" si="196"/>
        <v>F2Q09A</v>
      </c>
      <c r="R63" s="18" t="str">
        <f t="shared" si="196"/>
        <v>F3Q09A</v>
      </c>
      <c r="S63" s="19" t="str">
        <f t="shared" si="196"/>
        <v>F4Q09A</v>
      </c>
      <c r="T63" s="17" t="str">
        <f t="shared" si="196"/>
        <v>F1Q10A</v>
      </c>
      <c r="U63" s="18" t="str">
        <f t="shared" si="196"/>
        <v>F2Q10A</v>
      </c>
      <c r="V63" s="18" t="str">
        <f t="shared" si="196"/>
        <v>F3Q10A</v>
      </c>
      <c r="W63" s="19" t="str">
        <f t="shared" si="196"/>
        <v>F4Q10A</v>
      </c>
      <c r="X63" s="17" t="str">
        <f t="shared" si="196"/>
        <v>F1Q11A</v>
      </c>
      <c r="Y63" s="18" t="str">
        <f t="shared" si="196"/>
        <v>F2Q11A</v>
      </c>
      <c r="Z63" s="18" t="str">
        <f t="shared" si="196"/>
        <v>F3Q11A</v>
      </c>
      <c r="AA63" s="19" t="str">
        <f t="shared" si="196"/>
        <v>F4Q11A</v>
      </c>
      <c r="AB63" s="18" t="str">
        <f>AB52</f>
        <v>F1Q12A</v>
      </c>
      <c r="AC63" s="18" t="str">
        <f>AC52</f>
        <v>F2Q12A</v>
      </c>
      <c r="AD63" s="18" t="str">
        <f>AD52</f>
        <v>F3Q12A</v>
      </c>
      <c r="AE63" s="19" t="str">
        <f>AE52</f>
        <v>F4Q12A</v>
      </c>
      <c r="AF63" s="17" t="str">
        <f>AF52</f>
        <v>F1Q13A</v>
      </c>
      <c r="AG63" s="18" t="str">
        <f t="shared" ref="AG63:AP63" si="197">AG52</f>
        <v>F2Q13A</v>
      </c>
      <c r="AH63" s="18" t="str">
        <f t="shared" si="197"/>
        <v>F3Q13A</v>
      </c>
      <c r="AI63" s="19" t="str">
        <f>AI52</f>
        <v>F4Q13A</v>
      </c>
      <c r="AJ63" s="17" t="str">
        <f t="shared" si="197"/>
        <v>F1Q14A</v>
      </c>
      <c r="AK63" s="18" t="str">
        <f t="shared" si="197"/>
        <v>F2Q14</v>
      </c>
      <c r="AL63" s="18" t="str">
        <f t="shared" si="197"/>
        <v>F3Q14A</v>
      </c>
      <c r="AM63" s="19" t="str">
        <f t="shared" si="197"/>
        <v>F4Q14A</v>
      </c>
      <c r="AN63" s="17" t="str">
        <f t="shared" si="197"/>
        <v>F1Q15A</v>
      </c>
      <c r="AO63" s="18" t="str">
        <f t="shared" si="197"/>
        <v>F2Q15A</v>
      </c>
      <c r="AP63" s="18" t="str">
        <f t="shared" si="197"/>
        <v>F3Q15A</v>
      </c>
      <c r="AQ63" s="19" t="str">
        <f t="shared" ref="AQ63:BC63" si="198">AQ52</f>
        <v>F4Q15A</v>
      </c>
      <c r="AR63" s="17" t="str">
        <f t="shared" si="198"/>
        <v>F1Q16A</v>
      </c>
      <c r="AS63" s="18" t="str">
        <f t="shared" si="198"/>
        <v>F2Q16A</v>
      </c>
      <c r="AT63" s="18" t="str">
        <f t="shared" si="198"/>
        <v>F3Q16A</v>
      </c>
      <c r="AU63" s="19" t="str">
        <f>AU52</f>
        <v>F4Q16A</v>
      </c>
      <c r="AV63" s="17" t="str">
        <f>AV52</f>
        <v>F1Q17A</v>
      </c>
      <c r="AW63" s="18" t="str">
        <f>AW52</f>
        <v>F2Q17A</v>
      </c>
      <c r="AX63" s="18" t="str">
        <f t="shared" si="198"/>
        <v>F3Q17A</v>
      </c>
      <c r="AY63" s="19" t="str">
        <f t="shared" si="198"/>
        <v>F4Q17A</v>
      </c>
      <c r="AZ63" s="17" t="str">
        <f t="shared" si="198"/>
        <v>F1Q18A</v>
      </c>
      <c r="BA63" s="18" t="str">
        <f t="shared" si="198"/>
        <v>F2Q18A</v>
      </c>
      <c r="BB63" s="18" t="str">
        <f t="shared" si="198"/>
        <v>F3Q18A</v>
      </c>
      <c r="BC63" s="19" t="str">
        <f t="shared" si="198"/>
        <v>F4Q18E</v>
      </c>
      <c r="BD63" s="17" t="str">
        <f t="shared" ref="BD63:BK63" si="199">BD52</f>
        <v>F1Q19E</v>
      </c>
      <c r="BE63" s="18" t="str">
        <f t="shared" si="199"/>
        <v>F2Q19E</v>
      </c>
      <c r="BF63" s="18" t="str">
        <f t="shared" si="199"/>
        <v>F3Q19E</v>
      </c>
      <c r="BG63" s="19" t="str">
        <f t="shared" si="199"/>
        <v>F4Q19E</v>
      </c>
      <c r="BH63" s="17" t="str">
        <f t="shared" si="199"/>
        <v>F1Q20E</v>
      </c>
      <c r="BI63" s="18" t="str">
        <f t="shared" si="199"/>
        <v>F2Q20E</v>
      </c>
      <c r="BJ63" s="18" t="str">
        <f t="shared" si="199"/>
        <v>F3Q20E</v>
      </c>
      <c r="BK63" s="19" t="str">
        <f t="shared" si="199"/>
        <v>F4Q20E</v>
      </c>
      <c r="BL63" s="20"/>
      <c r="BM63" s="723" t="str">
        <f t="shared" ref="BM63:BS63" si="200">BM52</f>
        <v>FY2006A</v>
      </c>
      <c r="BN63" s="18" t="str">
        <f t="shared" si="200"/>
        <v>FY2007A</v>
      </c>
      <c r="BO63" s="18" t="str">
        <f t="shared" si="200"/>
        <v>FY2008A</v>
      </c>
      <c r="BP63" s="18" t="str">
        <f t="shared" si="200"/>
        <v>FY2009A</v>
      </c>
      <c r="BQ63" s="18" t="str">
        <f t="shared" si="200"/>
        <v>FY2010A</v>
      </c>
      <c r="BR63" s="18" t="str">
        <f t="shared" si="200"/>
        <v>FY2011A</v>
      </c>
      <c r="BS63" s="18" t="str">
        <f t="shared" si="200"/>
        <v>FY2012A</v>
      </c>
      <c r="BT63" s="18" t="str">
        <f t="shared" ref="BT63:CA63" si="201">BT52</f>
        <v>FY2013A</v>
      </c>
      <c r="BU63" s="18" t="str">
        <f t="shared" si="201"/>
        <v>FY2014A</v>
      </c>
      <c r="BV63" s="18" t="str">
        <f t="shared" si="201"/>
        <v>FY2015A</v>
      </c>
      <c r="BW63" s="18" t="str">
        <f t="shared" si="201"/>
        <v>FY2016A</v>
      </c>
      <c r="BX63" s="18" t="str">
        <f t="shared" si="201"/>
        <v>FY2017A</v>
      </c>
      <c r="BY63" s="18" t="str">
        <f t="shared" si="201"/>
        <v>FY2018E</v>
      </c>
      <c r="BZ63" s="18" t="str">
        <f t="shared" si="201"/>
        <v>FY2019E</v>
      </c>
      <c r="CA63" s="19" t="str">
        <f t="shared" si="201"/>
        <v>FY2020E</v>
      </c>
      <c r="CB63" s="1470"/>
      <c r="CC63" s="1418"/>
      <c r="CD63" s="1418"/>
      <c r="CE63" s="260"/>
      <c r="CF63" s="723" t="str">
        <f t="shared" ref="CF63:CL63" si="202">CF52</f>
        <v>CY2006</v>
      </c>
      <c r="CG63" s="18" t="str">
        <f t="shared" si="202"/>
        <v>CY2007</v>
      </c>
      <c r="CH63" s="18" t="str">
        <f t="shared" si="202"/>
        <v>CY2008</v>
      </c>
      <c r="CI63" s="18" t="str">
        <f t="shared" si="202"/>
        <v>CY2009</v>
      </c>
      <c r="CJ63" s="18" t="str">
        <f t="shared" si="202"/>
        <v>CY2010</v>
      </c>
      <c r="CK63" s="18" t="str">
        <f t="shared" si="202"/>
        <v>CY2011</v>
      </c>
      <c r="CL63" s="18" t="str">
        <f t="shared" si="202"/>
        <v>CY2012</v>
      </c>
      <c r="CM63" s="18" t="str">
        <f t="shared" ref="CM63:CR63" si="203">CM52</f>
        <v>CY2013</v>
      </c>
      <c r="CN63" s="18" t="str">
        <f t="shared" si="203"/>
        <v>CY2014A</v>
      </c>
      <c r="CO63" s="18" t="str">
        <f t="shared" si="203"/>
        <v>CY2015A</v>
      </c>
      <c r="CP63" s="724" t="str">
        <f t="shared" si="203"/>
        <v>CY2016A</v>
      </c>
      <c r="CQ63" s="724" t="str">
        <f t="shared" si="203"/>
        <v>CY2017E</v>
      </c>
      <c r="CR63" s="724" t="str">
        <f t="shared" si="203"/>
        <v>CY2018E</v>
      </c>
      <c r="CS63" s="21" t="str">
        <f>CS52</f>
        <v>CY2019E</v>
      </c>
      <c r="CT63" s="22"/>
    </row>
    <row r="64" spans="1:98" ht="14.25" customHeight="1">
      <c r="A64" s="8"/>
      <c r="B64" s="169" t="s">
        <v>464</v>
      </c>
      <c r="C64" s="170"/>
      <c r="D64" s="81">
        <v>0</v>
      </c>
      <c r="E64" s="82">
        <v>0</v>
      </c>
      <c r="F64" s="82">
        <v>0</v>
      </c>
      <c r="G64" s="83">
        <v>0</v>
      </c>
      <c r="H64" s="81">
        <v>0</v>
      </c>
      <c r="I64" s="82">
        <v>0</v>
      </c>
      <c r="J64" s="82">
        <v>0</v>
      </c>
      <c r="K64" s="83">
        <v>0</v>
      </c>
      <c r="L64" s="81">
        <v>0</v>
      </c>
      <c r="M64" s="82">
        <v>0</v>
      </c>
      <c r="N64" s="82">
        <v>0</v>
      </c>
      <c r="O64" s="83">
        <v>0</v>
      </c>
      <c r="P64" s="81">
        <v>0</v>
      </c>
      <c r="Q64" s="82">
        <v>0</v>
      </c>
      <c r="R64" s="82">
        <v>0</v>
      </c>
      <c r="S64" s="83">
        <v>0</v>
      </c>
      <c r="T64" s="81">
        <v>0</v>
      </c>
      <c r="U64" s="82">
        <v>0</v>
      </c>
      <c r="V64" s="82">
        <v>0</v>
      </c>
      <c r="W64" s="83">
        <v>0</v>
      </c>
      <c r="X64" s="82">
        <v>0</v>
      </c>
      <c r="Y64" s="82">
        <v>0</v>
      </c>
      <c r="Z64" s="82">
        <v>0</v>
      </c>
      <c r="AA64" s="83">
        <v>0</v>
      </c>
      <c r="AB64" s="90">
        <v>0</v>
      </c>
      <c r="AC64" s="82">
        <v>0</v>
      </c>
      <c r="AD64" s="82">
        <v>0</v>
      </c>
      <c r="AE64" s="83">
        <v>0</v>
      </c>
      <c r="AF64" s="90">
        <v>0</v>
      </c>
      <c r="AG64" s="90">
        <v>0</v>
      </c>
      <c r="AH64" s="90">
        <v>0</v>
      </c>
      <c r="AI64" s="83">
        <v>0</v>
      </c>
      <c r="AJ64" s="90">
        <v>0</v>
      </c>
      <c r="AK64" s="90">
        <v>0</v>
      </c>
      <c r="AL64" s="90">
        <v>0</v>
      </c>
      <c r="AM64" s="83">
        <v>0</v>
      </c>
      <c r="AN64" s="90">
        <v>0</v>
      </c>
      <c r="AO64" s="90">
        <v>0</v>
      </c>
      <c r="AP64" s="90">
        <v>0</v>
      </c>
      <c r="AQ64" s="83">
        <v>0</v>
      </c>
      <c r="AR64" s="90">
        <v>0</v>
      </c>
      <c r="AS64" s="90">
        <v>0</v>
      </c>
      <c r="AT64" s="90">
        <v>0</v>
      </c>
      <c r="AU64" s="83">
        <v>0</v>
      </c>
      <c r="AV64" s="90">
        <v>0</v>
      </c>
      <c r="AW64" s="90">
        <v>0</v>
      </c>
      <c r="AX64" s="90">
        <v>0</v>
      </c>
      <c r="AY64" s="83">
        <v>0</v>
      </c>
      <c r="AZ64" s="90">
        <f t="shared" ref="AZ64:BC67" si="204">AY64</f>
        <v>0</v>
      </c>
      <c r="BA64" s="90">
        <v>0</v>
      </c>
      <c r="BB64" s="90">
        <v>0</v>
      </c>
      <c r="BC64" s="171">
        <f t="shared" si="204"/>
        <v>0</v>
      </c>
      <c r="BD64" s="87">
        <f t="shared" ref="BD64:BG67" si="205">BC64</f>
        <v>0</v>
      </c>
      <c r="BE64" s="87">
        <f t="shared" si="205"/>
        <v>0</v>
      </c>
      <c r="BF64" s="87">
        <f t="shared" si="205"/>
        <v>0</v>
      </c>
      <c r="BG64" s="171">
        <f t="shared" si="205"/>
        <v>0</v>
      </c>
      <c r="BH64" s="87">
        <f t="shared" ref="BH64:BK67" si="206">BG64</f>
        <v>0</v>
      </c>
      <c r="BI64" s="87">
        <f t="shared" si="206"/>
        <v>0</v>
      </c>
      <c r="BJ64" s="87">
        <f t="shared" si="206"/>
        <v>0</v>
      </c>
      <c r="BK64" s="171">
        <f t="shared" si="206"/>
        <v>0</v>
      </c>
      <c r="BL64" s="20"/>
      <c r="BM64" s="164">
        <f>G64</f>
        <v>0</v>
      </c>
      <c r="BN64" s="87">
        <f>K64</f>
        <v>0</v>
      </c>
      <c r="BO64" s="87">
        <f>O64</f>
        <v>0</v>
      </c>
      <c r="BP64" s="87">
        <f>S64</f>
        <v>0</v>
      </c>
      <c r="BQ64" s="87">
        <f>W64</f>
        <v>0</v>
      </c>
      <c r="BR64" s="87">
        <f>AA64</f>
        <v>0</v>
      </c>
      <c r="BS64" s="87">
        <f>AE64</f>
        <v>0</v>
      </c>
      <c r="BT64" s="87">
        <f>AI64</f>
        <v>0</v>
      </c>
      <c r="BU64" s="87">
        <f>AM64</f>
        <v>0</v>
      </c>
      <c r="BV64" s="87">
        <f>AQ64</f>
        <v>0</v>
      </c>
      <c r="BW64" s="87">
        <f>AU64</f>
        <v>0</v>
      </c>
      <c r="BX64" s="87">
        <f>AY64</f>
        <v>0</v>
      </c>
      <c r="BY64" s="87">
        <f>BC64</f>
        <v>0</v>
      </c>
      <c r="BZ64" s="87">
        <f>BG64</f>
        <v>0</v>
      </c>
      <c r="CA64" s="88">
        <f>BK64</f>
        <v>0</v>
      </c>
      <c r="CB64" s="86"/>
      <c r="CC64" s="87"/>
      <c r="CD64" s="87"/>
      <c r="CE64" s="260"/>
      <c r="CF64" s="172">
        <f>I64</f>
        <v>0</v>
      </c>
      <c r="CG64" s="87">
        <f>M64</f>
        <v>0</v>
      </c>
      <c r="CH64" s="87">
        <f>Q64</f>
        <v>0</v>
      </c>
      <c r="CI64" s="87">
        <f>U64</f>
        <v>0</v>
      </c>
      <c r="CJ64" s="87">
        <f>Y64</f>
        <v>0</v>
      </c>
      <c r="CK64" s="87">
        <f>AC64</f>
        <v>0</v>
      </c>
      <c r="CL64" s="87">
        <f>AG64</f>
        <v>0</v>
      </c>
      <c r="CM64" s="87">
        <f>AK64</f>
        <v>0</v>
      </c>
      <c r="CN64" s="87">
        <f>AO64</f>
        <v>0</v>
      </c>
      <c r="CO64" s="164">
        <f>AS64</f>
        <v>0</v>
      </c>
      <c r="CP64" s="164">
        <f>AW64</f>
        <v>0</v>
      </c>
      <c r="CQ64" s="164">
        <f>BA64</f>
        <v>0</v>
      </c>
      <c r="CR64" s="164">
        <f>BE64</f>
        <v>0</v>
      </c>
      <c r="CS64" s="171">
        <f>BI64</f>
        <v>0</v>
      </c>
      <c r="CT64" s="22"/>
    </row>
    <row r="65" spans="1:98" ht="14.25" customHeight="1">
      <c r="A65" s="8"/>
      <c r="B65" s="109" t="s">
        <v>465</v>
      </c>
      <c r="C65" s="110"/>
      <c r="D65" s="89">
        <v>0.32800000000000001</v>
      </c>
      <c r="E65" s="90">
        <v>0.32100000000000001</v>
      </c>
      <c r="F65" s="90">
        <v>0.32100000000000001</v>
      </c>
      <c r="G65" s="91">
        <v>0.32</v>
      </c>
      <c r="H65" s="89">
        <v>0.32100000000000001</v>
      </c>
      <c r="I65" s="90">
        <v>0.32100000000000001</v>
      </c>
      <c r="J65" s="90">
        <v>0.32100000000000001</v>
      </c>
      <c r="K65" s="91">
        <v>0.32100000000000001</v>
      </c>
      <c r="L65" s="89">
        <v>0.32100000000000001</v>
      </c>
      <c r="M65" s="90">
        <v>0.32100000000000001</v>
      </c>
      <c r="N65" s="90">
        <v>0.32100000000000001</v>
      </c>
      <c r="O65" s="91">
        <v>0.32100000000000001</v>
      </c>
      <c r="P65" s="89">
        <v>0</v>
      </c>
      <c r="Q65" s="90">
        <v>0.30399999999999999</v>
      </c>
      <c r="R65" s="90">
        <v>0.30399999999999999</v>
      </c>
      <c r="S65" s="91">
        <v>0.30599999999999999</v>
      </c>
      <c r="T65" s="89">
        <v>0.32400000000000001</v>
      </c>
      <c r="U65" s="90">
        <v>0.30499999999999999</v>
      </c>
      <c r="V65" s="90">
        <v>0.30299999999999999</v>
      </c>
      <c r="W65" s="91">
        <v>0.30099999999999999</v>
      </c>
      <c r="X65" s="90">
        <v>0.29699999999999999</v>
      </c>
      <c r="Y65" s="90">
        <v>0.29699999999999999</v>
      </c>
      <c r="Z65" s="90">
        <v>5.8650000000000002</v>
      </c>
      <c r="AA65" s="91">
        <v>0.29599999999999999</v>
      </c>
      <c r="AB65" s="90">
        <v>0.29299999999999998</v>
      </c>
      <c r="AC65" s="90">
        <v>0.29199999999999998</v>
      </c>
      <c r="AD65" s="90">
        <v>9.125</v>
      </c>
      <c r="AE65" s="91">
        <v>0.29299999999999998</v>
      </c>
      <c r="AF65" s="90">
        <v>0.29199999999999998</v>
      </c>
      <c r="AG65" s="90">
        <v>7.04</v>
      </c>
      <c r="AH65" s="90">
        <v>0.29199999999999998</v>
      </c>
      <c r="AI65" s="91">
        <v>0.28799999999999998</v>
      </c>
      <c r="AJ65" s="90">
        <v>0.28299999999999997</v>
      </c>
      <c r="AK65" s="90">
        <v>0.28299999999999997</v>
      </c>
      <c r="AL65" s="90">
        <v>0.28299999999999997</v>
      </c>
      <c r="AM65" s="91">
        <v>0.28499999999999998</v>
      </c>
      <c r="AN65" s="90">
        <v>0.28399999999999997</v>
      </c>
      <c r="AO65" s="90">
        <v>0.28299999999999997</v>
      </c>
      <c r="AP65" s="90">
        <f>AO65</f>
        <v>0.28299999999999997</v>
      </c>
      <c r="AQ65" s="91">
        <v>0.28299999999999997</v>
      </c>
      <c r="AR65" s="90">
        <v>0</v>
      </c>
      <c r="AS65" s="90">
        <v>63.014000000000003</v>
      </c>
      <c r="AT65" s="90">
        <v>0.28000000000000003</v>
      </c>
      <c r="AU65" s="91">
        <v>0.28399999999999997</v>
      </c>
      <c r="AV65" s="90">
        <v>0.28399999999999997</v>
      </c>
      <c r="AW65" s="90">
        <v>0.28399999999999997</v>
      </c>
      <c r="AX65" s="90">
        <v>0.28399999999999997</v>
      </c>
      <c r="AY65" s="91">
        <v>0.28299999999999997</v>
      </c>
      <c r="AZ65" s="90">
        <v>0.28299999999999997</v>
      </c>
      <c r="BA65" s="90">
        <v>0.28299999999999997</v>
      </c>
      <c r="BB65" s="90">
        <v>0.28299999999999997</v>
      </c>
      <c r="BC65" s="88">
        <f t="shared" si="204"/>
        <v>0.28299999999999997</v>
      </c>
      <c r="BD65" s="87">
        <f t="shared" si="205"/>
        <v>0.28299999999999997</v>
      </c>
      <c r="BE65" s="87">
        <f t="shared" si="205"/>
        <v>0.28299999999999997</v>
      </c>
      <c r="BF65" s="87">
        <f t="shared" si="205"/>
        <v>0.28299999999999997</v>
      </c>
      <c r="BG65" s="88">
        <f t="shared" si="205"/>
        <v>0.28299999999999997</v>
      </c>
      <c r="BH65" s="87">
        <f t="shared" si="206"/>
        <v>0.28299999999999997</v>
      </c>
      <c r="BI65" s="87">
        <f t="shared" si="206"/>
        <v>0.28299999999999997</v>
      </c>
      <c r="BJ65" s="87">
        <f t="shared" si="206"/>
        <v>0.28299999999999997</v>
      </c>
      <c r="BK65" s="88">
        <f t="shared" si="206"/>
        <v>0.28299999999999997</v>
      </c>
      <c r="BL65" s="20"/>
      <c r="BM65" s="87">
        <f>G65</f>
        <v>0.32</v>
      </c>
      <c r="BN65" s="87">
        <f>K65</f>
        <v>0.32100000000000001</v>
      </c>
      <c r="BO65" s="87">
        <f>O65</f>
        <v>0.32100000000000001</v>
      </c>
      <c r="BP65" s="87">
        <f>S65</f>
        <v>0.30599999999999999</v>
      </c>
      <c r="BQ65" s="87">
        <f>W65</f>
        <v>0.30099999999999999</v>
      </c>
      <c r="BR65" s="87">
        <f>AA65</f>
        <v>0.29599999999999999</v>
      </c>
      <c r="BS65" s="87">
        <f>AE65</f>
        <v>0.29299999999999998</v>
      </c>
      <c r="BT65" s="87">
        <f>AI65</f>
        <v>0.28799999999999998</v>
      </c>
      <c r="BU65" s="87">
        <f>AM65</f>
        <v>0.28499999999999998</v>
      </c>
      <c r="BV65" s="87">
        <f>AQ65</f>
        <v>0.28299999999999997</v>
      </c>
      <c r="BW65" s="87">
        <f>AU65</f>
        <v>0.28399999999999997</v>
      </c>
      <c r="BX65" s="87">
        <f>AY65</f>
        <v>0.28299999999999997</v>
      </c>
      <c r="BY65" s="87">
        <f>BC65</f>
        <v>0.28299999999999997</v>
      </c>
      <c r="BZ65" s="87">
        <f>BG65</f>
        <v>0.28299999999999997</v>
      </c>
      <c r="CA65" s="88">
        <f>BK65</f>
        <v>0.28299999999999997</v>
      </c>
      <c r="CB65" s="86"/>
      <c r="CC65" s="87"/>
      <c r="CD65" s="87"/>
      <c r="CE65" s="260"/>
      <c r="CF65" s="86">
        <f>I65</f>
        <v>0.32100000000000001</v>
      </c>
      <c r="CG65" s="87">
        <f>M65</f>
        <v>0.32100000000000001</v>
      </c>
      <c r="CH65" s="87">
        <f>Q65</f>
        <v>0.30399999999999999</v>
      </c>
      <c r="CI65" s="87">
        <f>U65</f>
        <v>0.30499999999999999</v>
      </c>
      <c r="CJ65" s="87">
        <f>Y65</f>
        <v>0.29699999999999999</v>
      </c>
      <c r="CK65" s="87">
        <f>AC65</f>
        <v>0.29199999999999998</v>
      </c>
      <c r="CL65" s="87">
        <f>AG65</f>
        <v>7.04</v>
      </c>
      <c r="CM65" s="87">
        <f>AK65</f>
        <v>0.28299999999999997</v>
      </c>
      <c r="CN65" s="87">
        <f>AO65</f>
        <v>0.28299999999999997</v>
      </c>
      <c r="CO65" s="87">
        <f>AS65</f>
        <v>63.014000000000003</v>
      </c>
      <c r="CP65" s="87">
        <f>AW65</f>
        <v>0.28399999999999997</v>
      </c>
      <c r="CQ65" s="87">
        <f>BA65</f>
        <v>0.28299999999999997</v>
      </c>
      <c r="CR65" s="87">
        <f>BE65</f>
        <v>0.28299999999999997</v>
      </c>
      <c r="CS65" s="88">
        <f>BI65</f>
        <v>0.28299999999999997</v>
      </c>
      <c r="CT65" s="22"/>
    </row>
    <row r="66" spans="1:98" ht="14.25" customHeight="1">
      <c r="A66" s="8"/>
      <c r="B66" s="109" t="s">
        <v>466</v>
      </c>
      <c r="C66" s="110"/>
      <c r="D66" s="89">
        <v>0</v>
      </c>
      <c r="E66" s="90">
        <v>0</v>
      </c>
      <c r="F66" s="90">
        <v>0</v>
      </c>
      <c r="G66" s="91">
        <v>0</v>
      </c>
      <c r="H66" s="89">
        <v>0</v>
      </c>
      <c r="I66" s="90">
        <v>0</v>
      </c>
      <c r="J66" s="90">
        <v>0</v>
      </c>
      <c r="K66" s="91">
        <v>0</v>
      </c>
      <c r="L66" s="89">
        <v>0</v>
      </c>
      <c r="M66" s="90">
        <v>0</v>
      </c>
      <c r="N66" s="90">
        <v>0</v>
      </c>
      <c r="O66" s="91">
        <v>0</v>
      </c>
      <c r="P66" s="89">
        <v>0</v>
      </c>
      <c r="Q66" s="90">
        <v>0</v>
      </c>
      <c r="R66" s="90">
        <v>0</v>
      </c>
      <c r="S66" s="91">
        <v>0</v>
      </c>
      <c r="T66" s="89">
        <v>0</v>
      </c>
      <c r="U66" s="90">
        <v>0</v>
      </c>
      <c r="V66" s="90">
        <v>0</v>
      </c>
      <c r="W66" s="91">
        <v>0</v>
      </c>
      <c r="X66" s="90">
        <v>0</v>
      </c>
      <c r="Y66" s="90">
        <v>0</v>
      </c>
      <c r="Z66" s="90">
        <v>0</v>
      </c>
      <c r="AA66" s="91">
        <v>0</v>
      </c>
      <c r="AB66" s="90">
        <v>0</v>
      </c>
      <c r="AC66" s="90">
        <v>0</v>
      </c>
      <c r="AD66" s="90">
        <v>0</v>
      </c>
      <c r="AE66" s="91">
        <v>0</v>
      </c>
      <c r="AF66" s="90">
        <v>0</v>
      </c>
      <c r="AG66" s="90">
        <v>0</v>
      </c>
      <c r="AH66" s="90">
        <v>0</v>
      </c>
      <c r="AI66" s="91">
        <v>0</v>
      </c>
      <c r="AJ66" s="90">
        <v>0</v>
      </c>
      <c r="AK66" s="90">
        <v>0</v>
      </c>
      <c r="AL66" s="90">
        <v>0</v>
      </c>
      <c r="AM66" s="91">
        <v>0</v>
      </c>
      <c r="AN66" s="90">
        <v>0</v>
      </c>
      <c r="AO66" s="90">
        <v>0</v>
      </c>
      <c r="AP66" s="90">
        <v>0</v>
      </c>
      <c r="AQ66" s="91">
        <v>0</v>
      </c>
      <c r="AR66" s="90">
        <v>0</v>
      </c>
      <c r="AS66" s="90">
        <v>0</v>
      </c>
      <c r="AT66" s="90">
        <v>0</v>
      </c>
      <c r="AU66" s="91">
        <v>0</v>
      </c>
      <c r="AV66" s="90">
        <v>0</v>
      </c>
      <c r="AW66" s="90">
        <v>0</v>
      </c>
      <c r="AX66" s="90">
        <v>0</v>
      </c>
      <c r="AY66" s="91">
        <v>0</v>
      </c>
      <c r="AZ66" s="90">
        <v>0</v>
      </c>
      <c r="BA66" s="90">
        <v>0</v>
      </c>
      <c r="BB66" s="90">
        <v>0</v>
      </c>
      <c r="BC66" s="88">
        <f t="shared" si="204"/>
        <v>0</v>
      </c>
      <c r="BD66" s="87">
        <f t="shared" si="205"/>
        <v>0</v>
      </c>
      <c r="BE66" s="87">
        <f t="shared" si="205"/>
        <v>0</v>
      </c>
      <c r="BF66" s="87">
        <f t="shared" si="205"/>
        <v>0</v>
      </c>
      <c r="BG66" s="88">
        <f t="shared" si="205"/>
        <v>0</v>
      </c>
      <c r="BH66" s="87">
        <f t="shared" si="206"/>
        <v>0</v>
      </c>
      <c r="BI66" s="87">
        <f t="shared" si="206"/>
        <v>0</v>
      </c>
      <c r="BJ66" s="87">
        <f t="shared" si="206"/>
        <v>0</v>
      </c>
      <c r="BK66" s="88">
        <f t="shared" si="206"/>
        <v>0</v>
      </c>
      <c r="BL66" s="20"/>
      <c r="BM66" s="87">
        <f>G66</f>
        <v>0</v>
      </c>
      <c r="BN66" s="87">
        <f>K66</f>
        <v>0</v>
      </c>
      <c r="BO66" s="87">
        <f>O66</f>
        <v>0</v>
      </c>
      <c r="BP66" s="87">
        <f>S66</f>
        <v>0</v>
      </c>
      <c r="BQ66" s="87">
        <f>W66</f>
        <v>0</v>
      </c>
      <c r="BR66" s="87">
        <f>AA66</f>
        <v>0</v>
      </c>
      <c r="BS66" s="87">
        <f>AE66</f>
        <v>0</v>
      </c>
      <c r="BT66" s="87">
        <f>AI66</f>
        <v>0</v>
      </c>
      <c r="BU66" s="87">
        <f>AM66</f>
        <v>0</v>
      </c>
      <c r="BV66" s="87">
        <f>AQ66</f>
        <v>0</v>
      </c>
      <c r="BW66" s="87">
        <f>AU66</f>
        <v>0</v>
      </c>
      <c r="BX66" s="87">
        <f>AY66</f>
        <v>0</v>
      </c>
      <c r="BY66" s="87">
        <f>BC66</f>
        <v>0</v>
      </c>
      <c r="BZ66" s="87">
        <f>BG66</f>
        <v>0</v>
      </c>
      <c r="CA66" s="88">
        <f>BK66</f>
        <v>0</v>
      </c>
      <c r="CB66" s="86"/>
      <c r="CC66" s="87"/>
      <c r="CD66" s="87"/>
      <c r="CE66" s="260"/>
      <c r="CF66" s="86">
        <f>I66</f>
        <v>0</v>
      </c>
      <c r="CG66" s="87">
        <f>M66</f>
        <v>0</v>
      </c>
      <c r="CH66" s="87">
        <f>Q66</f>
        <v>0</v>
      </c>
      <c r="CI66" s="87">
        <f>U66</f>
        <v>0</v>
      </c>
      <c r="CJ66" s="87">
        <f>Y66</f>
        <v>0</v>
      </c>
      <c r="CK66" s="87">
        <f>AC66</f>
        <v>0</v>
      </c>
      <c r="CL66" s="87">
        <f>AG66</f>
        <v>0</v>
      </c>
      <c r="CM66" s="87">
        <f>AK66</f>
        <v>0</v>
      </c>
      <c r="CN66" s="87">
        <f>AO66</f>
        <v>0</v>
      </c>
      <c r="CO66" s="87">
        <f>AS66</f>
        <v>0</v>
      </c>
      <c r="CP66" s="87">
        <f>AW66</f>
        <v>0</v>
      </c>
      <c r="CQ66" s="87">
        <f>BA66</f>
        <v>0</v>
      </c>
      <c r="CR66" s="87">
        <f>BE66</f>
        <v>0</v>
      </c>
      <c r="CS66" s="88">
        <f>BI66</f>
        <v>0</v>
      </c>
      <c r="CT66" s="22"/>
    </row>
    <row r="67" spans="1:98" ht="14.25" customHeight="1">
      <c r="A67" s="8"/>
      <c r="B67" s="109" t="s">
        <v>467</v>
      </c>
      <c r="C67" s="110"/>
      <c r="D67" s="89">
        <v>177.715</v>
      </c>
      <c r="E67" s="90">
        <v>80.902000000000001</v>
      </c>
      <c r="F67" s="90">
        <v>99.19</v>
      </c>
      <c r="G67" s="91">
        <v>22.105</v>
      </c>
      <c r="H67" s="89">
        <v>177.714</v>
      </c>
      <c r="I67" s="90">
        <v>207.57</v>
      </c>
      <c r="J67" s="90">
        <v>247.99700000000001</v>
      </c>
      <c r="K67" s="91">
        <v>292.60300000000001</v>
      </c>
      <c r="L67" s="89">
        <v>176.17699999999999</v>
      </c>
      <c r="M67" s="90">
        <v>202.09700000000001</v>
      </c>
      <c r="N67" s="90">
        <v>226.73099999999999</v>
      </c>
      <c r="O67" s="91">
        <v>251.47800000000001</v>
      </c>
      <c r="P67" s="89">
        <v>255.81800000000001</v>
      </c>
      <c r="Q67" s="90">
        <v>0</v>
      </c>
      <c r="R67" s="90">
        <v>0</v>
      </c>
      <c r="S67" s="91">
        <v>21.204999999999998</v>
      </c>
      <c r="T67" s="89">
        <v>19.175000000000001</v>
      </c>
      <c r="U67" s="90">
        <v>0</v>
      </c>
      <c r="V67" s="90">
        <v>0</v>
      </c>
      <c r="W67" s="91">
        <v>0</v>
      </c>
      <c r="X67" s="90">
        <v>0</v>
      </c>
      <c r="Y67" s="90">
        <v>0</v>
      </c>
      <c r="Z67" s="90">
        <v>0</v>
      </c>
      <c r="AA67" s="91">
        <v>0</v>
      </c>
      <c r="AB67" s="90">
        <v>0</v>
      </c>
      <c r="AC67" s="90">
        <v>0</v>
      </c>
      <c r="AD67" s="90">
        <v>0</v>
      </c>
      <c r="AE67" s="91">
        <v>0</v>
      </c>
      <c r="AF67" s="90">
        <v>0</v>
      </c>
      <c r="AG67" s="90">
        <v>0</v>
      </c>
      <c r="AH67" s="90">
        <v>0</v>
      </c>
      <c r="AI67" s="91">
        <v>0</v>
      </c>
      <c r="AJ67" s="90">
        <v>0</v>
      </c>
      <c r="AK67" s="90">
        <v>0</v>
      </c>
      <c r="AL67" s="90">
        <v>0</v>
      </c>
      <c r="AM67" s="91">
        <v>23.004999999999999</v>
      </c>
      <c r="AN67" s="90">
        <v>0</v>
      </c>
      <c r="AO67" s="90">
        <v>0</v>
      </c>
      <c r="AP67" s="90">
        <f>12.359-AP65</f>
        <v>12.076000000000001</v>
      </c>
      <c r="AQ67" s="91">
        <v>27.859000000000002</v>
      </c>
      <c r="AR67" s="90">
        <v>10.819000000000001</v>
      </c>
      <c r="AS67" s="90">
        <v>0</v>
      </c>
      <c r="AT67" s="90">
        <f>0.28-AT65</f>
        <v>0</v>
      </c>
      <c r="AU67" s="91">
        <v>0</v>
      </c>
      <c r="AV67" s="90">
        <v>0</v>
      </c>
      <c r="AW67" s="90">
        <v>0</v>
      </c>
      <c r="AX67" s="90"/>
      <c r="AY67" s="91">
        <v>0</v>
      </c>
      <c r="AZ67" s="90">
        <v>0</v>
      </c>
      <c r="BA67" s="90">
        <v>0</v>
      </c>
      <c r="BB67" s="90"/>
      <c r="BC67" s="88">
        <f t="shared" si="204"/>
        <v>0</v>
      </c>
      <c r="BD67" s="87">
        <f t="shared" si="205"/>
        <v>0</v>
      </c>
      <c r="BE67" s="87">
        <f t="shared" si="205"/>
        <v>0</v>
      </c>
      <c r="BF67" s="87">
        <f t="shared" si="205"/>
        <v>0</v>
      </c>
      <c r="BG67" s="88">
        <f t="shared" si="205"/>
        <v>0</v>
      </c>
      <c r="BH67" s="87">
        <f t="shared" si="206"/>
        <v>0</v>
      </c>
      <c r="BI67" s="87">
        <f t="shared" si="206"/>
        <v>0</v>
      </c>
      <c r="BJ67" s="87">
        <f t="shared" si="206"/>
        <v>0</v>
      </c>
      <c r="BK67" s="88">
        <f t="shared" si="206"/>
        <v>0</v>
      </c>
      <c r="BL67" s="20"/>
      <c r="BM67" s="87">
        <f>G67</f>
        <v>22.105</v>
      </c>
      <c r="BN67" s="87">
        <f>K67</f>
        <v>292.60300000000001</v>
      </c>
      <c r="BO67" s="87">
        <f>O67</f>
        <v>251.47800000000001</v>
      </c>
      <c r="BP67" s="87">
        <f>S67</f>
        <v>21.204999999999998</v>
      </c>
      <c r="BQ67" s="87">
        <f>W67</f>
        <v>0</v>
      </c>
      <c r="BR67" s="87">
        <f>AA67</f>
        <v>0</v>
      </c>
      <c r="BS67" s="87">
        <f>AE67</f>
        <v>0</v>
      </c>
      <c r="BT67" s="87">
        <f>AI67</f>
        <v>0</v>
      </c>
      <c r="BU67" s="87">
        <f>AM67</f>
        <v>23.004999999999999</v>
      </c>
      <c r="BV67" s="87">
        <f>AQ67</f>
        <v>27.859000000000002</v>
      </c>
      <c r="BW67" s="87">
        <f>AU67</f>
        <v>0</v>
      </c>
      <c r="BX67" s="87">
        <f>AY67</f>
        <v>0</v>
      </c>
      <c r="BY67" s="87">
        <f>BC67</f>
        <v>0</v>
      </c>
      <c r="BZ67" s="87">
        <f>BG67</f>
        <v>0</v>
      </c>
      <c r="CA67" s="88">
        <f>BK67</f>
        <v>0</v>
      </c>
      <c r="CB67" s="86"/>
      <c r="CC67" s="87"/>
      <c r="CD67" s="87"/>
      <c r="CE67" s="260"/>
      <c r="CF67" s="86">
        <f>I67</f>
        <v>207.57</v>
      </c>
      <c r="CG67" s="87">
        <f>M67</f>
        <v>202.09700000000001</v>
      </c>
      <c r="CH67" s="87">
        <f>Q67</f>
        <v>0</v>
      </c>
      <c r="CI67" s="87">
        <f>U67</f>
        <v>0</v>
      </c>
      <c r="CJ67" s="87">
        <f>Y67</f>
        <v>0</v>
      </c>
      <c r="CK67" s="87">
        <f>AC67</f>
        <v>0</v>
      </c>
      <c r="CL67" s="87">
        <f>AG67</f>
        <v>0</v>
      </c>
      <c r="CM67" s="87">
        <f>AK67</f>
        <v>0</v>
      </c>
      <c r="CN67" s="87">
        <f>AO67</f>
        <v>0</v>
      </c>
      <c r="CO67" s="87">
        <f>AS67</f>
        <v>0</v>
      </c>
      <c r="CP67" s="87">
        <f>AW67</f>
        <v>0</v>
      </c>
      <c r="CQ67" s="87">
        <f>BA67</f>
        <v>0</v>
      </c>
      <c r="CR67" s="87">
        <f>BE67</f>
        <v>0</v>
      </c>
      <c r="CS67" s="88">
        <f>BI67</f>
        <v>0</v>
      </c>
      <c r="CT67" s="22"/>
    </row>
    <row r="68" spans="1:98" ht="14.25" customHeight="1">
      <c r="A68" s="8"/>
      <c r="B68" s="173" t="s">
        <v>468</v>
      </c>
      <c r="C68" s="174"/>
      <c r="D68" s="177">
        <f t="shared" ref="D68:Z68" si="207">SUM(D64:D67)</f>
        <v>178.04300000000001</v>
      </c>
      <c r="E68" s="175">
        <f t="shared" si="207"/>
        <v>81.222999999999999</v>
      </c>
      <c r="F68" s="175">
        <f t="shared" si="207"/>
        <v>99.510999999999996</v>
      </c>
      <c r="G68" s="176">
        <f t="shared" si="207"/>
        <v>22.425000000000001</v>
      </c>
      <c r="H68" s="177">
        <f t="shared" si="207"/>
        <v>178.035</v>
      </c>
      <c r="I68" s="175">
        <f t="shared" si="207"/>
        <v>207.89099999999999</v>
      </c>
      <c r="J68" s="175">
        <f t="shared" si="207"/>
        <v>248.31800000000001</v>
      </c>
      <c r="K68" s="176">
        <f t="shared" si="207"/>
        <v>292.92400000000004</v>
      </c>
      <c r="L68" s="177">
        <f t="shared" si="207"/>
        <v>176.49799999999999</v>
      </c>
      <c r="M68" s="175">
        <f t="shared" si="207"/>
        <v>202.41800000000001</v>
      </c>
      <c r="N68" s="175">
        <f t="shared" si="207"/>
        <v>227.05199999999999</v>
      </c>
      <c r="O68" s="176">
        <f t="shared" si="207"/>
        <v>251.79900000000001</v>
      </c>
      <c r="P68" s="177">
        <f t="shared" si="207"/>
        <v>255.81800000000001</v>
      </c>
      <c r="Q68" s="175">
        <f t="shared" si="207"/>
        <v>0.30399999999999999</v>
      </c>
      <c r="R68" s="175">
        <f t="shared" si="207"/>
        <v>0.30399999999999999</v>
      </c>
      <c r="S68" s="176">
        <f t="shared" si="207"/>
        <v>21.510999999999999</v>
      </c>
      <c r="T68" s="177">
        <f t="shared" si="207"/>
        <v>19.499000000000002</v>
      </c>
      <c r="U68" s="175">
        <f t="shared" si="207"/>
        <v>0.30499999999999999</v>
      </c>
      <c r="V68" s="175">
        <f t="shared" si="207"/>
        <v>0.30299999999999999</v>
      </c>
      <c r="W68" s="176">
        <f t="shared" si="207"/>
        <v>0.30099999999999999</v>
      </c>
      <c r="X68" s="175">
        <f t="shared" si="207"/>
        <v>0.29699999999999999</v>
      </c>
      <c r="Y68" s="175">
        <f t="shared" si="207"/>
        <v>0.29699999999999999</v>
      </c>
      <c r="Z68" s="175">
        <f t="shared" si="207"/>
        <v>5.8650000000000002</v>
      </c>
      <c r="AA68" s="176">
        <f t="shared" ref="AA68:AK68" si="208">SUM(AA64:AA67)</f>
        <v>0.29599999999999999</v>
      </c>
      <c r="AB68" s="175">
        <f t="shared" si="208"/>
        <v>0.29299999999999998</v>
      </c>
      <c r="AC68" s="175">
        <f t="shared" si="208"/>
        <v>0.29199999999999998</v>
      </c>
      <c r="AD68" s="175">
        <f t="shared" si="208"/>
        <v>9.125</v>
      </c>
      <c r="AE68" s="176">
        <f t="shared" si="208"/>
        <v>0.29299999999999998</v>
      </c>
      <c r="AF68" s="175">
        <f t="shared" si="208"/>
        <v>0.29199999999999998</v>
      </c>
      <c r="AG68" s="175">
        <f t="shared" si="208"/>
        <v>7.04</v>
      </c>
      <c r="AH68" s="175">
        <f t="shared" si="208"/>
        <v>0.29199999999999998</v>
      </c>
      <c r="AI68" s="176">
        <f t="shared" si="208"/>
        <v>0.28799999999999998</v>
      </c>
      <c r="AJ68" s="175">
        <f t="shared" si="208"/>
        <v>0.28299999999999997</v>
      </c>
      <c r="AK68" s="175">
        <f t="shared" si="208"/>
        <v>0.28299999999999997</v>
      </c>
      <c r="AL68" s="175">
        <f t="shared" ref="AL68:AQ68" si="209">SUM(AL64:AL67)</f>
        <v>0.28299999999999997</v>
      </c>
      <c r="AM68" s="176">
        <f t="shared" si="209"/>
        <v>23.29</v>
      </c>
      <c r="AN68" s="175">
        <f t="shared" si="209"/>
        <v>0.28399999999999997</v>
      </c>
      <c r="AO68" s="175">
        <f t="shared" si="209"/>
        <v>0.28299999999999997</v>
      </c>
      <c r="AP68" s="175">
        <f t="shared" si="209"/>
        <v>12.359</v>
      </c>
      <c r="AQ68" s="176">
        <f t="shared" si="209"/>
        <v>28.142000000000003</v>
      </c>
      <c r="AR68" s="175">
        <f t="shared" ref="AR68:BC68" si="210">SUM(AR64:AR67)</f>
        <v>10.819000000000001</v>
      </c>
      <c r="AS68" s="175">
        <f t="shared" si="210"/>
        <v>63.014000000000003</v>
      </c>
      <c r="AT68" s="175">
        <f t="shared" si="210"/>
        <v>0.28000000000000003</v>
      </c>
      <c r="AU68" s="176">
        <f t="shared" si="210"/>
        <v>0.28399999999999997</v>
      </c>
      <c r="AV68" s="175">
        <f>SUM(AV64:AV67)</f>
        <v>0.28399999999999997</v>
      </c>
      <c r="AW68" s="175">
        <f>SUM(AW64:AW67)</f>
        <v>0.28399999999999997</v>
      </c>
      <c r="AX68" s="175">
        <f t="shared" si="210"/>
        <v>0.28399999999999997</v>
      </c>
      <c r="AY68" s="176">
        <f>SUM(AY64:AY67)</f>
        <v>0.28299999999999997</v>
      </c>
      <c r="AZ68" s="175">
        <f t="shared" si="210"/>
        <v>0.28299999999999997</v>
      </c>
      <c r="BA68" s="175">
        <f>SUM(BA64:BA67)</f>
        <v>0.28299999999999997</v>
      </c>
      <c r="BB68" s="175">
        <f t="shared" ref="BB68" si="211">SUM(BB64:BB67)</f>
        <v>0.28299999999999997</v>
      </c>
      <c r="BC68" s="176">
        <f t="shared" si="210"/>
        <v>0.28299999999999997</v>
      </c>
      <c r="BD68" s="175">
        <f t="shared" ref="BD68:BK68" si="212">SUM(BD64:BD67)</f>
        <v>0.28299999999999997</v>
      </c>
      <c r="BE68" s="175">
        <f t="shared" si="212"/>
        <v>0.28299999999999997</v>
      </c>
      <c r="BF68" s="175">
        <f t="shared" si="212"/>
        <v>0.28299999999999997</v>
      </c>
      <c r="BG68" s="176">
        <f t="shared" si="212"/>
        <v>0.28299999999999997</v>
      </c>
      <c r="BH68" s="175">
        <f t="shared" si="212"/>
        <v>0.28299999999999997</v>
      </c>
      <c r="BI68" s="175">
        <f t="shared" si="212"/>
        <v>0.28299999999999997</v>
      </c>
      <c r="BJ68" s="175">
        <f t="shared" si="212"/>
        <v>0.28299999999999997</v>
      </c>
      <c r="BK68" s="176">
        <f t="shared" si="212"/>
        <v>0.28299999999999997</v>
      </c>
      <c r="BL68" s="20"/>
      <c r="BM68" s="175">
        <f t="shared" ref="BM68:BS68" si="213">SUM(BM64:BM67)</f>
        <v>22.425000000000001</v>
      </c>
      <c r="BN68" s="175">
        <f t="shared" si="213"/>
        <v>292.92400000000004</v>
      </c>
      <c r="BO68" s="175">
        <f t="shared" si="213"/>
        <v>251.79900000000001</v>
      </c>
      <c r="BP68" s="175">
        <f t="shared" si="213"/>
        <v>21.510999999999999</v>
      </c>
      <c r="BQ68" s="175">
        <f t="shared" si="213"/>
        <v>0.30099999999999999</v>
      </c>
      <c r="BR68" s="175">
        <f t="shared" si="213"/>
        <v>0.29599999999999999</v>
      </c>
      <c r="BS68" s="175">
        <f t="shared" si="213"/>
        <v>0.29299999999999998</v>
      </c>
      <c r="BT68" s="175">
        <f t="shared" ref="BT68:CA68" si="214">SUM(BT64:BT67)</f>
        <v>0.28799999999999998</v>
      </c>
      <c r="BU68" s="175">
        <f t="shared" si="214"/>
        <v>23.29</v>
      </c>
      <c r="BV68" s="175">
        <f t="shared" si="214"/>
        <v>28.142000000000003</v>
      </c>
      <c r="BW68" s="175">
        <f t="shared" si="214"/>
        <v>0.28399999999999997</v>
      </c>
      <c r="BX68" s="175">
        <f t="shared" si="214"/>
        <v>0.28299999999999997</v>
      </c>
      <c r="BY68" s="175">
        <f t="shared" si="214"/>
        <v>0.28299999999999997</v>
      </c>
      <c r="BZ68" s="175">
        <f t="shared" si="214"/>
        <v>0.28299999999999997</v>
      </c>
      <c r="CA68" s="176">
        <f t="shared" si="214"/>
        <v>0.28299999999999997</v>
      </c>
      <c r="CB68" s="233"/>
      <c r="CC68" s="232"/>
      <c r="CD68" s="232"/>
      <c r="CE68" s="260"/>
      <c r="CF68" s="177">
        <f t="shared" ref="CF68:CL68" si="215">SUM(CF64:CF67)</f>
        <v>207.89099999999999</v>
      </c>
      <c r="CG68" s="175">
        <f t="shared" si="215"/>
        <v>202.41800000000001</v>
      </c>
      <c r="CH68" s="175">
        <f t="shared" si="215"/>
        <v>0.30399999999999999</v>
      </c>
      <c r="CI68" s="175">
        <f t="shared" si="215"/>
        <v>0.30499999999999999</v>
      </c>
      <c r="CJ68" s="175">
        <f t="shared" si="215"/>
        <v>0.29699999999999999</v>
      </c>
      <c r="CK68" s="175">
        <f t="shared" si="215"/>
        <v>0.29199999999999998</v>
      </c>
      <c r="CL68" s="175">
        <f t="shared" si="215"/>
        <v>7.04</v>
      </c>
      <c r="CM68" s="175">
        <f t="shared" ref="CM68:CR68" si="216">SUM(CM64:CM67)</f>
        <v>0.28299999999999997</v>
      </c>
      <c r="CN68" s="175">
        <f t="shared" si="216"/>
        <v>0.28299999999999997</v>
      </c>
      <c r="CO68" s="175">
        <f t="shared" si="216"/>
        <v>63.014000000000003</v>
      </c>
      <c r="CP68" s="175">
        <f t="shared" si="216"/>
        <v>0.28399999999999997</v>
      </c>
      <c r="CQ68" s="175">
        <f t="shared" si="216"/>
        <v>0.28299999999999997</v>
      </c>
      <c r="CR68" s="175">
        <f t="shared" si="216"/>
        <v>0.28299999999999997</v>
      </c>
      <c r="CS68" s="176">
        <f>SUM(CS64:CS67)</f>
        <v>0.28299999999999997</v>
      </c>
      <c r="CT68" s="22"/>
    </row>
    <row r="69" spans="1:98" ht="14.25" customHeight="1">
      <c r="A69" s="8"/>
      <c r="B69" s="28"/>
      <c r="C69" s="29"/>
      <c r="D69" s="86"/>
      <c r="E69" s="87"/>
      <c r="F69" s="87"/>
      <c r="G69" s="88"/>
      <c r="H69" s="86"/>
      <c r="I69" s="87"/>
      <c r="J69" s="87"/>
      <c r="K69" s="88"/>
      <c r="L69" s="86"/>
      <c r="M69" s="87"/>
      <c r="N69" s="87"/>
      <c r="O69" s="88"/>
      <c r="P69" s="86"/>
      <c r="Q69" s="87"/>
      <c r="R69" s="87"/>
      <c r="S69" s="88"/>
      <c r="T69" s="86"/>
      <c r="U69" s="87"/>
      <c r="V69" s="87"/>
      <c r="W69" s="88"/>
      <c r="X69" s="87"/>
      <c r="Y69" s="87"/>
      <c r="Z69" s="87"/>
      <c r="AA69" s="88"/>
      <c r="AB69" s="87"/>
      <c r="AC69" s="87"/>
      <c r="AD69" s="87"/>
      <c r="AE69" s="88"/>
      <c r="AF69" s="87"/>
      <c r="AG69" s="87"/>
      <c r="AH69" s="87"/>
      <c r="AI69" s="88"/>
      <c r="AJ69" s="87"/>
      <c r="AK69" s="87"/>
      <c r="AL69" s="87"/>
      <c r="AM69" s="88"/>
      <c r="AN69" s="87"/>
      <c r="AO69" s="87"/>
      <c r="AP69" s="87"/>
      <c r="AQ69" s="88"/>
      <c r="AR69" s="87"/>
      <c r="AS69" s="87"/>
      <c r="AT69" s="87"/>
      <c r="AU69" s="88"/>
      <c r="AV69" s="87"/>
      <c r="AW69" s="87"/>
      <c r="AX69" s="87"/>
      <c r="AY69" s="88"/>
      <c r="AZ69" s="87"/>
      <c r="BA69" s="87"/>
      <c r="BB69" s="87"/>
      <c r="BC69" s="88"/>
      <c r="BD69" s="87"/>
      <c r="BE69" s="87"/>
      <c r="BF69" s="87"/>
      <c r="BG69" s="88"/>
      <c r="BH69" s="87"/>
      <c r="BI69" s="87"/>
      <c r="BJ69" s="87"/>
      <c r="BK69" s="88"/>
      <c r="BL69" s="20"/>
      <c r="BM69" s="87"/>
      <c r="BN69" s="87"/>
      <c r="BO69" s="87"/>
      <c r="BP69" s="87"/>
      <c r="BQ69" s="87"/>
      <c r="BR69" s="87"/>
      <c r="BS69" s="87"/>
      <c r="BT69" s="87"/>
      <c r="BU69" s="87"/>
      <c r="BV69" s="87"/>
      <c r="BW69" s="87"/>
      <c r="BX69" s="87"/>
      <c r="BY69" s="87"/>
      <c r="BZ69" s="87"/>
      <c r="CA69" s="88"/>
      <c r="CB69" s="86"/>
      <c r="CC69" s="87"/>
      <c r="CD69" s="87"/>
      <c r="CE69" s="260"/>
      <c r="CF69" s="86"/>
      <c r="CG69" s="87"/>
      <c r="CH69" s="87"/>
      <c r="CI69" s="87"/>
      <c r="CJ69" s="87"/>
      <c r="CK69" s="87"/>
      <c r="CL69" s="87"/>
      <c r="CM69" s="87"/>
      <c r="CN69" s="87"/>
      <c r="CO69" s="87"/>
      <c r="CP69" s="87"/>
      <c r="CQ69" s="87"/>
      <c r="CR69" s="87"/>
      <c r="CS69" s="88"/>
      <c r="CT69" s="22"/>
    </row>
    <row r="70" spans="1:98" ht="14.25" customHeight="1">
      <c r="A70" s="8"/>
      <c r="B70" s="109" t="s">
        <v>469</v>
      </c>
      <c r="C70" s="110"/>
      <c r="D70" s="89">
        <v>0</v>
      </c>
      <c r="E70" s="90">
        <v>0</v>
      </c>
      <c r="F70" s="90">
        <v>0</v>
      </c>
      <c r="G70" s="91">
        <v>0</v>
      </c>
      <c r="H70" s="89">
        <v>0</v>
      </c>
      <c r="I70" s="90">
        <v>0</v>
      </c>
      <c r="J70" s="90">
        <v>0</v>
      </c>
      <c r="K70" s="91">
        <v>0</v>
      </c>
      <c r="L70" s="89">
        <v>0</v>
      </c>
      <c r="M70" s="90">
        <v>0</v>
      </c>
      <c r="N70" s="90">
        <v>0</v>
      </c>
      <c r="O70" s="91">
        <v>0</v>
      </c>
      <c r="P70" s="89">
        <v>0</v>
      </c>
      <c r="Q70" s="90">
        <v>0</v>
      </c>
      <c r="R70" s="90">
        <v>0</v>
      </c>
      <c r="S70" s="91">
        <v>0</v>
      </c>
      <c r="T70" s="89">
        <v>0</v>
      </c>
      <c r="U70" s="90">
        <v>0</v>
      </c>
      <c r="V70" s="90">
        <v>0</v>
      </c>
      <c r="W70" s="91">
        <v>0</v>
      </c>
      <c r="X70" s="90">
        <v>0</v>
      </c>
      <c r="Y70" s="90">
        <v>0</v>
      </c>
      <c r="Z70" s="90">
        <v>0</v>
      </c>
      <c r="AA70" s="91">
        <v>0</v>
      </c>
      <c r="AB70" s="90">
        <v>0</v>
      </c>
      <c r="AC70" s="90">
        <v>0</v>
      </c>
      <c r="AD70" s="90">
        <v>0</v>
      </c>
      <c r="AE70" s="91">
        <v>0</v>
      </c>
      <c r="AF70" s="90">
        <v>0</v>
      </c>
      <c r="AG70" s="90">
        <v>0</v>
      </c>
      <c r="AH70" s="90">
        <v>0</v>
      </c>
      <c r="AI70" s="91">
        <v>0</v>
      </c>
      <c r="AJ70" s="90">
        <v>0</v>
      </c>
      <c r="AK70" s="90">
        <v>0</v>
      </c>
      <c r="AL70" s="90">
        <v>0</v>
      </c>
      <c r="AM70" s="91">
        <v>0</v>
      </c>
      <c r="AN70" s="90">
        <v>0</v>
      </c>
      <c r="AO70" s="90">
        <v>0</v>
      </c>
      <c r="AP70" s="90">
        <v>0</v>
      </c>
      <c r="AQ70" s="91">
        <v>0</v>
      </c>
      <c r="AR70" s="90">
        <v>0</v>
      </c>
      <c r="AS70" s="90">
        <v>0</v>
      </c>
      <c r="AT70" s="90">
        <v>0</v>
      </c>
      <c r="AU70" s="91">
        <v>0</v>
      </c>
      <c r="AV70" s="90">
        <v>0</v>
      </c>
      <c r="AW70" s="90">
        <v>0</v>
      </c>
      <c r="AX70" s="90">
        <f>AW70</f>
        <v>0</v>
      </c>
      <c r="AY70" s="91">
        <v>0</v>
      </c>
      <c r="AZ70" s="90">
        <v>0</v>
      </c>
      <c r="BA70" s="90">
        <v>0</v>
      </c>
      <c r="BB70" s="90">
        <f>BA70</f>
        <v>0</v>
      </c>
      <c r="BC70" s="88">
        <f>BB70</f>
        <v>0</v>
      </c>
      <c r="BD70" s="87">
        <f t="shared" ref="BD70:BG71" si="217">BC70</f>
        <v>0</v>
      </c>
      <c r="BE70" s="87">
        <f t="shared" si="217"/>
        <v>0</v>
      </c>
      <c r="BF70" s="87">
        <f t="shared" si="217"/>
        <v>0</v>
      </c>
      <c r="BG70" s="88">
        <f t="shared" si="217"/>
        <v>0</v>
      </c>
      <c r="BH70" s="87">
        <f t="shared" ref="BH70:BK71" si="218">BG70</f>
        <v>0</v>
      </c>
      <c r="BI70" s="87">
        <f t="shared" si="218"/>
        <v>0</v>
      </c>
      <c r="BJ70" s="87">
        <f t="shared" si="218"/>
        <v>0</v>
      </c>
      <c r="BK70" s="88">
        <f t="shared" si="218"/>
        <v>0</v>
      </c>
      <c r="BL70" s="20"/>
      <c r="BM70" s="87">
        <f>G70</f>
        <v>0</v>
      </c>
      <c r="BN70" s="87">
        <f>K70</f>
        <v>0</v>
      </c>
      <c r="BO70" s="87">
        <f>O70</f>
        <v>0</v>
      </c>
      <c r="BP70" s="87">
        <f>S70</f>
        <v>0</v>
      </c>
      <c r="BQ70" s="87">
        <f>W70</f>
        <v>0</v>
      </c>
      <c r="BR70" s="87">
        <f>AA70</f>
        <v>0</v>
      </c>
      <c r="BS70" s="87">
        <f>AE70</f>
        <v>0</v>
      </c>
      <c r="BT70" s="87">
        <f>AI70</f>
        <v>0</v>
      </c>
      <c r="BU70" s="87">
        <f>AM70</f>
        <v>0</v>
      </c>
      <c r="BV70" s="87">
        <f>AQ70</f>
        <v>0</v>
      </c>
      <c r="BW70" s="87">
        <f>AU70</f>
        <v>0</v>
      </c>
      <c r="BX70" s="87">
        <f>AY70</f>
        <v>0</v>
      </c>
      <c r="BY70" s="87">
        <f>BC70</f>
        <v>0</v>
      </c>
      <c r="BZ70" s="87">
        <f>BG70</f>
        <v>0</v>
      </c>
      <c r="CA70" s="88">
        <f>BK70</f>
        <v>0</v>
      </c>
      <c r="CB70" s="86"/>
      <c r="CC70" s="87"/>
      <c r="CD70" s="87"/>
      <c r="CE70" s="260"/>
      <c r="CF70" s="86">
        <f>I70</f>
        <v>0</v>
      </c>
      <c r="CG70" s="87">
        <f>M70</f>
        <v>0</v>
      </c>
      <c r="CH70" s="87">
        <f>Q70</f>
        <v>0</v>
      </c>
      <c r="CI70" s="87">
        <f>U70</f>
        <v>0</v>
      </c>
      <c r="CJ70" s="87">
        <f>Y70</f>
        <v>0</v>
      </c>
      <c r="CK70" s="87">
        <f>AC70</f>
        <v>0</v>
      </c>
      <c r="CL70" s="87">
        <f>AG70</f>
        <v>0</v>
      </c>
      <c r="CM70" s="87">
        <f>AK70</f>
        <v>0</v>
      </c>
      <c r="CN70" s="87">
        <f>AO70</f>
        <v>0</v>
      </c>
      <c r="CO70" s="87">
        <f>AS70</f>
        <v>0</v>
      </c>
      <c r="CP70" s="87">
        <f>AW70</f>
        <v>0</v>
      </c>
      <c r="CQ70" s="87">
        <f>BA70</f>
        <v>0</v>
      </c>
      <c r="CR70" s="87">
        <f>BE70</f>
        <v>0</v>
      </c>
      <c r="CS70" s="88">
        <f>BI70</f>
        <v>0</v>
      </c>
      <c r="CT70" s="22"/>
    </row>
    <row r="71" spans="1:98" ht="14.25" customHeight="1">
      <c r="A71" s="8"/>
      <c r="B71" s="109" t="s">
        <v>581</v>
      </c>
      <c r="C71" s="110"/>
      <c r="D71" s="89">
        <v>0</v>
      </c>
      <c r="E71" s="90">
        <v>0</v>
      </c>
      <c r="F71" s="90">
        <v>0</v>
      </c>
      <c r="G71" s="91">
        <v>0</v>
      </c>
      <c r="H71" s="89">
        <v>0</v>
      </c>
      <c r="I71" s="90">
        <v>0</v>
      </c>
      <c r="J71" s="90">
        <v>0</v>
      </c>
      <c r="K71" s="91">
        <v>0</v>
      </c>
      <c r="L71" s="89">
        <v>0</v>
      </c>
      <c r="M71" s="90">
        <v>0</v>
      </c>
      <c r="N71" s="90">
        <v>0</v>
      </c>
      <c r="O71" s="91">
        <v>0</v>
      </c>
      <c r="P71" s="89">
        <v>0</v>
      </c>
      <c r="Q71" s="90">
        <v>0</v>
      </c>
      <c r="R71" s="90">
        <v>0</v>
      </c>
      <c r="S71" s="91">
        <v>0</v>
      </c>
      <c r="T71" s="89">
        <v>0</v>
      </c>
      <c r="U71" s="90">
        <v>0</v>
      </c>
      <c r="V71" s="90">
        <v>0</v>
      </c>
      <c r="W71" s="91">
        <v>0</v>
      </c>
      <c r="X71" s="90">
        <v>0</v>
      </c>
      <c r="Y71" s="90">
        <v>0</v>
      </c>
      <c r="Z71" s="90">
        <v>0</v>
      </c>
      <c r="AA71" s="91">
        <v>0</v>
      </c>
      <c r="AB71" s="90">
        <v>0</v>
      </c>
      <c r="AC71" s="90">
        <v>0</v>
      </c>
      <c r="AD71" s="90">
        <v>0</v>
      </c>
      <c r="AE71" s="91">
        <v>0</v>
      </c>
      <c r="AF71" s="90">
        <v>0</v>
      </c>
      <c r="AG71" s="90">
        <v>0</v>
      </c>
      <c r="AH71" s="90">
        <v>0</v>
      </c>
      <c r="AI71" s="91">
        <v>0</v>
      </c>
      <c r="AJ71" s="90">
        <v>0</v>
      </c>
      <c r="AK71" s="90">
        <v>0</v>
      </c>
      <c r="AL71" s="90">
        <v>0</v>
      </c>
      <c r="AM71" s="91">
        <v>0</v>
      </c>
      <c r="AN71" s="90">
        <v>0</v>
      </c>
      <c r="AO71" s="90">
        <v>0</v>
      </c>
      <c r="AP71" s="90">
        <v>0</v>
      </c>
      <c r="AQ71" s="91">
        <v>0</v>
      </c>
      <c r="AR71" s="90">
        <v>0</v>
      </c>
      <c r="AS71" s="90">
        <v>0</v>
      </c>
      <c r="AT71" s="90">
        <v>0</v>
      </c>
      <c r="AU71" s="91">
        <v>0</v>
      </c>
      <c r="AV71" s="90">
        <v>0</v>
      </c>
      <c r="AW71" s="90">
        <v>0</v>
      </c>
      <c r="AX71" s="90">
        <v>0</v>
      </c>
      <c r="AY71" s="91">
        <v>0</v>
      </c>
      <c r="AZ71" s="90">
        <v>0</v>
      </c>
      <c r="BA71" s="90">
        <v>0</v>
      </c>
      <c r="BB71" s="90">
        <v>0</v>
      </c>
      <c r="BC71" s="88">
        <f>BB71</f>
        <v>0</v>
      </c>
      <c r="BD71" s="87">
        <f t="shared" si="217"/>
        <v>0</v>
      </c>
      <c r="BE71" s="87">
        <f t="shared" si="217"/>
        <v>0</v>
      </c>
      <c r="BF71" s="87">
        <f t="shared" si="217"/>
        <v>0</v>
      </c>
      <c r="BG71" s="88">
        <f t="shared" si="217"/>
        <v>0</v>
      </c>
      <c r="BH71" s="87">
        <f t="shared" si="218"/>
        <v>0</v>
      </c>
      <c r="BI71" s="87">
        <f t="shared" si="218"/>
        <v>0</v>
      </c>
      <c r="BJ71" s="87">
        <f t="shared" si="218"/>
        <v>0</v>
      </c>
      <c r="BK71" s="88">
        <f t="shared" si="218"/>
        <v>0</v>
      </c>
      <c r="BL71" s="20"/>
      <c r="BM71" s="87">
        <f>G71</f>
        <v>0</v>
      </c>
      <c r="BN71" s="87">
        <f>K71</f>
        <v>0</v>
      </c>
      <c r="BO71" s="87">
        <f>O71</f>
        <v>0</v>
      </c>
      <c r="BP71" s="87">
        <f>S71</f>
        <v>0</v>
      </c>
      <c r="BQ71" s="87">
        <f>W71</f>
        <v>0</v>
      </c>
      <c r="BR71" s="87">
        <f>AA71</f>
        <v>0</v>
      </c>
      <c r="BS71" s="87">
        <f>AE71</f>
        <v>0</v>
      </c>
      <c r="BT71" s="87">
        <f>AI71</f>
        <v>0</v>
      </c>
      <c r="BU71" s="87">
        <f>AM71</f>
        <v>0</v>
      </c>
      <c r="BV71" s="87">
        <f>AQ71</f>
        <v>0</v>
      </c>
      <c r="BW71" s="87">
        <f>AU71</f>
        <v>0</v>
      </c>
      <c r="BX71" s="87">
        <f>AY71</f>
        <v>0</v>
      </c>
      <c r="BY71" s="87">
        <f>BC71</f>
        <v>0</v>
      </c>
      <c r="BZ71" s="87">
        <f>BG71</f>
        <v>0</v>
      </c>
      <c r="CA71" s="88">
        <f>BK71</f>
        <v>0</v>
      </c>
      <c r="CB71" s="86"/>
      <c r="CC71" s="87"/>
      <c r="CD71" s="87"/>
      <c r="CE71" s="260"/>
      <c r="CF71" s="86">
        <f>I71</f>
        <v>0</v>
      </c>
      <c r="CG71" s="87">
        <f>M71</f>
        <v>0</v>
      </c>
      <c r="CH71" s="87">
        <f>Q71</f>
        <v>0</v>
      </c>
      <c r="CI71" s="87">
        <f>U71</f>
        <v>0</v>
      </c>
      <c r="CJ71" s="87">
        <f>Y71</f>
        <v>0</v>
      </c>
      <c r="CK71" s="87">
        <f>AC71</f>
        <v>0</v>
      </c>
      <c r="CL71" s="87">
        <f>AG71</f>
        <v>0</v>
      </c>
      <c r="CM71" s="87">
        <f>AK71</f>
        <v>0</v>
      </c>
      <c r="CN71" s="87">
        <f>AO71</f>
        <v>0</v>
      </c>
      <c r="CO71" s="87">
        <f>AS71</f>
        <v>0</v>
      </c>
      <c r="CP71" s="87">
        <f>AW71</f>
        <v>0</v>
      </c>
      <c r="CQ71" s="87">
        <f>BA71</f>
        <v>0</v>
      </c>
      <c r="CR71" s="87">
        <f>BE71</f>
        <v>0</v>
      </c>
      <c r="CS71" s="88">
        <f>BI71</f>
        <v>0</v>
      </c>
      <c r="CT71" s="22"/>
    </row>
    <row r="72" spans="1:98" ht="14.25" customHeight="1">
      <c r="A72" s="8"/>
      <c r="B72" s="109" t="s">
        <v>470</v>
      </c>
      <c r="C72" s="110"/>
      <c r="D72" s="89">
        <v>2528.2930000000001</v>
      </c>
      <c r="E72" s="90">
        <v>2443.9760000000001</v>
      </c>
      <c r="F72" s="90">
        <v>2517.4059999999999</v>
      </c>
      <c r="G72" s="91">
        <v>2761.183</v>
      </c>
      <c r="H72" s="89">
        <v>2731.5010000000002</v>
      </c>
      <c r="I72" s="90">
        <v>2778.973</v>
      </c>
      <c r="J72" s="90">
        <v>2805.0329999999999</v>
      </c>
      <c r="K72" s="91">
        <v>2847.2809999999999</v>
      </c>
      <c r="L72" s="89">
        <v>2847.3510000000001</v>
      </c>
      <c r="M72" s="90">
        <v>2894.268</v>
      </c>
      <c r="N72" s="90">
        <v>2895.1959999999999</v>
      </c>
      <c r="O72" s="91">
        <v>2901.1390000000001</v>
      </c>
      <c r="P72" s="89">
        <v>2904.5949999999998</v>
      </c>
      <c r="Q72" s="90">
        <v>2742.567</v>
      </c>
      <c r="R72" s="90">
        <v>2633.6379999999999</v>
      </c>
      <c r="S72" s="91">
        <v>2580.61</v>
      </c>
      <c r="T72" s="89">
        <v>2561.1849999999999</v>
      </c>
      <c r="U72" s="90">
        <v>2553.8890000000001</v>
      </c>
      <c r="V72" s="90">
        <v>2415.172</v>
      </c>
      <c r="W72" s="91">
        <v>2364.598</v>
      </c>
      <c r="X72" s="90">
        <v>2355.3229999999999</v>
      </c>
      <c r="Y72" s="90">
        <v>2399.3290000000002</v>
      </c>
      <c r="Z72" s="90">
        <v>2473.2710000000002</v>
      </c>
      <c r="AA72" s="91">
        <v>2524.79</v>
      </c>
      <c r="AB72" s="90">
        <v>2526.598</v>
      </c>
      <c r="AC72" s="90">
        <v>2517.1660000000002</v>
      </c>
      <c r="AD72" s="90">
        <v>2507.2979999999998</v>
      </c>
      <c r="AE72" s="91">
        <v>2553.4180000000001</v>
      </c>
      <c r="AF72" s="90">
        <v>2583.06</v>
      </c>
      <c r="AG72" s="90">
        <v>2589.6190000000001</v>
      </c>
      <c r="AH72" s="90">
        <v>2629.895</v>
      </c>
      <c r="AI72" s="91">
        <v>2523.4569999999999</v>
      </c>
      <c r="AJ72" s="90">
        <v>2412.2620000000002</v>
      </c>
      <c r="AK72" s="90">
        <v>2368.35</v>
      </c>
      <c r="AL72" s="90">
        <v>2412.627</v>
      </c>
      <c r="AM72" s="91">
        <v>2423.7939999999999</v>
      </c>
      <c r="AN72" s="90">
        <v>2430.194</v>
      </c>
      <c r="AO72" s="90">
        <v>2259.9969999999998</v>
      </c>
      <c r="AP72" s="90">
        <v>2260.011</v>
      </c>
      <c r="AQ72" s="91">
        <v>2279.1120000000001</v>
      </c>
      <c r="AR72" s="90">
        <v>2121.5819999999999</v>
      </c>
      <c r="AS72" s="90">
        <v>2103.3389999999999</v>
      </c>
      <c r="AT72" s="90">
        <v>2154.7669999999998</v>
      </c>
      <c r="AU72" s="91">
        <v>2121.7489999999998</v>
      </c>
      <c r="AV72" s="90">
        <v>2141.326</v>
      </c>
      <c r="AW72" s="90">
        <v>2155.6979999999999</v>
      </c>
      <c r="AX72" s="90">
        <v>2169.7600000000002</v>
      </c>
      <c r="AY72" s="91">
        <v>2212.3009999999999</v>
      </c>
      <c r="AZ72" s="90">
        <v>2207.0520000000001</v>
      </c>
      <c r="BA72" s="90">
        <v>1997.2070000000001</v>
      </c>
      <c r="BB72" s="90">
        <v>1963.912</v>
      </c>
      <c r="BC72" s="1318">
        <f>BB72-BC70+IS!BC113+CFS!BC49+CFS!BC47+CFS!BC48+CFS!BC13</f>
        <v>1902.4909032243602</v>
      </c>
      <c r="BD72" s="1314">
        <f>BC72-BD70+IS!BD113+CFS!BD49+CFS!BD47+CFS!BD48+CFS!BD13</f>
        <v>1841.1822801981925</v>
      </c>
      <c r="BE72" s="1314">
        <f>BD72-BE70+IS!BE113+CFS!BE49+CFS!BE47+CFS!BE48+CFS!BE13</f>
        <v>1781.1105976123088</v>
      </c>
      <c r="BF72" s="1314">
        <f>BE72-BF70+IS!BF113+CFS!BF49+CFS!BF47+CFS!BF48+CFS!BF13</f>
        <v>1738.7739937323095</v>
      </c>
      <c r="BG72" s="1318">
        <f>BF72-BG70+IS!BG113+CFS!BG49+CFS!BG47+CFS!BG48+CFS!BG13</f>
        <v>1701.9706846576835</v>
      </c>
      <c r="BH72" s="1314">
        <f>BG72-BH70+IS!BH113+CFS!BH49+CFS!BH47+CFS!BH48+CFS!BH13</f>
        <v>1659.5274550577869</v>
      </c>
      <c r="BI72" s="1314">
        <f>BH72-BI70+IS!BI113+CFS!BI49+CFS!BI47+CFS!BI48+CFS!BI13</f>
        <v>1616.9662271303137</v>
      </c>
      <c r="BJ72" s="1314">
        <f>BI72-BJ70+IS!BJ113+CFS!BJ49+CFS!BJ47+CFS!BJ48+CFS!BJ13</f>
        <v>1588.4191283126656</v>
      </c>
      <c r="BK72" s="1318">
        <f>BJ72-BK70+IS!BK113+CFS!BK49+CFS!BK47+CFS!BK48+CFS!BK13</f>
        <v>1570.1931349573733</v>
      </c>
      <c r="BL72" s="20"/>
      <c r="BM72" s="87">
        <f>G72</f>
        <v>2761.183</v>
      </c>
      <c r="BN72" s="87">
        <f>K72</f>
        <v>2847.2809999999999</v>
      </c>
      <c r="BO72" s="87">
        <f>O72</f>
        <v>2901.1390000000001</v>
      </c>
      <c r="BP72" s="87">
        <f>S72</f>
        <v>2580.61</v>
      </c>
      <c r="BQ72" s="87">
        <f>W72</f>
        <v>2364.598</v>
      </c>
      <c r="BR72" s="87">
        <f>AA72</f>
        <v>2524.79</v>
      </c>
      <c r="BS72" s="87">
        <f>AE72</f>
        <v>2553.4180000000001</v>
      </c>
      <c r="BT72" s="87">
        <f>AI72</f>
        <v>2523.4569999999999</v>
      </c>
      <c r="BU72" s="87">
        <f>AM72</f>
        <v>2423.7939999999999</v>
      </c>
      <c r="BV72" s="87">
        <f>AQ72</f>
        <v>2279.1120000000001</v>
      </c>
      <c r="BW72" s="87">
        <f>AU72</f>
        <v>2121.7489999999998</v>
      </c>
      <c r="BX72" s="87">
        <f>AY72</f>
        <v>2212.3009999999999</v>
      </c>
      <c r="BY72" s="87">
        <f>BC72</f>
        <v>1902.4909032243602</v>
      </c>
      <c r="BZ72" s="87">
        <f>BG72</f>
        <v>1701.9706846576835</v>
      </c>
      <c r="CA72" s="88">
        <f>BK72</f>
        <v>1570.1931349573733</v>
      </c>
      <c r="CB72" s="1313"/>
      <c r="CC72" s="1314"/>
      <c r="CD72" s="1314"/>
      <c r="CE72" s="260"/>
      <c r="CF72" s="86">
        <f>I72</f>
        <v>2778.973</v>
      </c>
      <c r="CG72" s="87">
        <f>M72</f>
        <v>2894.268</v>
      </c>
      <c r="CH72" s="87">
        <f>Q72</f>
        <v>2742.567</v>
      </c>
      <c r="CI72" s="87">
        <f>U72</f>
        <v>2553.8890000000001</v>
      </c>
      <c r="CJ72" s="87">
        <f>Y72</f>
        <v>2399.3290000000002</v>
      </c>
      <c r="CK72" s="87">
        <f>AC72</f>
        <v>2517.1660000000002</v>
      </c>
      <c r="CL72" s="87">
        <f>AG72</f>
        <v>2589.6190000000001</v>
      </c>
      <c r="CM72" s="87">
        <f>AK72</f>
        <v>2368.35</v>
      </c>
      <c r="CN72" s="87">
        <f>AO72</f>
        <v>2259.9969999999998</v>
      </c>
      <c r="CO72" s="87">
        <f>AS72</f>
        <v>2103.3389999999999</v>
      </c>
      <c r="CP72" s="87">
        <f>AW72</f>
        <v>2155.6979999999999</v>
      </c>
      <c r="CQ72" s="87">
        <f>BA72</f>
        <v>1997.2070000000001</v>
      </c>
      <c r="CR72" s="87">
        <f>BE72</f>
        <v>1781.1105976123088</v>
      </c>
      <c r="CS72" s="88">
        <f>BI72</f>
        <v>1616.9662271303137</v>
      </c>
      <c r="CT72" s="22"/>
    </row>
    <row r="73" spans="1:98" ht="14.25" customHeight="1">
      <c r="A73" s="8"/>
      <c r="B73" s="109" t="s">
        <v>471</v>
      </c>
      <c r="C73" s="110"/>
      <c r="D73" s="89">
        <v>-8.58</v>
      </c>
      <c r="E73" s="90">
        <v>-9.593</v>
      </c>
      <c r="F73" s="90">
        <v>-8.907</v>
      </c>
      <c r="G73" s="178">
        <v>-8.1189999999999998</v>
      </c>
      <c r="H73" s="89">
        <v>-6.1509999999999998</v>
      </c>
      <c r="I73" s="90">
        <v>-5.3659999999999997</v>
      </c>
      <c r="J73" s="90">
        <v>-9.0229999999999997</v>
      </c>
      <c r="K73" s="178">
        <v>-8.2710000000000008</v>
      </c>
      <c r="L73" s="89">
        <v>-7.5659999999999998</v>
      </c>
      <c r="M73" s="90">
        <v>-9.6679999999999993</v>
      </c>
      <c r="N73" s="90">
        <v>-8.1780000000000008</v>
      </c>
      <c r="O73" s="178">
        <v>-5.1269999999999998</v>
      </c>
      <c r="P73" s="89">
        <v>-3.823</v>
      </c>
      <c r="Q73" s="90">
        <v>-1.7809999999999999</v>
      </c>
      <c r="R73" s="90">
        <v>-2.0150000000000001</v>
      </c>
      <c r="S73" s="178">
        <v>-7.6559999999999997</v>
      </c>
      <c r="T73" s="89">
        <v>-8.3450000000000006</v>
      </c>
      <c r="U73" s="90">
        <v>-9.0609999999999999</v>
      </c>
      <c r="V73" s="90">
        <v>-10.353</v>
      </c>
      <c r="W73" s="178">
        <v>-11.941000000000001</v>
      </c>
      <c r="X73" s="90">
        <v>-13.7</v>
      </c>
      <c r="Y73" s="90">
        <v>-14.66</v>
      </c>
      <c r="Z73" s="90">
        <v>-14.096</v>
      </c>
      <c r="AA73" s="91">
        <v>-14.268000000000001</v>
      </c>
      <c r="AB73" s="388">
        <v>-14.335000000000001</v>
      </c>
      <c r="AC73" s="90">
        <v>-12.992000000000001</v>
      </c>
      <c r="AD73" s="90">
        <v>-13.225</v>
      </c>
      <c r="AE73" s="91">
        <v>-15.433999999999999</v>
      </c>
      <c r="AF73" s="90">
        <v>-14.914999999999999</v>
      </c>
      <c r="AG73" s="90">
        <v>-15.446999999999999</v>
      </c>
      <c r="AH73" s="90">
        <v>-17.620999999999999</v>
      </c>
      <c r="AI73" s="91">
        <v>-15.747</v>
      </c>
      <c r="AJ73" s="90">
        <v>-14.109</v>
      </c>
      <c r="AK73" s="90">
        <v>-12.569000000000001</v>
      </c>
      <c r="AL73" s="90">
        <v>-12.305999999999999</v>
      </c>
      <c r="AM73" s="91">
        <v>-17.172999999999998</v>
      </c>
      <c r="AN73" s="90">
        <v>-19.074000000000002</v>
      </c>
      <c r="AO73" s="90">
        <v>-18.539000000000001</v>
      </c>
      <c r="AP73" s="90">
        <v>-18.521000000000001</v>
      </c>
      <c r="AQ73" s="91">
        <v>-17.234000000000002</v>
      </c>
      <c r="AR73" s="90">
        <v>-17.600000000000001</v>
      </c>
      <c r="AS73" s="90">
        <v>-17.529</v>
      </c>
      <c r="AT73" s="90">
        <v>-16.283999999999999</v>
      </c>
      <c r="AU73" s="91">
        <v>-14.218999999999999</v>
      </c>
      <c r="AV73" s="90">
        <v>-6.3739999999999997</v>
      </c>
      <c r="AW73" s="90">
        <v>-11.791</v>
      </c>
      <c r="AX73" s="90">
        <v>-9.7349999999999994</v>
      </c>
      <c r="AY73" s="91">
        <v>-9.89</v>
      </c>
      <c r="AZ73" s="90">
        <v>-9.5909999999999993</v>
      </c>
      <c r="BA73" s="90">
        <v>-11.792</v>
      </c>
      <c r="BB73" s="90">
        <v>-13.204000000000001</v>
      </c>
      <c r="BC73" s="1328">
        <f>BB73+CFS!BC20+CFS!BC19+CFS!BC18+CFS!BC16+CFS!BC15+CFS!BC36+CFS!BC54</f>
        <v>-13.204000000000001</v>
      </c>
      <c r="BD73" s="1327">
        <f>BC73+CFS!BD20+CFS!BD19+CFS!BD18+CFS!BD16+CFS!BD15+CFS!BD36+CFS!BD54</f>
        <v>-13.204000000000001</v>
      </c>
      <c r="BE73" s="1327">
        <f>BD73+CFS!BE20+CFS!BE19+CFS!BE18+CFS!BE16+CFS!BE15+CFS!BE36+CFS!BE54</f>
        <v>-13.204000000000001</v>
      </c>
      <c r="BF73" s="1327">
        <f>BE73+CFS!BF20+CFS!BF19+CFS!BF18+CFS!BF16+CFS!BF15+CFS!BF36+CFS!BF54</f>
        <v>-13.204000000000001</v>
      </c>
      <c r="BG73" s="1328">
        <f>BF73+CFS!BG20+CFS!BG19+CFS!BG18+CFS!BG16+CFS!BG15+CFS!BG36+CFS!BG54</f>
        <v>-13.204000000000001</v>
      </c>
      <c r="BH73" s="1327">
        <f>BG73+CFS!BH20+CFS!BH19+CFS!BH18+CFS!BH16+CFS!BH15+CFS!BH36+CFS!BH54</f>
        <v>-13.204000000000001</v>
      </c>
      <c r="BI73" s="1327">
        <f>BH73+CFS!BI20+CFS!BI19+CFS!BI18+CFS!BI16+CFS!BI15+CFS!BI36+CFS!BI54</f>
        <v>-13.204000000000001</v>
      </c>
      <c r="BJ73" s="1327">
        <f>BI73+CFS!BJ20+CFS!BJ19+CFS!BJ18+CFS!BJ16+CFS!BJ15+CFS!BJ36+CFS!BJ54</f>
        <v>-13.204000000000001</v>
      </c>
      <c r="BK73" s="1328">
        <f>BJ73+CFS!BK20+CFS!BK19+CFS!BK18+CFS!BK16+CFS!BK15+CFS!BK36+CFS!BK54</f>
        <v>-13.204000000000001</v>
      </c>
      <c r="BL73" s="20"/>
      <c r="BM73" s="87">
        <f>G73</f>
        <v>-8.1189999999999998</v>
      </c>
      <c r="BN73" s="87">
        <f>K73</f>
        <v>-8.2710000000000008</v>
      </c>
      <c r="BO73" s="87">
        <f>O73</f>
        <v>-5.1269999999999998</v>
      </c>
      <c r="BP73" s="87">
        <f>S73</f>
        <v>-7.6559999999999997</v>
      </c>
      <c r="BQ73" s="87">
        <f>W73</f>
        <v>-11.941000000000001</v>
      </c>
      <c r="BR73" s="87">
        <f>AA73</f>
        <v>-14.268000000000001</v>
      </c>
      <c r="BS73" s="87">
        <f>AE73</f>
        <v>-15.433999999999999</v>
      </c>
      <c r="BT73" s="87">
        <f>AI73</f>
        <v>-15.747</v>
      </c>
      <c r="BU73" s="87">
        <f>AM73</f>
        <v>-17.172999999999998</v>
      </c>
      <c r="BV73" s="87">
        <f>AQ73</f>
        <v>-17.234000000000002</v>
      </c>
      <c r="BW73" s="87">
        <f>AU73</f>
        <v>-14.218999999999999</v>
      </c>
      <c r="BX73" s="87">
        <f>AY73</f>
        <v>-9.89</v>
      </c>
      <c r="BY73" s="87">
        <f>BC73</f>
        <v>-13.204000000000001</v>
      </c>
      <c r="BZ73" s="87">
        <f>BG73</f>
        <v>-13.204000000000001</v>
      </c>
      <c r="CA73" s="88">
        <f>BK73</f>
        <v>-13.204000000000001</v>
      </c>
      <c r="CB73" s="1313"/>
      <c r="CC73" s="1314"/>
      <c r="CD73" s="1314"/>
      <c r="CE73" s="260"/>
      <c r="CF73" s="86">
        <f>I73</f>
        <v>-5.3659999999999997</v>
      </c>
      <c r="CG73" s="87">
        <f>M73</f>
        <v>-9.6679999999999993</v>
      </c>
      <c r="CH73" s="87">
        <f>Q73</f>
        <v>-1.7809999999999999</v>
      </c>
      <c r="CI73" s="87">
        <f>U73</f>
        <v>-9.0609999999999999</v>
      </c>
      <c r="CJ73" s="87">
        <f>Y73</f>
        <v>-14.66</v>
      </c>
      <c r="CK73" s="87">
        <f>AC73</f>
        <v>-12.992000000000001</v>
      </c>
      <c r="CL73" s="87">
        <f>AG73</f>
        <v>-15.446999999999999</v>
      </c>
      <c r="CM73" s="87">
        <f>AK73</f>
        <v>-12.569000000000001</v>
      </c>
      <c r="CN73" s="87">
        <f>AO73</f>
        <v>-18.539000000000001</v>
      </c>
      <c r="CO73" s="87">
        <f>AS73</f>
        <v>-17.529</v>
      </c>
      <c r="CP73" s="87">
        <f>AW73</f>
        <v>-11.791</v>
      </c>
      <c r="CQ73" s="87">
        <f>BA73</f>
        <v>-11.792</v>
      </c>
      <c r="CR73" s="87">
        <f>BE73</f>
        <v>-13.204000000000001</v>
      </c>
      <c r="CS73" s="88">
        <f>BI73</f>
        <v>-13.204000000000001</v>
      </c>
      <c r="CT73" s="22"/>
    </row>
    <row r="74" spans="1:98" ht="14.25" customHeight="1">
      <c r="A74" s="8"/>
      <c r="B74" s="148" t="s">
        <v>452</v>
      </c>
      <c r="C74" s="149"/>
      <c r="D74" s="143">
        <f t="shared" ref="D74:AD74" si="219">D68+SUM(D71:D73)</f>
        <v>2697.7560000000003</v>
      </c>
      <c r="E74" s="141">
        <f t="shared" si="219"/>
        <v>2515.6060000000002</v>
      </c>
      <c r="F74" s="141">
        <f t="shared" si="219"/>
        <v>2608.0099999999998</v>
      </c>
      <c r="G74" s="142">
        <f t="shared" si="219"/>
        <v>2775.489</v>
      </c>
      <c r="H74" s="143">
        <f t="shared" si="219"/>
        <v>2903.3850000000002</v>
      </c>
      <c r="I74" s="141">
        <f t="shared" si="219"/>
        <v>2981.498</v>
      </c>
      <c r="J74" s="141">
        <f t="shared" si="219"/>
        <v>3044.328</v>
      </c>
      <c r="K74" s="142">
        <f t="shared" si="219"/>
        <v>3131.9339999999997</v>
      </c>
      <c r="L74" s="143">
        <f t="shared" si="219"/>
        <v>3016.2830000000004</v>
      </c>
      <c r="M74" s="141">
        <f t="shared" si="219"/>
        <v>3087.018</v>
      </c>
      <c r="N74" s="141">
        <f t="shared" si="219"/>
        <v>3114.07</v>
      </c>
      <c r="O74" s="142">
        <f t="shared" si="219"/>
        <v>3147.8110000000001</v>
      </c>
      <c r="P74" s="143">
        <f t="shared" si="219"/>
        <v>3156.59</v>
      </c>
      <c r="Q74" s="141">
        <f t="shared" si="219"/>
        <v>2741.09</v>
      </c>
      <c r="R74" s="141">
        <f t="shared" si="219"/>
        <v>2631.9270000000001</v>
      </c>
      <c r="S74" s="142">
        <f t="shared" si="219"/>
        <v>2594.4650000000001</v>
      </c>
      <c r="T74" s="143">
        <f t="shared" si="219"/>
        <v>2572.3389999999999</v>
      </c>
      <c r="U74" s="141">
        <f t="shared" si="219"/>
        <v>2545.1329999999998</v>
      </c>
      <c r="V74" s="141">
        <f t="shared" si="219"/>
        <v>2405.1219999999998</v>
      </c>
      <c r="W74" s="142">
        <f t="shared" si="219"/>
        <v>2352.9580000000001</v>
      </c>
      <c r="X74" s="143">
        <f t="shared" si="219"/>
        <v>2341.92</v>
      </c>
      <c r="Y74" s="141">
        <f t="shared" si="219"/>
        <v>2384.9660000000003</v>
      </c>
      <c r="Z74" s="141">
        <f t="shared" si="219"/>
        <v>2465.04</v>
      </c>
      <c r="AA74" s="142">
        <f t="shared" si="219"/>
        <v>2510.8179999999998</v>
      </c>
      <c r="AB74" s="141">
        <f t="shared" si="219"/>
        <v>2512.556</v>
      </c>
      <c r="AC74" s="141">
        <f t="shared" si="219"/>
        <v>2504.4659999999999</v>
      </c>
      <c r="AD74" s="141">
        <f t="shared" si="219"/>
        <v>2503.1979999999999</v>
      </c>
      <c r="AE74" s="142">
        <f>AE68+SUM(AE71:AE73)</f>
        <v>2538.277</v>
      </c>
      <c r="AF74" s="141">
        <f>AF68+SUM(AF71:AF73)</f>
        <v>2568.4369999999999</v>
      </c>
      <c r="AG74" s="141">
        <f t="shared" ref="AG74:AL74" si="220">AG68+SUM(AG71:AG73)</f>
        <v>2581.212</v>
      </c>
      <c r="AH74" s="141">
        <f t="shared" si="220"/>
        <v>2612.5659999999998</v>
      </c>
      <c r="AI74" s="142">
        <f>AI68+SUM(AI71:AI73)</f>
        <v>2507.998</v>
      </c>
      <c r="AJ74" s="141">
        <f>AJ68+SUM(AJ71:AJ73)</f>
        <v>2398.4360000000001</v>
      </c>
      <c r="AK74" s="141">
        <f t="shared" si="220"/>
        <v>2356.0639999999999</v>
      </c>
      <c r="AL74" s="141">
        <f t="shared" si="220"/>
        <v>2400.6039999999998</v>
      </c>
      <c r="AM74" s="142">
        <f t="shared" ref="AM74:AR74" si="221">AM68+SUM(AM71:AM73)</f>
        <v>2429.9110000000001</v>
      </c>
      <c r="AN74" s="141">
        <f t="shared" si="221"/>
        <v>2411.404</v>
      </c>
      <c r="AO74" s="141">
        <f t="shared" si="221"/>
        <v>2241.7409999999995</v>
      </c>
      <c r="AP74" s="141">
        <f t="shared" si="221"/>
        <v>2253.8489999999997</v>
      </c>
      <c r="AQ74" s="142">
        <f t="shared" si="221"/>
        <v>2290.02</v>
      </c>
      <c r="AR74" s="141">
        <f t="shared" si="221"/>
        <v>2114.8009999999999</v>
      </c>
      <c r="AS74" s="141">
        <f t="shared" ref="AS74:BC74" si="222">AS68+SUM(AS71:AS73)</f>
        <v>2148.8240000000001</v>
      </c>
      <c r="AT74" s="141">
        <f t="shared" si="222"/>
        <v>2138.7629999999999</v>
      </c>
      <c r="AU74" s="142">
        <f t="shared" si="222"/>
        <v>2107.8139999999999</v>
      </c>
      <c r="AV74" s="141">
        <f t="shared" si="222"/>
        <v>2135.2360000000003</v>
      </c>
      <c r="AW74" s="141">
        <f>AW68+SUM(AW71:AW73)</f>
        <v>2144.1909999999998</v>
      </c>
      <c r="AX74" s="141">
        <f t="shared" si="222"/>
        <v>2160.3090000000002</v>
      </c>
      <c r="AY74" s="142">
        <f t="shared" si="222"/>
        <v>2202.694</v>
      </c>
      <c r="AZ74" s="141">
        <f t="shared" si="222"/>
        <v>2197.7440000000001</v>
      </c>
      <c r="BA74" s="141">
        <f>BA68+SUM(BA71:BA73)</f>
        <v>1985.6980000000001</v>
      </c>
      <c r="BB74" s="141">
        <f t="shared" si="222"/>
        <v>1950.991</v>
      </c>
      <c r="BC74" s="142">
        <f t="shared" si="222"/>
        <v>1889.5699032243601</v>
      </c>
      <c r="BD74" s="141">
        <f t="shared" ref="BD74:BK74" si="223">BD68+SUM(BD71:BD73)</f>
        <v>1828.2612801981925</v>
      </c>
      <c r="BE74" s="141">
        <f t="shared" si="223"/>
        <v>1768.1895976123087</v>
      </c>
      <c r="BF74" s="141">
        <f t="shared" si="223"/>
        <v>1725.8529937323094</v>
      </c>
      <c r="BG74" s="142">
        <f t="shared" si="223"/>
        <v>1689.0496846576834</v>
      </c>
      <c r="BH74" s="141">
        <f t="shared" si="223"/>
        <v>1646.6064550577869</v>
      </c>
      <c r="BI74" s="141">
        <f t="shared" si="223"/>
        <v>1604.0452271303136</v>
      </c>
      <c r="BJ74" s="141">
        <f t="shared" si="223"/>
        <v>1575.4981283126656</v>
      </c>
      <c r="BK74" s="142">
        <f t="shared" si="223"/>
        <v>1557.2721349573733</v>
      </c>
      <c r="BL74" s="20"/>
      <c r="BM74" s="141">
        <f t="shared" ref="BM74:BW74" si="224">BM68+SUM(BM71:BM73)</f>
        <v>2775.489</v>
      </c>
      <c r="BN74" s="141">
        <f t="shared" si="224"/>
        <v>3131.9339999999997</v>
      </c>
      <c r="BO74" s="141">
        <f t="shared" si="224"/>
        <v>3147.8110000000001</v>
      </c>
      <c r="BP74" s="141">
        <f t="shared" si="224"/>
        <v>2594.4650000000001</v>
      </c>
      <c r="BQ74" s="141">
        <f t="shared" si="224"/>
        <v>2352.9580000000001</v>
      </c>
      <c r="BR74" s="141">
        <f t="shared" si="224"/>
        <v>2510.8179999999998</v>
      </c>
      <c r="BS74" s="141">
        <f t="shared" si="224"/>
        <v>2538.277</v>
      </c>
      <c r="BT74" s="141">
        <f t="shared" si="224"/>
        <v>2507.998</v>
      </c>
      <c r="BU74" s="141">
        <f t="shared" si="224"/>
        <v>2429.9110000000001</v>
      </c>
      <c r="BV74" s="141">
        <f t="shared" si="224"/>
        <v>2290.02</v>
      </c>
      <c r="BW74" s="141">
        <f t="shared" si="224"/>
        <v>2107.8139999999999</v>
      </c>
      <c r="BX74" s="141">
        <f>BX68+SUM(BX71:BX73)</f>
        <v>2202.694</v>
      </c>
      <c r="BY74" s="141">
        <f>BY68+SUM(BY71:BY73)</f>
        <v>1889.5699032243601</v>
      </c>
      <c r="BZ74" s="141">
        <f>BZ68+SUM(BZ71:BZ73)</f>
        <v>1689.0496846576834</v>
      </c>
      <c r="CA74" s="142">
        <f>CA68+SUM(CA71:CA73)</f>
        <v>1557.2721349573733</v>
      </c>
      <c r="CB74" s="147"/>
      <c r="CC74" s="136"/>
      <c r="CD74" s="136"/>
      <c r="CE74" s="260"/>
      <c r="CF74" s="143">
        <f t="shared" ref="CF74:CO74" si="225">CF68+SUM(CF71:CF73)</f>
        <v>2981.498</v>
      </c>
      <c r="CG74" s="141">
        <f t="shared" si="225"/>
        <v>3087.018</v>
      </c>
      <c r="CH74" s="141">
        <f t="shared" si="225"/>
        <v>2741.09</v>
      </c>
      <c r="CI74" s="141">
        <f t="shared" si="225"/>
        <v>2545.1329999999998</v>
      </c>
      <c r="CJ74" s="141">
        <f t="shared" si="225"/>
        <v>2384.9660000000003</v>
      </c>
      <c r="CK74" s="141">
        <f t="shared" si="225"/>
        <v>2504.4659999999999</v>
      </c>
      <c r="CL74" s="141">
        <f t="shared" si="225"/>
        <v>2581.212</v>
      </c>
      <c r="CM74" s="141">
        <f t="shared" si="225"/>
        <v>2356.0639999999999</v>
      </c>
      <c r="CN74" s="141">
        <f t="shared" si="225"/>
        <v>2241.7409999999995</v>
      </c>
      <c r="CO74" s="141">
        <f t="shared" si="225"/>
        <v>2148.8240000000001</v>
      </c>
      <c r="CP74" s="141">
        <f>CP68+SUM(CP71:CP73)</f>
        <v>2144.1909999999998</v>
      </c>
      <c r="CQ74" s="141">
        <f>CQ68+SUM(CQ71:CQ73)</f>
        <v>1985.6980000000001</v>
      </c>
      <c r="CR74" s="141">
        <f>CR68+SUM(CR71:CR73)</f>
        <v>1768.1895976123087</v>
      </c>
      <c r="CS74" s="142">
        <f>CS68+SUM(CS71:CS73)</f>
        <v>1604.0452271303136</v>
      </c>
      <c r="CT74" s="22"/>
    </row>
    <row r="75" spans="1:98" ht="14.25" customHeight="1">
      <c r="A75" s="8"/>
      <c r="B75" s="179"/>
      <c r="C75" s="179"/>
      <c r="D75" s="87"/>
      <c r="E75" s="87"/>
      <c r="F75" s="87"/>
      <c r="G75" s="180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180"/>
      <c r="AB75" s="87"/>
      <c r="AC75" s="87"/>
      <c r="AD75" s="87"/>
      <c r="AE75" s="180"/>
      <c r="AF75" s="87"/>
      <c r="AG75" s="87"/>
      <c r="AH75" s="87"/>
      <c r="AI75" s="180"/>
      <c r="AJ75" s="87"/>
      <c r="AK75" s="87"/>
      <c r="AL75" s="87"/>
      <c r="AM75" s="180"/>
      <c r="AN75" s="87"/>
      <c r="AO75" s="87"/>
      <c r="AP75" s="87"/>
      <c r="AQ75" s="180"/>
      <c r="AR75" s="87"/>
      <c r="AS75" s="87"/>
      <c r="AT75" s="87"/>
      <c r="AU75" s="180"/>
      <c r="AV75" s="87"/>
      <c r="AW75" s="87"/>
      <c r="AX75" s="87"/>
      <c r="AY75" s="180"/>
      <c r="AZ75" s="87"/>
      <c r="BA75" s="87"/>
      <c r="BB75" s="87"/>
      <c r="BC75" s="180"/>
      <c r="BD75" s="87"/>
      <c r="BE75" s="87"/>
      <c r="BF75" s="87"/>
      <c r="BG75" s="180"/>
      <c r="BH75" s="87"/>
      <c r="BI75" s="87"/>
      <c r="BJ75" s="87"/>
      <c r="BK75" s="180"/>
      <c r="BL75" s="14"/>
      <c r="BM75" s="87"/>
      <c r="BN75" s="87"/>
      <c r="BO75" s="87"/>
      <c r="BP75" s="87"/>
      <c r="BQ75" s="87"/>
      <c r="BR75" s="87"/>
      <c r="BS75" s="87"/>
      <c r="BT75" s="87"/>
      <c r="BU75" s="87"/>
      <c r="BV75" s="87"/>
      <c r="BW75" s="87"/>
      <c r="BX75" s="87"/>
      <c r="BY75" s="87"/>
      <c r="BZ75" s="87"/>
      <c r="CA75" s="87"/>
      <c r="CB75" s="87"/>
      <c r="CC75" s="87"/>
      <c r="CD75" s="87"/>
      <c r="CE75" s="8"/>
      <c r="CF75" s="87"/>
      <c r="CG75" s="87"/>
      <c r="CH75" s="87"/>
      <c r="CI75" s="87"/>
      <c r="CJ75" s="87"/>
      <c r="CK75" s="87"/>
      <c r="CL75" s="87"/>
      <c r="CM75" s="87"/>
      <c r="CN75" s="87"/>
      <c r="CO75" s="87"/>
      <c r="CP75" s="87"/>
      <c r="CQ75" s="87"/>
      <c r="CR75" s="87"/>
      <c r="CS75" s="87"/>
      <c r="CT75" s="8"/>
    </row>
    <row r="76" spans="1:98" ht="14.25" customHeight="1">
      <c r="A76" s="8"/>
      <c r="B76" s="79" t="s">
        <v>472</v>
      </c>
      <c r="C76" s="80"/>
      <c r="D76" s="181">
        <f t="shared" ref="D76:AA76" si="226">D45</f>
        <v>2697.7559999999999</v>
      </c>
      <c r="E76" s="181">
        <f t="shared" si="226"/>
        <v>2515.6060000000002</v>
      </c>
      <c r="F76" s="181">
        <f t="shared" si="226"/>
        <v>2608.0100000000002</v>
      </c>
      <c r="G76" s="182">
        <f t="shared" si="226"/>
        <v>2775.489</v>
      </c>
      <c r="H76" s="181">
        <f t="shared" si="226"/>
        <v>2903.3850000000002</v>
      </c>
      <c r="I76" s="181">
        <f t="shared" si="226"/>
        <v>2981.498</v>
      </c>
      <c r="J76" s="181">
        <f t="shared" si="226"/>
        <v>3044.328</v>
      </c>
      <c r="K76" s="182">
        <f t="shared" si="226"/>
        <v>3131.9340000000002</v>
      </c>
      <c r="L76" s="181">
        <f t="shared" si="226"/>
        <v>3016.2829999999999</v>
      </c>
      <c r="M76" s="181">
        <f t="shared" si="226"/>
        <v>3087.018</v>
      </c>
      <c r="N76" s="181">
        <f t="shared" si="226"/>
        <v>3114.07</v>
      </c>
      <c r="O76" s="182">
        <f t="shared" si="226"/>
        <v>3147.8110000000001</v>
      </c>
      <c r="P76" s="181">
        <f t="shared" si="226"/>
        <v>3156.59</v>
      </c>
      <c r="Q76" s="181">
        <f t="shared" si="226"/>
        <v>2741.09</v>
      </c>
      <c r="R76" s="181">
        <f t="shared" si="226"/>
        <v>2631.9270000000001</v>
      </c>
      <c r="S76" s="182">
        <f t="shared" si="226"/>
        <v>2594.4650000000001</v>
      </c>
      <c r="T76" s="181">
        <f t="shared" si="226"/>
        <v>2572.3389999999999</v>
      </c>
      <c r="U76" s="181">
        <f t="shared" si="226"/>
        <v>2545.1329999999998</v>
      </c>
      <c r="V76" s="181">
        <f t="shared" si="226"/>
        <v>2405.1219999999998</v>
      </c>
      <c r="W76" s="182">
        <f t="shared" si="226"/>
        <v>2352.9580000000001</v>
      </c>
      <c r="X76" s="183">
        <f t="shared" si="226"/>
        <v>2341.92</v>
      </c>
      <c r="Y76" s="181">
        <f t="shared" si="226"/>
        <v>2384.9659999999999</v>
      </c>
      <c r="Z76" s="181">
        <f t="shared" si="226"/>
        <v>2465.04</v>
      </c>
      <c r="AA76" s="184">
        <f t="shared" si="226"/>
        <v>2510.8180000000002</v>
      </c>
      <c r="AB76" s="181">
        <f>AB45</f>
        <v>2512.556</v>
      </c>
      <c r="AC76" s="181">
        <f>AC45</f>
        <v>2504.4659999999999</v>
      </c>
      <c r="AD76" s="181">
        <f>AD45</f>
        <v>2503.1979999999999</v>
      </c>
      <c r="AE76" s="182">
        <f>AE45</f>
        <v>2538.277</v>
      </c>
      <c r="AF76" s="181">
        <f>AF45</f>
        <v>2568.4369999999999</v>
      </c>
      <c r="AG76" s="181">
        <f t="shared" ref="AG76:AM76" si="227">AG45</f>
        <v>2581.212</v>
      </c>
      <c r="AH76" s="181">
        <f t="shared" si="227"/>
        <v>2612.5659999999998</v>
      </c>
      <c r="AI76" s="182">
        <f>AI45</f>
        <v>2507.998</v>
      </c>
      <c r="AJ76" s="181">
        <f>AJ45</f>
        <v>2398.4360000000001</v>
      </c>
      <c r="AK76" s="181">
        <f>AK45</f>
        <v>2356.0639999999999</v>
      </c>
      <c r="AL76" s="181">
        <f t="shared" si="227"/>
        <v>2400.6039999999998</v>
      </c>
      <c r="AM76" s="182">
        <f t="shared" si="227"/>
        <v>2429.9110000000001</v>
      </c>
      <c r="AN76" s="181">
        <f t="shared" ref="AN76:AS76" si="228">AN45</f>
        <v>2411.404</v>
      </c>
      <c r="AO76" s="181">
        <f t="shared" si="228"/>
        <v>2241.741</v>
      </c>
      <c r="AP76" s="181">
        <f t="shared" si="228"/>
        <v>2253.8490000000002</v>
      </c>
      <c r="AQ76" s="182">
        <f t="shared" si="228"/>
        <v>2290.02</v>
      </c>
      <c r="AR76" s="181">
        <f t="shared" si="228"/>
        <v>2114.8009999999999</v>
      </c>
      <c r="AS76" s="181">
        <f t="shared" si="228"/>
        <v>2148.8240000000001</v>
      </c>
      <c r="AT76" s="181">
        <f t="shared" ref="AT76:BC76" si="229">AT45</f>
        <v>2138.7629999999999</v>
      </c>
      <c r="AU76" s="182">
        <f t="shared" si="229"/>
        <v>2107.8139999999999</v>
      </c>
      <c r="AV76" s="181">
        <f t="shared" si="229"/>
        <v>2135.2359999999999</v>
      </c>
      <c r="AW76" s="181">
        <f t="shared" si="229"/>
        <v>2144.1909999999998</v>
      </c>
      <c r="AX76" s="181">
        <f t="shared" si="229"/>
        <v>2160.3090000000002</v>
      </c>
      <c r="AY76" s="182">
        <f t="shared" si="229"/>
        <v>2202.694</v>
      </c>
      <c r="AZ76" s="181">
        <f t="shared" si="229"/>
        <v>2197.7440000000001</v>
      </c>
      <c r="BA76" s="181">
        <f>BA45</f>
        <v>1985.6980000000001</v>
      </c>
      <c r="BB76" s="181">
        <f t="shared" si="229"/>
        <v>1950.991</v>
      </c>
      <c r="BC76" s="182">
        <f t="shared" si="229"/>
        <v>1889.5699032243601</v>
      </c>
      <c r="BD76" s="181">
        <f t="shared" ref="BD76:BK76" si="230">BD45</f>
        <v>1828.2612801981925</v>
      </c>
      <c r="BE76" s="181">
        <f t="shared" si="230"/>
        <v>1768.1895976123087</v>
      </c>
      <c r="BF76" s="181">
        <f t="shared" si="230"/>
        <v>1725.8529937323094</v>
      </c>
      <c r="BG76" s="182">
        <f t="shared" si="230"/>
        <v>1689.0496846576834</v>
      </c>
      <c r="BH76" s="181">
        <f t="shared" si="230"/>
        <v>1646.6064550577869</v>
      </c>
      <c r="BI76" s="181">
        <f t="shared" si="230"/>
        <v>1604.0452271303136</v>
      </c>
      <c r="BJ76" s="181">
        <f t="shared" si="230"/>
        <v>1575.4981283126656</v>
      </c>
      <c r="BK76" s="182">
        <f t="shared" si="230"/>
        <v>1557.2721349573733</v>
      </c>
      <c r="BL76" s="185"/>
      <c r="BM76" s="181">
        <f>G76</f>
        <v>2775.489</v>
      </c>
      <c r="BN76" s="181">
        <f>K76</f>
        <v>3131.9340000000002</v>
      </c>
      <c r="BO76" s="181">
        <f>O76</f>
        <v>3147.8110000000001</v>
      </c>
      <c r="BP76" s="181">
        <f>S76</f>
        <v>2594.4650000000001</v>
      </c>
      <c r="BQ76" s="181">
        <f>W76</f>
        <v>2352.9580000000001</v>
      </c>
      <c r="BR76" s="181">
        <f>AA76</f>
        <v>2510.8180000000002</v>
      </c>
      <c r="BS76" s="181">
        <f>AE76</f>
        <v>2538.277</v>
      </c>
      <c r="BT76" s="181">
        <f>AI76</f>
        <v>2507.998</v>
      </c>
      <c r="BU76" s="181">
        <f>AM76</f>
        <v>2429.9110000000001</v>
      </c>
      <c r="BV76" s="181">
        <f>AQ76</f>
        <v>2290.02</v>
      </c>
      <c r="BW76" s="181">
        <f>AU76</f>
        <v>2107.8139999999999</v>
      </c>
      <c r="BX76" s="181">
        <f>AY76</f>
        <v>2202.694</v>
      </c>
      <c r="BY76" s="181">
        <f>BC76</f>
        <v>1889.5699032243601</v>
      </c>
      <c r="BZ76" s="181">
        <f>BG76</f>
        <v>1689.0496846576834</v>
      </c>
      <c r="CA76" s="184">
        <f>BK76</f>
        <v>1557.2721349573733</v>
      </c>
      <c r="CB76" s="278"/>
      <c r="CC76" s="277"/>
      <c r="CD76" s="277"/>
      <c r="CE76" s="260"/>
      <c r="CF76" s="183">
        <f>I76</f>
        <v>2981.498</v>
      </c>
      <c r="CG76" s="181">
        <f>M76</f>
        <v>3087.018</v>
      </c>
      <c r="CH76" s="181">
        <f>Q76</f>
        <v>2741.09</v>
      </c>
      <c r="CI76" s="181">
        <f>U76</f>
        <v>2545.1329999999998</v>
      </c>
      <c r="CJ76" s="181">
        <f>Y76</f>
        <v>2384.9659999999999</v>
      </c>
      <c r="CK76" s="181">
        <f>AC76</f>
        <v>2504.4659999999999</v>
      </c>
      <c r="CL76" s="181">
        <f>AG76</f>
        <v>2581.212</v>
      </c>
      <c r="CM76" s="181">
        <f>AK76</f>
        <v>2356.0639999999999</v>
      </c>
      <c r="CN76" s="181">
        <f>AO76</f>
        <v>2241.741</v>
      </c>
      <c r="CO76" s="181">
        <f>AS76</f>
        <v>2148.8240000000001</v>
      </c>
      <c r="CP76" s="181">
        <f>AW76</f>
        <v>2144.1909999999998</v>
      </c>
      <c r="CQ76" s="181">
        <f>BA76</f>
        <v>1985.6980000000001</v>
      </c>
      <c r="CR76" s="181">
        <f>BE76</f>
        <v>1768.1895976123087</v>
      </c>
      <c r="CS76" s="184">
        <f>BI76</f>
        <v>1604.0452271303136</v>
      </c>
      <c r="CT76" s="22"/>
    </row>
    <row r="77" spans="1:98" ht="14.25" customHeight="1">
      <c r="A77" s="8"/>
      <c r="B77" s="152" t="s">
        <v>454</v>
      </c>
      <c r="C77" s="153"/>
      <c r="D77" s="154">
        <f t="shared" ref="D77:AD77" si="231">ROUND(D76,4)-ROUND(D74,4)</f>
        <v>0</v>
      </c>
      <c r="E77" s="154">
        <f t="shared" si="231"/>
        <v>0</v>
      </c>
      <c r="F77" s="154">
        <f t="shared" si="231"/>
        <v>0</v>
      </c>
      <c r="G77" s="155">
        <f t="shared" si="231"/>
        <v>0</v>
      </c>
      <c r="H77" s="154">
        <f t="shared" si="231"/>
        <v>0</v>
      </c>
      <c r="I77" s="154">
        <f t="shared" si="231"/>
        <v>0</v>
      </c>
      <c r="J77" s="154">
        <f t="shared" si="231"/>
        <v>0</v>
      </c>
      <c r="K77" s="155">
        <f t="shared" si="231"/>
        <v>0</v>
      </c>
      <c r="L77" s="154">
        <f t="shared" si="231"/>
        <v>0</v>
      </c>
      <c r="M77" s="154">
        <f t="shared" si="231"/>
        <v>0</v>
      </c>
      <c r="N77" s="154">
        <f t="shared" si="231"/>
        <v>0</v>
      </c>
      <c r="O77" s="155">
        <f t="shared" si="231"/>
        <v>0</v>
      </c>
      <c r="P77" s="154">
        <f t="shared" si="231"/>
        <v>0</v>
      </c>
      <c r="Q77" s="154">
        <f t="shared" si="231"/>
        <v>0</v>
      </c>
      <c r="R77" s="154">
        <f t="shared" si="231"/>
        <v>0</v>
      </c>
      <c r="S77" s="155">
        <f t="shared" si="231"/>
        <v>0</v>
      </c>
      <c r="T77" s="154">
        <f t="shared" si="231"/>
        <v>0</v>
      </c>
      <c r="U77" s="154">
        <f t="shared" si="231"/>
        <v>0</v>
      </c>
      <c r="V77" s="154">
        <f t="shared" si="231"/>
        <v>0</v>
      </c>
      <c r="W77" s="155">
        <f t="shared" si="231"/>
        <v>0</v>
      </c>
      <c r="X77" s="154">
        <f t="shared" si="231"/>
        <v>0</v>
      </c>
      <c r="Y77" s="154">
        <f t="shared" si="231"/>
        <v>0</v>
      </c>
      <c r="Z77" s="186">
        <f t="shared" si="231"/>
        <v>0</v>
      </c>
      <c r="AA77" s="154">
        <f t="shared" si="231"/>
        <v>0</v>
      </c>
      <c r="AB77" s="156">
        <f>ROUND(AB76,4)-ROUND(AB74,4)</f>
        <v>0</v>
      </c>
      <c r="AC77" s="154">
        <f t="shared" si="231"/>
        <v>0</v>
      </c>
      <c r="AD77" s="186">
        <f t="shared" si="231"/>
        <v>0</v>
      </c>
      <c r="AE77" s="155">
        <f t="shared" ref="AE77:AP77" si="232">ROUND(AE76,4)-ROUND(AE74,4)</f>
        <v>0</v>
      </c>
      <c r="AF77" s="156">
        <f t="shared" si="232"/>
        <v>0</v>
      </c>
      <c r="AG77" s="154">
        <f t="shared" si="232"/>
        <v>0</v>
      </c>
      <c r="AH77" s="154">
        <f t="shared" si="232"/>
        <v>0</v>
      </c>
      <c r="AI77" s="155">
        <f t="shared" si="232"/>
        <v>0</v>
      </c>
      <c r="AJ77" s="156">
        <f t="shared" si="232"/>
        <v>0</v>
      </c>
      <c r="AK77" s="154">
        <f t="shared" si="232"/>
        <v>0</v>
      </c>
      <c r="AL77" s="154">
        <f t="shared" si="232"/>
        <v>0</v>
      </c>
      <c r="AM77" s="155">
        <f t="shared" si="232"/>
        <v>0</v>
      </c>
      <c r="AN77" s="156">
        <f t="shared" si="232"/>
        <v>0</v>
      </c>
      <c r="AO77" s="154">
        <f t="shared" si="232"/>
        <v>0</v>
      </c>
      <c r="AP77" s="154">
        <f t="shared" si="232"/>
        <v>0</v>
      </c>
      <c r="AQ77" s="155">
        <f t="shared" ref="AQ77:BC77" si="233">ROUND(AQ76,4)-ROUND(AQ74,4)</f>
        <v>0</v>
      </c>
      <c r="AR77" s="156">
        <f t="shared" si="233"/>
        <v>0</v>
      </c>
      <c r="AS77" s="154">
        <f t="shared" si="233"/>
        <v>0</v>
      </c>
      <c r="AT77" s="154">
        <f t="shared" si="233"/>
        <v>0</v>
      </c>
      <c r="AU77" s="155">
        <f>ROUND(AU76,4)-ROUND(AU74,4)</f>
        <v>0</v>
      </c>
      <c r="AV77" s="156">
        <f>ROUND(AV76,4)-ROUND(AV74,4)</f>
        <v>0</v>
      </c>
      <c r="AW77" s="154">
        <f>ROUND(AW76,4)-ROUND(AW74,4)</f>
        <v>0</v>
      </c>
      <c r="AX77" s="154">
        <f t="shared" si="233"/>
        <v>0</v>
      </c>
      <c r="AY77" s="155">
        <f t="shared" si="233"/>
        <v>0</v>
      </c>
      <c r="AZ77" s="156">
        <f t="shared" si="233"/>
        <v>0</v>
      </c>
      <c r="BA77" s="154">
        <f>ROUND(BA76,4)-ROUND(BA74,4)</f>
        <v>0</v>
      </c>
      <c r="BB77" s="154">
        <f t="shared" si="233"/>
        <v>0</v>
      </c>
      <c r="BC77" s="155">
        <f t="shared" si="233"/>
        <v>0</v>
      </c>
      <c r="BD77" s="156">
        <f t="shared" ref="BD77:BK77" si="234">ROUND(BD76,4)-ROUND(BD74,4)</f>
        <v>0</v>
      </c>
      <c r="BE77" s="154">
        <f t="shared" si="234"/>
        <v>0</v>
      </c>
      <c r="BF77" s="154">
        <f t="shared" si="234"/>
        <v>0</v>
      </c>
      <c r="BG77" s="155">
        <f t="shared" si="234"/>
        <v>0</v>
      </c>
      <c r="BH77" s="156">
        <f t="shared" si="234"/>
        <v>0</v>
      </c>
      <c r="BI77" s="154">
        <f t="shared" si="234"/>
        <v>0</v>
      </c>
      <c r="BJ77" s="154">
        <f t="shared" si="234"/>
        <v>0</v>
      </c>
      <c r="BK77" s="155">
        <f t="shared" si="234"/>
        <v>0</v>
      </c>
      <c r="BL77" s="185"/>
      <c r="BM77" s="154">
        <f t="shared" ref="BM77:BS77" si="235">ROUND(BM76,4)-ROUND(BM74,4)</f>
        <v>0</v>
      </c>
      <c r="BN77" s="154">
        <f t="shared" si="235"/>
        <v>0</v>
      </c>
      <c r="BO77" s="154">
        <f t="shared" si="235"/>
        <v>0</v>
      </c>
      <c r="BP77" s="154">
        <f t="shared" si="235"/>
        <v>0</v>
      </c>
      <c r="BQ77" s="154">
        <f t="shared" si="235"/>
        <v>0</v>
      </c>
      <c r="BR77" s="154">
        <f t="shared" si="235"/>
        <v>0</v>
      </c>
      <c r="BS77" s="154">
        <f t="shared" si="235"/>
        <v>0</v>
      </c>
      <c r="BT77" s="154">
        <f t="shared" ref="BT77:CA77" si="236">ROUND(BT76,4)-ROUND(BT74,4)</f>
        <v>0</v>
      </c>
      <c r="BU77" s="154">
        <f t="shared" si="236"/>
        <v>0</v>
      </c>
      <c r="BV77" s="154">
        <f t="shared" si="236"/>
        <v>0</v>
      </c>
      <c r="BW77" s="154">
        <f t="shared" si="236"/>
        <v>0</v>
      </c>
      <c r="BX77" s="154">
        <f t="shared" si="236"/>
        <v>0</v>
      </c>
      <c r="BY77" s="154">
        <f t="shared" si="236"/>
        <v>0</v>
      </c>
      <c r="BZ77" s="154">
        <f t="shared" si="236"/>
        <v>0</v>
      </c>
      <c r="CA77" s="155">
        <f t="shared" si="236"/>
        <v>0</v>
      </c>
      <c r="CB77" s="1481"/>
      <c r="CC77" s="1433"/>
      <c r="CD77" s="1433"/>
      <c r="CE77" s="260"/>
      <c r="CF77" s="156">
        <f t="shared" ref="CF77:CL77" si="237">ROUND(CF76,4)-ROUND(CF74,4)</f>
        <v>0</v>
      </c>
      <c r="CG77" s="154">
        <f t="shared" si="237"/>
        <v>0</v>
      </c>
      <c r="CH77" s="154">
        <f t="shared" si="237"/>
        <v>0</v>
      </c>
      <c r="CI77" s="154">
        <f t="shared" si="237"/>
        <v>0</v>
      </c>
      <c r="CJ77" s="154">
        <f t="shared" si="237"/>
        <v>0</v>
      </c>
      <c r="CK77" s="154">
        <f t="shared" si="237"/>
        <v>0</v>
      </c>
      <c r="CL77" s="154">
        <f t="shared" si="237"/>
        <v>0</v>
      </c>
      <c r="CM77" s="154">
        <f t="shared" ref="CM77:CR77" si="238">ROUND(CM76,4)-ROUND(CM74,4)</f>
        <v>0</v>
      </c>
      <c r="CN77" s="154">
        <f t="shared" si="238"/>
        <v>0</v>
      </c>
      <c r="CO77" s="154">
        <f t="shared" si="238"/>
        <v>0</v>
      </c>
      <c r="CP77" s="154">
        <f t="shared" si="238"/>
        <v>0</v>
      </c>
      <c r="CQ77" s="154">
        <f t="shared" si="238"/>
        <v>0</v>
      </c>
      <c r="CR77" s="154">
        <f t="shared" si="238"/>
        <v>0</v>
      </c>
      <c r="CS77" s="155">
        <f>ROUND(CS76,4)-ROUND(CS74,4)</f>
        <v>0</v>
      </c>
      <c r="CT77" s="22"/>
    </row>
    <row r="78" spans="1:98" ht="14.25" customHeight="1">
      <c r="A78" s="8"/>
      <c r="B78" s="73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3"/>
      <c r="AF78" s="74"/>
      <c r="AG78" s="74"/>
      <c r="AH78" s="74"/>
      <c r="AI78" s="73"/>
      <c r="AJ78" s="74"/>
      <c r="AK78" s="74"/>
      <c r="AL78" s="74"/>
      <c r="AM78" s="73"/>
      <c r="AN78" s="74"/>
      <c r="AO78" s="74"/>
      <c r="AP78" s="74"/>
      <c r="AQ78" s="73"/>
      <c r="AR78" s="74"/>
      <c r="AS78" s="74"/>
      <c r="AT78" s="74"/>
      <c r="AU78" s="73"/>
      <c r="AV78" s="74"/>
      <c r="AW78" s="74"/>
      <c r="AX78" s="74"/>
      <c r="AY78" s="73"/>
      <c r="AZ78" s="74"/>
      <c r="BA78" s="74"/>
      <c r="BB78" s="74"/>
      <c r="BC78" s="73"/>
      <c r="BD78" s="74"/>
      <c r="BE78" s="74"/>
      <c r="BF78" s="74"/>
      <c r="BG78" s="73"/>
      <c r="BH78" s="74"/>
      <c r="BI78" s="74"/>
      <c r="BJ78" s="74"/>
      <c r="BK78" s="73"/>
      <c r="BL78" s="8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  <c r="CD78" s="74"/>
      <c r="CE78" s="8"/>
      <c r="CF78" s="74"/>
      <c r="CG78" s="74"/>
      <c r="CH78" s="74"/>
      <c r="CI78" s="74"/>
      <c r="CJ78" s="74"/>
      <c r="CK78" s="74"/>
      <c r="CL78" s="74"/>
      <c r="CM78" s="74"/>
      <c r="CN78" s="74"/>
      <c r="CO78" s="74"/>
      <c r="CP78" s="74"/>
      <c r="CQ78" s="74"/>
      <c r="CR78" s="74"/>
      <c r="CS78" s="74"/>
      <c r="CT78" s="8"/>
    </row>
    <row r="79" spans="1:98" ht="14.25" customHeight="1">
      <c r="A79" s="8"/>
      <c r="B79" s="77"/>
      <c r="C79" s="74"/>
      <c r="D79" s="187"/>
      <c r="E79" s="187"/>
      <c r="F79" s="74"/>
      <c r="G79" s="74"/>
      <c r="H79" s="187"/>
      <c r="I79" s="187"/>
      <c r="J79" s="74"/>
      <c r="K79" s="74"/>
      <c r="L79" s="187"/>
      <c r="M79" s="187"/>
      <c r="N79" s="74"/>
      <c r="O79" s="74"/>
      <c r="P79" s="187"/>
      <c r="Q79" s="187"/>
      <c r="R79" s="74"/>
      <c r="S79" s="74"/>
      <c r="T79" s="187"/>
      <c r="U79" s="187"/>
      <c r="V79" s="74"/>
      <c r="W79" s="74"/>
      <c r="X79" s="74"/>
      <c r="Y79" s="74"/>
      <c r="Z79" s="74"/>
      <c r="AA79" s="74"/>
      <c r="AB79" s="74"/>
      <c r="AC79" s="74"/>
      <c r="AD79" s="74"/>
      <c r="AE79" s="77"/>
      <c r="AF79" s="74"/>
      <c r="AG79" s="74"/>
      <c r="AH79" s="74"/>
      <c r="AI79" s="77">
        <f>1.93*15.5</f>
        <v>29.914999999999999</v>
      </c>
      <c r="AJ79" s="74"/>
      <c r="AK79" s="74"/>
      <c r="AL79" s="74"/>
      <c r="AM79" s="77"/>
      <c r="AN79" s="74"/>
      <c r="AO79" s="74"/>
      <c r="AP79" s="74"/>
      <c r="AQ79" s="77"/>
      <c r="AR79" s="74"/>
      <c r="AS79" s="74"/>
      <c r="AT79" s="74"/>
      <c r="AU79" s="77"/>
      <c r="AV79" s="74"/>
      <c r="AW79" s="74"/>
      <c r="AX79" s="74"/>
      <c r="AY79" s="77"/>
      <c r="AZ79" s="74"/>
      <c r="BA79" s="74"/>
      <c r="BB79" s="74"/>
      <c r="BC79" s="77"/>
      <c r="BD79" s="74"/>
      <c r="BE79" s="74"/>
      <c r="BF79" s="74"/>
      <c r="BG79" s="77"/>
      <c r="BH79" s="74"/>
      <c r="BI79" s="74"/>
      <c r="BJ79" s="74"/>
      <c r="BK79" s="77"/>
      <c r="BL79" s="8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  <c r="CC79" s="74"/>
      <c r="CD79" s="74"/>
      <c r="CE79" s="8"/>
      <c r="CF79" s="74"/>
      <c r="CG79" s="74"/>
      <c r="CH79" s="74"/>
      <c r="CI79" s="74"/>
      <c r="CJ79" s="74"/>
      <c r="CK79" s="74"/>
      <c r="CL79" s="74"/>
      <c r="CM79" s="74"/>
      <c r="CN79" s="74"/>
      <c r="CO79" s="74"/>
      <c r="CP79" s="74"/>
      <c r="CQ79" s="74"/>
      <c r="CR79" s="74"/>
      <c r="CS79" s="74"/>
      <c r="CT79" s="8"/>
    </row>
    <row r="80" spans="1:98" ht="14.25" customHeight="1">
      <c r="A80" s="8"/>
      <c r="B80" s="162" t="s">
        <v>473</v>
      </c>
      <c r="C80" s="163"/>
      <c r="D80" s="17" t="str">
        <f>D$63</f>
        <v>F1Q06A</v>
      </c>
      <c r="E80" s="18" t="str">
        <f t="shared" ref="E80:BK80" si="239">E$63</f>
        <v>F2Q06A</v>
      </c>
      <c r="F80" s="18" t="str">
        <f t="shared" si="239"/>
        <v>F3Q06A</v>
      </c>
      <c r="G80" s="19" t="str">
        <f t="shared" si="239"/>
        <v>F4Q06A</v>
      </c>
      <c r="H80" s="17" t="str">
        <f t="shared" si="239"/>
        <v>F1Q07A</v>
      </c>
      <c r="I80" s="18" t="str">
        <f t="shared" si="239"/>
        <v>F2Q07A</v>
      </c>
      <c r="J80" s="18" t="str">
        <f t="shared" si="239"/>
        <v>F3Q07A</v>
      </c>
      <c r="K80" s="19" t="str">
        <f t="shared" si="239"/>
        <v>F4Q07A</v>
      </c>
      <c r="L80" s="17" t="str">
        <f t="shared" si="239"/>
        <v>F1Q08A</v>
      </c>
      <c r="M80" s="18" t="str">
        <f t="shared" si="239"/>
        <v>F2Q08A</v>
      </c>
      <c r="N80" s="18" t="str">
        <f t="shared" si="239"/>
        <v>F3Q08A</v>
      </c>
      <c r="O80" s="19" t="str">
        <f t="shared" si="239"/>
        <v>F4Q08A</v>
      </c>
      <c r="P80" s="17" t="str">
        <f t="shared" si="239"/>
        <v>F1Q09A</v>
      </c>
      <c r="Q80" s="18" t="str">
        <f t="shared" si="239"/>
        <v>F2Q09A</v>
      </c>
      <c r="R80" s="18" t="str">
        <f t="shared" si="239"/>
        <v>F3Q09A</v>
      </c>
      <c r="S80" s="19" t="str">
        <f t="shared" si="239"/>
        <v>F4Q09A</v>
      </c>
      <c r="T80" s="17" t="str">
        <f t="shared" si="239"/>
        <v>F1Q10A</v>
      </c>
      <c r="U80" s="18" t="str">
        <f t="shared" si="239"/>
        <v>F2Q10A</v>
      </c>
      <c r="V80" s="18" t="str">
        <f t="shared" si="239"/>
        <v>F3Q10A</v>
      </c>
      <c r="W80" s="19" t="str">
        <f t="shared" si="239"/>
        <v>F4Q10A</v>
      </c>
      <c r="X80" s="17" t="str">
        <f t="shared" si="239"/>
        <v>F1Q11A</v>
      </c>
      <c r="Y80" s="18" t="str">
        <f t="shared" si="239"/>
        <v>F2Q11A</v>
      </c>
      <c r="Z80" s="18" t="str">
        <f t="shared" si="239"/>
        <v>F3Q11A</v>
      </c>
      <c r="AA80" s="19" t="str">
        <f t="shared" si="239"/>
        <v>F4Q11A</v>
      </c>
      <c r="AB80" s="17" t="str">
        <f t="shared" si="239"/>
        <v>F1Q12A</v>
      </c>
      <c r="AC80" s="18" t="str">
        <f t="shared" si="239"/>
        <v>F2Q12A</v>
      </c>
      <c r="AD80" s="18" t="str">
        <f t="shared" si="239"/>
        <v>F3Q12A</v>
      </c>
      <c r="AE80" s="19" t="str">
        <f t="shared" si="239"/>
        <v>F4Q12A</v>
      </c>
      <c r="AF80" s="17" t="str">
        <f t="shared" si="239"/>
        <v>F1Q13A</v>
      </c>
      <c r="AG80" s="18" t="str">
        <f t="shared" si="239"/>
        <v>F2Q13A</v>
      </c>
      <c r="AH80" s="18" t="str">
        <f t="shared" si="239"/>
        <v>F3Q13A</v>
      </c>
      <c r="AI80" s="19" t="str">
        <f t="shared" si="239"/>
        <v>F4Q13A</v>
      </c>
      <c r="AJ80" s="17" t="str">
        <f t="shared" si="239"/>
        <v>F1Q14A</v>
      </c>
      <c r="AK80" s="18" t="str">
        <f t="shared" si="239"/>
        <v>F2Q14</v>
      </c>
      <c r="AL80" s="18" t="str">
        <f t="shared" si="239"/>
        <v>F3Q14A</v>
      </c>
      <c r="AM80" s="19" t="str">
        <f t="shared" si="239"/>
        <v>F4Q14A</v>
      </c>
      <c r="AN80" s="17" t="str">
        <f t="shared" si="239"/>
        <v>F1Q15A</v>
      </c>
      <c r="AO80" s="18" t="str">
        <f t="shared" si="239"/>
        <v>F2Q15A</v>
      </c>
      <c r="AP80" s="18" t="str">
        <f t="shared" si="239"/>
        <v>F3Q15A</v>
      </c>
      <c r="AQ80" s="19" t="str">
        <f t="shared" si="239"/>
        <v>F4Q15A</v>
      </c>
      <c r="AR80" s="17" t="str">
        <f t="shared" si="239"/>
        <v>F1Q16A</v>
      </c>
      <c r="AS80" s="18" t="str">
        <f t="shared" si="239"/>
        <v>F2Q16A</v>
      </c>
      <c r="AT80" s="18" t="str">
        <f t="shared" si="239"/>
        <v>F3Q16A</v>
      </c>
      <c r="AU80" s="19" t="str">
        <f t="shared" si="239"/>
        <v>F4Q16A</v>
      </c>
      <c r="AV80" s="17" t="str">
        <f t="shared" si="239"/>
        <v>F1Q17A</v>
      </c>
      <c r="AW80" s="18" t="str">
        <f t="shared" si="239"/>
        <v>F2Q17A</v>
      </c>
      <c r="AX80" s="18" t="str">
        <f t="shared" si="239"/>
        <v>F3Q17A</v>
      </c>
      <c r="AY80" s="19" t="str">
        <f t="shared" si="239"/>
        <v>F4Q17A</v>
      </c>
      <c r="AZ80" s="17" t="str">
        <f t="shared" si="239"/>
        <v>F1Q18A</v>
      </c>
      <c r="BA80" s="18" t="str">
        <f t="shared" si="239"/>
        <v>F2Q18A</v>
      </c>
      <c r="BB80" s="18" t="str">
        <f t="shared" si="239"/>
        <v>F3Q18A</v>
      </c>
      <c r="BC80" s="19" t="str">
        <f t="shared" si="239"/>
        <v>F4Q18E</v>
      </c>
      <c r="BD80" s="17" t="str">
        <f t="shared" si="239"/>
        <v>F1Q19E</v>
      </c>
      <c r="BE80" s="18" t="str">
        <f t="shared" si="239"/>
        <v>F2Q19E</v>
      </c>
      <c r="BF80" s="18" t="str">
        <f t="shared" si="239"/>
        <v>F3Q19E</v>
      </c>
      <c r="BG80" s="19" t="str">
        <f t="shared" si="239"/>
        <v>F4Q19E</v>
      </c>
      <c r="BH80" s="17" t="str">
        <f t="shared" si="239"/>
        <v>F1Q20E</v>
      </c>
      <c r="BI80" s="18" t="str">
        <f t="shared" si="239"/>
        <v>F2Q20E</v>
      </c>
      <c r="BJ80" s="18" t="str">
        <f t="shared" si="239"/>
        <v>F3Q20E</v>
      </c>
      <c r="BK80" s="19" t="str">
        <f t="shared" si="239"/>
        <v>F4Q20E</v>
      </c>
      <c r="BL80" s="20"/>
      <c r="BM80" s="723" t="str">
        <f>BM$63</f>
        <v>FY2006A</v>
      </c>
      <c r="BN80" s="18" t="str">
        <f t="shared" ref="BN80:CA80" si="240">BN$63</f>
        <v>FY2007A</v>
      </c>
      <c r="BO80" s="18" t="str">
        <f t="shared" si="240"/>
        <v>FY2008A</v>
      </c>
      <c r="BP80" s="18" t="str">
        <f t="shared" si="240"/>
        <v>FY2009A</v>
      </c>
      <c r="BQ80" s="18" t="str">
        <f t="shared" si="240"/>
        <v>FY2010A</v>
      </c>
      <c r="BR80" s="18" t="str">
        <f t="shared" si="240"/>
        <v>FY2011A</v>
      </c>
      <c r="BS80" s="18" t="str">
        <f t="shared" si="240"/>
        <v>FY2012A</v>
      </c>
      <c r="BT80" s="18" t="str">
        <f t="shared" si="240"/>
        <v>FY2013A</v>
      </c>
      <c r="BU80" s="18" t="str">
        <f t="shared" si="240"/>
        <v>FY2014A</v>
      </c>
      <c r="BV80" s="18" t="str">
        <f t="shared" si="240"/>
        <v>FY2015A</v>
      </c>
      <c r="BW80" s="18" t="str">
        <f t="shared" si="240"/>
        <v>FY2016A</v>
      </c>
      <c r="BX80" s="18" t="str">
        <f t="shared" si="240"/>
        <v>FY2017A</v>
      </c>
      <c r="BY80" s="18" t="str">
        <f t="shared" si="240"/>
        <v>FY2018E</v>
      </c>
      <c r="BZ80" s="18" t="str">
        <f t="shared" si="240"/>
        <v>FY2019E</v>
      </c>
      <c r="CA80" s="19" t="str">
        <f t="shared" si="240"/>
        <v>FY2020E</v>
      </c>
      <c r="CB80" s="1470"/>
      <c r="CC80" s="1418"/>
      <c r="CD80" s="1418"/>
      <c r="CE80" s="260"/>
      <c r="CF80" s="17" t="str">
        <f>CF$63</f>
        <v>CY2006</v>
      </c>
      <c r="CG80" s="18" t="str">
        <f t="shared" ref="CG80:CS80" si="241">CG$63</f>
        <v>CY2007</v>
      </c>
      <c r="CH80" s="18" t="str">
        <f t="shared" si="241"/>
        <v>CY2008</v>
      </c>
      <c r="CI80" s="18" t="str">
        <f t="shared" si="241"/>
        <v>CY2009</v>
      </c>
      <c r="CJ80" s="18" t="str">
        <f t="shared" si="241"/>
        <v>CY2010</v>
      </c>
      <c r="CK80" s="18" t="str">
        <f t="shared" si="241"/>
        <v>CY2011</v>
      </c>
      <c r="CL80" s="18" t="str">
        <f t="shared" si="241"/>
        <v>CY2012</v>
      </c>
      <c r="CM80" s="18" t="str">
        <f t="shared" si="241"/>
        <v>CY2013</v>
      </c>
      <c r="CN80" s="18" t="str">
        <f t="shared" si="241"/>
        <v>CY2014A</v>
      </c>
      <c r="CO80" s="18" t="str">
        <f t="shared" si="241"/>
        <v>CY2015A</v>
      </c>
      <c r="CP80" s="18" t="str">
        <f t="shared" si="241"/>
        <v>CY2016A</v>
      </c>
      <c r="CQ80" s="18" t="str">
        <f t="shared" si="241"/>
        <v>CY2017E</v>
      </c>
      <c r="CR80" s="18" t="str">
        <f t="shared" si="241"/>
        <v>CY2018E</v>
      </c>
      <c r="CS80" s="19" t="str">
        <f t="shared" si="241"/>
        <v>CY2019E</v>
      </c>
      <c r="CT80" s="22"/>
    </row>
    <row r="81" spans="1:98" ht="14.25" customHeight="1">
      <c r="A81" s="8"/>
      <c r="B81" s="79" t="s">
        <v>474</v>
      </c>
      <c r="C81" s="24"/>
      <c r="D81" s="1314">
        <f>IS!D148</f>
        <v>346.69499999999999</v>
      </c>
      <c r="E81" s="1314">
        <f>IS!E148</f>
        <v>338.73899999999998</v>
      </c>
      <c r="F81" s="1314">
        <f>IS!F148</f>
        <v>336.12</v>
      </c>
      <c r="G81" s="1318">
        <f>IS!G148</f>
        <v>338.62700000000001</v>
      </c>
      <c r="H81" s="1314">
        <f>IS!H148</f>
        <v>328.21</v>
      </c>
      <c r="I81" s="1314">
        <f>IS!I148</f>
        <v>329.62</v>
      </c>
      <c r="J81" s="1314">
        <f>IS!J148</f>
        <v>330.36500000000001</v>
      </c>
      <c r="K81" s="1318">
        <f>IS!K148</f>
        <v>329.88299999999998</v>
      </c>
      <c r="L81" s="1314">
        <f>IS!L148</f>
        <v>328.87299999999999</v>
      </c>
      <c r="M81" s="1314">
        <f>IS!M148</f>
        <v>326.28399999999999</v>
      </c>
      <c r="N81" s="1314">
        <f>IS!N148</f>
        <v>322.48</v>
      </c>
      <c r="O81" s="1318">
        <f>IS!O148</f>
        <v>323.84300000000002</v>
      </c>
      <c r="P81" s="1314">
        <f>IS!P148</f>
        <v>323.815</v>
      </c>
      <c r="Q81" s="1314">
        <f>IS!Q148</f>
        <v>312.71800000000002</v>
      </c>
      <c r="R81" s="1314">
        <f>IS!R148</f>
        <v>304.41500000000002</v>
      </c>
      <c r="S81" s="1318">
        <f>IS!S148</f>
        <v>308.44200000000001</v>
      </c>
      <c r="T81" s="1314">
        <f>IS!T148</f>
        <v>312.16199999999998</v>
      </c>
      <c r="U81" s="1314">
        <f>IS!U148</f>
        <v>310.08999999999997</v>
      </c>
      <c r="V81" s="1314">
        <f>IS!V148</f>
        <v>309.44499999999999</v>
      </c>
      <c r="W81" s="1318">
        <f>IS!W148</f>
        <v>306.80599999999998</v>
      </c>
      <c r="X81" s="1314">
        <f>IS!X148</f>
        <v>301.68799999999999</v>
      </c>
      <c r="Y81" s="1314">
        <f>IS!Y148</f>
        <v>303.26</v>
      </c>
      <c r="Z81" s="1314">
        <f>IS!Z148</f>
        <v>304.51499999999999</v>
      </c>
      <c r="AA81" s="1318">
        <f>IS!AA148</f>
        <v>303.94400000000002</v>
      </c>
      <c r="AB81" s="1314">
        <f>IS!AB148</f>
        <v>301.07600000000002</v>
      </c>
      <c r="AC81" s="1314">
        <f>IS!AC148</f>
        <v>299.29000000000002</v>
      </c>
      <c r="AD81" s="1314">
        <f>IS!AD148</f>
        <v>300.221</v>
      </c>
      <c r="AE81" s="1318">
        <f>IS!AE148</f>
        <v>299.79300000000001</v>
      </c>
      <c r="AF81" s="1314">
        <f>IS!AF148</f>
        <v>298.78199999999998</v>
      </c>
      <c r="AG81" s="1314">
        <f>IS!AG148</f>
        <v>298.75900000000001</v>
      </c>
      <c r="AH81" s="1314">
        <f>IS!AH148</f>
        <v>300.08199999999999</v>
      </c>
      <c r="AI81" s="1318">
        <f>IS!AI148</f>
        <v>296.75599999999997</v>
      </c>
      <c r="AJ81" s="1314">
        <f>IS!AJ148</f>
        <v>290.26</v>
      </c>
      <c r="AK81" s="1314">
        <f>IS!AK148</f>
        <v>288.565</v>
      </c>
      <c r="AL81" s="1314">
        <f>IS!AL148</f>
        <v>288.57499999999999</v>
      </c>
      <c r="AM81" s="1318">
        <f>IS!AM148</f>
        <v>289.48700000000002</v>
      </c>
      <c r="AN81" s="1314">
        <f>IS!AN148</f>
        <v>289.43</v>
      </c>
      <c r="AO81" s="1314">
        <f>IS!AO148</f>
        <v>287.95</v>
      </c>
      <c r="AP81" s="1314">
        <f>IS!AP148</f>
        <v>288.83999999999997</v>
      </c>
      <c r="AQ81" s="1318">
        <f>IS!AQ148</f>
        <v>289.346</v>
      </c>
      <c r="AR81" s="1314">
        <f>IS!AR148</f>
        <v>288.89699999999999</v>
      </c>
      <c r="AS81" s="1314">
        <f>IS!AS148</f>
        <v>290.52100000000002</v>
      </c>
      <c r="AT81" s="1314">
        <f>IS!AT148</f>
        <v>289.78300000000002</v>
      </c>
      <c r="AU81" s="1318">
        <f>IS!AU148</f>
        <v>288.54399999999998</v>
      </c>
      <c r="AV81" s="1314">
        <f>IS!AV148</f>
        <v>288.89699999999999</v>
      </c>
      <c r="AW81" s="1314">
        <f>IS!AW148</f>
        <v>288.10599999999999</v>
      </c>
      <c r="AX81" s="1314">
        <f>IS!AX148</f>
        <v>287.88200000000001</v>
      </c>
      <c r="AY81" s="1318">
        <f>IS!AY148</f>
        <v>287.49400000000003</v>
      </c>
      <c r="AZ81" s="1314">
        <f>IS!AZ148</f>
        <v>286.43700000000001</v>
      </c>
      <c r="BA81" s="1314">
        <f>IS!BA148</f>
        <v>281.56</v>
      </c>
      <c r="BB81" s="1314">
        <f>IS!BB148</f>
        <v>285.88099999999997</v>
      </c>
      <c r="BC81" s="1318">
        <f>IS!BC148</f>
        <v>285.58099999999996</v>
      </c>
      <c r="BD81" s="1314">
        <f>IS!BD148</f>
        <v>285.28099999999995</v>
      </c>
      <c r="BE81" s="1314">
        <f>IS!BE148</f>
        <v>284.98099999999994</v>
      </c>
      <c r="BF81" s="1314">
        <f>IS!BF148</f>
        <v>284.68099999999993</v>
      </c>
      <c r="BG81" s="1318">
        <f>IS!BG148</f>
        <v>284.38099999999991</v>
      </c>
      <c r="BH81" s="1314">
        <f>IS!BH148</f>
        <v>284.0809999999999</v>
      </c>
      <c r="BI81" s="1314">
        <f>IS!BI148</f>
        <v>283.78099999999989</v>
      </c>
      <c r="BJ81" s="1314">
        <f>IS!BJ148</f>
        <v>283.48099999999988</v>
      </c>
      <c r="BK81" s="1318">
        <f>IS!BK148</f>
        <v>283.18099999999987</v>
      </c>
      <c r="BL81" s="20"/>
      <c r="BM81" s="1313">
        <f>IS!BM148</f>
        <v>340.04525000000001</v>
      </c>
      <c r="BN81" s="1314">
        <f>IS!BN148</f>
        <v>329.51949999999999</v>
      </c>
      <c r="BO81" s="1314">
        <f>IS!BO148</f>
        <v>325.37</v>
      </c>
      <c r="BP81" s="1314">
        <f>IS!BP148</f>
        <v>312.34750000000003</v>
      </c>
      <c r="BQ81" s="1314">
        <f>IS!BQ148</f>
        <v>309.62574999999998</v>
      </c>
      <c r="BR81" s="1314">
        <f>IS!BR148</f>
        <v>303.35174999999998</v>
      </c>
      <c r="BS81" s="1314">
        <f>IS!BS148</f>
        <v>300.09500000000003</v>
      </c>
      <c r="BT81" s="1314">
        <f>IS!BT148</f>
        <v>298.59474999999998</v>
      </c>
      <c r="BU81" s="1314">
        <f>IS!BU148</f>
        <v>289.22175000000004</v>
      </c>
      <c r="BV81" s="1314">
        <f>IS!BV148</f>
        <v>288.89150000000001</v>
      </c>
      <c r="BW81" s="1314">
        <f>IS!BW148</f>
        <v>289.43624999999997</v>
      </c>
      <c r="BX81" s="1314">
        <f>IS!BX148</f>
        <v>288.09474999999998</v>
      </c>
      <c r="BY81" s="1314">
        <f>IS!BY148</f>
        <v>284.86475000000002</v>
      </c>
      <c r="BZ81" s="1314">
        <f>IS!BZ148</f>
        <v>284.83099999999996</v>
      </c>
      <c r="CA81" s="1318">
        <f>IS!CA148</f>
        <v>283.63099999999991</v>
      </c>
      <c r="CB81" s="1313"/>
      <c r="CC81" s="1314"/>
      <c r="CD81" s="1314"/>
      <c r="CE81" s="260"/>
      <c r="CF81" s="1314">
        <f>IS!CF148</f>
        <v>333.14425000000006</v>
      </c>
      <c r="CG81" s="1314">
        <f>IS!CG148</f>
        <v>328.85125000000005</v>
      </c>
      <c r="CH81" s="1314">
        <f>IS!CH148</f>
        <v>320.71400000000006</v>
      </c>
      <c r="CI81" s="1314">
        <f>IS!CI148</f>
        <v>308.77724999999998</v>
      </c>
      <c r="CJ81" s="1314">
        <f>IS!CJ148</f>
        <v>305.29975000000002</v>
      </c>
      <c r="CK81" s="1314">
        <f>IS!CK148</f>
        <v>302.20625000000001</v>
      </c>
      <c r="CL81" s="1314">
        <f>IS!CL148</f>
        <v>299.38875000000002</v>
      </c>
      <c r="CM81" s="1314">
        <f>IS!CM148</f>
        <v>293.91575</v>
      </c>
      <c r="CN81" s="1314">
        <f>IS!CN148</f>
        <v>288.8605</v>
      </c>
      <c r="CO81" s="1314">
        <f>IS!CO148</f>
        <v>289.40099999999995</v>
      </c>
      <c r="CP81" s="1314">
        <f>IS!CP148</f>
        <v>288.83249999999998</v>
      </c>
      <c r="CQ81" s="1314">
        <f>IS!CQ148</f>
        <v>285.84325000000001</v>
      </c>
      <c r="CR81" s="1314">
        <f>IS!CR148</f>
        <v>285.43099999999998</v>
      </c>
      <c r="CS81" s="1318">
        <f>IS!CS148</f>
        <v>284.23099999999994</v>
      </c>
      <c r="CT81" s="22"/>
    </row>
    <row r="82" spans="1:98" ht="14.25" customHeight="1">
      <c r="A82" s="8"/>
      <c r="B82" s="23" t="s">
        <v>475</v>
      </c>
      <c r="C82" s="24"/>
      <c r="D82" s="189">
        <f t="shared" ref="D82:AC82" si="242">D45/D81</f>
        <v>7.781352485614156</v>
      </c>
      <c r="E82" s="189">
        <f t="shared" si="242"/>
        <v>7.4263843253950697</v>
      </c>
      <c r="F82" s="189">
        <f t="shared" si="242"/>
        <v>7.7591633940259435</v>
      </c>
      <c r="G82" s="190">
        <f t="shared" si="242"/>
        <v>8.1963015353176214</v>
      </c>
      <c r="H82" s="189">
        <f t="shared" si="242"/>
        <v>8.8461198622832953</v>
      </c>
      <c r="I82" s="189">
        <f t="shared" si="242"/>
        <v>9.045258176081548</v>
      </c>
      <c r="J82" s="189">
        <f t="shared" si="242"/>
        <v>9.2150439665218773</v>
      </c>
      <c r="K82" s="190">
        <f t="shared" si="242"/>
        <v>9.4940751721064753</v>
      </c>
      <c r="L82" s="189">
        <f t="shared" si="242"/>
        <v>9.1715738294113525</v>
      </c>
      <c r="M82" s="189">
        <f t="shared" si="242"/>
        <v>9.4611381495874767</v>
      </c>
      <c r="N82" s="189">
        <f t="shared" si="242"/>
        <v>9.6566298685189782</v>
      </c>
      <c r="O82" s="190">
        <f t="shared" si="242"/>
        <v>9.720176134731954</v>
      </c>
      <c r="P82" s="189">
        <f t="shared" si="242"/>
        <v>9.7481277890153333</v>
      </c>
      <c r="Q82" s="189">
        <f t="shared" si="242"/>
        <v>8.7653732756029399</v>
      </c>
      <c r="R82" s="189">
        <f t="shared" si="242"/>
        <v>8.6458518798350941</v>
      </c>
      <c r="S82" s="190">
        <f t="shared" si="242"/>
        <v>8.4115165898288815</v>
      </c>
      <c r="T82" s="189">
        <f t="shared" si="242"/>
        <v>8.2403976140593667</v>
      </c>
      <c r="U82" s="189">
        <f t="shared" si="242"/>
        <v>8.2077235641265442</v>
      </c>
      <c r="V82" s="189">
        <f t="shared" si="242"/>
        <v>7.7723731196173791</v>
      </c>
      <c r="W82" s="190">
        <f t="shared" si="242"/>
        <v>7.6692046439769763</v>
      </c>
      <c r="X82" s="189">
        <f t="shared" si="242"/>
        <v>7.7627217522738725</v>
      </c>
      <c r="Y82" s="189">
        <f t="shared" si="242"/>
        <v>7.8644265646639848</v>
      </c>
      <c r="Z82" s="189">
        <f t="shared" si="242"/>
        <v>8.0949706910989612</v>
      </c>
      <c r="AA82" s="190">
        <f t="shared" si="242"/>
        <v>8.2607914615850291</v>
      </c>
      <c r="AB82" s="189">
        <f t="shared" ref="AB82:AQ82" si="243">AB45/AB81</f>
        <v>8.3452550186663821</v>
      </c>
      <c r="AC82" s="189">
        <f t="shared" si="242"/>
        <v>8.3680243242340193</v>
      </c>
      <c r="AD82" s="189">
        <f>AD45/AD81</f>
        <v>8.337851116344293</v>
      </c>
      <c r="AE82" s="190">
        <f>AE45/AE81</f>
        <v>8.4667654014603411</v>
      </c>
      <c r="AF82" s="189">
        <f>AF45/AF81</f>
        <v>8.5963578796580791</v>
      </c>
      <c r="AG82" s="189">
        <f t="shared" si="243"/>
        <v>8.6397798894761326</v>
      </c>
      <c r="AH82" s="189">
        <f t="shared" si="243"/>
        <v>8.7061736458701287</v>
      </c>
      <c r="AI82" s="190">
        <f t="shared" si="243"/>
        <v>8.4513809324832536</v>
      </c>
      <c r="AJ82" s="189">
        <f t="shared" si="243"/>
        <v>8.2630607041962385</v>
      </c>
      <c r="AK82" s="189">
        <f t="shared" si="243"/>
        <v>8.1647601060419657</v>
      </c>
      <c r="AL82" s="189">
        <f t="shared" si="243"/>
        <v>8.3188217967599414</v>
      </c>
      <c r="AM82" s="190">
        <f>AM45/AM81</f>
        <v>8.3938518828133901</v>
      </c>
      <c r="AN82" s="189">
        <f t="shared" si="243"/>
        <v>8.3315620357253906</v>
      </c>
      <c r="AO82" s="189">
        <f t="shared" si="243"/>
        <v>7.7851745094634488</v>
      </c>
      <c r="AP82" s="189">
        <f t="shared" si="243"/>
        <v>7.8031055255504791</v>
      </c>
      <c r="AQ82" s="190">
        <f t="shared" si="243"/>
        <v>7.9144691822247415</v>
      </c>
      <c r="AR82" s="189">
        <f t="shared" ref="AR82:BC82" si="244">AR45/AR81</f>
        <v>7.3202594696379677</v>
      </c>
      <c r="AS82" s="189">
        <f t="shared" si="244"/>
        <v>7.3964498263464602</v>
      </c>
      <c r="AT82" s="189">
        <f t="shared" si="244"/>
        <v>7.3805675281158649</v>
      </c>
      <c r="AU82" s="190">
        <f t="shared" si="244"/>
        <v>7.3050002772540754</v>
      </c>
      <c r="AV82" s="189">
        <f>AV45/AV81</f>
        <v>7.3909940220909176</v>
      </c>
      <c r="AW82" s="189">
        <f>AW45/AW81</f>
        <v>7.442368433840322</v>
      </c>
      <c r="AX82" s="189">
        <f>AX45/AX81</f>
        <v>7.5041475326696361</v>
      </c>
      <c r="AY82" s="190">
        <f>AY45/AY81</f>
        <v>7.6617042442624879</v>
      </c>
      <c r="AZ82" s="189">
        <f t="shared" si="244"/>
        <v>7.6726959156812846</v>
      </c>
      <c r="BA82" s="189">
        <f t="shared" si="244"/>
        <v>7.0524861486006536</v>
      </c>
      <c r="BB82" s="189">
        <f t="shared" si="244"/>
        <v>6.8244864121784943</v>
      </c>
      <c r="BC82" s="190">
        <f t="shared" si="244"/>
        <v>6.6165812964600601</v>
      </c>
      <c r="BD82" s="189">
        <f t="shared" ref="BD82:BK82" si="245">BD45/BD81</f>
        <v>6.4086331729003785</v>
      </c>
      <c r="BE82" s="189">
        <f t="shared" si="245"/>
        <v>6.2045876658875825</v>
      </c>
      <c r="BF82" s="189">
        <f t="shared" si="245"/>
        <v>6.0624101844953122</v>
      </c>
      <c r="BG82" s="190">
        <f t="shared" si="245"/>
        <v>5.9393900600169633</v>
      </c>
      <c r="BH82" s="189">
        <f t="shared" si="245"/>
        <v>5.7962568952439177</v>
      </c>
      <c r="BI82" s="189">
        <f t="shared" si="245"/>
        <v>5.6524052953873385</v>
      </c>
      <c r="BJ82" s="189">
        <f t="shared" si="245"/>
        <v>5.5576850946365584</v>
      </c>
      <c r="BK82" s="190">
        <f t="shared" si="245"/>
        <v>5.499211228710168</v>
      </c>
      <c r="BL82" s="20"/>
      <c r="BM82" s="191">
        <f t="shared" ref="BM82:BS82" si="246">BM45/BM81</f>
        <v>8.1621166594739964</v>
      </c>
      <c r="BN82" s="191">
        <f t="shared" si="246"/>
        <v>9.5045482892514723</v>
      </c>
      <c r="BO82" s="191">
        <f t="shared" si="246"/>
        <v>9.6745581952853676</v>
      </c>
      <c r="BP82" s="191">
        <f t="shared" si="246"/>
        <v>8.3063414946493879</v>
      </c>
      <c r="BQ82" s="191">
        <f t="shared" si="246"/>
        <v>7.5993614872148072</v>
      </c>
      <c r="BR82" s="191">
        <f t="shared" si="246"/>
        <v>8.2769194507696113</v>
      </c>
      <c r="BS82" s="191">
        <f t="shared" si="246"/>
        <v>8.4582448891184452</v>
      </c>
      <c r="BT82" s="191">
        <f t="shared" ref="BT82:CA82" si="247">BT45/BT81</f>
        <v>8.3993372288025832</v>
      </c>
      <c r="BU82" s="191">
        <f t="shared" si="247"/>
        <v>8.4015500217393733</v>
      </c>
      <c r="BV82" s="191">
        <f t="shared" si="247"/>
        <v>7.9269206605247993</v>
      </c>
      <c r="BW82" s="191">
        <f t="shared" si="247"/>
        <v>7.282481029933189</v>
      </c>
      <c r="BX82" s="191">
        <f t="shared" si="247"/>
        <v>7.6457276642493488</v>
      </c>
      <c r="BY82" s="191">
        <f t="shared" si="247"/>
        <v>6.6332177049788017</v>
      </c>
      <c r="BZ82" s="191">
        <f t="shared" si="247"/>
        <v>5.9300065114319844</v>
      </c>
      <c r="CA82" s="193">
        <f t="shared" si="247"/>
        <v>5.4904863535980688</v>
      </c>
      <c r="CB82" s="1483"/>
      <c r="CC82" s="1438"/>
      <c r="CD82" s="1438"/>
      <c r="CE82" s="260"/>
      <c r="CF82" s="192">
        <f t="shared" ref="CF82:CL82" si="248">CF45/CF81</f>
        <v>8.9495706439477782</v>
      </c>
      <c r="CG82" s="191">
        <f t="shared" si="248"/>
        <v>9.3872776825388371</v>
      </c>
      <c r="CH82" s="191">
        <f t="shared" si="248"/>
        <v>8.5468361219030022</v>
      </c>
      <c r="CI82" s="191">
        <f t="shared" si="248"/>
        <v>8.2426182628415798</v>
      </c>
      <c r="CJ82" s="191">
        <f t="shared" si="248"/>
        <v>7.8118832393410074</v>
      </c>
      <c r="CK82" s="191">
        <f t="shared" si="248"/>
        <v>8.2872740057493832</v>
      </c>
      <c r="CL82" s="191">
        <f t="shared" si="248"/>
        <v>8.6216065232912058</v>
      </c>
      <c r="CM82" s="191">
        <f t="shared" ref="CM82:CR82" si="249">CM45/CM81</f>
        <v>8.0161202657564274</v>
      </c>
      <c r="CN82" s="191">
        <f t="shared" si="249"/>
        <v>7.7606353239712593</v>
      </c>
      <c r="CO82" s="191">
        <f t="shared" si="249"/>
        <v>7.4250745505371452</v>
      </c>
      <c r="CP82" s="191">
        <f t="shared" si="249"/>
        <v>7.4236486544969837</v>
      </c>
      <c r="CQ82" s="191">
        <f t="shared" si="249"/>
        <v>6.9468073848166787</v>
      </c>
      <c r="CR82" s="191">
        <f t="shared" si="249"/>
        <v>6.1948057415358138</v>
      </c>
      <c r="CS82" s="193">
        <f>CS45/CS81</f>
        <v>5.6434562983288732</v>
      </c>
      <c r="CT82" s="22"/>
    </row>
    <row r="83" spans="1:98" ht="14.25" customHeight="1">
      <c r="A83" s="8"/>
      <c r="B83" s="23" t="s">
        <v>476</v>
      </c>
      <c r="C83" s="24"/>
      <c r="D83" s="188">
        <f t="shared" ref="D83:AQ83" si="250">(D45-(D24+D23))</f>
        <v>2697.7559999999999</v>
      </c>
      <c r="E83" s="188">
        <f t="shared" si="250"/>
        <v>2515.6060000000002</v>
      </c>
      <c r="F83" s="188">
        <f t="shared" si="250"/>
        <v>2608.0100000000002</v>
      </c>
      <c r="G83" s="194">
        <f t="shared" si="250"/>
        <v>2775.489</v>
      </c>
      <c r="H83" s="188">
        <f t="shared" si="250"/>
        <v>2903.3850000000002</v>
      </c>
      <c r="I83" s="188">
        <f t="shared" si="250"/>
        <v>2981.498</v>
      </c>
      <c r="J83" s="188">
        <f t="shared" si="250"/>
        <v>3044.328</v>
      </c>
      <c r="K83" s="194">
        <f t="shared" si="250"/>
        <v>3131.9340000000002</v>
      </c>
      <c r="L83" s="188">
        <f t="shared" si="250"/>
        <v>3016.2829999999999</v>
      </c>
      <c r="M83" s="188">
        <f t="shared" si="250"/>
        <v>3087.018</v>
      </c>
      <c r="N83" s="188">
        <f t="shared" si="250"/>
        <v>3114.07</v>
      </c>
      <c r="O83" s="194">
        <f t="shared" si="250"/>
        <v>3147.8110000000001</v>
      </c>
      <c r="P83" s="188">
        <f t="shared" si="250"/>
        <v>3156.59</v>
      </c>
      <c r="Q83" s="188">
        <f t="shared" si="250"/>
        <v>2741.09</v>
      </c>
      <c r="R83" s="188">
        <f t="shared" si="250"/>
        <v>2631.9270000000001</v>
      </c>
      <c r="S83" s="194">
        <f t="shared" si="250"/>
        <v>2491.46</v>
      </c>
      <c r="T83" s="188">
        <f t="shared" si="250"/>
        <v>2572.3389999999999</v>
      </c>
      <c r="U83" s="188">
        <f t="shared" si="250"/>
        <v>2545.1329999999998</v>
      </c>
      <c r="V83" s="188">
        <f t="shared" si="250"/>
        <v>2405.1219999999998</v>
      </c>
      <c r="W83" s="194">
        <f t="shared" si="250"/>
        <v>1932.0070000000001</v>
      </c>
      <c r="X83" s="188">
        <f t="shared" si="250"/>
        <v>1851.6580000000001</v>
      </c>
      <c r="Y83" s="188">
        <f t="shared" si="250"/>
        <v>1906.739</v>
      </c>
      <c r="Z83" s="188">
        <f t="shared" si="250"/>
        <v>2001.0749999999998</v>
      </c>
      <c r="AA83" s="194">
        <f t="shared" si="250"/>
        <v>2041.4300000000003</v>
      </c>
      <c r="AB83" s="188">
        <f t="shared" si="250"/>
        <v>1844.299</v>
      </c>
      <c r="AC83" s="188">
        <f>(AC45-(AC24+AC23))</f>
        <v>1833.8809999999999</v>
      </c>
      <c r="AD83" s="188">
        <f t="shared" si="250"/>
        <v>1857.7709999999997</v>
      </c>
      <c r="AE83" s="194">
        <f t="shared" si="250"/>
        <v>1906.2910000000002</v>
      </c>
      <c r="AF83" s="188">
        <f t="shared" si="250"/>
        <v>1950.944</v>
      </c>
      <c r="AG83" s="188">
        <f t="shared" si="250"/>
        <v>1976.6079999999999</v>
      </c>
      <c r="AH83" s="188">
        <f t="shared" si="250"/>
        <v>2024.9709999999998</v>
      </c>
      <c r="AI83" s="194">
        <f t="shared" si="250"/>
        <v>1928.848</v>
      </c>
      <c r="AJ83" s="188">
        <f t="shared" si="250"/>
        <v>1830.8140000000001</v>
      </c>
      <c r="AK83" s="188">
        <f t="shared" si="250"/>
        <v>1354.5139999999999</v>
      </c>
      <c r="AL83" s="188">
        <f t="shared" si="250"/>
        <v>1418.7609999999997</v>
      </c>
      <c r="AM83" s="194">
        <f>(AM45-(AM24+AM23))</f>
        <v>1472.2800000000002</v>
      </c>
      <c r="AN83" s="188">
        <f t="shared" si="250"/>
        <v>1478.046</v>
      </c>
      <c r="AO83" s="188">
        <f t="shared" si="250"/>
        <v>1423.7919999999999</v>
      </c>
      <c r="AP83" s="188">
        <f t="shared" si="250"/>
        <v>1458.64</v>
      </c>
      <c r="AQ83" s="194">
        <f t="shared" si="250"/>
        <v>1516.721</v>
      </c>
      <c r="AR83" s="188">
        <f t="shared" ref="AR83:BC83" si="251">(AR45-(AR24+AR23))</f>
        <v>1361.731</v>
      </c>
      <c r="AS83" s="188">
        <f t="shared" si="251"/>
        <v>1455.299</v>
      </c>
      <c r="AT83" s="188">
        <f t="shared" si="251"/>
        <v>1459.605</v>
      </c>
      <c r="AU83" s="194">
        <f t="shared" si="251"/>
        <v>1470.6259999999997</v>
      </c>
      <c r="AV83" s="188">
        <f>(AV45-(AV24+AV23))</f>
        <v>1512.7249999999999</v>
      </c>
      <c r="AW83" s="188">
        <f>(AW45-(AW24+AW23))</f>
        <v>1535.7829999999999</v>
      </c>
      <c r="AX83" s="188">
        <f>(AX45-(AX24+AX23))</f>
        <v>1565.3130000000001</v>
      </c>
      <c r="AY83" s="194">
        <f>(AY45-(AY24+AY23))</f>
        <v>1620.8119999999999</v>
      </c>
      <c r="AZ83" s="188">
        <f t="shared" si="251"/>
        <v>1626.8790000000001</v>
      </c>
      <c r="BA83" s="188">
        <f t="shared" si="251"/>
        <v>1426.9670000000001</v>
      </c>
      <c r="BB83" s="188">
        <f t="shared" si="251"/>
        <v>1327.239</v>
      </c>
      <c r="BC83" s="194">
        <f t="shared" si="251"/>
        <v>1265.8179032243602</v>
      </c>
      <c r="BD83" s="188">
        <f t="shared" ref="BD83:BK83" si="252">(BD45-(BD24+BD23))</f>
        <v>1204.5092801981925</v>
      </c>
      <c r="BE83" s="188">
        <f t="shared" si="252"/>
        <v>1144.4375976123088</v>
      </c>
      <c r="BF83" s="188">
        <f t="shared" si="252"/>
        <v>1102.1009937323095</v>
      </c>
      <c r="BG83" s="194">
        <f t="shared" si="252"/>
        <v>1065.2976846576835</v>
      </c>
      <c r="BH83" s="188">
        <f t="shared" si="252"/>
        <v>1022.8544550577869</v>
      </c>
      <c r="BI83" s="188">
        <f t="shared" si="252"/>
        <v>980.29322713031365</v>
      </c>
      <c r="BJ83" s="188">
        <f t="shared" si="252"/>
        <v>951.74612831266563</v>
      </c>
      <c r="BK83" s="194">
        <f t="shared" si="252"/>
        <v>933.52013495737333</v>
      </c>
      <c r="BL83" s="20"/>
      <c r="BM83" s="195">
        <f t="shared" ref="BM83:BV83" si="253">(BM45-(BM24+BM23))</f>
        <v>2775.489</v>
      </c>
      <c r="BN83" s="195">
        <f t="shared" si="253"/>
        <v>3131.9340000000002</v>
      </c>
      <c r="BO83" s="195">
        <f t="shared" si="253"/>
        <v>3147.8110000000001</v>
      </c>
      <c r="BP83" s="195">
        <f t="shared" si="253"/>
        <v>2491.46</v>
      </c>
      <c r="BQ83" s="195">
        <f t="shared" si="253"/>
        <v>1932.0070000000001</v>
      </c>
      <c r="BR83" s="195">
        <f t="shared" si="253"/>
        <v>2041.4300000000003</v>
      </c>
      <c r="BS83" s="195">
        <f t="shared" si="253"/>
        <v>1906.2910000000002</v>
      </c>
      <c r="BT83" s="195">
        <f t="shared" si="253"/>
        <v>1928.848</v>
      </c>
      <c r="BU83" s="195">
        <f t="shared" si="253"/>
        <v>1472.2800000000002</v>
      </c>
      <c r="BV83" s="195">
        <f t="shared" si="253"/>
        <v>1516.721</v>
      </c>
      <c r="BW83" s="195">
        <f>(BW45-(BW24+BW23))</f>
        <v>1470.6259999999997</v>
      </c>
      <c r="BX83" s="195">
        <f>(BX45-(BX24+BX23))</f>
        <v>1620.8119999999999</v>
      </c>
      <c r="BY83" s="195">
        <f>(BY45-(BY24+BY23))</f>
        <v>1265.8179032243602</v>
      </c>
      <c r="BZ83" s="195">
        <f>(BZ45-(BZ24+BZ23))</f>
        <v>1065.2976846576835</v>
      </c>
      <c r="CA83" s="197">
        <f>(CA45-(CA24+CA23))</f>
        <v>933.52013495737333</v>
      </c>
      <c r="CB83" s="1484"/>
      <c r="CC83" s="1439"/>
      <c r="CD83" s="1439"/>
      <c r="CE83" s="260"/>
      <c r="CF83" s="196">
        <f t="shared" ref="CF83:CN83" si="254">(CF45-(CF24+CF23))</f>
        <v>2981.498</v>
      </c>
      <c r="CG83" s="195">
        <f t="shared" si="254"/>
        <v>3087.018</v>
      </c>
      <c r="CH83" s="195">
        <f t="shared" si="254"/>
        <v>2741.09</v>
      </c>
      <c r="CI83" s="195">
        <f t="shared" si="254"/>
        <v>2545.1329999999998</v>
      </c>
      <c r="CJ83" s="195">
        <f t="shared" si="254"/>
        <v>1906.739</v>
      </c>
      <c r="CK83" s="195">
        <f t="shared" si="254"/>
        <v>1833.8809999999999</v>
      </c>
      <c r="CL83" s="195">
        <f t="shared" si="254"/>
        <v>1976.6079999999999</v>
      </c>
      <c r="CM83" s="195">
        <f t="shared" si="254"/>
        <v>1354.5139999999999</v>
      </c>
      <c r="CN83" s="195">
        <f t="shared" si="254"/>
        <v>1423.7919999999999</v>
      </c>
      <c r="CO83" s="195">
        <f>(CO45-(CO24+CO23))</f>
        <v>1455.299</v>
      </c>
      <c r="CP83" s="195">
        <f>(CP45-(CP24+CP23))</f>
        <v>1535.7829999999999</v>
      </c>
      <c r="CQ83" s="195">
        <f>(CQ45-(CQ24+CQ23))</f>
        <v>1426.9670000000001</v>
      </c>
      <c r="CR83" s="195">
        <f>(CR45-(CR24+CR23))</f>
        <v>1144.4375976123088</v>
      </c>
      <c r="CS83" s="197">
        <f>(CS45-(CS24+CS23))</f>
        <v>980.29322713031365</v>
      </c>
      <c r="CT83" s="22"/>
    </row>
    <row r="84" spans="1:98" ht="14.25" customHeight="1">
      <c r="A84" s="8"/>
      <c r="B84" s="23" t="s">
        <v>477</v>
      </c>
      <c r="C84" s="24"/>
      <c r="D84" s="188">
        <f t="shared" ref="D84:AC84" si="255">D83/D81</f>
        <v>7.781352485614156</v>
      </c>
      <c r="E84" s="188">
        <f t="shared" si="255"/>
        <v>7.4263843253950697</v>
      </c>
      <c r="F84" s="188">
        <f t="shared" si="255"/>
        <v>7.7591633940259435</v>
      </c>
      <c r="G84" s="194">
        <f t="shared" si="255"/>
        <v>8.1963015353176214</v>
      </c>
      <c r="H84" s="188">
        <f t="shared" si="255"/>
        <v>8.8461198622832953</v>
      </c>
      <c r="I84" s="188">
        <f t="shared" si="255"/>
        <v>9.045258176081548</v>
      </c>
      <c r="J84" s="188">
        <f t="shared" si="255"/>
        <v>9.2150439665218773</v>
      </c>
      <c r="K84" s="194">
        <f t="shared" si="255"/>
        <v>9.4940751721064753</v>
      </c>
      <c r="L84" s="188">
        <f t="shared" si="255"/>
        <v>9.1715738294113525</v>
      </c>
      <c r="M84" s="188">
        <f t="shared" si="255"/>
        <v>9.4611381495874767</v>
      </c>
      <c r="N84" s="188">
        <f t="shared" si="255"/>
        <v>9.6566298685189782</v>
      </c>
      <c r="O84" s="194">
        <f t="shared" si="255"/>
        <v>9.720176134731954</v>
      </c>
      <c r="P84" s="188">
        <f t="shared" si="255"/>
        <v>9.7481277890153333</v>
      </c>
      <c r="Q84" s="188">
        <f t="shared" si="255"/>
        <v>8.7653732756029399</v>
      </c>
      <c r="R84" s="188">
        <f t="shared" si="255"/>
        <v>8.6458518798350941</v>
      </c>
      <c r="S84" s="194">
        <f t="shared" si="255"/>
        <v>8.0775640152767778</v>
      </c>
      <c r="T84" s="188">
        <f t="shared" si="255"/>
        <v>8.2403976140593667</v>
      </c>
      <c r="U84" s="188">
        <f t="shared" si="255"/>
        <v>8.2077235641265442</v>
      </c>
      <c r="V84" s="188">
        <f t="shared" si="255"/>
        <v>7.7723731196173791</v>
      </c>
      <c r="W84" s="194">
        <f t="shared" si="255"/>
        <v>6.2971617243469824</v>
      </c>
      <c r="X84" s="188">
        <f t="shared" si="255"/>
        <v>6.1376587733022205</v>
      </c>
      <c r="Y84" s="188">
        <f t="shared" si="255"/>
        <v>6.2874727956209195</v>
      </c>
      <c r="Z84" s="188">
        <f t="shared" si="255"/>
        <v>6.5713511649672425</v>
      </c>
      <c r="AA84" s="194">
        <f t="shared" si="255"/>
        <v>6.7164675071723741</v>
      </c>
      <c r="AB84" s="188">
        <f t="shared" ref="AB84:AQ84" si="256">AB83/AB81</f>
        <v>6.1256925161753175</v>
      </c>
      <c r="AC84" s="188">
        <f t="shared" si="255"/>
        <v>6.1274382705736903</v>
      </c>
      <c r="AD84" s="188">
        <f>AD83/AD81</f>
        <v>6.1880114981963281</v>
      </c>
      <c r="AE84" s="194">
        <f>AE83/AE81</f>
        <v>6.3586908300060383</v>
      </c>
      <c r="AF84" s="188">
        <f>AF83/AF81</f>
        <v>6.5296570743886848</v>
      </c>
      <c r="AG84" s="188">
        <f t="shared" si="256"/>
        <v>6.6160617755448365</v>
      </c>
      <c r="AH84" s="188">
        <f t="shared" si="256"/>
        <v>6.7480588639105301</v>
      </c>
      <c r="AI84" s="194">
        <f t="shared" si="256"/>
        <v>6.4997775950612633</v>
      </c>
      <c r="AJ84" s="188">
        <f t="shared" si="256"/>
        <v>6.3074967270722802</v>
      </c>
      <c r="AK84" s="188">
        <f t="shared" si="256"/>
        <v>4.6939649645660424</v>
      </c>
      <c r="AL84" s="188">
        <f t="shared" si="256"/>
        <v>4.9164376678506443</v>
      </c>
      <c r="AM84" s="194">
        <f>AM83/AM81</f>
        <v>5.0858242339034225</v>
      </c>
      <c r="AN84" s="188">
        <f t="shared" si="256"/>
        <v>5.1067477455688772</v>
      </c>
      <c r="AO84" s="188">
        <f t="shared" si="256"/>
        <v>4.9445806563639518</v>
      </c>
      <c r="AP84" s="188">
        <f t="shared" si="256"/>
        <v>5.0499930757512814</v>
      </c>
      <c r="AQ84" s="194">
        <f t="shared" si="256"/>
        <v>5.2418937880599694</v>
      </c>
      <c r="AR84" s="188">
        <f t="shared" ref="AR84:BC84" si="257">AR83/AR81</f>
        <v>4.7135518887354317</v>
      </c>
      <c r="AS84" s="188">
        <f t="shared" si="257"/>
        <v>5.0092729957559001</v>
      </c>
      <c r="AT84" s="188">
        <f t="shared" si="257"/>
        <v>5.0368896726170957</v>
      </c>
      <c r="AU84" s="194">
        <f t="shared" si="257"/>
        <v>5.0967131529333471</v>
      </c>
      <c r="AV84" s="188">
        <f>AV83/AV81</f>
        <v>5.2362087526004073</v>
      </c>
      <c r="AW84" s="188">
        <f>AW83/AW81</f>
        <v>5.330617897579363</v>
      </c>
      <c r="AX84" s="188">
        <f>AX83/AX81</f>
        <v>5.4373423833376178</v>
      </c>
      <c r="AY84" s="194">
        <f>AY83/AY81</f>
        <v>5.6377246133832353</v>
      </c>
      <c r="AZ84" s="188">
        <f t="shared" si="257"/>
        <v>5.6797096743786595</v>
      </c>
      <c r="BA84" s="188">
        <f t="shared" si="257"/>
        <v>5.0680743003267512</v>
      </c>
      <c r="BB84" s="188">
        <f t="shared" si="257"/>
        <v>4.6426275268380905</v>
      </c>
      <c r="BC84" s="194">
        <f t="shared" si="257"/>
        <v>4.4324303900622253</v>
      </c>
      <c r="BD84" s="188">
        <f t="shared" ref="BD84:BK84" si="258">BD83/BD81</f>
        <v>4.2221854248905215</v>
      </c>
      <c r="BE84" s="188">
        <f t="shared" si="258"/>
        <v>4.0158382404872919</v>
      </c>
      <c r="BF84" s="188">
        <f t="shared" si="258"/>
        <v>3.871354230638187</v>
      </c>
      <c r="BG84" s="194">
        <f t="shared" si="258"/>
        <v>3.7460227112841005</v>
      </c>
      <c r="BH84" s="188">
        <f t="shared" si="258"/>
        <v>3.600573269799062</v>
      </c>
      <c r="BI84" s="188">
        <f t="shared" si="258"/>
        <v>3.4544004959116856</v>
      </c>
      <c r="BJ84" s="188">
        <f t="shared" si="258"/>
        <v>3.3573542082632204</v>
      </c>
      <c r="BK84" s="194">
        <f t="shared" si="258"/>
        <v>3.2965493269582837</v>
      </c>
      <c r="BL84" s="20"/>
      <c r="BM84" s="195">
        <f t="shared" ref="BM84:BS84" si="259">BM83/BM81</f>
        <v>8.1621166594739964</v>
      </c>
      <c r="BN84" s="195">
        <f t="shared" si="259"/>
        <v>9.5045482892514723</v>
      </c>
      <c r="BO84" s="195">
        <f t="shared" si="259"/>
        <v>9.6745581952853676</v>
      </c>
      <c r="BP84" s="195">
        <f t="shared" si="259"/>
        <v>7.9765645635069911</v>
      </c>
      <c r="BQ84" s="195">
        <f t="shared" si="259"/>
        <v>6.239813710584472</v>
      </c>
      <c r="BR84" s="195">
        <f t="shared" si="259"/>
        <v>6.7295804293200892</v>
      </c>
      <c r="BS84" s="195">
        <f t="shared" si="259"/>
        <v>6.3522917742714808</v>
      </c>
      <c r="BT84" s="195">
        <f t="shared" ref="BT84:CA84" si="260">BT83/BT81</f>
        <v>6.4597518878011089</v>
      </c>
      <c r="BU84" s="195">
        <f t="shared" si="260"/>
        <v>5.0904885265371638</v>
      </c>
      <c r="BV84" s="195">
        <f t="shared" si="260"/>
        <v>5.2501406237289778</v>
      </c>
      <c r="BW84" s="195">
        <f t="shared" si="260"/>
        <v>5.0810014295030426</v>
      </c>
      <c r="BX84" s="195">
        <f t="shared" si="260"/>
        <v>5.6259685398640551</v>
      </c>
      <c r="BY84" s="195">
        <f t="shared" si="260"/>
        <v>4.4435750763278365</v>
      </c>
      <c r="BZ84" s="195">
        <f t="shared" si="260"/>
        <v>3.7401044291445933</v>
      </c>
      <c r="CA84" s="197">
        <f t="shared" si="260"/>
        <v>3.2913191257562593</v>
      </c>
      <c r="CB84" s="1484"/>
      <c r="CC84" s="1439"/>
      <c r="CD84" s="1439"/>
      <c r="CE84" s="260"/>
      <c r="CF84" s="196">
        <f t="shared" ref="CF84:CL84" si="261">CF83/CF81</f>
        <v>8.9495706439477782</v>
      </c>
      <c r="CG84" s="195">
        <f t="shared" si="261"/>
        <v>9.3872776825388371</v>
      </c>
      <c r="CH84" s="195">
        <f t="shared" si="261"/>
        <v>8.5468361219030022</v>
      </c>
      <c r="CI84" s="195">
        <f t="shared" si="261"/>
        <v>8.2426182628415798</v>
      </c>
      <c r="CJ84" s="195">
        <f t="shared" si="261"/>
        <v>6.2454653172824406</v>
      </c>
      <c r="CK84" s="195">
        <f t="shared" si="261"/>
        <v>6.0683093086261444</v>
      </c>
      <c r="CL84" s="195">
        <f t="shared" si="261"/>
        <v>6.6021452041868631</v>
      </c>
      <c r="CM84" s="195">
        <f t="shared" ref="CM84:CR84" si="262">CM83/CM81</f>
        <v>4.6085111124531428</v>
      </c>
      <c r="CN84" s="195">
        <f t="shared" si="262"/>
        <v>4.928995137791425</v>
      </c>
      <c r="CO84" s="195">
        <f t="shared" si="262"/>
        <v>5.028659196063594</v>
      </c>
      <c r="CP84" s="195">
        <f t="shared" si="262"/>
        <v>5.3172098015285671</v>
      </c>
      <c r="CQ84" s="195">
        <f t="shared" si="262"/>
        <v>4.9921311767900765</v>
      </c>
      <c r="CR84" s="195">
        <f t="shared" si="262"/>
        <v>4.0095070178512806</v>
      </c>
      <c r="CS84" s="197">
        <f>CS83/CS81</f>
        <v>3.4489314224356735</v>
      </c>
      <c r="CT84" s="22"/>
    </row>
    <row r="85" spans="1:98" ht="14.25" customHeight="1">
      <c r="A85" s="8"/>
      <c r="B85" s="23" t="s">
        <v>478</v>
      </c>
      <c r="C85" s="24"/>
      <c r="D85" s="188">
        <f t="shared" ref="D85:AA85" si="263">D11+D12</f>
        <v>1585.1130000000001</v>
      </c>
      <c r="E85" s="188">
        <f t="shared" si="263"/>
        <v>1341.3960000000002</v>
      </c>
      <c r="F85" s="188">
        <f t="shared" si="263"/>
        <v>1336.1009999999999</v>
      </c>
      <c r="G85" s="194">
        <f t="shared" si="263"/>
        <v>1342.65</v>
      </c>
      <c r="H85" s="188">
        <f t="shared" si="263"/>
        <v>1393.472</v>
      </c>
      <c r="I85" s="188">
        <f t="shared" si="263"/>
        <v>1315.7370000000001</v>
      </c>
      <c r="J85" s="188">
        <f t="shared" si="263"/>
        <v>1324.25</v>
      </c>
      <c r="K85" s="194">
        <f t="shared" si="263"/>
        <v>1299.3539999999998</v>
      </c>
      <c r="L85" s="188">
        <f t="shared" si="263"/>
        <v>1348.9650000000001</v>
      </c>
      <c r="M85" s="188">
        <f t="shared" si="263"/>
        <v>1154.8009999999999</v>
      </c>
      <c r="N85" s="188">
        <f t="shared" si="263"/>
        <v>1189.0509999999999</v>
      </c>
      <c r="O85" s="194">
        <f t="shared" si="263"/>
        <v>1218.1980000000001</v>
      </c>
      <c r="P85" s="188">
        <f t="shared" si="263"/>
        <v>1256.4559999999999</v>
      </c>
      <c r="Q85" s="188">
        <f t="shared" si="263"/>
        <v>925.45900000000006</v>
      </c>
      <c r="R85" s="188">
        <f t="shared" si="263"/>
        <v>898.29899999999998</v>
      </c>
      <c r="S85" s="194">
        <f t="shared" si="263"/>
        <v>913.40300000000002</v>
      </c>
      <c r="T85" s="188">
        <f t="shared" si="263"/>
        <v>937.58</v>
      </c>
      <c r="U85" s="188">
        <f t="shared" si="263"/>
        <v>838.56000000000006</v>
      </c>
      <c r="V85" s="188">
        <f t="shared" si="263"/>
        <v>858.86099999999999</v>
      </c>
      <c r="W85" s="194">
        <f t="shared" si="263"/>
        <v>826.51199999999994</v>
      </c>
      <c r="X85" s="188">
        <f t="shared" si="263"/>
        <v>718.28</v>
      </c>
      <c r="Y85" s="188">
        <f t="shared" si="263"/>
        <v>798.34400000000005</v>
      </c>
      <c r="Z85" s="188">
        <f t="shared" si="263"/>
        <v>918.84699999999998</v>
      </c>
      <c r="AA85" s="194">
        <f t="shared" si="263"/>
        <v>1012.8870000000001</v>
      </c>
      <c r="AB85" s="188">
        <f t="shared" ref="AB85:AG85" si="264">AB11+AB12</f>
        <v>760.34</v>
      </c>
      <c r="AC85" s="188">
        <f t="shared" si="264"/>
        <v>816.53499999999997</v>
      </c>
      <c r="AD85" s="188">
        <f t="shared" si="264"/>
        <v>935.95600000000002</v>
      </c>
      <c r="AE85" s="194">
        <f t="shared" si="264"/>
        <v>956.38599999999997</v>
      </c>
      <c r="AF85" s="188">
        <f t="shared" si="264"/>
        <v>925.13300000000004</v>
      </c>
      <c r="AG85" s="188">
        <f t="shared" si="264"/>
        <v>1030.299</v>
      </c>
      <c r="AH85" s="188">
        <f t="shared" ref="AH85:AQ85" si="265">AH11+AH12</f>
        <v>1573.075</v>
      </c>
      <c r="AI85" s="194">
        <f t="shared" si="265"/>
        <v>1200.046</v>
      </c>
      <c r="AJ85" s="188">
        <f t="shared" si="265"/>
        <v>1034.5830000000001</v>
      </c>
      <c r="AK85" s="188">
        <f t="shared" si="265"/>
        <v>1149.9090000000001</v>
      </c>
      <c r="AL85" s="188">
        <f t="shared" si="265"/>
        <v>1231.248</v>
      </c>
      <c r="AM85" s="194">
        <f>AM11+AM12</f>
        <v>1372.425</v>
      </c>
      <c r="AN85" s="188">
        <f t="shared" si="265"/>
        <v>1318.9770000000001</v>
      </c>
      <c r="AO85" s="188">
        <f t="shared" si="265"/>
        <v>1380.8819999999998</v>
      </c>
      <c r="AP85" s="188">
        <f t="shared" si="265"/>
        <v>1467.3389999999999</v>
      </c>
      <c r="AQ85" s="194">
        <f t="shared" si="265"/>
        <v>1626.1189999999999</v>
      </c>
      <c r="AR85" s="188">
        <f t="shared" ref="AR85:BC85" si="266">AR11+AR12</f>
        <v>1608.6320000000001</v>
      </c>
      <c r="AS85" s="188">
        <f t="shared" si="266"/>
        <v>1773.473</v>
      </c>
      <c r="AT85" s="188">
        <f t="shared" si="266"/>
        <v>1860.4159999999999</v>
      </c>
      <c r="AU85" s="194">
        <f t="shared" si="266"/>
        <v>2230.6679999999997</v>
      </c>
      <c r="AV85" s="188">
        <f>AV11+AV12</f>
        <v>2267.5139999999997</v>
      </c>
      <c r="AW85" s="188">
        <f>AW11+AW12</f>
        <v>2086.8959999999997</v>
      </c>
      <c r="AX85" s="188">
        <f>AX11+AX12</f>
        <v>2155.8810000000003</v>
      </c>
      <c r="AY85" s="194">
        <f>AY11+AY12</f>
        <v>2744.8389999999999</v>
      </c>
      <c r="AZ85" s="188">
        <f t="shared" si="266"/>
        <v>2773.9870000000001</v>
      </c>
      <c r="BA85" s="188">
        <f t="shared" si="266"/>
        <v>2823.2750000000001</v>
      </c>
      <c r="BB85" s="188">
        <f t="shared" si="266"/>
        <v>2724.3940000000002</v>
      </c>
      <c r="BC85" s="194">
        <f t="shared" si="266"/>
        <v>2686.5041048845133</v>
      </c>
      <c r="BD85" s="188">
        <f t="shared" ref="BD85:BK85" si="267">BD11+BD12</f>
        <v>2690.74979139893</v>
      </c>
      <c r="BE85" s="188">
        <f t="shared" si="267"/>
        <v>2673.9507920038013</v>
      </c>
      <c r="BF85" s="188">
        <f t="shared" si="267"/>
        <v>2649.6379545205655</v>
      </c>
      <c r="BG85" s="194">
        <f t="shared" si="267"/>
        <v>2651.8500596869326</v>
      </c>
      <c r="BH85" s="188">
        <f t="shared" si="267"/>
        <v>2660.4616036562247</v>
      </c>
      <c r="BI85" s="188">
        <f t="shared" si="267"/>
        <v>2661.428437257252</v>
      </c>
      <c r="BJ85" s="188">
        <f t="shared" si="267"/>
        <v>2655.4595629371861</v>
      </c>
      <c r="BK85" s="194">
        <f t="shared" si="267"/>
        <v>2666.2813260140974</v>
      </c>
      <c r="BL85" s="20"/>
      <c r="BM85" s="195">
        <f t="shared" ref="BM85:BS85" si="268">BM11+BM12</f>
        <v>1342.65</v>
      </c>
      <c r="BN85" s="195">
        <f t="shared" si="268"/>
        <v>1299.3539999999998</v>
      </c>
      <c r="BO85" s="195">
        <f t="shared" si="268"/>
        <v>1218.1980000000001</v>
      </c>
      <c r="BP85" s="195">
        <f t="shared" si="268"/>
        <v>913.40300000000002</v>
      </c>
      <c r="BQ85" s="195">
        <f t="shared" si="268"/>
        <v>826.51199999999994</v>
      </c>
      <c r="BR85" s="195">
        <f t="shared" si="268"/>
        <v>1012.8870000000001</v>
      </c>
      <c r="BS85" s="195">
        <f t="shared" si="268"/>
        <v>956.38599999999997</v>
      </c>
      <c r="BT85" s="195">
        <f t="shared" ref="BT85:CA85" si="269">BT11+BT12</f>
        <v>1200.046</v>
      </c>
      <c r="BU85" s="195">
        <f t="shared" si="269"/>
        <v>1372.425</v>
      </c>
      <c r="BV85" s="195">
        <f t="shared" si="269"/>
        <v>1626.1189999999999</v>
      </c>
      <c r="BW85" s="195">
        <f t="shared" si="269"/>
        <v>2230.6679999999997</v>
      </c>
      <c r="BX85" s="195">
        <f t="shared" si="269"/>
        <v>2744.8389999999999</v>
      </c>
      <c r="BY85" s="195">
        <f t="shared" si="269"/>
        <v>2686.5041048845133</v>
      </c>
      <c r="BZ85" s="195">
        <f t="shared" si="269"/>
        <v>2651.8500596869326</v>
      </c>
      <c r="CA85" s="197">
        <f t="shared" si="269"/>
        <v>2666.2813260140974</v>
      </c>
      <c r="CB85" s="1484"/>
      <c r="CC85" s="1439"/>
      <c r="CD85" s="1439"/>
      <c r="CE85" s="260"/>
      <c r="CF85" s="196">
        <f t="shared" ref="CF85:CL85" si="270">CF11+CF12</f>
        <v>1315.7370000000001</v>
      </c>
      <c r="CG85" s="195">
        <f t="shared" si="270"/>
        <v>1154.8009999999999</v>
      </c>
      <c r="CH85" s="195">
        <f t="shared" si="270"/>
        <v>925.45900000000006</v>
      </c>
      <c r="CI85" s="195">
        <f t="shared" si="270"/>
        <v>838.56000000000006</v>
      </c>
      <c r="CJ85" s="195">
        <f t="shared" si="270"/>
        <v>798.34400000000005</v>
      </c>
      <c r="CK85" s="195">
        <f t="shared" si="270"/>
        <v>816.53499999999997</v>
      </c>
      <c r="CL85" s="195">
        <f t="shared" si="270"/>
        <v>1030.299</v>
      </c>
      <c r="CM85" s="195">
        <f t="shared" ref="CM85:CR85" si="271">CM11+CM12</f>
        <v>1149.9090000000001</v>
      </c>
      <c r="CN85" s="195">
        <f t="shared" si="271"/>
        <v>1380.8819999999998</v>
      </c>
      <c r="CO85" s="195">
        <f t="shared" si="271"/>
        <v>1773.473</v>
      </c>
      <c r="CP85" s="195">
        <f t="shared" si="271"/>
        <v>2086.8959999999997</v>
      </c>
      <c r="CQ85" s="195">
        <f t="shared" si="271"/>
        <v>2823.2750000000001</v>
      </c>
      <c r="CR85" s="195">
        <f t="shared" si="271"/>
        <v>2673.9507920038013</v>
      </c>
      <c r="CS85" s="197">
        <f>CS11+CS12</f>
        <v>2661.428437257252</v>
      </c>
      <c r="CT85" s="22"/>
    </row>
    <row r="86" spans="1:98" ht="14.25" customHeight="1">
      <c r="A86" s="8"/>
      <c r="B86" s="23" t="s">
        <v>479</v>
      </c>
      <c r="C86" s="24"/>
      <c r="D86" s="188">
        <f t="shared" ref="D86:AC86" si="272">D85/D81</f>
        <v>4.5720676675464027</v>
      </c>
      <c r="E86" s="188">
        <f t="shared" si="272"/>
        <v>3.9599691798110057</v>
      </c>
      <c r="F86" s="188">
        <f t="shared" si="272"/>
        <v>3.9750714030703316</v>
      </c>
      <c r="G86" s="194">
        <f t="shared" si="272"/>
        <v>3.9649821189686589</v>
      </c>
      <c r="H86" s="188">
        <f t="shared" si="272"/>
        <v>4.2456719783065724</v>
      </c>
      <c r="I86" s="188">
        <f t="shared" si="272"/>
        <v>3.9916782962198898</v>
      </c>
      <c r="J86" s="188">
        <f t="shared" si="272"/>
        <v>4.0084452045464865</v>
      </c>
      <c r="K86" s="194">
        <f t="shared" si="272"/>
        <v>3.9388328589227086</v>
      </c>
      <c r="L86" s="188">
        <f t="shared" si="272"/>
        <v>4.1017809306327981</v>
      </c>
      <c r="M86" s="188">
        <f t="shared" si="272"/>
        <v>3.5392510818795895</v>
      </c>
      <c r="N86" s="188">
        <f t="shared" si="272"/>
        <v>3.6872085090548246</v>
      </c>
      <c r="O86" s="194">
        <f t="shared" si="272"/>
        <v>3.761693166132972</v>
      </c>
      <c r="P86" s="188">
        <f t="shared" si="272"/>
        <v>3.8801661442490309</v>
      </c>
      <c r="Q86" s="188">
        <f t="shared" si="272"/>
        <v>2.9594043195466844</v>
      </c>
      <c r="R86" s="188">
        <f t="shared" si="272"/>
        <v>2.950902550794146</v>
      </c>
      <c r="S86" s="194">
        <f t="shared" si="272"/>
        <v>2.9613444342858624</v>
      </c>
      <c r="T86" s="188">
        <f t="shared" si="272"/>
        <v>3.0035045905651554</v>
      </c>
      <c r="U86" s="188">
        <f t="shared" si="272"/>
        <v>2.7042471540520499</v>
      </c>
      <c r="V86" s="188">
        <f t="shared" si="272"/>
        <v>2.7754883743476224</v>
      </c>
      <c r="W86" s="194">
        <f t="shared" si="272"/>
        <v>2.693923847643136</v>
      </c>
      <c r="X86" s="188">
        <f t="shared" si="272"/>
        <v>2.3808703030945879</v>
      </c>
      <c r="Y86" s="188">
        <f t="shared" si="272"/>
        <v>2.6325397348809605</v>
      </c>
      <c r="Z86" s="188">
        <f t="shared" si="272"/>
        <v>3.0174112933681427</v>
      </c>
      <c r="AA86" s="194">
        <f t="shared" si="272"/>
        <v>3.3324790092911853</v>
      </c>
      <c r="AB86" s="188">
        <f t="shared" ref="AB86:AQ86" si="273">AB85/AB81</f>
        <v>2.5254088668641805</v>
      </c>
      <c r="AC86" s="188">
        <f t="shared" si="272"/>
        <v>2.7282401683985431</v>
      </c>
      <c r="AD86" s="188">
        <f>AD85/AD81</f>
        <v>3.1175567332065377</v>
      </c>
      <c r="AE86" s="194">
        <f>AE85/AE81</f>
        <v>3.1901545399659095</v>
      </c>
      <c r="AF86" s="188">
        <f>AF85/AF81</f>
        <v>3.0963478388925707</v>
      </c>
      <c r="AG86" s="188">
        <f t="shared" si="273"/>
        <v>3.4485956908411124</v>
      </c>
      <c r="AH86" s="188">
        <f t="shared" si="273"/>
        <v>5.2421504788691093</v>
      </c>
      <c r="AI86" s="194">
        <f t="shared" si="273"/>
        <v>4.0438811683672791</v>
      </c>
      <c r="AJ86" s="188">
        <f t="shared" si="273"/>
        <v>3.5643319782264182</v>
      </c>
      <c r="AK86" s="188">
        <f t="shared" si="273"/>
        <v>3.9849219413303767</v>
      </c>
      <c r="AL86" s="188">
        <f t="shared" si="273"/>
        <v>4.2666481850472149</v>
      </c>
      <c r="AM86" s="194">
        <f>AM85/AM81</f>
        <v>4.7408864646771693</v>
      </c>
      <c r="AN86" s="188">
        <f t="shared" si="273"/>
        <v>4.5571537159244038</v>
      </c>
      <c r="AO86" s="188">
        <f t="shared" si="273"/>
        <v>4.7955617294669208</v>
      </c>
      <c r="AP86" s="188">
        <f t="shared" si="273"/>
        <v>5.080110095554633</v>
      </c>
      <c r="AQ86" s="194">
        <f t="shared" si="273"/>
        <v>5.6199809224941761</v>
      </c>
      <c r="AR86" s="188">
        <f t="shared" ref="AR86:BC86" si="274">AR85/AR81</f>
        <v>5.5681852009539732</v>
      </c>
      <c r="AS86" s="188">
        <f t="shared" si="274"/>
        <v>6.1044571648865311</v>
      </c>
      <c r="AT86" s="188">
        <f t="shared" si="274"/>
        <v>6.4200315408426301</v>
      </c>
      <c r="AU86" s="194">
        <f t="shared" si="274"/>
        <v>7.730772429854718</v>
      </c>
      <c r="AV86" s="188">
        <f>AV85/AV81</f>
        <v>7.8488665510545275</v>
      </c>
      <c r="AW86" s="188">
        <f>AW85/AW81</f>
        <v>7.2435006560085515</v>
      </c>
      <c r="AX86" s="188">
        <f>AX85/AX81</f>
        <v>7.4887662306083751</v>
      </c>
      <c r="AY86" s="194">
        <f>AY85/AY81</f>
        <v>9.5474653384070614</v>
      </c>
      <c r="AZ86" s="188">
        <f t="shared" si="274"/>
        <v>9.6844576643380567</v>
      </c>
      <c r="BA86" s="188">
        <f t="shared" si="274"/>
        <v>10.027258843585736</v>
      </c>
      <c r="BB86" s="188">
        <f t="shared" si="274"/>
        <v>9.5298183509921977</v>
      </c>
      <c r="BC86" s="194">
        <f t="shared" si="274"/>
        <v>9.407152803878807</v>
      </c>
      <c r="BD86" s="188">
        <f t="shared" ref="BD86:BK86" si="275">BD85/BD81</f>
        <v>9.4319277883873465</v>
      </c>
      <c r="BE86" s="188">
        <f t="shared" si="275"/>
        <v>9.3829090079822937</v>
      </c>
      <c r="BF86" s="188">
        <f t="shared" si="275"/>
        <v>9.3073930277066825</v>
      </c>
      <c r="BG86" s="194">
        <f t="shared" si="275"/>
        <v>9.3249902760273482</v>
      </c>
      <c r="BH86" s="188">
        <f t="shared" si="275"/>
        <v>9.3651515013542816</v>
      </c>
      <c r="BI86" s="188">
        <f t="shared" si="275"/>
        <v>9.3784588723602109</v>
      </c>
      <c r="BJ86" s="188">
        <f t="shared" si="275"/>
        <v>9.3673281910857771</v>
      </c>
      <c r="BK86" s="194">
        <f t="shared" si="275"/>
        <v>9.4154668781242332</v>
      </c>
      <c r="BL86" s="20"/>
      <c r="BM86" s="195">
        <f t="shared" ref="BM86:BS86" si="276">BM85/BM81</f>
        <v>3.948445096645226</v>
      </c>
      <c r="BN86" s="195">
        <f t="shared" si="276"/>
        <v>3.9431778695949702</v>
      </c>
      <c r="BO86" s="195">
        <f t="shared" si="276"/>
        <v>3.7440390939545751</v>
      </c>
      <c r="BP86" s="195">
        <f t="shared" si="276"/>
        <v>2.9243166665332683</v>
      </c>
      <c r="BQ86" s="195">
        <f t="shared" si="276"/>
        <v>2.6693903850051233</v>
      </c>
      <c r="BR86" s="195">
        <f t="shared" si="276"/>
        <v>3.3389851879872134</v>
      </c>
      <c r="BS86" s="195">
        <f t="shared" si="276"/>
        <v>3.1869441343574532</v>
      </c>
      <c r="BT86" s="195">
        <f t="shared" ref="BT86:CA86" si="277">BT85/BT81</f>
        <v>4.0189789003323071</v>
      </c>
      <c r="BU86" s="195">
        <f t="shared" si="277"/>
        <v>4.7452344092378933</v>
      </c>
      <c r="BV86" s="195">
        <f t="shared" si="277"/>
        <v>5.6288225856420135</v>
      </c>
      <c r="BW86" s="195">
        <f t="shared" si="277"/>
        <v>7.7069406475519218</v>
      </c>
      <c r="BX86" s="195">
        <f t="shared" si="277"/>
        <v>9.5275564723064203</v>
      </c>
      <c r="BY86" s="195">
        <f t="shared" si="277"/>
        <v>9.4308056889612111</v>
      </c>
      <c r="BZ86" s="195">
        <f t="shared" si="277"/>
        <v>9.3102578711128103</v>
      </c>
      <c r="CA86" s="197">
        <f t="shared" si="277"/>
        <v>9.4005285953019886</v>
      </c>
      <c r="CB86" s="1484"/>
      <c r="CC86" s="1439"/>
      <c r="CD86" s="1439"/>
      <c r="CE86" s="260"/>
      <c r="CF86" s="196">
        <f t="shared" ref="CF86:CL86" si="278">CF85/CF81</f>
        <v>3.9494513262648234</v>
      </c>
      <c r="CG86" s="195">
        <f t="shared" si="278"/>
        <v>3.5116211356958495</v>
      </c>
      <c r="CH86" s="195">
        <f t="shared" si="278"/>
        <v>2.8856208335152189</v>
      </c>
      <c r="CI86" s="195">
        <f t="shared" si="278"/>
        <v>2.7157441165111749</v>
      </c>
      <c r="CJ86" s="195">
        <f t="shared" si="278"/>
        <v>2.6149513715618831</v>
      </c>
      <c r="CK86" s="195">
        <f t="shared" si="278"/>
        <v>2.7019130147043615</v>
      </c>
      <c r="CL86" s="195">
        <f t="shared" si="278"/>
        <v>3.4413417337825818</v>
      </c>
      <c r="CM86" s="195">
        <f t="shared" ref="CM86:CR86" si="279">CM85/CM81</f>
        <v>3.9123762506772777</v>
      </c>
      <c r="CN86" s="195">
        <f t="shared" si="279"/>
        <v>4.7804459245898965</v>
      </c>
      <c r="CO86" s="195">
        <f t="shared" si="279"/>
        <v>6.1280817965383676</v>
      </c>
      <c r="CP86" s="195">
        <f t="shared" si="279"/>
        <v>7.2252810885201626</v>
      </c>
      <c r="CQ86" s="195">
        <f t="shared" si="279"/>
        <v>9.8770042671988936</v>
      </c>
      <c r="CR86" s="195">
        <f t="shared" si="279"/>
        <v>9.3681162592843865</v>
      </c>
      <c r="CS86" s="197">
        <f>CS85/CS81</f>
        <v>9.3636107154295356</v>
      </c>
      <c r="CT86" s="22"/>
    </row>
    <row r="87" spans="1:98" ht="14.25" customHeight="1">
      <c r="A87" s="8"/>
      <c r="B87" s="23" t="s">
        <v>215</v>
      </c>
      <c r="C87" s="24"/>
      <c r="D87" s="188"/>
      <c r="E87" s="188"/>
      <c r="F87" s="188"/>
      <c r="G87" s="194"/>
      <c r="H87" s="188"/>
      <c r="I87" s="188"/>
      <c r="J87" s="188"/>
      <c r="K87" s="194"/>
      <c r="L87" s="188"/>
      <c r="M87" s="188"/>
      <c r="N87" s="188"/>
      <c r="O87" s="194"/>
      <c r="P87" s="188"/>
      <c r="Q87" s="188"/>
      <c r="R87" s="188"/>
      <c r="S87" s="194"/>
      <c r="T87" s="188"/>
      <c r="U87" s="188"/>
      <c r="V87" s="188"/>
      <c r="W87" s="194"/>
      <c r="X87" s="188"/>
      <c r="Y87" s="188"/>
      <c r="Z87" s="188"/>
      <c r="AA87" s="194"/>
      <c r="AB87" s="188"/>
      <c r="AC87" s="188"/>
      <c r="AD87" s="188"/>
      <c r="AE87" s="194"/>
      <c r="AF87" s="188"/>
      <c r="AG87" s="828">
        <f>+AG39+AG35</f>
        <v>308.791</v>
      </c>
      <c r="AH87" s="828">
        <f t="shared" ref="AH87:AQ87" si="280">+AH39+AH35</f>
        <v>807.88699999999994</v>
      </c>
      <c r="AI87" s="829">
        <f t="shared" si="280"/>
        <v>505.58799999999997</v>
      </c>
      <c r="AJ87" s="828">
        <f t="shared" si="280"/>
        <v>505.75899999999996</v>
      </c>
      <c r="AK87" s="828">
        <f t="shared" si="280"/>
        <v>1003.836</v>
      </c>
      <c r="AL87" s="828">
        <f t="shared" si="280"/>
        <v>1003.3969999999999</v>
      </c>
      <c r="AM87" s="829">
        <f>+AM39+AM35</f>
        <v>1001.026</v>
      </c>
      <c r="AN87" s="828">
        <f t="shared" si="280"/>
        <v>1001.026</v>
      </c>
      <c r="AO87" s="828">
        <f t="shared" si="280"/>
        <v>1000</v>
      </c>
      <c r="AP87" s="828">
        <f t="shared" si="280"/>
        <v>1000</v>
      </c>
      <c r="AQ87" s="829">
        <f t="shared" si="280"/>
        <v>1000</v>
      </c>
      <c r="AR87" s="828">
        <f t="shared" ref="AR87:BC87" si="281">+AR39+AR35</f>
        <v>1000</v>
      </c>
      <c r="AS87" s="828">
        <f t="shared" si="281"/>
        <v>1000</v>
      </c>
      <c r="AT87" s="828">
        <f t="shared" si="281"/>
        <v>1000</v>
      </c>
      <c r="AU87" s="829">
        <f t="shared" si="281"/>
        <v>1239.807</v>
      </c>
      <c r="AV87" s="828">
        <f>+AV39+AV35</f>
        <v>1240.473</v>
      </c>
      <c r="AW87" s="828">
        <f>+AW39+AW35</f>
        <v>991.28099999999995</v>
      </c>
      <c r="AX87" s="828">
        <f>+AX39+AX35</f>
        <v>991.87699999999995</v>
      </c>
      <c r="AY87" s="829">
        <f>+AY39+AY35</f>
        <v>1487.6780000000001</v>
      </c>
      <c r="AZ87" s="828">
        <f t="shared" si="281"/>
        <v>1488.4059999999999</v>
      </c>
      <c r="BA87" s="828">
        <f t="shared" si="281"/>
        <v>1489.1220000000001</v>
      </c>
      <c r="BB87" s="828">
        <f t="shared" si="281"/>
        <v>1489.837</v>
      </c>
      <c r="BC87" s="829">
        <f t="shared" si="281"/>
        <v>1489.837</v>
      </c>
      <c r="BD87" s="828">
        <f t="shared" ref="BD87:BK87" si="282">+BD39+BD35</f>
        <v>1489.837</v>
      </c>
      <c r="BE87" s="828">
        <f t="shared" si="282"/>
        <v>1489.837</v>
      </c>
      <c r="BF87" s="828">
        <f t="shared" si="282"/>
        <v>1489.837</v>
      </c>
      <c r="BG87" s="829">
        <f t="shared" si="282"/>
        <v>1489.837</v>
      </c>
      <c r="BH87" s="828">
        <f t="shared" si="282"/>
        <v>1489.837</v>
      </c>
      <c r="BI87" s="828">
        <f t="shared" si="282"/>
        <v>1489.837</v>
      </c>
      <c r="BJ87" s="828">
        <f t="shared" si="282"/>
        <v>1489.837</v>
      </c>
      <c r="BK87" s="829">
        <f t="shared" si="282"/>
        <v>1489.837</v>
      </c>
      <c r="BL87" s="20"/>
      <c r="BM87" s="195"/>
      <c r="BN87" s="195"/>
      <c r="BO87" s="195"/>
      <c r="BP87" s="195"/>
      <c r="BQ87" s="195"/>
      <c r="BR87" s="195"/>
      <c r="BS87" s="195"/>
      <c r="BT87" s="195"/>
      <c r="BU87" s="195"/>
      <c r="BV87" s="195"/>
      <c r="BW87" s="195"/>
      <c r="BX87" s="195"/>
      <c r="BY87" s="195"/>
      <c r="BZ87" s="195"/>
      <c r="CA87" s="197"/>
      <c r="CB87" s="1484"/>
      <c r="CC87" s="1439"/>
      <c r="CD87" s="1439"/>
      <c r="CE87" s="260"/>
      <c r="CF87" s="196"/>
      <c r="CG87" s="195"/>
      <c r="CH87" s="195"/>
      <c r="CI87" s="195"/>
      <c r="CJ87" s="195"/>
      <c r="CK87" s="195"/>
      <c r="CL87" s="195"/>
      <c r="CM87" s="195"/>
      <c r="CN87" s="195"/>
      <c r="CO87" s="195"/>
      <c r="CP87" s="195"/>
      <c r="CQ87" s="195"/>
      <c r="CR87" s="195"/>
      <c r="CS87" s="197"/>
      <c r="CT87" s="22"/>
    </row>
    <row r="88" spans="1:98" ht="14.25" customHeight="1">
      <c r="A88" s="8"/>
      <c r="B88" s="23" t="s">
        <v>216</v>
      </c>
      <c r="C88" s="24"/>
      <c r="D88" s="188"/>
      <c r="E88" s="188"/>
      <c r="F88" s="188"/>
      <c r="G88" s="194"/>
      <c r="H88" s="188"/>
      <c r="I88" s="188"/>
      <c r="J88" s="188"/>
      <c r="K88" s="194"/>
      <c r="L88" s="188"/>
      <c r="M88" s="188"/>
      <c r="N88" s="188"/>
      <c r="O88" s="194"/>
      <c r="P88" s="188"/>
      <c r="Q88" s="188"/>
      <c r="R88" s="188"/>
      <c r="S88" s="194"/>
      <c r="T88" s="188"/>
      <c r="U88" s="188"/>
      <c r="V88" s="188"/>
      <c r="W88" s="194"/>
      <c r="X88" s="188"/>
      <c r="Y88" s="188"/>
      <c r="Z88" s="188"/>
      <c r="AA88" s="194"/>
      <c r="AB88" s="188"/>
      <c r="AC88" s="188"/>
      <c r="AD88" s="188"/>
      <c r="AE88" s="194"/>
      <c r="AF88" s="188"/>
      <c r="AG88" s="828">
        <f>+AG85-AG87</f>
        <v>721.50800000000004</v>
      </c>
      <c r="AH88" s="828">
        <f>+AH85-AH87</f>
        <v>765.1880000000001</v>
      </c>
      <c r="AI88" s="829">
        <f t="shared" ref="AI88:AQ88" si="283">+AI85-AI87</f>
        <v>694.45800000000008</v>
      </c>
      <c r="AJ88" s="828">
        <f t="shared" si="283"/>
        <v>528.82400000000007</v>
      </c>
      <c r="AK88" s="828">
        <f t="shared" si="283"/>
        <v>146.07300000000009</v>
      </c>
      <c r="AL88" s="828">
        <f t="shared" si="283"/>
        <v>227.85100000000011</v>
      </c>
      <c r="AM88" s="829">
        <f>+AM85-AM87</f>
        <v>371.399</v>
      </c>
      <c r="AN88" s="828">
        <f t="shared" si="283"/>
        <v>317.95100000000014</v>
      </c>
      <c r="AO88" s="828">
        <f t="shared" si="283"/>
        <v>380.88199999999983</v>
      </c>
      <c r="AP88" s="828">
        <f t="shared" si="283"/>
        <v>467.33899999999994</v>
      </c>
      <c r="AQ88" s="829">
        <f t="shared" si="283"/>
        <v>626.11899999999991</v>
      </c>
      <c r="AR88" s="828">
        <f t="shared" ref="AR88:BC88" si="284">+AR85-AR87</f>
        <v>608.63200000000006</v>
      </c>
      <c r="AS88" s="828">
        <f t="shared" si="284"/>
        <v>773.47299999999996</v>
      </c>
      <c r="AT88" s="828">
        <f t="shared" si="284"/>
        <v>860.41599999999994</v>
      </c>
      <c r="AU88" s="829">
        <f t="shared" si="284"/>
        <v>990.86099999999965</v>
      </c>
      <c r="AV88" s="828">
        <f>+AV85-AV87</f>
        <v>1027.0409999999997</v>
      </c>
      <c r="AW88" s="828">
        <f>+AW85-AW87</f>
        <v>1095.6149999999998</v>
      </c>
      <c r="AX88" s="828">
        <f>+AX85-AX87</f>
        <v>1164.0040000000004</v>
      </c>
      <c r="AY88" s="829">
        <f>+AY85-AY87</f>
        <v>1257.1609999999998</v>
      </c>
      <c r="AZ88" s="828">
        <f t="shared" si="284"/>
        <v>1285.5810000000001</v>
      </c>
      <c r="BA88" s="828">
        <f t="shared" si="284"/>
        <v>1334.153</v>
      </c>
      <c r="BB88" s="828">
        <f t="shared" si="284"/>
        <v>1234.5570000000002</v>
      </c>
      <c r="BC88" s="829">
        <f t="shared" si="284"/>
        <v>1196.6671048845133</v>
      </c>
      <c r="BD88" s="828">
        <f t="shared" ref="BD88:BK88" si="285">+BD85-BD87</f>
        <v>1200.91279139893</v>
      </c>
      <c r="BE88" s="828">
        <f t="shared" si="285"/>
        <v>1184.1137920038013</v>
      </c>
      <c r="BF88" s="828">
        <f t="shared" si="285"/>
        <v>1159.8009545205655</v>
      </c>
      <c r="BG88" s="829">
        <f t="shared" si="285"/>
        <v>1162.0130596869326</v>
      </c>
      <c r="BH88" s="828">
        <f t="shared" si="285"/>
        <v>1170.6246036562247</v>
      </c>
      <c r="BI88" s="828">
        <f t="shared" si="285"/>
        <v>1171.591437257252</v>
      </c>
      <c r="BJ88" s="828">
        <f t="shared" si="285"/>
        <v>1165.6225629371861</v>
      </c>
      <c r="BK88" s="829">
        <f t="shared" si="285"/>
        <v>1176.4443260140974</v>
      </c>
      <c r="BL88" s="20"/>
      <c r="BM88" s="195"/>
      <c r="BN88" s="195"/>
      <c r="BO88" s="195"/>
      <c r="BP88" s="195"/>
      <c r="BQ88" s="195"/>
      <c r="BR88" s="195"/>
      <c r="BS88" s="195"/>
      <c r="BT88" s="195"/>
      <c r="BU88" s="195"/>
      <c r="BV88" s="195"/>
      <c r="BW88" s="195"/>
      <c r="BX88" s="195"/>
      <c r="BY88" s="195"/>
      <c r="BZ88" s="195"/>
      <c r="CA88" s="197"/>
      <c r="CB88" s="1484"/>
      <c r="CC88" s="1439"/>
      <c r="CD88" s="1439"/>
      <c r="CE88" s="260"/>
      <c r="CF88" s="196"/>
      <c r="CG88" s="195"/>
      <c r="CH88" s="195"/>
      <c r="CI88" s="195"/>
      <c r="CJ88" s="195"/>
      <c r="CK88" s="195"/>
      <c r="CL88" s="195"/>
      <c r="CM88" s="195"/>
      <c r="CN88" s="195"/>
      <c r="CO88" s="195"/>
      <c r="CP88" s="195"/>
      <c r="CQ88" s="195"/>
      <c r="CR88" s="195"/>
      <c r="CS88" s="197"/>
      <c r="CT88" s="22"/>
    </row>
    <row r="89" spans="1:98" ht="14.25" customHeight="1">
      <c r="A89" s="8"/>
      <c r="B89" s="23" t="s">
        <v>217</v>
      </c>
      <c r="C89" s="24"/>
      <c r="D89" s="188"/>
      <c r="E89" s="188"/>
      <c r="F89" s="188"/>
      <c r="G89" s="194"/>
      <c r="H89" s="188"/>
      <c r="I89" s="188"/>
      <c r="J89" s="188"/>
      <c r="K89" s="194"/>
      <c r="L89" s="188"/>
      <c r="M89" s="188"/>
      <c r="N89" s="188"/>
      <c r="O89" s="194"/>
      <c r="P89" s="188"/>
      <c r="Q89" s="188"/>
      <c r="R89" s="188"/>
      <c r="S89" s="194"/>
      <c r="T89" s="188"/>
      <c r="U89" s="188"/>
      <c r="V89" s="188"/>
      <c r="W89" s="194"/>
      <c r="X89" s="188"/>
      <c r="Y89" s="188"/>
      <c r="Z89" s="188"/>
      <c r="AA89" s="194"/>
      <c r="AB89" s="188"/>
      <c r="AC89" s="188"/>
      <c r="AD89" s="188"/>
      <c r="AE89" s="194"/>
      <c r="AF89" s="188"/>
      <c r="AG89" s="826">
        <f>+AG88/AG81</f>
        <v>2.4150167861051886</v>
      </c>
      <c r="AH89" s="826">
        <f>+AH88/AH81</f>
        <v>2.5499296858858584</v>
      </c>
      <c r="AI89" s="827">
        <f t="shared" ref="AI89:AQ89" si="286">+AI88/AI81</f>
        <v>2.340164984027282</v>
      </c>
      <c r="AJ89" s="826">
        <f t="shared" si="286"/>
        <v>1.8218976090401713</v>
      </c>
      <c r="AK89" s="826">
        <f t="shared" si="286"/>
        <v>0.50620484119695763</v>
      </c>
      <c r="AL89" s="826">
        <f t="shared" si="286"/>
        <v>0.78957290132547908</v>
      </c>
      <c r="AM89" s="827">
        <f>+AM88/AM81</f>
        <v>1.282955711310007</v>
      </c>
      <c r="AN89" s="826">
        <f t="shared" si="286"/>
        <v>1.098541961786961</v>
      </c>
      <c r="AO89" s="826">
        <f t="shared" si="286"/>
        <v>1.3227365862128837</v>
      </c>
      <c r="AP89" s="826">
        <f t="shared" si="286"/>
        <v>1.6179857360476388</v>
      </c>
      <c r="AQ89" s="827">
        <f t="shared" si="286"/>
        <v>2.1639110269366086</v>
      </c>
      <c r="AR89" s="826">
        <f t="shared" ref="AR89:BC89" si="287">+AR88/AR81</f>
        <v>2.1067439260359233</v>
      </c>
      <c r="AS89" s="826">
        <f t="shared" si="287"/>
        <v>2.6623651990733888</v>
      </c>
      <c r="AT89" s="826">
        <f t="shared" si="287"/>
        <v>2.9691734849870417</v>
      </c>
      <c r="AU89" s="827">
        <f t="shared" si="287"/>
        <v>3.4340031329710539</v>
      </c>
      <c r="AV89" s="826">
        <f>+AV88/AV81</f>
        <v>3.5550421084331085</v>
      </c>
      <c r="AW89" s="826">
        <f>+AW88/AW81</f>
        <v>3.8028191013029922</v>
      </c>
      <c r="AX89" s="826">
        <f>+AX88/AX81</f>
        <v>4.0433372006586046</v>
      </c>
      <c r="AY89" s="827">
        <f>+AY88/AY81</f>
        <v>4.3728251720035889</v>
      </c>
      <c r="AZ89" s="826">
        <f t="shared" si="287"/>
        <v>4.4881806470532792</v>
      </c>
      <c r="BA89" s="826">
        <f t="shared" si="287"/>
        <v>4.7384323057252447</v>
      </c>
      <c r="BB89" s="826">
        <f t="shared" si="287"/>
        <v>4.3184296962722266</v>
      </c>
      <c r="BC89" s="827">
        <f t="shared" si="287"/>
        <v>4.1902896372115563</v>
      </c>
      <c r="BD89" s="826">
        <f t="shared" ref="BD89:BK89" si="288">+BD88/BD81</f>
        <v>4.2095785958368426</v>
      </c>
      <c r="BE89" s="826">
        <f t="shared" si="288"/>
        <v>4.1550622392503413</v>
      </c>
      <c r="BF89" s="826">
        <f t="shared" si="288"/>
        <v>4.0740370959795902</v>
      </c>
      <c r="BG89" s="827">
        <f t="shared" si="288"/>
        <v>4.0861135578218413</v>
      </c>
      <c r="BH89" s="826">
        <f t="shared" si="288"/>
        <v>4.1207423363626052</v>
      </c>
      <c r="BI89" s="826">
        <f t="shared" si="288"/>
        <v>4.1285055632944152</v>
      </c>
      <c r="BJ89" s="826">
        <f t="shared" si="288"/>
        <v>4.1118190035211759</v>
      </c>
      <c r="BK89" s="827">
        <f t="shared" si="288"/>
        <v>4.1543900403420357</v>
      </c>
      <c r="BL89" s="20"/>
      <c r="BM89" s="195"/>
      <c r="BN89" s="195"/>
      <c r="BO89" s="195"/>
      <c r="BP89" s="195"/>
      <c r="BQ89" s="195"/>
      <c r="BR89" s="195"/>
      <c r="BS89" s="195"/>
      <c r="BT89" s="195"/>
      <c r="BU89" s="195"/>
      <c r="BV89" s="195"/>
      <c r="BW89" s="195"/>
      <c r="BX89" s="195"/>
      <c r="BY89" s="195"/>
      <c r="BZ89" s="195"/>
      <c r="CA89" s="197"/>
      <c r="CB89" s="1484"/>
      <c r="CC89" s="1439"/>
      <c r="CD89" s="1439"/>
      <c r="CE89" s="260"/>
      <c r="CF89" s="196"/>
      <c r="CG89" s="195"/>
      <c r="CH89" s="195"/>
      <c r="CI89" s="195"/>
      <c r="CJ89" s="195"/>
      <c r="CK89" s="195"/>
      <c r="CL89" s="195"/>
      <c r="CM89" s="195"/>
      <c r="CN89" s="195"/>
      <c r="CO89" s="195"/>
      <c r="CP89" s="195"/>
      <c r="CQ89" s="195"/>
      <c r="CR89" s="195"/>
      <c r="CS89" s="197"/>
      <c r="CT89" s="22"/>
    </row>
    <row r="90" spans="1:98" ht="14.25" customHeight="1">
      <c r="A90" s="8"/>
      <c r="B90" s="71" t="s">
        <v>480</v>
      </c>
      <c r="C90" s="72"/>
      <c r="D90" s="198">
        <f t="shared" ref="D90:AQ90" si="289">D17-D37</f>
        <v>1797.3140000000003</v>
      </c>
      <c r="E90" s="198">
        <f t="shared" si="289"/>
        <v>1587.002</v>
      </c>
      <c r="F90" s="198">
        <f t="shared" si="289"/>
        <v>1617.9559999999999</v>
      </c>
      <c r="G90" s="199">
        <f t="shared" si="289"/>
        <v>1557.7550000000006</v>
      </c>
      <c r="H90" s="198">
        <f t="shared" si="289"/>
        <v>1555.7679999999998</v>
      </c>
      <c r="I90" s="198">
        <f t="shared" si="289"/>
        <v>1605.1430000000003</v>
      </c>
      <c r="J90" s="198">
        <f t="shared" si="289"/>
        <v>1616.6430000000003</v>
      </c>
      <c r="K90" s="199">
        <f t="shared" si="289"/>
        <v>1615.6689999999999</v>
      </c>
      <c r="L90" s="198">
        <f t="shared" si="289"/>
        <v>1538.6340000000005</v>
      </c>
      <c r="M90" s="198">
        <f t="shared" si="289"/>
        <v>1564.2749999999999</v>
      </c>
      <c r="N90" s="198">
        <f t="shared" si="289"/>
        <v>1582.6519999999998</v>
      </c>
      <c r="O90" s="199">
        <f t="shared" si="289"/>
        <v>1627.4060000000002</v>
      </c>
      <c r="P90" s="198">
        <f t="shared" si="289"/>
        <v>1668.5309999999997</v>
      </c>
      <c r="Q90" s="198">
        <f t="shared" si="289"/>
        <v>1402.3300000000004</v>
      </c>
      <c r="R90" s="198">
        <f t="shared" si="289"/>
        <v>1331.4279999999999</v>
      </c>
      <c r="S90" s="199">
        <f t="shared" si="289"/>
        <v>1316.175</v>
      </c>
      <c r="T90" s="198">
        <f t="shared" si="289"/>
        <v>1309.4680000000001</v>
      </c>
      <c r="U90" s="198">
        <f t="shared" si="289"/>
        <v>1274.1680000000001</v>
      </c>
      <c r="V90" s="198">
        <f t="shared" si="289"/>
        <v>1160.1469999999997</v>
      </c>
      <c r="W90" s="199">
        <f t="shared" si="289"/>
        <v>1174.096</v>
      </c>
      <c r="X90" s="198">
        <f t="shared" si="289"/>
        <v>1104.9209999999998</v>
      </c>
      <c r="Y90" s="198">
        <f t="shared" si="289"/>
        <v>1226.3360000000002</v>
      </c>
      <c r="Z90" s="198">
        <f t="shared" si="289"/>
        <v>1285.44</v>
      </c>
      <c r="AA90" s="199">
        <f t="shared" si="289"/>
        <v>1313.5120000000002</v>
      </c>
      <c r="AB90" s="198">
        <f t="shared" si="289"/>
        <v>1117.2749999999999</v>
      </c>
      <c r="AC90" s="198">
        <f>AC17-AC37</f>
        <v>1085.5409999999997</v>
      </c>
      <c r="AD90" s="198">
        <f t="shared" si="289"/>
        <v>1199.6190000000001</v>
      </c>
      <c r="AE90" s="199">
        <f t="shared" si="289"/>
        <v>943.97699999999998</v>
      </c>
      <c r="AF90" s="198">
        <f t="shared" si="289"/>
        <v>984.39900000000011</v>
      </c>
      <c r="AG90" s="198">
        <f t="shared" si="289"/>
        <v>1050.1760000000002</v>
      </c>
      <c r="AH90" s="198">
        <f t="shared" si="289"/>
        <v>1628.9950000000006</v>
      </c>
      <c r="AI90" s="199">
        <f t="shared" si="289"/>
        <v>1535.0129999999997</v>
      </c>
      <c r="AJ90" s="198">
        <f t="shared" si="289"/>
        <v>1446.4110000000001</v>
      </c>
      <c r="AK90" s="198">
        <f t="shared" si="289"/>
        <v>1509.0200000000002</v>
      </c>
      <c r="AL90" s="198">
        <f t="shared" si="289"/>
        <v>1587.89</v>
      </c>
      <c r="AM90" s="199">
        <f>AM17-AM37</f>
        <v>1688.0669999999998</v>
      </c>
      <c r="AN90" s="198">
        <f t="shared" si="289"/>
        <v>1692.6489999999999</v>
      </c>
      <c r="AO90" s="198">
        <f t="shared" si="289"/>
        <v>1738.7510000000002</v>
      </c>
      <c r="AP90" s="198">
        <f t="shared" si="289"/>
        <v>1825.354</v>
      </c>
      <c r="AQ90" s="199">
        <f t="shared" si="289"/>
        <v>1937.404</v>
      </c>
      <c r="AR90" s="198">
        <f t="shared" ref="AR90:BC90" si="290">AR17-AR37</f>
        <v>1933.0919999999999</v>
      </c>
      <c r="AS90" s="198">
        <f t="shared" si="290"/>
        <v>2011.3780000000004</v>
      </c>
      <c r="AT90" s="198">
        <f t="shared" si="290"/>
        <v>2119.8770000000004</v>
      </c>
      <c r="AU90" s="199">
        <f t="shared" si="290"/>
        <v>2197.6449999999995</v>
      </c>
      <c r="AV90" s="198">
        <f>AV17-AV37</f>
        <v>2301.9469999999997</v>
      </c>
      <c r="AW90" s="198">
        <f>AW17-AW37</f>
        <v>2361.8890000000001</v>
      </c>
      <c r="AX90" s="198">
        <f>AX17-AX37</f>
        <v>2420.9970000000003</v>
      </c>
      <c r="AY90" s="199">
        <f>AY17-AY37</f>
        <v>3026.5970000000007</v>
      </c>
      <c r="AZ90" s="198">
        <f t="shared" si="290"/>
        <v>3073.67</v>
      </c>
      <c r="BA90" s="198">
        <f t="shared" si="290"/>
        <v>2597.33</v>
      </c>
      <c r="BB90" s="198">
        <f t="shared" si="290"/>
        <v>2536.8870000000002</v>
      </c>
      <c r="BC90" s="199">
        <f t="shared" si="290"/>
        <v>2487.8681648473598</v>
      </c>
      <c r="BD90" s="198">
        <f t="shared" ref="BD90:BK90" si="291">BD17-BD37</f>
        <v>2470.2714964947122</v>
      </c>
      <c r="BE90" s="198">
        <f t="shared" si="291"/>
        <v>2453.8887544737513</v>
      </c>
      <c r="BF90" s="198">
        <f t="shared" si="291"/>
        <v>2454.5974758584825</v>
      </c>
      <c r="BG90" s="199">
        <f t="shared" si="291"/>
        <v>2460.7024911434073</v>
      </c>
      <c r="BH90" s="198">
        <f t="shared" si="291"/>
        <v>2461.3776596014459</v>
      </c>
      <c r="BI90" s="198">
        <f t="shared" si="291"/>
        <v>2461.9447241807652</v>
      </c>
      <c r="BJ90" s="198">
        <f t="shared" si="291"/>
        <v>2476.0023310238703</v>
      </c>
      <c r="BK90" s="199">
        <f t="shared" si="291"/>
        <v>2500.0249097756437</v>
      </c>
      <c r="BL90" s="20"/>
      <c r="BM90" s="200">
        <f t="shared" ref="BM90:BV90" si="292">BM17-BM37</f>
        <v>1557.7550000000006</v>
      </c>
      <c r="BN90" s="200">
        <f t="shared" si="292"/>
        <v>1615.6689999999999</v>
      </c>
      <c r="BO90" s="200">
        <f t="shared" si="292"/>
        <v>1627.4060000000002</v>
      </c>
      <c r="BP90" s="200">
        <f t="shared" si="292"/>
        <v>1316.175</v>
      </c>
      <c r="BQ90" s="200">
        <f t="shared" si="292"/>
        <v>1174.096</v>
      </c>
      <c r="BR90" s="200">
        <f t="shared" si="292"/>
        <v>1313.5120000000002</v>
      </c>
      <c r="BS90" s="200">
        <f t="shared" si="292"/>
        <v>943.97699999999998</v>
      </c>
      <c r="BT90" s="200">
        <f t="shared" si="292"/>
        <v>1535.0129999999997</v>
      </c>
      <c r="BU90" s="200">
        <f t="shared" si="292"/>
        <v>1688.0669999999998</v>
      </c>
      <c r="BV90" s="200">
        <f t="shared" si="292"/>
        <v>1937.404</v>
      </c>
      <c r="BW90" s="200">
        <f>BW17-BW37</f>
        <v>2197.6449999999995</v>
      </c>
      <c r="BX90" s="200">
        <f>BX17-BX37</f>
        <v>3026.5970000000007</v>
      </c>
      <c r="BY90" s="200">
        <f>BY17-BY37</f>
        <v>2487.8681648473598</v>
      </c>
      <c r="BZ90" s="200">
        <f>BZ17-BZ37</f>
        <v>2460.7024911434073</v>
      </c>
      <c r="CA90" s="202">
        <f>CA17-CA37</f>
        <v>2500.0249097756437</v>
      </c>
      <c r="CB90" s="1484"/>
      <c r="CC90" s="1439"/>
      <c r="CD90" s="1439"/>
      <c r="CE90" s="260"/>
      <c r="CF90" s="201">
        <f t="shared" ref="CF90:CN90" si="293">CF17-CF37</f>
        <v>1605.1430000000003</v>
      </c>
      <c r="CG90" s="200">
        <f t="shared" si="293"/>
        <v>1564.2749999999999</v>
      </c>
      <c r="CH90" s="200">
        <f t="shared" si="293"/>
        <v>1402.3300000000004</v>
      </c>
      <c r="CI90" s="200">
        <f t="shared" si="293"/>
        <v>1274.1680000000001</v>
      </c>
      <c r="CJ90" s="200">
        <f t="shared" si="293"/>
        <v>1226.3360000000002</v>
      </c>
      <c r="CK90" s="200">
        <f t="shared" si="293"/>
        <v>1085.5409999999997</v>
      </c>
      <c r="CL90" s="200">
        <f t="shared" si="293"/>
        <v>1050.1760000000002</v>
      </c>
      <c r="CM90" s="200">
        <f t="shared" si="293"/>
        <v>1509.0200000000002</v>
      </c>
      <c r="CN90" s="200">
        <f t="shared" si="293"/>
        <v>1738.7510000000002</v>
      </c>
      <c r="CO90" s="200">
        <f>CO17-CO37</f>
        <v>2011.3780000000004</v>
      </c>
      <c r="CP90" s="200">
        <f>CP17-CP37</f>
        <v>2361.8890000000001</v>
      </c>
      <c r="CQ90" s="200">
        <f>CQ17-CQ37</f>
        <v>2597.33</v>
      </c>
      <c r="CR90" s="200">
        <f>CR17-CR37</f>
        <v>2453.8887544737513</v>
      </c>
      <c r="CS90" s="202">
        <f>CS17-CS37</f>
        <v>2461.9447241807652</v>
      </c>
      <c r="CT90" s="22"/>
    </row>
    <row r="91" spans="1:98" ht="14.25" customHeight="1">
      <c r="A91" s="8"/>
      <c r="B91" s="14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74"/>
      <c r="CC91" s="74"/>
      <c r="CD91" s="74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14"/>
      <c r="CQ91" s="14"/>
      <c r="CR91" s="14"/>
      <c r="CS91" s="8"/>
      <c r="CT91" s="8"/>
    </row>
    <row r="92" spans="1:98" ht="14.25" customHeight="1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74"/>
      <c r="CC92" s="74"/>
      <c r="CD92" s="74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14"/>
      <c r="CQ92" s="14"/>
      <c r="CR92" s="14"/>
      <c r="CS92" s="8"/>
      <c r="CT92" s="8"/>
    </row>
    <row r="93" spans="1:98" ht="14.25" customHeight="1">
      <c r="A93" s="8"/>
      <c r="B93" s="162" t="s">
        <v>222</v>
      </c>
      <c r="C93" s="163"/>
      <c r="D93" s="17" t="str">
        <f>D$63</f>
        <v>F1Q06A</v>
      </c>
      <c r="E93" s="18" t="str">
        <f t="shared" ref="E93:BK93" si="294">E$63</f>
        <v>F2Q06A</v>
      </c>
      <c r="F93" s="18" t="str">
        <f t="shared" si="294"/>
        <v>F3Q06A</v>
      </c>
      <c r="G93" s="19" t="str">
        <f t="shared" si="294"/>
        <v>F4Q06A</v>
      </c>
      <c r="H93" s="17" t="str">
        <f t="shared" si="294"/>
        <v>F1Q07A</v>
      </c>
      <c r="I93" s="18" t="str">
        <f t="shared" si="294"/>
        <v>F2Q07A</v>
      </c>
      <c r="J93" s="18" t="str">
        <f t="shared" si="294"/>
        <v>F3Q07A</v>
      </c>
      <c r="K93" s="19" t="str">
        <f t="shared" si="294"/>
        <v>F4Q07A</v>
      </c>
      <c r="L93" s="17" t="str">
        <f t="shared" si="294"/>
        <v>F1Q08A</v>
      </c>
      <c r="M93" s="18" t="str">
        <f t="shared" si="294"/>
        <v>F2Q08A</v>
      </c>
      <c r="N93" s="18" t="str">
        <f t="shared" si="294"/>
        <v>F3Q08A</v>
      </c>
      <c r="O93" s="19" t="str">
        <f t="shared" si="294"/>
        <v>F4Q08A</v>
      </c>
      <c r="P93" s="17" t="str">
        <f t="shared" si="294"/>
        <v>F1Q09A</v>
      </c>
      <c r="Q93" s="18" t="str">
        <f t="shared" si="294"/>
        <v>F2Q09A</v>
      </c>
      <c r="R93" s="18" t="str">
        <f t="shared" si="294"/>
        <v>F3Q09A</v>
      </c>
      <c r="S93" s="19" t="str">
        <f t="shared" si="294"/>
        <v>F4Q09A</v>
      </c>
      <c r="T93" s="17" t="str">
        <f t="shared" si="294"/>
        <v>F1Q10A</v>
      </c>
      <c r="U93" s="18" t="str">
        <f t="shared" si="294"/>
        <v>F2Q10A</v>
      </c>
      <c r="V93" s="18" t="str">
        <f t="shared" si="294"/>
        <v>F3Q10A</v>
      </c>
      <c r="W93" s="19" t="str">
        <f t="shared" si="294"/>
        <v>F4Q10A</v>
      </c>
      <c r="X93" s="17" t="str">
        <f t="shared" si="294"/>
        <v>F1Q11A</v>
      </c>
      <c r="Y93" s="18" t="str">
        <f t="shared" si="294"/>
        <v>F2Q11A</v>
      </c>
      <c r="Z93" s="18" t="str">
        <f t="shared" si="294"/>
        <v>F3Q11A</v>
      </c>
      <c r="AA93" s="19" t="str">
        <f t="shared" si="294"/>
        <v>F4Q11A</v>
      </c>
      <c r="AB93" s="17" t="str">
        <f t="shared" si="294"/>
        <v>F1Q12A</v>
      </c>
      <c r="AC93" s="18" t="str">
        <f t="shared" si="294"/>
        <v>F2Q12A</v>
      </c>
      <c r="AD93" s="18" t="str">
        <f t="shared" si="294"/>
        <v>F3Q12A</v>
      </c>
      <c r="AE93" s="18" t="str">
        <f t="shared" si="294"/>
        <v>F4Q12A</v>
      </c>
      <c r="AF93" s="17" t="str">
        <f t="shared" si="294"/>
        <v>F1Q13A</v>
      </c>
      <c r="AG93" s="18" t="str">
        <f t="shared" si="294"/>
        <v>F2Q13A</v>
      </c>
      <c r="AH93" s="18" t="str">
        <f t="shared" si="294"/>
        <v>F3Q13A</v>
      </c>
      <c r="AI93" s="18" t="str">
        <f t="shared" si="294"/>
        <v>F4Q13A</v>
      </c>
      <c r="AJ93" s="17" t="str">
        <f t="shared" si="294"/>
        <v>F1Q14A</v>
      </c>
      <c r="AK93" s="18" t="str">
        <f t="shared" si="294"/>
        <v>F2Q14</v>
      </c>
      <c r="AL93" s="18" t="str">
        <f t="shared" si="294"/>
        <v>F3Q14A</v>
      </c>
      <c r="AM93" s="19" t="str">
        <f t="shared" si="294"/>
        <v>F4Q14A</v>
      </c>
      <c r="AN93" s="18" t="str">
        <f t="shared" si="294"/>
        <v>F1Q15A</v>
      </c>
      <c r="AO93" s="18" t="str">
        <f t="shared" si="294"/>
        <v>F2Q15A</v>
      </c>
      <c r="AP93" s="18" t="str">
        <f t="shared" si="294"/>
        <v>F3Q15A</v>
      </c>
      <c r="AQ93" s="19" t="str">
        <f t="shared" si="294"/>
        <v>F4Q15A</v>
      </c>
      <c r="AR93" s="18" t="str">
        <f t="shared" si="294"/>
        <v>F1Q16A</v>
      </c>
      <c r="AS93" s="18" t="str">
        <f t="shared" si="294"/>
        <v>F2Q16A</v>
      </c>
      <c r="AT93" s="18" t="str">
        <f t="shared" si="294"/>
        <v>F3Q16A</v>
      </c>
      <c r="AU93" s="19" t="str">
        <f t="shared" si="294"/>
        <v>F4Q16A</v>
      </c>
      <c r="AV93" s="18" t="str">
        <f t="shared" si="294"/>
        <v>F1Q17A</v>
      </c>
      <c r="AW93" s="18" t="str">
        <f t="shared" si="294"/>
        <v>F2Q17A</v>
      </c>
      <c r="AX93" s="18" t="str">
        <f t="shared" si="294"/>
        <v>F3Q17A</v>
      </c>
      <c r="AY93" s="19" t="str">
        <f t="shared" si="294"/>
        <v>F4Q17A</v>
      </c>
      <c r="AZ93" s="18" t="str">
        <f t="shared" si="294"/>
        <v>F1Q18A</v>
      </c>
      <c r="BA93" s="18" t="str">
        <f t="shared" si="294"/>
        <v>F2Q18A</v>
      </c>
      <c r="BB93" s="18" t="str">
        <f t="shared" si="294"/>
        <v>F3Q18A</v>
      </c>
      <c r="BC93" s="19" t="str">
        <f t="shared" si="294"/>
        <v>F4Q18E</v>
      </c>
      <c r="BD93" s="18" t="str">
        <f t="shared" si="294"/>
        <v>F1Q19E</v>
      </c>
      <c r="BE93" s="18" t="str">
        <f t="shared" si="294"/>
        <v>F2Q19E</v>
      </c>
      <c r="BF93" s="18" t="str">
        <f t="shared" si="294"/>
        <v>F3Q19E</v>
      </c>
      <c r="BG93" s="19" t="str">
        <f t="shared" si="294"/>
        <v>F4Q19E</v>
      </c>
      <c r="BH93" s="18" t="str">
        <f t="shared" si="294"/>
        <v>F1Q20E</v>
      </c>
      <c r="BI93" s="18" t="str">
        <f t="shared" si="294"/>
        <v>F2Q20E</v>
      </c>
      <c r="BJ93" s="18" t="str">
        <f t="shared" si="294"/>
        <v>F3Q20E</v>
      </c>
      <c r="BK93" s="19" t="str">
        <f t="shared" si="294"/>
        <v>F4Q20E</v>
      </c>
      <c r="BL93" s="20"/>
      <c r="BM93" s="17" t="str">
        <f>BM$63</f>
        <v>FY2006A</v>
      </c>
      <c r="BN93" s="18" t="str">
        <f t="shared" ref="BN93:CA93" si="295">BN$63</f>
        <v>FY2007A</v>
      </c>
      <c r="BO93" s="18" t="str">
        <f t="shared" si="295"/>
        <v>FY2008A</v>
      </c>
      <c r="BP93" s="18" t="str">
        <f t="shared" si="295"/>
        <v>FY2009A</v>
      </c>
      <c r="BQ93" s="18" t="str">
        <f t="shared" si="295"/>
        <v>FY2010A</v>
      </c>
      <c r="BR93" s="18" t="str">
        <f t="shared" si="295"/>
        <v>FY2011A</v>
      </c>
      <c r="BS93" s="18" t="str">
        <f t="shared" si="295"/>
        <v>FY2012A</v>
      </c>
      <c r="BT93" s="18" t="str">
        <f t="shared" si="295"/>
        <v>FY2013A</v>
      </c>
      <c r="BU93" s="18" t="str">
        <f t="shared" si="295"/>
        <v>FY2014A</v>
      </c>
      <c r="BV93" s="18" t="str">
        <f t="shared" si="295"/>
        <v>FY2015A</v>
      </c>
      <c r="BW93" s="18" t="str">
        <f t="shared" si="295"/>
        <v>FY2016A</v>
      </c>
      <c r="BX93" s="18" t="str">
        <f t="shared" si="295"/>
        <v>FY2017A</v>
      </c>
      <c r="BY93" s="18" t="str">
        <f t="shared" si="295"/>
        <v>FY2018E</v>
      </c>
      <c r="BZ93" s="18" t="str">
        <f t="shared" si="295"/>
        <v>FY2019E</v>
      </c>
      <c r="CA93" s="19" t="str">
        <f t="shared" si="295"/>
        <v>FY2020E</v>
      </c>
      <c r="CB93" s="1470"/>
      <c r="CC93" s="1418"/>
      <c r="CD93" s="1418"/>
      <c r="CE93" s="260"/>
      <c r="CF93" s="17" t="str">
        <f>CF$63</f>
        <v>CY2006</v>
      </c>
      <c r="CG93" s="18" t="str">
        <f t="shared" ref="CG93:CS93" si="296">CG$63</f>
        <v>CY2007</v>
      </c>
      <c r="CH93" s="18" t="str">
        <f t="shared" si="296"/>
        <v>CY2008</v>
      </c>
      <c r="CI93" s="18" t="str">
        <f t="shared" si="296"/>
        <v>CY2009</v>
      </c>
      <c r="CJ93" s="18" t="str">
        <f t="shared" si="296"/>
        <v>CY2010</v>
      </c>
      <c r="CK93" s="18" t="str">
        <f t="shared" si="296"/>
        <v>CY2011</v>
      </c>
      <c r="CL93" s="18" t="str">
        <f t="shared" si="296"/>
        <v>CY2012</v>
      </c>
      <c r="CM93" s="18" t="str">
        <f t="shared" si="296"/>
        <v>CY2013</v>
      </c>
      <c r="CN93" s="18" t="str">
        <f t="shared" si="296"/>
        <v>CY2014A</v>
      </c>
      <c r="CO93" s="18" t="str">
        <f t="shared" si="296"/>
        <v>CY2015A</v>
      </c>
      <c r="CP93" s="18" t="str">
        <f t="shared" si="296"/>
        <v>CY2016A</v>
      </c>
      <c r="CQ93" s="18" t="str">
        <f t="shared" si="296"/>
        <v>CY2017E</v>
      </c>
      <c r="CR93" s="18" t="str">
        <f t="shared" si="296"/>
        <v>CY2018E</v>
      </c>
      <c r="CS93" s="19" t="str">
        <f t="shared" si="296"/>
        <v>CY2019E</v>
      </c>
      <c r="CT93" s="8"/>
    </row>
    <row r="94" spans="1:98" ht="14.25" customHeight="1">
      <c r="A94" s="8"/>
      <c r="B94" s="22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22"/>
      <c r="AG94" s="14"/>
      <c r="AH94" s="14"/>
      <c r="AI94" s="14"/>
      <c r="AJ94" s="22"/>
      <c r="AK94" s="14"/>
      <c r="AL94" s="14"/>
      <c r="AM94" s="260"/>
      <c r="AN94" s="14"/>
      <c r="AO94" s="14"/>
      <c r="AP94" s="14"/>
      <c r="AQ94" s="260"/>
      <c r="AR94" s="14"/>
      <c r="AS94" s="14"/>
      <c r="AT94" s="14"/>
      <c r="AU94" s="260"/>
      <c r="AV94" s="14"/>
      <c r="AW94" s="14"/>
      <c r="AX94" s="14"/>
      <c r="AY94" s="260"/>
      <c r="AZ94" s="14"/>
      <c r="BA94" s="14"/>
      <c r="BB94" s="14"/>
      <c r="BC94" s="260"/>
      <c r="BD94" s="14"/>
      <c r="BE94" s="14"/>
      <c r="BF94" s="14"/>
      <c r="BG94" s="260"/>
      <c r="BH94" s="14"/>
      <c r="BI94" s="14"/>
      <c r="BJ94" s="14"/>
      <c r="BK94" s="260"/>
      <c r="BL94" s="20"/>
      <c r="BM94" s="22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260"/>
      <c r="CB94" s="23"/>
      <c r="CC94" s="74"/>
      <c r="CD94" s="74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14"/>
      <c r="CQ94" s="14"/>
      <c r="CR94" s="14"/>
      <c r="CS94" s="8"/>
      <c r="CT94" s="8"/>
    </row>
    <row r="95" spans="1:98" ht="14.25" customHeight="1">
      <c r="A95" s="8"/>
      <c r="B95" s="527" t="s">
        <v>225</v>
      </c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22"/>
      <c r="AG95" s="14"/>
      <c r="AH95" s="14"/>
      <c r="AI95" s="14"/>
      <c r="AJ95" s="22"/>
      <c r="AK95" s="14"/>
      <c r="AL95" s="14"/>
      <c r="AM95" s="260"/>
      <c r="AN95" s="14"/>
      <c r="AO95" s="14"/>
      <c r="AP95" s="14"/>
      <c r="AQ95" s="260"/>
      <c r="AR95" s="14"/>
      <c r="AS95" s="14"/>
      <c r="AT95" s="14"/>
      <c r="AU95" s="260"/>
      <c r="AV95" s="14"/>
      <c r="AW95" s="14"/>
      <c r="AX95" s="14"/>
      <c r="AY95" s="260"/>
      <c r="AZ95" s="14"/>
      <c r="BA95" s="14"/>
      <c r="BB95" s="14"/>
      <c r="BC95" s="260"/>
      <c r="BD95" s="14"/>
      <c r="BE95" s="14"/>
      <c r="BF95" s="14"/>
      <c r="BG95" s="260"/>
      <c r="BH95" s="14"/>
      <c r="BI95" s="14"/>
      <c r="BJ95" s="14"/>
      <c r="BK95" s="260"/>
      <c r="BL95" s="20"/>
      <c r="BM95" s="22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260"/>
      <c r="CB95" s="23"/>
      <c r="CC95" s="74"/>
      <c r="CD95" s="74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14"/>
      <c r="CQ95" s="14"/>
      <c r="CR95" s="14"/>
      <c r="CS95" s="8"/>
      <c r="CT95" s="8"/>
    </row>
    <row r="96" spans="1:98" ht="14.25" customHeight="1">
      <c r="A96" s="8"/>
      <c r="B96" s="22" t="s">
        <v>223</v>
      </c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22"/>
      <c r="AG96" s="14"/>
      <c r="AH96" s="838">
        <v>300</v>
      </c>
      <c r="AI96" s="839">
        <v>0</v>
      </c>
      <c r="AJ96" s="852">
        <f t="shared" ref="AJ96:AW96" si="297">+AI96</f>
        <v>0</v>
      </c>
      <c r="AK96" s="840">
        <f t="shared" si="297"/>
        <v>0</v>
      </c>
      <c r="AL96" s="840">
        <f t="shared" si="297"/>
        <v>0</v>
      </c>
      <c r="AM96" s="841">
        <f t="shared" si="297"/>
        <v>0</v>
      </c>
      <c r="AN96" s="840">
        <f t="shared" si="297"/>
        <v>0</v>
      </c>
      <c r="AO96" s="840">
        <f t="shared" si="297"/>
        <v>0</v>
      </c>
      <c r="AP96" s="840">
        <f t="shared" si="297"/>
        <v>0</v>
      </c>
      <c r="AQ96" s="841">
        <f t="shared" si="297"/>
        <v>0</v>
      </c>
      <c r="AR96" s="840">
        <f t="shared" si="297"/>
        <v>0</v>
      </c>
      <c r="AS96" s="840">
        <f t="shared" si="297"/>
        <v>0</v>
      </c>
      <c r="AT96" s="840">
        <f t="shared" si="297"/>
        <v>0</v>
      </c>
      <c r="AU96" s="841">
        <f>+AT96</f>
        <v>0</v>
      </c>
      <c r="AV96" s="840">
        <f t="shared" si="297"/>
        <v>0</v>
      </c>
      <c r="AW96" s="840">
        <f t="shared" si="297"/>
        <v>0</v>
      </c>
      <c r="AX96" s="840">
        <f t="shared" ref="AX96:AY98" si="298">+AW96</f>
        <v>0</v>
      </c>
      <c r="AY96" s="841">
        <f t="shared" si="298"/>
        <v>0</v>
      </c>
      <c r="AZ96" s="840">
        <f t="shared" ref="AZ96:BC98" si="299">+AY96</f>
        <v>0</v>
      </c>
      <c r="BA96" s="840">
        <f t="shared" si="299"/>
        <v>0</v>
      </c>
      <c r="BB96" s="840">
        <f t="shared" si="299"/>
        <v>0</v>
      </c>
      <c r="BC96" s="841">
        <f t="shared" si="299"/>
        <v>0</v>
      </c>
      <c r="BD96" s="840">
        <f t="shared" ref="BD96:BG98" si="300">+BC96</f>
        <v>0</v>
      </c>
      <c r="BE96" s="840">
        <f t="shared" si="300"/>
        <v>0</v>
      </c>
      <c r="BF96" s="840">
        <f t="shared" si="300"/>
        <v>0</v>
      </c>
      <c r="BG96" s="841">
        <f t="shared" si="300"/>
        <v>0</v>
      </c>
      <c r="BH96" s="840">
        <f t="shared" ref="BH96:BK98" si="301">+BG96</f>
        <v>0</v>
      </c>
      <c r="BI96" s="840">
        <f t="shared" si="301"/>
        <v>0</v>
      </c>
      <c r="BJ96" s="840">
        <f t="shared" si="301"/>
        <v>0</v>
      </c>
      <c r="BK96" s="841">
        <f t="shared" si="301"/>
        <v>0</v>
      </c>
      <c r="BL96" s="20"/>
      <c r="BM96" s="22"/>
      <c r="BN96" s="14"/>
      <c r="BO96" s="14"/>
      <c r="BP96" s="14"/>
      <c r="BQ96" s="14"/>
      <c r="BR96" s="14"/>
      <c r="BS96" s="14"/>
      <c r="BT96" s="14">
        <f>+AI96</f>
        <v>0</v>
      </c>
      <c r="BU96" s="14">
        <f>+AM96</f>
        <v>0</v>
      </c>
      <c r="BV96" s="14">
        <f>+AQ96</f>
        <v>0</v>
      </c>
      <c r="BW96" s="14">
        <f>AU96</f>
        <v>0</v>
      </c>
      <c r="BX96" s="14">
        <f>AY96</f>
        <v>0</v>
      </c>
      <c r="BY96" s="14">
        <f>BC96</f>
        <v>0</v>
      </c>
      <c r="BZ96" s="14">
        <f>BG96</f>
        <v>0</v>
      </c>
      <c r="CA96" s="841">
        <f>BK96</f>
        <v>0</v>
      </c>
      <c r="CB96" s="1485"/>
      <c r="CC96" s="1435"/>
      <c r="CD96" s="1435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14"/>
      <c r="CQ96" s="14"/>
      <c r="CR96" s="14"/>
      <c r="CS96" s="8"/>
      <c r="CT96" s="8"/>
    </row>
    <row r="97" spans="1:104" ht="14.25" customHeight="1">
      <c r="A97" s="8"/>
      <c r="B97" s="22" t="s">
        <v>224</v>
      </c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22"/>
      <c r="AG97" s="14"/>
      <c r="AH97" s="838">
        <v>500</v>
      </c>
      <c r="AI97" s="840">
        <f t="shared" ref="AI97:AW98" si="302">+AH97</f>
        <v>500</v>
      </c>
      <c r="AJ97" s="852">
        <f t="shared" si="302"/>
        <v>500</v>
      </c>
      <c r="AK97" s="840">
        <f t="shared" si="302"/>
        <v>500</v>
      </c>
      <c r="AL97" s="840">
        <f t="shared" si="302"/>
        <v>500</v>
      </c>
      <c r="AM97" s="841">
        <f t="shared" si="302"/>
        <v>500</v>
      </c>
      <c r="AN97" s="840">
        <f t="shared" si="302"/>
        <v>500</v>
      </c>
      <c r="AO97" s="840">
        <f t="shared" si="302"/>
        <v>500</v>
      </c>
      <c r="AP97" s="840">
        <f t="shared" si="302"/>
        <v>500</v>
      </c>
      <c r="AQ97" s="841">
        <f t="shared" si="302"/>
        <v>500</v>
      </c>
      <c r="AR97" s="840">
        <f t="shared" si="302"/>
        <v>500</v>
      </c>
      <c r="AS97" s="840">
        <f t="shared" si="302"/>
        <v>500</v>
      </c>
      <c r="AT97" s="840">
        <f t="shared" si="302"/>
        <v>500</v>
      </c>
      <c r="AU97" s="841">
        <f>+AT97</f>
        <v>500</v>
      </c>
      <c r="AV97" s="840">
        <f t="shared" si="302"/>
        <v>500</v>
      </c>
      <c r="AW97" s="840">
        <f t="shared" si="302"/>
        <v>500</v>
      </c>
      <c r="AX97" s="840">
        <f t="shared" si="298"/>
        <v>500</v>
      </c>
      <c r="AY97" s="841">
        <f t="shared" si="298"/>
        <v>500</v>
      </c>
      <c r="AZ97" s="840">
        <f t="shared" si="299"/>
        <v>500</v>
      </c>
      <c r="BA97" s="840">
        <f t="shared" si="299"/>
        <v>500</v>
      </c>
      <c r="BB97" s="840">
        <f t="shared" si="299"/>
        <v>500</v>
      </c>
      <c r="BC97" s="841">
        <f t="shared" si="299"/>
        <v>500</v>
      </c>
      <c r="BD97" s="840">
        <f t="shared" si="300"/>
        <v>500</v>
      </c>
      <c r="BE97" s="840">
        <f t="shared" si="300"/>
        <v>500</v>
      </c>
      <c r="BF97" s="840">
        <f t="shared" si="300"/>
        <v>500</v>
      </c>
      <c r="BG97" s="841">
        <f t="shared" si="300"/>
        <v>500</v>
      </c>
      <c r="BH97" s="840">
        <f t="shared" si="301"/>
        <v>500</v>
      </c>
      <c r="BI97" s="840">
        <f t="shared" si="301"/>
        <v>500</v>
      </c>
      <c r="BJ97" s="840">
        <f t="shared" si="301"/>
        <v>500</v>
      </c>
      <c r="BK97" s="841">
        <f t="shared" si="301"/>
        <v>500</v>
      </c>
      <c r="BL97" s="20"/>
      <c r="BM97" s="22"/>
      <c r="BN97" s="14"/>
      <c r="BO97" s="14"/>
      <c r="BP97" s="14"/>
      <c r="BQ97" s="14"/>
      <c r="BR97" s="14"/>
      <c r="BS97" s="14"/>
      <c r="BT97" s="14">
        <f>+AI97</f>
        <v>500</v>
      </c>
      <c r="BU97" s="14">
        <f>+AM97</f>
        <v>500</v>
      </c>
      <c r="BV97" s="14">
        <f>+AQ97</f>
        <v>500</v>
      </c>
      <c r="BW97" s="14">
        <f>AU97</f>
        <v>500</v>
      </c>
      <c r="BX97" s="14">
        <f>AY97</f>
        <v>500</v>
      </c>
      <c r="BY97" s="14">
        <f>BC97</f>
        <v>500</v>
      </c>
      <c r="BZ97" s="14">
        <f>BG97</f>
        <v>500</v>
      </c>
      <c r="CA97" s="841">
        <f>BK97</f>
        <v>500</v>
      </c>
      <c r="CB97" s="1485"/>
      <c r="CC97" s="1435"/>
      <c r="CD97" s="1435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14"/>
      <c r="CQ97" s="14"/>
      <c r="CR97" s="14"/>
      <c r="CS97" s="8"/>
      <c r="CT97" s="8"/>
    </row>
    <row r="98" spans="1:104" s="735" customFormat="1" ht="14.25" customHeight="1">
      <c r="A98" s="731"/>
      <c r="B98" s="734" t="s">
        <v>555</v>
      </c>
      <c r="C98" s="842"/>
      <c r="D98" s="842"/>
      <c r="E98" s="842"/>
      <c r="F98" s="842"/>
      <c r="G98" s="842"/>
      <c r="H98" s="842"/>
      <c r="I98" s="842"/>
      <c r="J98" s="842"/>
      <c r="K98" s="842"/>
      <c r="L98" s="842"/>
      <c r="M98" s="842"/>
      <c r="N98" s="842"/>
      <c r="O98" s="842"/>
      <c r="P98" s="842"/>
      <c r="Q98" s="842"/>
      <c r="R98" s="842"/>
      <c r="S98" s="842"/>
      <c r="T98" s="842"/>
      <c r="U98" s="842"/>
      <c r="V98" s="842"/>
      <c r="W98" s="842"/>
      <c r="X98" s="842"/>
      <c r="Y98" s="842"/>
      <c r="Z98" s="842"/>
      <c r="AA98" s="842"/>
      <c r="AB98" s="842"/>
      <c r="AC98" s="842"/>
      <c r="AD98" s="842"/>
      <c r="AE98" s="842"/>
      <c r="AF98" s="734"/>
      <c r="AG98" s="842"/>
      <c r="AH98" s="843">
        <f>+AH99-AH97-AH96</f>
        <v>7.8869999999999436</v>
      </c>
      <c r="AI98" s="844">
        <f t="shared" si="302"/>
        <v>7.8869999999999436</v>
      </c>
      <c r="AJ98" s="853">
        <f t="shared" si="302"/>
        <v>7.8869999999999436</v>
      </c>
      <c r="AK98" s="844">
        <f t="shared" si="302"/>
        <v>7.8869999999999436</v>
      </c>
      <c r="AL98" s="844">
        <f t="shared" si="302"/>
        <v>7.8869999999999436</v>
      </c>
      <c r="AM98" s="845">
        <f t="shared" si="302"/>
        <v>7.8869999999999436</v>
      </c>
      <c r="AN98" s="844">
        <f t="shared" si="302"/>
        <v>7.8869999999999436</v>
      </c>
      <c r="AO98" s="844">
        <f t="shared" si="302"/>
        <v>7.8869999999999436</v>
      </c>
      <c r="AP98" s="844">
        <f t="shared" si="302"/>
        <v>7.8869999999999436</v>
      </c>
      <c r="AQ98" s="845">
        <f t="shared" si="302"/>
        <v>7.8869999999999436</v>
      </c>
      <c r="AR98" s="844">
        <f t="shared" si="302"/>
        <v>7.8869999999999436</v>
      </c>
      <c r="AS98" s="844">
        <f t="shared" si="302"/>
        <v>7.8869999999999436</v>
      </c>
      <c r="AT98" s="844">
        <f t="shared" si="302"/>
        <v>7.8869999999999436</v>
      </c>
      <c r="AU98" s="845">
        <f>500+250</f>
        <v>750</v>
      </c>
      <c r="AV98" s="844">
        <f t="shared" si="302"/>
        <v>750</v>
      </c>
      <c r="AW98" s="844">
        <v>500</v>
      </c>
      <c r="AX98" s="844">
        <f t="shared" si="298"/>
        <v>500</v>
      </c>
      <c r="AY98" s="845">
        <f t="shared" si="298"/>
        <v>500</v>
      </c>
      <c r="AZ98" s="844">
        <f t="shared" si="299"/>
        <v>500</v>
      </c>
      <c r="BA98" s="844">
        <f t="shared" si="299"/>
        <v>500</v>
      </c>
      <c r="BB98" s="844">
        <f t="shared" si="299"/>
        <v>500</v>
      </c>
      <c r="BC98" s="845">
        <f t="shared" si="299"/>
        <v>500</v>
      </c>
      <c r="BD98" s="844">
        <f t="shared" si="300"/>
        <v>500</v>
      </c>
      <c r="BE98" s="844">
        <f t="shared" si="300"/>
        <v>500</v>
      </c>
      <c r="BF98" s="844">
        <f t="shared" si="300"/>
        <v>500</v>
      </c>
      <c r="BG98" s="845">
        <f t="shared" si="300"/>
        <v>500</v>
      </c>
      <c r="BH98" s="844">
        <f t="shared" si="301"/>
        <v>500</v>
      </c>
      <c r="BI98" s="844">
        <f t="shared" si="301"/>
        <v>500</v>
      </c>
      <c r="BJ98" s="844">
        <f t="shared" si="301"/>
        <v>500</v>
      </c>
      <c r="BK98" s="845">
        <f t="shared" si="301"/>
        <v>500</v>
      </c>
      <c r="BL98" s="720"/>
      <c r="BM98" s="734"/>
      <c r="BN98" s="842"/>
      <c r="BO98" s="842"/>
      <c r="BP98" s="842"/>
      <c r="BQ98" s="842"/>
      <c r="BR98" s="842"/>
      <c r="BS98" s="842"/>
      <c r="BT98" s="842">
        <f>+AI98</f>
        <v>7.8869999999999436</v>
      </c>
      <c r="BU98" s="842">
        <f>+AM98</f>
        <v>7.8869999999999436</v>
      </c>
      <c r="BV98" s="842">
        <f>+AQ98</f>
        <v>7.8869999999999436</v>
      </c>
      <c r="BW98" s="842">
        <f>AU98</f>
        <v>750</v>
      </c>
      <c r="BX98" s="842">
        <f>AY98</f>
        <v>500</v>
      </c>
      <c r="BY98" s="842">
        <f>BC98</f>
        <v>500</v>
      </c>
      <c r="BZ98" s="842">
        <f>BG98</f>
        <v>500</v>
      </c>
      <c r="CA98" s="845">
        <f>BK98</f>
        <v>500</v>
      </c>
      <c r="CB98" s="1486"/>
      <c r="CC98" s="1436"/>
      <c r="CD98" s="1436"/>
      <c r="CE98" s="731"/>
      <c r="CF98" s="731"/>
      <c r="CG98" s="731"/>
      <c r="CH98" s="731"/>
      <c r="CI98" s="731"/>
      <c r="CJ98" s="731"/>
      <c r="CK98" s="731"/>
      <c r="CL98" s="731"/>
      <c r="CM98" s="731"/>
      <c r="CN98" s="731"/>
      <c r="CO98" s="731"/>
      <c r="CP98" s="842"/>
      <c r="CQ98" s="842"/>
      <c r="CR98" s="842"/>
      <c r="CS98" s="731"/>
      <c r="CT98" s="731"/>
      <c r="CU98"/>
      <c r="CV98"/>
      <c r="CW98"/>
      <c r="CX98"/>
      <c r="CY98"/>
      <c r="CZ98"/>
    </row>
    <row r="99" spans="1:104" ht="14.25" customHeight="1">
      <c r="A99" s="8"/>
      <c r="B99" s="22" t="s">
        <v>218</v>
      </c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22"/>
      <c r="AG99" s="14"/>
      <c r="AH99" s="846">
        <f>+AH39+AH35</f>
        <v>807.88699999999994</v>
      </c>
      <c r="AI99" s="840">
        <f t="shared" ref="AI99:BG99" si="303">+SUM(AI96:AI98)</f>
        <v>507.88699999999994</v>
      </c>
      <c r="AJ99" s="852">
        <f t="shared" si="303"/>
        <v>507.88699999999994</v>
      </c>
      <c r="AK99" s="840">
        <f t="shared" si="303"/>
        <v>507.88699999999994</v>
      </c>
      <c r="AL99" s="840">
        <f t="shared" si="303"/>
        <v>507.88699999999994</v>
      </c>
      <c r="AM99" s="841">
        <f t="shared" si="303"/>
        <v>507.88699999999994</v>
      </c>
      <c r="AN99" s="840">
        <f t="shared" si="303"/>
        <v>507.88699999999994</v>
      </c>
      <c r="AO99" s="840">
        <f t="shared" si="303"/>
        <v>507.88699999999994</v>
      </c>
      <c r="AP99" s="840">
        <f t="shared" si="303"/>
        <v>507.88699999999994</v>
      </c>
      <c r="AQ99" s="841">
        <f t="shared" si="303"/>
        <v>507.88699999999994</v>
      </c>
      <c r="AR99" s="840">
        <f t="shared" si="303"/>
        <v>507.88699999999994</v>
      </c>
      <c r="AS99" s="840">
        <f t="shared" si="303"/>
        <v>507.88699999999994</v>
      </c>
      <c r="AT99" s="840">
        <f t="shared" si="303"/>
        <v>507.88699999999994</v>
      </c>
      <c r="AU99" s="841">
        <f t="shared" si="303"/>
        <v>1250</v>
      </c>
      <c r="AV99" s="840">
        <f t="shared" si="303"/>
        <v>1250</v>
      </c>
      <c r="AW99" s="840">
        <f t="shared" si="303"/>
        <v>1000</v>
      </c>
      <c r="AX99" s="840">
        <f t="shared" si="303"/>
        <v>1000</v>
      </c>
      <c r="AY99" s="841">
        <f t="shared" si="303"/>
        <v>1000</v>
      </c>
      <c r="AZ99" s="840">
        <f t="shared" si="303"/>
        <v>1000</v>
      </c>
      <c r="BA99" s="840">
        <f t="shared" si="303"/>
        <v>1000</v>
      </c>
      <c r="BB99" s="840">
        <f t="shared" si="303"/>
        <v>1000</v>
      </c>
      <c r="BC99" s="841">
        <f t="shared" si="303"/>
        <v>1000</v>
      </c>
      <c r="BD99" s="840">
        <f t="shared" si="303"/>
        <v>1000</v>
      </c>
      <c r="BE99" s="840">
        <f t="shared" si="303"/>
        <v>1000</v>
      </c>
      <c r="BF99" s="840">
        <f t="shared" si="303"/>
        <v>1000</v>
      </c>
      <c r="BG99" s="841">
        <f t="shared" si="303"/>
        <v>1000</v>
      </c>
      <c r="BH99" s="840">
        <f>+SUM(BH96:BH98)</f>
        <v>1000</v>
      </c>
      <c r="BI99" s="840">
        <f>+SUM(BI96:BI98)</f>
        <v>1000</v>
      </c>
      <c r="BJ99" s="840">
        <f>+SUM(BJ96:BJ98)</f>
        <v>1000</v>
      </c>
      <c r="BK99" s="841">
        <f>+SUM(BK96:BK98)</f>
        <v>1000</v>
      </c>
      <c r="BL99" s="20"/>
      <c r="BM99" s="22"/>
      <c r="BN99" s="14"/>
      <c r="BO99" s="14"/>
      <c r="BP99" s="14"/>
      <c r="BQ99" s="14"/>
      <c r="BR99" s="14"/>
      <c r="BS99" s="14"/>
      <c r="BT99" s="14">
        <f>+AI99</f>
        <v>507.88699999999994</v>
      </c>
      <c r="BU99" s="14">
        <f>+AM99</f>
        <v>507.88699999999994</v>
      </c>
      <c r="BV99" s="14">
        <f>+AQ99</f>
        <v>507.88699999999994</v>
      </c>
      <c r="BW99" s="14">
        <f>AU99</f>
        <v>1250</v>
      </c>
      <c r="BX99" s="14">
        <f>AY99</f>
        <v>1000</v>
      </c>
      <c r="BY99" s="14">
        <f>BC99</f>
        <v>1000</v>
      </c>
      <c r="BZ99" s="14">
        <f>BG99</f>
        <v>1000</v>
      </c>
      <c r="CA99" s="841">
        <f>BK99</f>
        <v>1000</v>
      </c>
      <c r="CB99" s="1485"/>
      <c r="CC99" s="1435"/>
      <c r="CD99" s="1435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14"/>
      <c r="CQ99" s="14"/>
      <c r="CR99" s="14"/>
      <c r="CS99" s="8"/>
      <c r="CT99" s="8"/>
    </row>
    <row r="100" spans="1:104" ht="14.25" customHeight="1">
      <c r="A100" s="8"/>
      <c r="B100" s="22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22"/>
      <c r="AG100" s="14"/>
      <c r="AH100" s="14"/>
      <c r="AI100" s="14"/>
      <c r="AJ100" s="22"/>
      <c r="AK100" s="14"/>
      <c r="AL100" s="14"/>
      <c r="AM100" s="260"/>
      <c r="AN100" s="14"/>
      <c r="AO100" s="14"/>
      <c r="AP100" s="14"/>
      <c r="AQ100" s="260"/>
      <c r="AR100" s="14"/>
      <c r="AS100" s="14"/>
      <c r="AT100" s="14"/>
      <c r="AU100" s="260"/>
      <c r="AV100" s="14"/>
      <c r="AW100" s="14"/>
      <c r="AX100" s="14"/>
      <c r="AY100" s="260"/>
      <c r="AZ100" s="14"/>
      <c r="BA100" s="14"/>
      <c r="BB100" s="14"/>
      <c r="BC100" s="260"/>
      <c r="BD100" s="14"/>
      <c r="BE100" s="14"/>
      <c r="BF100" s="14"/>
      <c r="BG100" s="260"/>
      <c r="BH100" s="14"/>
      <c r="BI100" s="14"/>
      <c r="BJ100" s="14"/>
      <c r="BK100" s="260"/>
      <c r="BL100" s="20"/>
      <c r="BM100" s="22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260"/>
      <c r="CB100" s="23"/>
      <c r="CC100" s="74"/>
      <c r="CD100" s="74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14"/>
      <c r="CQ100" s="14"/>
      <c r="CR100" s="14"/>
      <c r="CS100" s="8"/>
      <c r="CT100" s="8"/>
    </row>
    <row r="101" spans="1:104" ht="14.25" customHeight="1">
      <c r="A101" s="8"/>
      <c r="B101" s="527" t="s">
        <v>227</v>
      </c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22"/>
      <c r="AG101" s="14"/>
      <c r="AH101" s="14"/>
      <c r="AI101" s="14"/>
      <c r="AJ101" s="22"/>
      <c r="AK101" s="14"/>
      <c r="AL101" s="14"/>
      <c r="AM101" s="260"/>
      <c r="AN101" s="14"/>
      <c r="AO101" s="14"/>
      <c r="AP101" s="14"/>
      <c r="AQ101" s="260"/>
      <c r="AR101" s="14"/>
      <c r="AS101" s="14"/>
      <c r="AT101" s="14"/>
      <c r="AU101" s="260"/>
      <c r="AV101" s="14"/>
      <c r="AW101" s="14"/>
      <c r="AX101" s="14"/>
      <c r="AY101" s="260"/>
      <c r="AZ101" s="14"/>
      <c r="BA101" s="14"/>
      <c r="BB101" s="14"/>
      <c r="BC101" s="260"/>
      <c r="BD101" s="14"/>
      <c r="BE101" s="14"/>
      <c r="BF101" s="14"/>
      <c r="BG101" s="260"/>
      <c r="BH101" s="14"/>
      <c r="BI101" s="14"/>
      <c r="BJ101" s="14"/>
      <c r="BK101" s="260"/>
      <c r="BL101" s="20"/>
      <c r="BM101" s="22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260"/>
      <c r="CB101" s="23"/>
      <c r="CC101" s="74"/>
      <c r="CD101" s="74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14"/>
      <c r="CQ101" s="14"/>
      <c r="CR101" s="14"/>
      <c r="CS101" s="8"/>
      <c r="CT101" s="8"/>
    </row>
    <row r="102" spans="1:104" ht="14.25" customHeight="1">
      <c r="A102" s="8"/>
      <c r="B102" s="22" t="s">
        <v>223</v>
      </c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22"/>
      <c r="AG102" s="14"/>
      <c r="AH102" s="847">
        <v>3.4500000000000003E-2</v>
      </c>
      <c r="AI102" s="848">
        <f>+AH102</f>
        <v>3.4500000000000003E-2</v>
      </c>
      <c r="AJ102" s="854">
        <f t="shared" ref="AJ102:AW102" si="304">+AI102</f>
        <v>3.4500000000000003E-2</v>
      </c>
      <c r="AK102" s="848">
        <f t="shared" si="304"/>
        <v>3.4500000000000003E-2</v>
      </c>
      <c r="AL102" s="848">
        <f t="shared" si="304"/>
        <v>3.4500000000000003E-2</v>
      </c>
      <c r="AM102" s="849">
        <f>+AL102</f>
        <v>3.4500000000000003E-2</v>
      </c>
      <c r="AN102" s="848">
        <f t="shared" si="304"/>
        <v>3.4500000000000003E-2</v>
      </c>
      <c r="AO102" s="848">
        <f t="shared" si="304"/>
        <v>3.4500000000000003E-2</v>
      </c>
      <c r="AP102" s="848">
        <f t="shared" si="304"/>
        <v>3.4500000000000003E-2</v>
      </c>
      <c r="AQ102" s="849">
        <f t="shared" si="304"/>
        <v>3.4500000000000003E-2</v>
      </c>
      <c r="AR102" s="848">
        <f t="shared" si="304"/>
        <v>3.4500000000000003E-2</v>
      </c>
      <c r="AS102" s="848">
        <f t="shared" si="304"/>
        <v>3.4500000000000003E-2</v>
      </c>
      <c r="AT102" s="848">
        <f t="shared" si="304"/>
        <v>3.4500000000000003E-2</v>
      </c>
      <c r="AU102" s="849">
        <f>+AT102</f>
        <v>3.4500000000000003E-2</v>
      </c>
      <c r="AV102" s="848">
        <f t="shared" si="304"/>
        <v>3.4500000000000003E-2</v>
      </c>
      <c r="AW102" s="848">
        <f t="shared" si="304"/>
        <v>3.4500000000000003E-2</v>
      </c>
      <c r="AX102" s="848">
        <f t="shared" ref="AX102:AY104" si="305">+AW102</f>
        <v>3.4500000000000003E-2</v>
      </c>
      <c r="AY102" s="849">
        <f t="shared" si="305"/>
        <v>3.4500000000000003E-2</v>
      </c>
      <c r="AZ102" s="848">
        <f t="shared" ref="AZ102:BC104" si="306">+AY102</f>
        <v>3.4500000000000003E-2</v>
      </c>
      <c r="BA102" s="848">
        <f t="shared" si="306"/>
        <v>3.4500000000000003E-2</v>
      </c>
      <c r="BB102" s="848">
        <f t="shared" si="306"/>
        <v>3.4500000000000003E-2</v>
      </c>
      <c r="BC102" s="849">
        <f t="shared" si="306"/>
        <v>3.4500000000000003E-2</v>
      </c>
      <c r="BD102" s="848">
        <f t="shared" ref="BD102:BG104" si="307">+BC102</f>
        <v>3.4500000000000003E-2</v>
      </c>
      <c r="BE102" s="848">
        <f t="shared" si="307"/>
        <v>3.4500000000000003E-2</v>
      </c>
      <c r="BF102" s="848">
        <f t="shared" si="307"/>
        <v>3.4500000000000003E-2</v>
      </c>
      <c r="BG102" s="849">
        <f t="shared" si="307"/>
        <v>3.4500000000000003E-2</v>
      </c>
      <c r="BH102" s="848">
        <f t="shared" ref="BH102:BK104" si="308">+BG102</f>
        <v>3.4500000000000003E-2</v>
      </c>
      <c r="BI102" s="848">
        <f t="shared" si="308"/>
        <v>3.4500000000000003E-2</v>
      </c>
      <c r="BJ102" s="848">
        <f t="shared" si="308"/>
        <v>3.4500000000000003E-2</v>
      </c>
      <c r="BK102" s="849">
        <f t="shared" si="308"/>
        <v>3.4500000000000003E-2</v>
      </c>
      <c r="BL102" s="20"/>
      <c r="BM102" s="22"/>
      <c r="BN102" s="14"/>
      <c r="BO102" s="14"/>
      <c r="BP102" s="14"/>
      <c r="BQ102" s="14"/>
      <c r="BR102" s="14"/>
      <c r="BS102" s="14"/>
      <c r="BT102" s="14">
        <f>+AI102</f>
        <v>3.4500000000000003E-2</v>
      </c>
      <c r="BU102" s="14">
        <f>+AM102</f>
        <v>3.4500000000000003E-2</v>
      </c>
      <c r="BV102" s="14">
        <f>+AQ102</f>
        <v>3.4500000000000003E-2</v>
      </c>
      <c r="BW102" s="14">
        <f>AU102</f>
        <v>3.4500000000000003E-2</v>
      </c>
      <c r="BX102" s="14">
        <f>AY102</f>
        <v>3.4500000000000003E-2</v>
      </c>
      <c r="BY102" s="14">
        <f>BC102</f>
        <v>3.4500000000000003E-2</v>
      </c>
      <c r="BZ102" s="14">
        <f>BG102</f>
        <v>3.4500000000000003E-2</v>
      </c>
      <c r="CA102" s="863">
        <f>BK102</f>
        <v>3.4500000000000003E-2</v>
      </c>
      <c r="CB102" s="1487"/>
      <c r="CC102" s="1437"/>
      <c r="CD102" s="1437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14"/>
      <c r="CQ102" s="14"/>
      <c r="CR102" s="14"/>
      <c r="CS102" s="8"/>
      <c r="CT102" s="8"/>
    </row>
    <row r="103" spans="1:104" ht="14.25" customHeight="1">
      <c r="A103" s="8"/>
      <c r="B103" s="22" t="s">
        <v>224</v>
      </c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22"/>
      <c r="AG103" s="14"/>
      <c r="AH103" s="847">
        <v>3.3750000000000002E-2</v>
      </c>
      <c r="AI103" s="848">
        <f t="shared" ref="AI103:AW104" si="309">+AH103</f>
        <v>3.3750000000000002E-2</v>
      </c>
      <c r="AJ103" s="854">
        <f t="shared" si="309"/>
        <v>3.3750000000000002E-2</v>
      </c>
      <c r="AK103" s="848">
        <f t="shared" si="309"/>
        <v>3.3750000000000002E-2</v>
      </c>
      <c r="AL103" s="848">
        <f t="shared" si="309"/>
        <v>3.3750000000000002E-2</v>
      </c>
      <c r="AM103" s="849">
        <f t="shared" si="309"/>
        <v>3.3750000000000002E-2</v>
      </c>
      <c r="AN103" s="848">
        <f t="shared" si="309"/>
        <v>3.3750000000000002E-2</v>
      </c>
      <c r="AO103" s="848">
        <f t="shared" si="309"/>
        <v>3.3750000000000002E-2</v>
      </c>
      <c r="AP103" s="848">
        <f t="shared" si="309"/>
        <v>3.3750000000000002E-2</v>
      </c>
      <c r="AQ103" s="849">
        <f t="shared" si="309"/>
        <v>3.3750000000000002E-2</v>
      </c>
      <c r="AR103" s="848">
        <f t="shared" si="309"/>
        <v>3.3750000000000002E-2</v>
      </c>
      <c r="AS103" s="848">
        <f t="shared" si="309"/>
        <v>3.3750000000000002E-2</v>
      </c>
      <c r="AT103" s="848">
        <f t="shared" si="309"/>
        <v>3.3750000000000002E-2</v>
      </c>
      <c r="AU103" s="849">
        <f>+AT103</f>
        <v>3.3750000000000002E-2</v>
      </c>
      <c r="AV103" s="848">
        <f t="shared" si="309"/>
        <v>3.3750000000000002E-2</v>
      </c>
      <c r="AW103" s="848">
        <f t="shared" si="309"/>
        <v>3.3750000000000002E-2</v>
      </c>
      <c r="AX103" s="848">
        <f t="shared" si="305"/>
        <v>3.3750000000000002E-2</v>
      </c>
      <c r="AY103" s="849">
        <f t="shared" si="305"/>
        <v>3.3750000000000002E-2</v>
      </c>
      <c r="AZ103" s="848">
        <f t="shared" si="306"/>
        <v>3.3750000000000002E-2</v>
      </c>
      <c r="BA103" s="848">
        <f t="shared" si="306"/>
        <v>3.3750000000000002E-2</v>
      </c>
      <c r="BB103" s="848">
        <f t="shared" si="306"/>
        <v>3.3750000000000002E-2</v>
      </c>
      <c r="BC103" s="849">
        <f t="shared" si="306"/>
        <v>3.3750000000000002E-2</v>
      </c>
      <c r="BD103" s="848">
        <f t="shared" si="307"/>
        <v>3.3750000000000002E-2</v>
      </c>
      <c r="BE103" s="848">
        <f t="shared" si="307"/>
        <v>3.3750000000000002E-2</v>
      </c>
      <c r="BF103" s="848">
        <f t="shared" si="307"/>
        <v>3.3750000000000002E-2</v>
      </c>
      <c r="BG103" s="849">
        <f t="shared" si="307"/>
        <v>3.3750000000000002E-2</v>
      </c>
      <c r="BH103" s="848">
        <f t="shared" si="308"/>
        <v>3.3750000000000002E-2</v>
      </c>
      <c r="BI103" s="848">
        <f t="shared" si="308"/>
        <v>3.3750000000000002E-2</v>
      </c>
      <c r="BJ103" s="848">
        <f t="shared" si="308"/>
        <v>3.3750000000000002E-2</v>
      </c>
      <c r="BK103" s="849">
        <f t="shared" si="308"/>
        <v>3.3750000000000002E-2</v>
      </c>
      <c r="BL103" s="20"/>
      <c r="BM103" s="22"/>
      <c r="BN103" s="14"/>
      <c r="BO103" s="14"/>
      <c r="BP103" s="14"/>
      <c r="BQ103" s="14"/>
      <c r="BR103" s="14"/>
      <c r="BS103" s="14"/>
      <c r="BT103" s="14">
        <f>+AI103</f>
        <v>3.3750000000000002E-2</v>
      </c>
      <c r="BU103" s="14">
        <f>+AM103</f>
        <v>3.3750000000000002E-2</v>
      </c>
      <c r="BV103" s="14">
        <f>+AQ103</f>
        <v>3.3750000000000002E-2</v>
      </c>
      <c r="BW103" s="14">
        <f>AU103</f>
        <v>3.3750000000000002E-2</v>
      </c>
      <c r="BX103" s="14">
        <f>AY103</f>
        <v>3.3750000000000002E-2</v>
      </c>
      <c r="BY103" s="14">
        <f>BC103</f>
        <v>3.3750000000000002E-2</v>
      </c>
      <c r="BZ103" s="14">
        <f>BG103</f>
        <v>3.3750000000000002E-2</v>
      </c>
      <c r="CA103" s="863">
        <f>BK103</f>
        <v>3.3750000000000002E-2</v>
      </c>
      <c r="CB103" s="1487"/>
      <c r="CC103" s="1437"/>
      <c r="CD103" s="1437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14"/>
      <c r="CQ103" s="14"/>
      <c r="CR103" s="14"/>
      <c r="CS103" s="8"/>
      <c r="CT103" s="8"/>
    </row>
    <row r="104" spans="1:104" s="505" customFormat="1" ht="14.25" customHeight="1">
      <c r="A104" s="8"/>
      <c r="B104" s="22" t="s">
        <v>555</v>
      </c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22"/>
      <c r="AG104" s="14"/>
      <c r="AH104" s="847">
        <v>0.03</v>
      </c>
      <c r="AI104" s="848">
        <f t="shared" si="309"/>
        <v>0.03</v>
      </c>
      <c r="AJ104" s="854">
        <f t="shared" si="309"/>
        <v>0.03</v>
      </c>
      <c r="AK104" s="848">
        <f t="shared" si="309"/>
        <v>0.03</v>
      </c>
      <c r="AL104" s="848">
        <f t="shared" si="309"/>
        <v>0.03</v>
      </c>
      <c r="AM104" s="849">
        <f t="shared" si="309"/>
        <v>0.03</v>
      </c>
      <c r="AN104" s="848">
        <f t="shared" si="309"/>
        <v>0.03</v>
      </c>
      <c r="AO104" s="848">
        <f t="shared" si="309"/>
        <v>0.03</v>
      </c>
      <c r="AP104" s="848">
        <f t="shared" si="309"/>
        <v>0.03</v>
      </c>
      <c r="AQ104" s="849">
        <f t="shared" si="309"/>
        <v>0.03</v>
      </c>
      <c r="AR104" s="848">
        <f t="shared" si="309"/>
        <v>0.03</v>
      </c>
      <c r="AS104" s="848">
        <f t="shared" si="309"/>
        <v>0.03</v>
      </c>
      <c r="AT104" s="848">
        <f t="shared" si="309"/>
        <v>0.03</v>
      </c>
      <c r="AU104" s="849">
        <f>+AT104</f>
        <v>0.03</v>
      </c>
      <c r="AV104" s="848">
        <f t="shared" si="309"/>
        <v>0.03</v>
      </c>
      <c r="AW104" s="848">
        <f t="shared" si="309"/>
        <v>0.03</v>
      </c>
      <c r="AX104" s="848">
        <f t="shared" si="305"/>
        <v>0.03</v>
      </c>
      <c r="AY104" s="849">
        <f t="shared" si="305"/>
        <v>0.03</v>
      </c>
      <c r="AZ104" s="848">
        <f t="shared" si="306"/>
        <v>0.03</v>
      </c>
      <c r="BA104" s="848">
        <f t="shared" si="306"/>
        <v>0.03</v>
      </c>
      <c r="BB104" s="848">
        <f t="shared" si="306"/>
        <v>0.03</v>
      </c>
      <c r="BC104" s="849">
        <f t="shared" si="306"/>
        <v>0.03</v>
      </c>
      <c r="BD104" s="848">
        <f t="shared" si="307"/>
        <v>0.03</v>
      </c>
      <c r="BE104" s="848">
        <f t="shared" si="307"/>
        <v>0.03</v>
      </c>
      <c r="BF104" s="848">
        <f t="shared" si="307"/>
        <v>0.03</v>
      </c>
      <c r="BG104" s="849">
        <f t="shared" si="307"/>
        <v>0.03</v>
      </c>
      <c r="BH104" s="848">
        <f t="shared" si="308"/>
        <v>0.03</v>
      </c>
      <c r="BI104" s="848">
        <f t="shared" si="308"/>
        <v>0.03</v>
      </c>
      <c r="BJ104" s="848">
        <f t="shared" si="308"/>
        <v>0.03</v>
      </c>
      <c r="BK104" s="849">
        <f t="shared" si="308"/>
        <v>0.03</v>
      </c>
      <c r="BL104" s="20"/>
      <c r="BM104" s="22"/>
      <c r="BN104" s="14"/>
      <c r="BO104" s="14"/>
      <c r="BP104" s="14"/>
      <c r="BQ104" s="14"/>
      <c r="BR104" s="14"/>
      <c r="BS104" s="14"/>
      <c r="BT104" s="14">
        <f>+AI104</f>
        <v>0.03</v>
      </c>
      <c r="BU104" s="14">
        <f>+AM104</f>
        <v>0.03</v>
      </c>
      <c r="BV104" s="14">
        <f>+AQ104</f>
        <v>0.03</v>
      </c>
      <c r="BW104" s="14">
        <f>AU104</f>
        <v>0.03</v>
      </c>
      <c r="BX104" s="14">
        <f>AY104</f>
        <v>0.03</v>
      </c>
      <c r="BY104" s="14">
        <f>BC104</f>
        <v>0.03</v>
      </c>
      <c r="BZ104" s="14">
        <f>BG104</f>
        <v>0.03</v>
      </c>
      <c r="CA104" s="863">
        <f>BK104</f>
        <v>0.03</v>
      </c>
      <c r="CB104" s="1487"/>
      <c r="CC104" s="1437"/>
      <c r="CD104" s="1437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14"/>
      <c r="CQ104" s="14"/>
      <c r="CR104" s="14"/>
      <c r="CS104" s="8"/>
      <c r="CT104" s="8"/>
      <c r="CU104"/>
      <c r="CV104"/>
      <c r="CW104"/>
      <c r="CX104"/>
      <c r="CY104"/>
      <c r="CZ104"/>
    </row>
    <row r="105" spans="1:104" ht="14.25" customHeight="1">
      <c r="A105" s="8"/>
      <c r="B105" s="22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22"/>
      <c r="AG105" s="14"/>
      <c r="AH105" s="14"/>
      <c r="AI105" s="14"/>
      <c r="AJ105" s="22"/>
      <c r="AK105" s="14"/>
      <c r="AL105" s="14"/>
      <c r="AM105" s="260"/>
      <c r="AN105" s="14"/>
      <c r="AO105" s="14"/>
      <c r="AP105" s="14"/>
      <c r="AQ105" s="260"/>
      <c r="AR105" s="14"/>
      <c r="AS105" s="14"/>
      <c r="AT105" s="14"/>
      <c r="AU105" s="260"/>
      <c r="AV105" s="14"/>
      <c r="AW105" s="14"/>
      <c r="AX105" s="14"/>
      <c r="AY105" s="260"/>
      <c r="AZ105" s="14"/>
      <c r="BA105" s="14"/>
      <c r="BB105" s="14"/>
      <c r="BC105" s="260"/>
      <c r="BD105" s="14"/>
      <c r="BE105" s="14"/>
      <c r="BF105" s="14"/>
      <c r="BG105" s="260"/>
      <c r="BH105" s="14"/>
      <c r="BI105" s="14"/>
      <c r="BJ105" s="14"/>
      <c r="BK105" s="260"/>
      <c r="BL105" s="20"/>
      <c r="BM105" s="22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260"/>
      <c r="CB105" s="23"/>
      <c r="CC105" s="74"/>
      <c r="CD105" s="74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14"/>
      <c r="CQ105" s="14"/>
      <c r="CR105" s="14"/>
      <c r="CS105" s="8"/>
      <c r="CT105" s="8"/>
    </row>
    <row r="106" spans="1:104" ht="14.25" customHeight="1">
      <c r="A106" s="8"/>
      <c r="B106" s="527" t="s">
        <v>228</v>
      </c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22"/>
      <c r="AG106" s="14"/>
      <c r="AH106" s="14"/>
      <c r="AI106" s="14"/>
      <c r="AJ106" s="22"/>
      <c r="AK106" s="14"/>
      <c r="AL106" s="14"/>
      <c r="AM106" s="260"/>
      <c r="AN106" s="14"/>
      <c r="AO106" s="14"/>
      <c r="AP106" s="14"/>
      <c r="AQ106" s="260"/>
      <c r="AR106" s="14"/>
      <c r="AS106" s="14"/>
      <c r="AT106" s="14"/>
      <c r="AU106" s="260"/>
      <c r="AV106" s="14"/>
      <c r="AW106" s="14"/>
      <c r="AX106" s="14"/>
      <c r="AY106" s="260"/>
      <c r="AZ106" s="14"/>
      <c r="BA106" s="14"/>
      <c r="BB106" s="14"/>
      <c r="BC106" s="260"/>
      <c r="BD106" s="14"/>
      <c r="BE106" s="14"/>
      <c r="BF106" s="14"/>
      <c r="BG106" s="260"/>
      <c r="BH106" s="14"/>
      <c r="BI106" s="14"/>
      <c r="BJ106" s="14"/>
      <c r="BK106" s="260"/>
      <c r="BL106" s="20"/>
      <c r="BM106" s="22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260"/>
      <c r="CB106" s="23"/>
      <c r="CC106" s="74"/>
      <c r="CD106" s="74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14"/>
      <c r="CQ106" s="14"/>
      <c r="CR106" s="14"/>
      <c r="CS106" s="8"/>
      <c r="CT106" s="8"/>
    </row>
    <row r="107" spans="1:104" ht="14.25" customHeight="1">
      <c r="A107" s="8"/>
      <c r="B107" s="22" t="s">
        <v>223</v>
      </c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22"/>
      <c r="AG107" s="14"/>
      <c r="AH107" s="14"/>
      <c r="AI107" s="257">
        <f t="shared" ref="AI107:BG107" si="310">+AH96*AI102/4</f>
        <v>2.5875000000000004</v>
      </c>
      <c r="AJ107" s="391">
        <f t="shared" si="310"/>
        <v>0</v>
      </c>
      <c r="AK107" s="257">
        <f t="shared" si="310"/>
        <v>0</v>
      </c>
      <c r="AL107" s="257">
        <f t="shared" si="310"/>
        <v>0</v>
      </c>
      <c r="AM107" s="258">
        <f t="shared" si="310"/>
        <v>0</v>
      </c>
      <c r="AN107" s="257">
        <f t="shared" si="310"/>
        <v>0</v>
      </c>
      <c r="AO107" s="257">
        <f t="shared" si="310"/>
        <v>0</v>
      </c>
      <c r="AP107" s="257">
        <f t="shared" si="310"/>
        <v>0</v>
      </c>
      <c r="AQ107" s="258">
        <f t="shared" si="310"/>
        <v>0</v>
      </c>
      <c r="AR107" s="257">
        <f t="shared" si="310"/>
        <v>0</v>
      </c>
      <c r="AS107" s="257">
        <f t="shared" si="310"/>
        <v>0</v>
      </c>
      <c r="AT107" s="257">
        <f t="shared" si="310"/>
        <v>0</v>
      </c>
      <c r="AU107" s="258">
        <f t="shared" si="310"/>
        <v>0</v>
      </c>
      <c r="AV107" s="257">
        <f t="shared" si="310"/>
        <v>0</v>
      </c>
      <c r="AW107" s="257">
        <f t="shared" si="310"/>
        <v>0</v>
      </c>
      <c r="AX107" s="257">
        <f t="shared" si="310"/>
        <v>0</v>
      </c>
      <c r="AY107" s="258">
        <f t="shared" si="310"/>
        <v>0</v>
      </c>
      <c r="AZ107" s="257">
        <f t="shared" si="310"/>
        <v>0</v>
      </c>
      <c r="BA107" s="257">
        <f t="shared" si="310"/>
        <v>0</v>
      </c>
      <c r="BB107" s="257">
        <f t="shared" si="310"/>
        <v>0</v>
      </c>
      <c r="BC107" s="258">
        <f t="shared" si="310"/>
        <v>0</v>
      </c>
      <c r="BD107" s="257">
        <f t="shared" si="310"/>
        <v>0</v>
      </c>
      <c r="BE107" s="257">
        <f t="shared" si="310"/>
        <v>0</v>
      </c>
      <c r="BF107" s="257">
        <f t="shared" si="310"/>
        <v>0</v>
      </c>
      <c r="BG107" s="258">
        <f t="shared" si="310"/>
        <v>0</v>
      </c>
      <c r="BH107" s="257">
        <f t="shared" ref="BH107:BK109" si="311">+BG96*BH102/4</f>
        <v>0</v>
      </c>
      <c r="BI107" s="257">
        <f t="shared" si="311"/>
        <v>0</v>
      </c>
      <c r="BJ107" s="257">
        <f t="shared" si="311"/>
        <v>0</v>
      </c>
      <c r="BK107" s="258">
        <f t="shared" si="311"/>
        <v>0</v>
      </c>
      <c r="BL107" s="20"/>
      <c r="BM107" s="22"/>
      <c r="BN107" s="14"/>
      <c r="BO107" s="14"/>
      <c r="BP107" s="14"/>
      <c r="BQ107" s="14"/>
      <c r="BR107" s="14"/>
      <c r="BS107" s="14"/>
      <c r="BT107" s="14">
        <f>SUM(AF107:AI107)</f>
        <v>2.5875000000000004</v>
      </c>
      <c r="BU107" s="14">
        <f>SUM(AJ107:AM107)</f>
        <v>0</v>
      </c>
      <c r="BV107" s="14">
        <f>SUM(AN107:AQ107)</f>
        <v>0</v>
      </c>
      <c r="BW107" s="14">
        <f>SUM(AR107:AU107)</f>
        <v>0</v>
      </c>
      <c r="BX107" s="14">
        <f>SUM(AV107:AY107)</f>
        <v>0</v>
      </c>
      <c r="BY107" s="14">
        <f>BC107</f>
        <v>0</v>
      </c>
      <c r="BZ107" s="14">
        <f>BG107</f>
        <v>0</v>
      </c>
      <c r="CA107" s="219">
        <f>BK107</f>
        <v>0</v>
      </c>
      <c r="CB107" s="220"/>
      <c r="CC107" s="218"/>
      <c r="CD107" s="21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14"/>
      <c r="CQ107" s="14"/>
      <c r="CR107" s="14"/>
      <c r="CS107" s="8"/>
      <c r="CT107" s="8"/>
    </row>
    <row r="108" spans="1:104" ht="14.25" customHeight="1">
      <c r="A108" s="8"/>
      <c r="B108" s="22" t="s">
        <v>224</v>
      </c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22"/>
      <c r="AG108" s="14"/>
      <c r="AH108" s="14"/>
      <c r="AI108" s="257">
        <f t="shared" ref="AI108:BG108" si="312">+AH97*AI103/4</f>
        <v>4.21875</v>
      </c>
      <c r="AJ108" s="391">
        <f t="shared" si="312"/>
        <v>4.21875</v>
      </c>
      <c r="AK108" s="257">
        <f t="shared" si="312"/>
        <v>4.21875</v>
      </c>
      <c r="AL108" s="257">
        <f t="shared" si="312"/>
        <v>4.21875</v>
      </c>
      <c r="AM108" s="258">
        <f t="shared" si="312"/>
        <v>4.21875</v>
      </c>
      <c r="AN108" s="257">
        <f t="shared" si="312"/>
        <v>4.21875</v>
      </c>
      <c r="AO108" s="257">
        <f t="shared" si="312"/>
        <v>4.21875</v>
      </c>
      <c r="AP108" s="257">
        <f t="shared" si="312"/>
        <v>4.21875</v>
      </c>
      <c r="AQ108" s="258">
        <f t="shared" si="312"/>
        <v>4.21875</v>
      </c>
      <c r="AR108" s="257">
        <f t="shared" si="312"/>
        <v>4.21875</v>
      </c>
      <c r="AS108" s="257">
        <f t="shared" si="312"/>
        <v>4.21875</v>
      </c>
      <c r="AT108" s="257">
        <f t="shared" si="312"/>
        <v>4.21875</v>
      </c>
      <c r="AU108" s="258">
        <f t="shared" si="312"/>
        <v>4.21875</v>
      </c>
      <c r="AV108" s="257">
        <f t="shared" si="312"/>
        <v>4.21875</v>
      </c>
      <c r="AW108" s="257">
        <f t="shared" si="312"/>
        <v>4.21875</v>
      </c>
      <c r="AX108" s="257">
        <f t="shared" si="312"/>
        <v>4.21875</v>
      </c>
      <c r="AY108" s="258">
        <f t="shared" si="312"/>
        <v>4.21875</v>
      </c>
      <c r="AZ108" s="257">
        <f t="shared" si="312"/>
        <v>4.21875</v>
      </c>
      <c r="BA108" s="257">
        <f t="shared" si="312"/>
        <v>4.21875</v>
      </c>
      <c r="BB108" s="257">
        <f t="shared" si="312"/>
        <v>4.21875</v>
      </c>
      <c r="BC108" s="258">
        <f t="shared" si="312"/>
        <v>4.21875</v>
      </c>
      <c r="BD108" s="257">
        <f t="shared" si="312"/>
        <v>4.21875</v>
      </c>
      <c r="BE108" s="257">
        <f t="shared" si="312"/>
        <v>4.21875</v>
      </c>
      <c r="BF108" s="257">
        <f t="shared" si="312"/>
        <v>4.21875</v>
      </c>
      <c r="BG108" s="258">
        <f t="shared" si="312"/>
        <v>4.21875</v>
      </c>
      <c r="BH108" s="257">
        <f t="shared" si="311"/>
        <v>4.21875</v>
      </c>
      <c r="BI108" s="257">
        <f t="shared" si="311"/>
        <v>4.21875</v>
      </c>
      <c r="BJ108" s="257">
        <f t="shared" si="311"/>
        <v>4.21875</v>
      </c>
      <c r="BK108" s="258">
        <f t="shared" si="311"/>
        <v>4.21875</v>
      </c>
      <c r="BL108" s="20"/>
      <c r="BM108" s="22"/>
      <c r="BN108" s="14"/>
      <c r="BO108" s="14"/>
      <c r="BP108" s="14"/>
      <c r="BQ108" s="14"/>
      <c r="BR108" s="14"/>
      <c r="BS108" s="14"/>
      <c r="BT108" s="14">
        <f>SUM(AF108:AI108)</f>
        <v>4.21875</v>
      </c>
      <c r="BU108" s="14">
        <f>SUM(AJ108:AM108)</f>
        <v>16.875</v>
      </c>
      <c r="BV108" s="14">
        <f>SUM(AN108:AQ108)</f>
        <v>16.875</v>
      </c>
      <c r="BW108" s="14">
        <f>SUM(AR108:AU108)</f>
        <v>16.875</v>
      </c>
      <c r="BX108" s="14">
        <f>SUM(AV108:AY108)</f>
        <v>16.875</v>
      </c>
      <c r="BY108" s="14">
        <f>BC108</f>
        <v>4.21875</v>
      </c>
      <c r="BZ108" s="14">
        <f>BG108</f>
        <v>4.21875</v>
      </c>
      <c r="CA108" s="219">
        <f>BK108</f>
        <v>4.21875</v>
      </c>
      <c r="CB108" s="220"/>
      <c r="CC108" s="218"/>
      <c r="CD108" s="21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14"/>
      <c r="CQ108" s="14"/>
      <c r="CR108" s="14"/>
      <c r="CS108" s="8"/>
      <c r="CT108" s="8"/>
    </row>
    <row r="109" spans="1:104" s="735" customFormat="1" ht="14.25" customHeight="1">
      <c r="A109" s="731"/>
      <c r="B109" s="734" t="s">
        <v>555</v>
      </c>
      <c r="C109" s="842"/>
      <c r="D109" s="842"/>
      <c r="E109" s="842"/>
      <c r="F109" s="842"/>
      <c r="G109" s="842"/>
      <c r="H109" s="842"/>
      <c r="I109" s="842"/>
      <c r="J109" s="842"/>
      <c r="K109" s="842"/>
      <c r="L109" s="842"/>
      <c r="M109" s="842"/>
      <c r="N109" s="842"/>
      <c r="O109" s="842"/>
      <c r="P109" s="842"/>
      <c r="Q109" s="842"/>
      <c r="R109" s="842"/>
      <c r="S109" s="842"/>
      <c r="T109" s="842"/>
      <c r="U109" s="842"/>
      <c r="V109" s="842"/>
      <c r="W109" s="842"/>
      <c r="X109" s="842"/>
      <c r="Y109" s="842"/>
      <c r="Z109" s="842"/>
      <c r="AA109" s="842"/>
      <c r="AB109" s="842"/>
      <c r="AC109" s="842"/>
      <c r="AD109" s="842"/>
      <c r="AE109" s="842"/>
      <c r="AF109" s="734"/>
      <c r="AG109" s="842"/>
      <c r="AH109" s="842"/>
      <c r="AI109" s="850">
        <f t="shared" ref="AI109:BG109" si="313">+AH98*AI104/4</f>
        <v>5.9152499999999573E-2</v>
      </c>
      <c r="AJ109" s="855">
        <f t="shared" si="313"/>
        <v>5.9152499999999573E-2</v>
      </c>
      <c r="AK109" s="850">
        <f t="shared" si="313"/>
        <v>5.9152499999999573E-2</v>
      </c>
      <c r="AL109" s="850">
        <f t="shared" si="313"/>
        <v>5.9152499999999573E-2</v>
      </c>
      <c r="AM109" s="851">
        <f t="shared" si="313"/>
        <v>5.9152499999999573E-2</v>
      </c>
      <c r="AN109" s="850">
        <f t="shared" si="313"/>
        <v>5.9152499999999573E-2</v>
      </c>
      <c r="AO109" s="850">
        <f t="shared" si="313"/>
        <v>5.9152499999999573E-2</v>
      </c>
      <c r="AP109" s="850">
        <f t="shared" si="313"/>
        <v>5.9152499999999573E-2</v>
      </c>
      <c r="AQ109" s="851">
        <f t="shared" si="313"/>
        <v>5.9152499999999573E-2</v>
      </c>
      <c r="AR109" s="850">
        <f t="shared" si="313"/>
        <v>5.9152499999999573E-2</v>
      </c>
      <c r="AS109" s="850">
        <f t="shared" si="313"/>
        <v>5.9152499999999573E-2</v>
      </c>
      <c r="AT109" s="850">
        <f t="shared" si="313"/>
        <v>5.9152499999999573E-2</v>
      </c>
      <c r="AU109" s="851">
        <f t="shared" si="313"/>
        <v>5.9152499999999573E-2</v>
      </c>
      <c r="AV109" s="850">
        <f t="shared" si="313"/>
        <v>5.625</v>
      </c>
      <c r="AW109" s="850">
        <f t="shared" si="313"/>
        <v>5.625</v>
      </c>
      <c r="AX109" s="850">
        <f t="shared" si="313"/>
        <v>3.75</v>
      </c>
      <c r="AY109" s="851">
        <f t="shared" si="313"/>
        <v>3.75</v>
      </c>
      <c r="AZ109" s="850">
        <f t="shared" si="313"/>
        <v>3.75</v>
      </c>
      <c r="BA109" s="850">
        <f t="shared" si="313"/>
        <v>3.75</v>
      </c>
      <c r="BB109" s="850">
        <f t="shared" si="313"/>
        <v>3.75</v>
      </c>
      <c r="BC109" s="851">
        <f t="shared" si="313"/>
        <v>3.75</v>
      </c>
      <c r="BD109" s="850">
        <f t="shared" si="313"/>
        <v>3.75</v>
      </c>
      <c r="BE109" s="850">
        <f t="shared" si="313"/>
        <v>3.75</v>
      </c>
      <c r="BF109" s="850">
        <f t="shared" si="313"/>
        <v>3.75</v>
      </c>
      <c r="BG109" s="851">
        <f t="shared" si="313"/>
        <v>3.75</v>
      </c>
      <c r="BH109" s="850">
        <f t="shared" si="311"/>
        <v>3.75</v>
      </c>
      <c r="BI109" s="850">
        <f t="shared" si="311"/>
        <v>3.75</v>
      </c>
      <c r="BJ109" s="850">
        <f t="shared" si="311"/>
        <v>3.75</v>
      </c>
      <c r="BK109" s="851">
        <f t="shared" si="311"/>
        <v>3.75</v>
      </c>
      <c r="BL109" s="720"/>
      <c r="BM109" s="734"/>
      <c r="BN109" s="842"/>
      <c r="BO109" s="842"/>
      <c r="BP109" s="842"/>
      <c r="BQ109" s="842"/>
      <c r="BR109" s="842"/>
      <c r="BS109" s="842"/>
      <c r="BT109" s="842">
        <f>SUM(AF109:AI109)</f>
        <v>5.9152499999999573E-2</v>
      </c>
      <c r="BU109" s="842">
        <f>SUM(AJ109:AM109)</f>
        <v>0.23660999999999829</v>
      </c>
      <c r="BV109" s="842">
        <f>SUM(AN109:AQ109)</f>
        <v>0.23660999999999829</v>
      </c>
      <c r="BW109" s="842">
        <f>SUM(AR109:AU109)</f>
        <v>0.23660999999999829</v>
      </c>
      <c r="BX109" s="842">
        <f>SUM(AV109:AY109)</f>
        <v>18.75</v>
      </c>
      <c r="BY109" s="842">
        <f>BC109</f>
        <v>3.75</v>
      </c>
      <c r="BZ109" s="842">
        <f>BG109</f>
        <v>3.75</v>
      </c>
      <c r="CA109" s="858">
        <f>BK109</f>
        <v>3.75</v>
      </c>
      <c r="CB109" s="1488"/>
      <c r="CC109" s="857"/>
      <c r="CD109" s="857"/>
      <c r="CE109" s="731"/>
      <c r="CF109" s="731"/>
      <c r="CG109" s="731"/>
      <c r="CH109" s="731"/>
      <c r="CI109" s="731"/>
      <c r="CJ109" s="731"/>
      <c r="CK109" s="731"/>
      <c r="CL109" s="731"/>
      <c r="CM109" s="731"/>
      <c r="CN109" s="731"/>
      <c r="CO109" s="731"/>
      <c r="CP109" s="842"/>
      <c r="CQ109" s="842"/>
      <c r="CR109" s="842"/>
      <c r="CS109" s="731"/>
      <c r="CT109" s="731"/>
      <c r="CU109"/>
      <c r="CV109"/>
      <c r="CW109"/>
      <c r="CX109"/>
      <c r="CY109"/>
      <c r="CZ109"/>
    </row>
    <row r="110" spans="1:104" s="121" customFormat="1" ht="14.25" customHeight="1">
      <c r="A110" s="122"/>
      <c r="B110" s="527" t="s">
        <v>218</v>
      </c>
      <c r="C110" s="861"/>
      <c r="D110" s="861"/>
      <c r="E110" s="861"/>
      <c r="F110" s="861"/>
      <c r="G110" s="861"/>
      <c r="H110" s="861"/>
      <c r="I110" s="861"/>
      <c r="J110" s="861"/>
      <c r="K110" s="861"/>
      <c r="L110" s="861"/>
      <c r="M110" s="861"/>
      <c r="N110" s="861"/>
      <c r="O110" s="861"/>
      <c r="P110" s="861"/>
      <c r="Q110" s="861"/>
      <c r="R110" s="861"/>
      <c r="S110" s="861"/>
      <c r="T110" s="861"/>
      <c r="U110" s="861"/>
      <c r="V110" s="861"/>
      <c r="W110" s="861"/>
      <c r="X110" s="861"/>
      <c r="Y110" s="861"/>
      <c r="Z110" s="861"/>
      <c r="AA110" s="861"/>
      <c r="AB110" s="861"/>
      <c r="AC110" s="861"/>
      <c r="AD110" s="861"/>
      <c r="AE110" s="861"/>
      <c r="AF110" s="527"/>
      <c r="AG110" s="861"/>
      <c r="AH110" s="861"/>
      <c r="AI110" s="873">
        <f t="shared" ref="AI110:AQ110" si="314">+SUM(AI107:AI109)</f>
        <v>6.8654025000000001</v>
      </c>
      <c r="AJ110" s="874">
        <f t="shared" si="314"/>
        <v>4.2779024999999997</v>
      </c>
      <c r="AK110" s="873">
        <f t="shared" si="314"/>
        <v>4.2779024999999997</v>
      </c>
      <c r="AL110" s="873">
        <f t="shared" si="314"/>
        <v>4.2779024999999997</v>
      </c>
      <c r="AM110" s="875">
        <f>+SUM(AM107:AM109)</f>
        <v>4.2779024999999997</v>
      </c>
      <c r="AN110" s="873">
        <f>+SUM(AN107:AN109)</f>
        <v>4.2779024999999997</v>
      </c>
      <c r="AO110" s="873">
        <f t="shared" si="314"/>
        <v>4.2779024999999997</v>
      </c>
      <c r="AP110" s="873">
        <f t="shared" si="314"/>
        <v>4.2779024999999997</v>
      </c>
      <c r="AQ110" s="875">
        <f t="shared" si="314"/>
        <v>4.2779024999999997</v>
      </c>
      <c r="AR110" s="873">
        <f t="shared" ref="AR110:BC110" si="315">+SUM(AR107:AR109)</f>
        <v>4.2779024999999997</v>
      </c>
      <c r="AS110" s="873">
        <f t="shared" si="315"/>
        <v>4.2779024999999997</v>
      </c>
      <c r="AT110" s="873">
        <f t="shared" si="315"/>
        <v>4.2779024999999997</v>
      </c>
      <c r="AU110" s="875">
        <f t="shared" si="315"/>
        <v>4.2779024999999997</v>
      </c>
      <c r="AV110" s="873">
        <f>+SUM(AV107:AV109)</f>
        <v>9.84375</v>
      </c>
      <c r="AW110" s="873">
        <f>+SUM(AW107:AW109)</f>
        <v>9.84375</v>
      </c>
      <c r="AX110" s="873">
        <f t="shared" si="315"/>
        <v>7.96875</v>
      </c>
      <c r="AY110" s="875">
        <f t="shared" si="315"/>
        <v>7.96875</v>
      </c>
      <c r="AZ110" s="873">
        <f t="shared" si="315"/>
        <v>7.96875</v>
      </c>
      <c r="BA110" s="873">
        <f t="shared" si="315"/>
        <v>7.96875</v>
      </c>
      <c r="BB110" s="873">
        <f t="shared" si="315"/>
        <v>7.96875</v>
      </c>
      <c r="BC110" s="875">
        <f t="shared" si="315"/>
        <v>7.96875</v>
      </c>
      <c r="BD110" s="873">
        <f t="shared" ref="BD110:BK110" si="316">+SUM(BD107:BD109)</f>
        <v>7.96875</v>
      </c>
      <c r="BE110" s="873">
        <f t="shared" si="316"/>
        <v>7.96875</v>
      </c>
      <c r="BF110" s="873">
        <f t="shared" si="316"/>
        <v>7.96875</v>
      </c>
      <c r="BG110" s="875">
        <f t="shared" si="316"/>
        <v>7.96875</v>
      </c>
      <c r="BH110" s="873">
        <f t="shared" si="316"/>
        <v>7.96875</v>
      </c>
      <c r="BI110" s="873">
        <f t="shared" si="316"/>
        <v>7.96875</v>
      </c>
      <c r="BJ110" s="873">
        <f t="shared" si="316"/>
        <v>7.96875</v>
      </c>
      <c r="BK110" s="875">
        <f t="shared" si="316"/>
        <v>7.96875</v>
      </c>
      <c r="BL110" s="353"/>
      <c r="BM110" s="527"/>
      <c r="BN110" s="861"/>
      <c r="BO110" s="861"/>
      <c r="BP110" s="861"/>
      <c r="BQ110" s="861"/>
      <c r="BR110" s="861"/>
      <c r="BS110" s="861"/>
      <c r="BT110" s="861">
        <f>SUM(AF110:AI110)</f>
        <v>6.8654025000000001</v>
      </c>
      <c r="BU110" s="861">
        <f>SUM(AJ110:AM110)</f>
        <v>17.111609999999999</v>
      </c>
      <c r="BV110" s="861">
        <f>SUM(AN110:AQ110)</f>
        <v>17.111609999999999</v>
      </c>
      <c r="BW110" s="861">
        <f>SUM(AR110:AU110)</f>
        <v>17.111609999999999</v>
      </c>
      <c r="BX110" s="861">
        <f>SUM(AV110:AY110)</f>
        <v>35.625</v>
      </c>
      <c r="BY110" s="861">
        <f>BC110</f>
        <v>7.96875</v>
      </c>
      <c r="BZ110" s="861">
        <f>BG110</f>
        <v>7.96875</v>
      </c>
      <c r="CA110" s="860">
        <f>BK110</f>
        <v>7.96875</v>
      </c>
      <c r="CB110" s="1489"/>
      <c r="CC110" s="859"/>
      <c r="CD110" s="859"/>
      <c r="CE110" s="122"/>
      <c r="CF110" s="122"/>
      <c r="CG110" s="122"/>
      <c r="CH110" s="122"/>
      <c r="CI110" s="122"/>
      <c r="CJ110" s="122"/>
      <c r="CK110" s="122"/>
      <c r="CL110" s="122"/>
      <c r="CM110" s="122"/>
      <c r="CN110" s="122"/>
      <c r="CO110" s="122"/>
      <c r="CP110" s="861"/>
      <c r="CQ110" s="861"/>
      <c r="CR110" s="861"/>
      <c r="CS110" s="122"/>
      <c r="CT110" s="122"/>
      <c r="CU110"/>
      <c r="CV110"/>
      <c r="CW110"/>
      <c r="CX110"/>
      <c r="CY110"/>
      <c r="CZ110"/>
    </row>
    <row r="111" spans="1:104" s="735" customFormat="1" ht="14.25" customHeight="1">
      <c r="A111" s="731"/>
      <c r="B111" s="734"/>
      <c r="C111" s="842"/>
      <c r="D111" s="842"/>
      <c r="E111" s="842"/>
      <c r="F111" s="842"/>
      <c r="G111" s="842"/>
      <c r="H111" s="842"/>
      <c r="I111" s="842"/>
      <c r="J111" s="842"/>
      <c r="K111" s="842"/>
      <c r="L111" s="842"/>
      <c r="M111" s="842"/>
      <c r="N111" s="842"/>
      <c r="O111" s="842"/>
      <c r="P111" s="842"/>
      <c r="Q111" s="842"/>
      <c r="R111" s="842"/>
      <c r="S111" s="842"/>
      <c r="T111" s="842"/>
      <c r="U111" s="842"/>
      <c r="V111" s="842"/>
      <c r="W111" s="842"/>
      <c r="X111" s="842"/>
      <c r="Y111" s="842"/>
      <c r="Z111" s="842"/>
      <c r="AA111" s="842"/>
      <c r="AB111" s="842"/>
      <c r="AC111" s="842"/>
      <c r="AD111" s="842"/>
      <c r="AE111" s="842"/>
      <c r="AF111" s="734"/>
      <c r="AG111" s="842"/>
      <c r="AH111" s="842"/>
      <c r="AI111" s="850"/>
      <c r="AJ111" s="855"/>
      <c r="AK111" s="850"/>
      <c r="AL111" s="850"/>
      <c r="AM111" s="851"/>
      <c r="AN111" s="850"/>
      <c r="AO111" s="850"/>
      <c r="AP111" s="850"/>
      <c r="AQ111" s="851"/>
      <c r="AR111" s="850"/>
      <c r="AS111" s="850"/>
      <c r="AT111" s="850"/>
      <c r="AU111" s="851"/>
      <c r="AV111" s="850"/>
      <c r="AW111" s="850"/>
      <c r="AX111" s="850"/>
      <c r="AY111" s="851"/>
      <c r="AZ111" s="850"/>
      <c r="BA111" s="850"/>
      <c r="BB111" s="850"/>
      <c r="BC111" s="851"/>
      <c r="BD111" s="850"/>
      <c r="BE111" s="850"/>
      <c r="BF111" s="850"/>
      <c r="BG111" s="851"/>
      <c r="BH111" s="850"/>
      <c r="BI111" s="850"/>
      <c r="BJ111" s="850"/>
      <c r="BK111" s="851"/>
      <c r="BL111" s="720"/>
      <c r="BM111" s="734"/>
      <c r="BN111" s="842"/>
      <c r="BO111" s="842"/>
      <c r="BP111" s="842"/>
      <c r="BQ111" s="842"/>
      <c r="BR111" s="842"/>
      <c r="BS111" s="842"/>
      <c r="BT111" s="842"/>
      <c r="BU111" s="842"/>
      <c r="BV111" s="842"/>
      <c r="BW111" s="842"/>
      <c r="BX111" s="842"/>
      <c r="BY111" s="842"/>
      <c r="BZ111" s="842"/>
      <c r="CA111" s="858"/>
      <c r="CB111" s="1488"/>
      <c r="CC111" s="857"/>
      <c r="CD111" s="857"/>
      <c r="CE111" s="731"/>
      <c r="CF111" s="731"/>
      <c r="CG111" s="731"/>
      <c r="CH111" s="731"/>
      <c r="CI111" s="731"/>
      <c r="CJ111" s="731"/>
      <c r="CK111" s="731"/>
      <c r="CL111" s="731"/>
      <c r="CM111" s="731"/>
      <c r="CN111" s="731"/>
      <c r="CO111" s="731"/>
      <c r="CP111" s="842"/>
      <c r="CQ111" s="842"/>
      <c r="CR111" s="842"/>
      <c r="CS111" s="731"/>
      <c r="CT111" s="731"/>
      <c r="CU111"/>
      <c r="CV111"/>
      <c r="CW111"/>
      <c r="CX111"/>
      <c r="CY111"/>
      <c r="CZ111"/>
    </row>
    <row r="112" spans="1:104" s="735" customFormat="1" ht="14.25" customHeight="1">
      <c r="A112" s="731"/>
      <c r="B112" s="527" t="s">
        <v>229</v>
      </c>
      <c r="C112" s="842"/>
      <c r="D112" s="842"/>
      <c r="E112" s="842"/>
      <c r="F112" s="842"/>
      <c r="G112" s="842"/>
      <c r="H112" s="842"/>
      <c r="I112" s="842"/>
      <c r="J112" s="842"/>
      <c r="K112" s="842"/>
      <c r="L112" s="842"/>
      <c r="M112" s="842"/>
      <c r="N112" s="842"/>
      <c r="O112" s="842"/>
      <c r="P112" s="842"/>
      <c r="Q112" s="842"/>
      <c r="R112" s="842"/>
      <c r="S112" s="842"/>
      <c r="T112" s="842"/>
      <c r="U112" s="842"/>
      <c r="V112" s="842"/>
      <c r="W112" s="842"/>
      <c r="X112" s="842"/>
      <c r="Y112" s="842"/>
      <c r="Z112" s="842"/>
      <c r="AA112" s="842"/>
      <c r="AB112" s="842"/>
      <c r="AC112" s="842"/>
      <c r="AD112" s="842"/>
      <c r="AE112" s="842"/>
      <c r="AF112" s="734"/>
      <c r="AG112" s="842"/>
      <c r="AH112" s="842"/>
      <c r="AI112" s="850"/>
      <c r="AJ112" s="855"/>
      <c r="AK112" s="850"/>
      <c r="AL112" s="850"/>
      <c r="AM112" s="851"/>
      <c r="AN112" s="850"/>
      <c r="AO112" s="850"/>
      <c r="AP112" s="850"/>
      <c r="AQ112" s="851"/>
      <c r="AR112" s="850"/>
      <c r="AS112" s="850"/>
      <c r="AT112" s="850"/>
      <c r="AU112" s="851"/>
      <c r="AV112" s="850"/>
      <c r="AW112" s="850"/>
      <c r="AX112" s="850"/>
      <c r="AY112" s="851"/>
      <c r="AZ112" s="850"/>
      <c r="BA112" s="850"/>
      <c r="BB112" s="850"/>
      <c r="BC112" s="851"/>
      <c r="BD112" s="850"/>
      <c r="BE112" s="850"/>
      <c r="BF112" s="850"/>
      <c r="BG112" s="851"/>
      <c r="BH112" s="850"/>
      <c r="BI112" s="850"/>
      <c r="BJ112" s="850"/>
      <c r="BK112" s="851"/>
      <c r="BL112" s="720"/>
      <c r="BM112" s="734"/>
      <c r="BN112" s="842"/>
      <c r="BO112" s="842"/>
      <c r="BP112" s="842"/>
      <c r="BQ112" s="842"/>
      <c r="BR112" s="842"/>
      <c r="BS112" s="842"/>
      <c r="BT112" s="842"/>
      <c r="BU112" s="842"/>
      <c r="BV112" s="842"/>
      <c r="BW112" s="842"/>
      <c r="BX112" s="842"/>
      <c r="BY112" s="842"/>
      <c r="BZ112" s="842"/>
      <c r="CA112" s="858"/>
      <c r="CB112" s="1488"/>
      <c r="CC112" s="857"/>
      <c r="CD112" s="857"/>
      <c r="CE112" s="731"/>
      <c r="CF112" s="731"/>
      <c r="CG112" s="731"/>
      <c r="CH112" s="731"/>
      <c r="CI112" s="731"/>
      <c r="CJ112" s="731"/>
      <c r="CK112" s="731"/>
      <c r="CL112" s="731"/>
      <c r="CM112" s="731"/>
      <c r="CN112" s="731"/>
      <c r="CO112" s="731"/>
      <c r="CP112" s="842"/>
      <c r="CQ112" s="842"/>
      <c r="CR112" s="842"/>
      <c r="CS112" s="731"/>
      <c r="CT112" s="731"/>
      <c r="CU112"/>
      <c r="CV112"/>
      <c r="CW112"/>
      <c r="CX112"/>
      <c r="CY112"/>
      <c r="CZ112"/>
    </row>
    <row r="113" spans="1:104" s="505" customFormat="1" ht="14.25" customHeight="1">
      <c r="A113" s="8"/>
      <c r="B113" s="22" t="s">
        <v>230</v>
      </c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22"/>
      <c r="AG113" s="14"/>
      <c r="AH113" s="14"/>
      <c r="AI113" s="257">
        <f t="shared" ref="AI113:BG113" si="317">+AH11</f>
        <v>1547.98</v>
      </c>
      <c r="AJ113" s="391">
        <f t="shared" si="317"/>
        <v>1174.9860000000001</v>
      </c>
      <c r="AK113" s="257">
        <f t="shared" si="317"/>
        <v>1009.547</v>
      </c>
      <c r="AL113" s="257">
        <f t="shared" si="317"/>
        <v>1149.9090000000001</v>
      </c>
      <c r="AM113" s="258">
        <f t="shared" si="317"/>
        <v>1231.248</v>
      </c>
      <c r="AN113" s="257">
        <f t="shared" si="317"/>
        <v>1322.472</v>
      </c>
      <c r="AO113" s="257">
        <f t="shared" si="317"/>
        <v>1243.883</v>
      </c>
      <c r="AP113" s="257">
        <f t="shared" si="317"/>
        <v>1305.8699999999999</v>
      </c>
      <c r="AQ113" s="258">
        <f t="shared" si="317"/>
        <v>1392.1969999999999</v>
      </c>
      <c r="AR113" s="257">
        <f t="shared" si="317"/>
        <v>1550.9649999999999</v>
      </c>
      <c r="AS113" s="257">
        <f t="shared" si="317"/>
        <v>1508.347</v>
      </c>
      <c r="AT113" s="257">
        <f t="shared" si="317"/>
        <v>1648.518</v>
      </c>
      <c r="AU113" s="258">
        <f t="shared" si="317"/>
        <v>1710.34</v>
      </c>
      <c r="AV113" s="257">
        <f t="shared" si="317"/>
        <v>2105.2289999999998</v>
      </c>
      <c r="AW113" s="257">
        <f t="shared" si="317"/>
        <v>2092.0729999999999</v>
      </c>
      <c r="AX113" s="257">
        <f t="shared" si="317"/>
        <v>1687.4349999999999</v>
      </c>
      <c r="AY113" s="258">
        <f t="shared" si="317"/>
        <v>1656.7270000000001</v>
      </c>
      <c r="AZ113" s="257">
        <f t="shared" si="317"/>
        <v>2246.1210000000001</v>
      </c>
      <c r="BA113" s="257">
        <f t="shared" si="317"/>
        <v>1577.16</v>
      </c>
      <c r="BB113" s="257">
        <f t="shared" si="317"/>
        <v>1631.51</v>
      </c>
      <c r="BC113" s="258">
        <f t="shared" si="317"/>
        <v>1629.5930000000001</v>
      </c>
      <c r="BD113" s="257">
        <f t="shared" si="317"/>
        <v>1591.7031048845136</v>
      </c>
      <c r="BE113" s="257">
        <f t="shared" si="317"/>
        <v>1595.9487913989303</v>
      </c>
      <c r="BF113" s="257">
        <f t="shared" si="317"/>
        <v>1579.1497920038016</v>
      </c>
      <c r="BG113" s="258">
        <f t="shared" si="317"/>
        <v>1554.8369545205655</v>
      </c>
      <c r="BH113" s="257">
        <f t="shared" ref="BH113:BK114" si="318">+BG11</f>
        <v>1557.0490596869327</v>
      </c>
      <c r="BI113" s="257">
        <f t="shared" si="318"/>
        <v>1565.6606036562246</v>
      </c>
      <c r="BJ113" s="257">
        <f t="shared" si="318"/>
        <v>1566.627437257252</v>
      </c>
      <c r="BK113" s="258">
        <f t="shared" si="318"/>
        <v>1560.6585629371862</v>
      </c>
      <c r="BL113" s="20"/>
      <c r="BM113" s="22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>
        <f t="shared" ref="BY113:CA114" si="319">+BX11</f>
        <v>2246.1210000000001</v>
      </c>
      <c r="BZ113" s="14">
        <f t="shared" si="319"/>
        <v>1591.7031048845136</v>
      </c>
      <c r="CA113" s="219">
        <f t="shared" si="319"/>
        <v>1557.0490596869327</v>
      </c>
      <c r="CB113" s="220"/>
      <c r="CC113" s="218"/>
      <c r="CD113" s="21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14"/>
      <c r="CQ113" s="14"/>
      <c r="CR113" s="14"/>
      <c r="CS113" s="8"/>
      <c r="CT113" s="8"/>
      <c r="CU113"/>
      <c r="CV113"/>
      <c r="CW113"/>
      <c r="CX113"/>
      <c r="CY113"/>
      <c r="CZ113"/>
    </row>
    <row r="114" spans="1:104" s="735" customFormat="1" ht="14.25" customHeight="1">
      <c r="A114" s="731"/>
      <c r="B114" s="734" t="s">
        <v>231</v>
      </c>
      <c r="C114" s="842"/>
      <c r="D114" s="842"/>
      <c r="E114" s="842"/>
      <c r="F114" s="842"/>
      <c r="G114" s="842"/>
      <c r="H114" s="842"/>
      <c r="I114" s="842"/>
      <c r="J114" s="842"/>
      <c r="K114" s="842"/>
      <c r="L114" s="842"/>
      <c r="M114" s="842"/>
      <c r="N114" s="842"/>
      <c r="O114" s="842"/>
      <c r="P114" s="842"/>
      <c r="Q114" s="842"/>
      <c r="R114" s="842"/>
      <c r="S114" s="842"/>
      <c r="T114" s="842"/>
      <c r="U114" s="842"/>
      <c r="V114" s="842"/>
      <c r="W114" s="842"/>
      <c r="X114" s="842"/>
      <c r="Y114" s="842"/>
      <c r="Z114" s="842"/>
      <c r="AA114" s="842"/>
      <c r="AB114" s="842"/>
      <c r="AC114" s="842"/>
      <c r="AD114" s="842"/>
      <c r="AE114" s="842"/>
      <c r="AF114" s="734"/>
      <c r="AG114" s="842"/>
      <c r="AH114" s="842"/>
      <c r="AI114" s="850">
        <f t="shared" ref="AI114:BG114" si="320">+AH12</f>
        <v>25.094999999999999</v>
      </c>
      <c r="AJ114" s="855">
        <f t="shared" si="320"/>
        <v>25.06</v>
      </c>
      <c r="AK114" s="850">
        <f t="shared" si="320"/>
        <v>25.036000000000001</v>
      </c>
      <c r="AL114" s="850">
        <f t="shared" si="320"/>
        <v>0</v>
      </c>
      <c r="AM114" s="851">
        <f t="shared" si="320"/>
        <v>0</v>
      </c>
      <c r="AN114" s="850">
        <f t="shared" si="320"/>
        <v>49.953000000000003</v>
      </c>
      <c r="AO114" s="850">
        <f t="shared" si="320"/>
        <v>75.093999999999994</v>
      </c>
      <c r="AP114" s="850">
        <f t="shared" si="320"/>
        <v>75.012</v>
      </c>
      <c r="AQ114" s="851">
        <f t="shared" si="320"/>
        <v>75.141999999999996</v>
      </c>
      <c r="AR114" s="850">
        <f t="shared" si="320"/>
        <v>75.153999999999996</v>
      </c>
      <c r="AS114" s="850">
        <f t="shared" si="320"/>
        <v>100.285</v>
      </c>
      <c r="AT114" s="850">
        <f t="shared" si="320"/>
        <v>124.955</v>
      </c>
      <c r="AU114" s="851">
        <f t="shared" si="320"/>
        <v>150.07599999999999</v>
      </c>
      <c r="AV114" s="850">
        <f t="shared" si="320"/>
        <v>125.43899999999999</v>
      </c>
      <c r="AW114" s="850">
        <f t="shared" si="320"/>
        <v>175.441</v>
      </c>
      <c r="AX114" s="850">
        <f t="shared" si="320"/>
        <v>399.46100000000001</v>
      </c>
      <c r="AY114" s="851">
        <f t="shared" si="320"/>
        <v>499.154</v>
      </c>
      <c r="AZ114" s="850">
        <f t="shared" si="320"/>
        <v>498.71800000000002</v>
      </c>
      <c r="BA114" s="850">
        <f t="shared" si="320"/>
        <v>1196.827</v>
      </c>
      <c r="BB114" s="850">
        <f t="shared" si="320"/>
        <v>1191.7650000000001</v>
      </c>
      <c r="BC114" s="851">
        <f t="shared" si="320"/>
        <v>1094.8009999999999</v>
      </c>
      <c r="BD114" s="850">
        <f t="shared" si="320"/>
        <v>1094.8009999999999</v>
      </c>
      <c r="BE114" s="850">
        <f t="shared" si="320"/>
        <v>1094.8009999999999</v>
      </c>
      <c r="BF114" s="850">
        <f t="shared" si="320"/>
        <v>1094.8009999999999</v>
      </c>
      <c r="BG114" s="851">
        <f t="shared" si="320"/>
        <v>1094.8009999999999</v>
      </c>
      <c r="BH114" s="850">
        <f t="shared" si="318"/>
        <v>1094.8009999999999</v>
      </c>
      <c r="BI114" s="850">
        <f t="shared" si="318"/>
        <v>1094.8009999999999</v>
      </c>
      <c r="BJ114" s="850">
        <f t="shared" si="318"/>
        <v>1094.8009999999999</v>
      </c>
      <c r="BK114" s="851">
        <f t="shared" si="318"/>
        <v>1094.8009999999999</v>
      </c>
      <c r="BL114" s="720"/>
      <c r="BM114" s="734"/>
      <c r="BN114" s="842"/>
      <c r="BO114" s="842"/>
      <c r="BP114" s="842"/>
      <c r="BQ114" s="842"/>
      <c r="BR114" s="842"/>
      <c r="BS114" s="842"/>
      <c r="BT114" s="842"/>
      <c r="BU114" s="842"/>
      <c r="BV114" s="842"/>
      <c r="BW114" s="842"/>
      <c r="BX114" s="842"/>
      <c r="BY114" s="842">
        <f t="shared" si="319"/>
        <v>498.71800000000002</v>
      </c>
      <c r="BZ114" s="842">
        <f t="shared" si="319"/>
        <v>1094.8009999999999</v>
      </c>
      <c r="CA114" s="858">
        <f t="shared" si="319"/>
        <v>1094.8009999999999</v>
      </c>
      <c r="CB114" s="1488"/>
      <c r="CC114" s="857"/>
      <c r="CD114" s="857"/>
      <c r="CE114" s="731"/>
      <c r="CF114" s="731"/>
      <c r="CG114" s="731"/>
      <c r="CH114" s="731"/>
      <c r="CI114" s="731"/>
      <c r="CJ114" s="731"/>
      <c r="CK114" s="731"/>
      <c r="CL114" s="731"/>
      <c r="CM114" s="731"/>
      <c r="CN114" s="731"/>
      <c r="CO114" s="731"/>
      <c r="CP114" s="842"/>
      <c r="CQ114" s="842"/>
      <c r="CR114" s="842"/>
      <c r="CS114" s="731"/>
      <c r="CT114" s="731"/>
      <c r="CU114"/>
      <c r="CV114"/>
      <c r="CW114"/>
      <c r="CX114"/>
      <c r="CY114"/>
      <c r="CZ114"/>
    </row>
    <row r="115" spans="1:104" s="505" customFormat="1" ht="14.25" customHeight="1">
      <c r="A115" s="8"/>
      <c r="B115" s="22" t="s">
        <v>218</v>
      </c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22"/>
      <c r="AG115" s="14"/>
      <c r="AH115" s="14"/>
      <c r="AI115" s="257">
        <f>+SUM(AI113:AI114)</f>
        <v>1573.075</v>
      </c>
      <c r="AJ115" s="391">
        <f t="shared" ref="AJ115:AQ115" si="321">+SUM(AJ113:AJ114)</f>
        <v>1200.046</v>
      </c>
      <c r="AK115" s="257">
        <f t="shared" si="321"/>
        <v>1034.5830000000001</v>
      </c>
      <c r="AL115" s="257">
        <f t="shared" si="321"/>
        <v>1149.9090000000001</v>
      </c>
      <c r="AM115" s="258">
        <f>+SUM(AM113:AM114)</f>
        <v>1231.248</v>
      </c>
      <c r="AN115" s="257">
        <f>+SUM(AN113:AN114)</f>
        <v>1372.425</v>
      </c>
      <c r="AO115" s="257">
        <f t="shared" si="321"/>
        <v>1318.9770000000001</v>
      </c>
      <c r="AP115" s="257">
        <f t="shared" si="321"/>
        <v>1380.8819999999998</v>
      </c>
      <c r="AQ115" s="258">
        <f t="shared" si="321"/>
        <v>1467.3389999999999</v>
      </c>
      <c r="AR115" s="257">
        <f t="shared" ref="AR115:BC115" si="322">+SUM(AR113:AR114)</f>
        <v>1626.1189999999999</v>
      </c>
      <c r="AS115" s="257">
        <f t="shared" si="322"/>
        <v>1608.6320000000001</v>
      </c>
      <c r="AT115" s="257">
        <f t="shared" si="322"/>
        <v>1773.473</v>
      </c>
      <c r="AU115" s="258">
        <f t="shared" si="322"/>
        <v>1860.4159999999999</v>
      </c>
      <c r="AV115" s="257">
        <f>+SUM(AV113:AV114)</f>
        <v>2230.6679999999997</v>
      </c>
      <c r="AW115" s="257">
        <f>+SUM(AW113:AW114)</f>
        <v>2267.5139999999997</v>
      </c>
      <c r="AX115" s="257">
        <f t="shared" si="322"/>
        <v>2086.8959999999997</v>
      </c>
      <c r="AY115" s="258">
        <f t="shared" si="322"/>
        <v>2155.8810000000003</v>
      </c>
      <c r="AZ115" s="257">
        <f t="shared" si="322"/>
        <v>2744.8389999999999</v>
      </c>
      <c r="BA115" s="257">
        <f t="shared" si="322"/>
        <v>2773.9870000000001</v>
      </c>
      <c r="BB115" s="257">
        <f t="shared" si="322"/>
        <v>2823.2750000000001</v>
      </c>
      <c r="BC115" s="258">
        <f t="shared" si="322"/>
        <v>2724.3940000000002</v>
      </c>
      <c r="BD115" s="257">
        <f t="shared" ref="BD115:BK115" si="323">+SUM(BD113:BD114)</f>
        <v>2686.5041048845133</v>
      </c>
      <c r="BE115" s="257">
        <f t="shared" si="323"/>
        <v>2690.74979139893</v>
      </c>
      <c r="BF115" s="257">
        <f t="shared" si="323"/>
        <v>2673.9507920038013</v>
      </c>
      <c r="BG115" s="258">
        <f t="shared" si="323"/>
        <v>2649.6379545205655</v>
      </c>
      <c r="BH115" s="257">
        <f t="shared" si="323"/>
        <v>2651.8500596869326</v>
      </c>
      <c r="BI115" s="257">
        <f t="shared" si="323"/>
        <v>2660.4616036562247</v>
      </c>
      <c r="BJ115" s="257">
        <f t="shared" si="323"/>
        <v>2661.428437257252</v>
      </c>
      <c r="BK115" s="258">
        <f t="shared" si="323"/>
        <v>2655.4595629371861</v>
      </c>
      <c r="BL115" s="20"/>
      <c r="BM115" s="22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>
        <f>+SUM(BY113:BY114)</f>
        <v>2744.8389999999999</v>
      </c>
      <c r="BZ115" s="14">
        <f>+SUM(BZ113:BZ114)</f>
        <v>2686.5041048845133</v>
      </c>
      <c r="CA115" s="219">
        <f>+SUM(CA113:CA114)</f>
        <v>2651.8500596869326</v>
      </c>
      <c r="CB115" s="220"/>
      <c r="CC115" s="218"/>
      <c r="CD115" s="21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14"/>
      <c r="CQ115" s="14"/>
      <c r="CR115" s="14"/>
      <c r="CS115" s="8"/>
      <c r="CT115" s="8"/>
      <c r="CU115"/>
      <c r="CV115"/>
      <c r="CW115"/>
      <c r="CX115"/>
      <c r="CY115"/>
      <c r="CZ115"/>
    </row>
    <row r="116" spans="1:104" s="735" customFormat="1" ht="14.25" customHeight="1">
      <c r="A116" s="731"/>
      <c r="B116" s="734"/>
      <c r="C116" s="842"/>
      <c r="D116" s="842"/>
      <c r="E116" s="842"/>
      <c r="F116" s="842"/>
      <c r="G116" s="842"/>
      <c r="H116" s="842"/>
      <c r="I116" s="842"/>
      <c r="J116" s="842"/>
      <c r="K116" s="842"/>
      <c r="L116" s="842"/>
      <c r="M116" s="842"/>
      <c r="N116" s="842"/>
      <c r="O116" s="842"/>
      <c r="P116" s="842"/>
      <c r="Q116" s="842"/>
      <c r="R116" s="842"/>
      <c r="S116" s="842"/>
      <c r="T116" s="842"/>
      <c r="U116" s="842"/>
      <c r="V116" s="842"/>
      <c r="W116" s="842"/>
      <c r="X116" s="842"/>
      <c r="Y116" s="842"/>
      <c r="Z116" s="842"/>
      <c r="AA116" s="842"/>
      <c r="AB116" s="842"/>
      <c r="AC116" s="842"/>
      <c r="AD116" s="842"/>
      <c r="AE116" s="842"/>
      <c r="AF116" s="734"/>
      <c r="AG116" s="842"/>
      <c r="AH116" s="842"/>
      <c r="AI116" s="850"/>
      <c r="AJ116" s="855"/>
      <c r="AK116" s="850"/>
      <c r="AL116" s="850"/>
      <c r="AM116" s="851"/>
      <c r="AN116" s="850"/>
      <c r="AO116" s="850"/>
      <c r="AP116" s="850"/>
      <c r="AQ116" s="851"/>
      <c r="AR116" s="850"/>
      <c r="AS116" s="850"/>
      <c r="AT116" s="850"/>
      <c r="AU116" s="851"/>
      <c r="AV116" s="850"/>
      <c r="AW116" s="850"/>
      <c r="AX116" s="850"/>
      <c r="AY116" s="851"/>
      <c r="AZ116" s="850"/>
      <c r="BA116" s="850"/>
      <c r="BB116" s="850"/>
      <c r="BC116" s="851"/>
      <c r="BD116" s="850"/>
      <c r="BE116" s="850"/>
      <c r="BF116" s="850"/>
      <c r="BG116" s="851"/>
      <c r="BH116" s="850"/>
      <c r="BI116" s="850"/>
      <c r="BJ116" s="850"/>
      <c r="BK116" s="851"/>
      <c r="BL116" s="720"/>
      <c r="BM116" s="734"/>
      <c r="BN116" s="842"/>
      <c r="BO116" s="842"/>
      <c r="BP116" s="842"/>
      <c r="BQ116" s="842"/>
      <c r="BR116" s="842"/>
      <c r="BS116" s="842"/>
      <c r="BT116" s="842"/>
      <c r="BU116" s="842"/>
      <c r="BV116" s="842"/>
      <c r="BW116" s="842"/>
      <c r="BX116" s="842"/>
      <c r="BY116" s="842"/>
      <c r="BZ116" s="842"/>
      <c r="CA116" s="858"/>
      <c r="CB116" s="1488"/>
      <c r="CC116" s="857"/>
      <c r="CD116" s="857"/>
      <c r="CE116" s="731"/>
      <c r="CF116" s="731"/>
      <c r="CG116" s="731"/>
      <c r="CH116" s="731"/>
      <c r="CI116" s="731"/>
      <c r="CJ116" s="731"/>
      <c r="CK116" s="731"/>
      <c r="CL116" s="731"/>
      <c r="CM116" s="731"/>
      <c r="CN116" s="731"/>
      <c r="CO116" s="731"/>
      <c r="CP116" s="842"/>
      <c r="CQ116" s="842"/>
      <c r="CR116" s="842"/>
      <c r="CS116" s="731"/>
      <c r="CT116" s="731"/>
      <c r="CU116"/>
      <c r="CV116"/>
      <c r="CW116"/>
      <c r="CX116"/>
      <c r="CY116"/>
      <c r="CZ116"/>
    </row>
    <row r="117" spans="1:104" s="867" customFormat="1" ht="14.25" customHeight="1">
      <c r="A117" s="856"/>
      <c r="B117" s="865" t="s">
        <v>226</v>
      </c>
      <c r="C117" s="866"/>
      <c r="D117" s="866"/>
      <c r="E117" s="866"/>
      <c r="F117" s="866"/>
      <c r="G117" s="866"/>
      <c r="H117" s="866"/>
      <c r="I117" s="866"/>
      <c r="J117" s="866"/>
      <c r="K117" s="866"/>
      <c r="L117" s="866"/>
      <c r="M117" s="866"/>
      <c r="N117" s="866"/>
      <c r="O117" s="866"/>
      <c r="P117" s="866"/>
      <c r="Q117" s="866"/>
      <c r="R117" s="866"/>
      <c r="S117" s="866"/>
      <c r="T117" s="866"/>
      <c r="U117" s="866"/>
      <c r="V117" s="866"/>
      <c r="W117" s="866"/>
      <c r="X117" s="866"/>
      <c r="Y117" s="866"/>
      <c r="Z117" s="866"/>
      <c r="AA117" s="866"/>
      <c r="AB117" s="866"/>
      <c r="AC117" s="866"/>
      <c r="AD117" s="866"/>
      <c r="AE117" s="866"/>
      <c r="AF117" s="865"/>
      <c r="AG117" s="866"/>
      <c r="AH117" s="866"/>
      <c r="AI117" s="868">
        <v>2E-3</v>
      </c>
      <c r="AJ117" s="869">
        <v>2E-3</v>
      </c>
      <c r="AK117" s="868">
        <v>2E-3</v>
      </c>
      <c r="AL117" s="868">
        <v>2E-3</v>
      </c>
      <c r="AM117" s="870">
        <v>2E-3</v>
      </c>
      <c r="AN117" s="868">
        <v>2E-3</v>
      </c>
      <c r="AO117" s="868">
        <v>2E-3</v>
      </c>
      <c r="AP117" s="868">
        <v>2E-3</v>
      </c>
      <c r="AQ117" s="870">
        <v>2E-3</v>
      </c>
      <c r="AR117" s="868">
        <v>2E-3</v>
      </c>
      <c r="AS117" s="868">
        <v>2E-3</v>
      </c>
      <c r="AT117" s="868">
        <v>2E-3</v>
      </c>
      <c r="AU117" s="870">
        <v>2E-3</v>
      </c>
      <c r="AV117" s="868">
        <v>2E-3</v>
      </c>
      <c r="AW117" s="868">
        <v>2E-3</v>
      </c>
      <c r="AX117" s="868">
        <v>2E-3</v>
      </c>
      <c r="AY117" s="870">
        <v>2E-3</v>
      </c>
      <c r="AZ117" s="868">
        <v>2E-3</v>
      </c>
      <c r="BA117" s="868">
        <v>2E-3</v>
      </c>
      <c r="BB117" s="868">
        <v>2E-3</v>
      </c>
      <c r="BC117" s="870">
        <v>2E-3</v>
      </c>
      <c r="BD117" s="868">
        <v>2E-3</v>
      </c>
      <c r="BE117" s="868">
        <v>2E-3</v>
      </c>
      <c r="BF117" s="868">
        <v>2E-3</v>
      </c>
      <c r="BG117" s="870">
        <v>2E-3</v>
      </c>
      <c r="BH117" s="868">
        <v>2E-3</v>
      </c>
      <c r="BI117" s="868">
        <v>2E-3</v>
      </c>
      <c r="BJ117" s="868">
        <v>2E-3</v>
      </c>
      <c r="BK117" s="870">
        <v>2E-3</v>
      </c>
      <c r="BL117" s="1221"/>
      <c r="BM117" s="865"/>
      <c r="BN117" s="866"/>
      <c r="BO117" s="866"/>
      <c r="BP117" s="866"/>
      <c r="BQ117" s="866"/>
      <c r="BR117" s="866"/>
      <c r="BS117" s="866"/>
      <c r="BT117" s="866"/>
      <c r="BU117" s="866"/>
      <c r="BV117" s="866"/>
      <c r="BW117" s="866"/>
      <c r="BX117" s="866"/>
      <c r="BY117" s="866">
        <f>+BX117</f>
        <v>0</v>
      </c>
      <c r="BZ117" s="866">
        <f>+BY117</f>
        <v>0</v>
      </c>
      <c r="CA117" s="872">
        <f>+BZ117</f>
        <v>0</v>
      </c>
      <c r="CB117" s="1490"/>
      <c r="CC117" s="871"/>
      <c r="CD117" s="871"/>
      <c r="CE117" s="856"/>
      <c r="CF117" s="856"/>
      <c r="CG117" s="856"/>
      <c r="CH117" s="856"/>
      <c r="CI117" s="856"/>
      <c r="CJ117" s="856"/>
      <c r="CK117" s="856"/>
      <c r="CL117" s="856"/>
      <c r="CM117" s="856"/>
      <c r="CN117" s="856"/>
      <c r="CO117" s="856"/>
      <c r="CP117" s="866"/>
      <c r="CQ117" s="866"/>
      <c r="CR117" s="866"/>
      <c r="CS117" s="856"/>
      <c r="CT117" s="856"/>
      <c r="CU117"/>
      <c r="CV117"/>
      <c r="CW117"/>
      <c r="CX117"/>
      <c r="CY117"/>
      <c r="CZ117"/>
    </row>
    <row r="118" spans="1:104" s="121" customFormat="1" ht="14.25" customHeight="1">
      <c r="A118" s="122"/>
      <c r="B118" s="527" t="s">
        <v>232</v>
      </c>
      <c r="C118" s="861"/>
      <c r="D118" s="861"/>
      <c r="E118" s="861"/>
      <c r="F118" s="861"/>
      <c r="G118" s="861"/>
      <c r="H118" s="861"/>
      <c r="I118" s="861"/>
      <c r="J118" s="861"/>
      <c r="K118" s="861"/>
      <c r="L118" s="861"/>
      <c r="M118" s="861"/>
      <c r="N118" s="861"/>
      <c r="O118" s="861"/>
      <c r="P118" s="861"/>
      <c r="Q118" s="861"/>
      <c r="R118" s="861"/>
      <c r="S118" s="861"/>
      <c r="T118" s="861"/>
      <c r="U118" s="861"/>
      <c r="V118" s="861"/>
      <c r="W118" s="861"/>
      <c r="X118" s="861"/>
      <c r="Y118" s="861"/>
      <c r="Z118" s="861"/>
      <c r="AA118" s="861"/>
      <c r="AB118" s="861"/>
      <c r="AC118" s="861"/>
      <c r="AD118" s="861"/>
      <c r="AE118" s="861"/>
      <c r="AF118" s="527"/>
      <c r="AG118" s="861"/>
      <c r="AH118" s="861"/>
      <c r="AI118" s="873">
        <f>+AI115*AI117/4</f>
        <v>0.7865375</v>
      </c>
      <c r="AJ118" s="874">
        <f t="shared" ref="AJ118:AQ118" si="324">+AJ115*AJ117/4</f>
        <v>0.60002300000000008</v>
      </c>
      <c r="AK118" s="873">
        <f t="shared" si="324"/>
        <v>0.51729150000000002</v>
      </c>
      <c r="AL118" s="873">
        <f t="shared" si="324"/>
        <v>0.57495450000000003</v>
      </c>
      <c r="AM118" s="875">
        <f>+AM115*AM117/4</f>
        <v>0.61562400000000006</v>
      </c>
      <c r="AN118" s="873">
        <f>+AN115*AN117/4</f>
        <v>0.6862125</v>
      </c>
      <c r="AO118" s="873">
        <f t="shared" si="324"/>
        <v>0.65948850000000003</v>
      </c>
      <c r="AP118" s="873">
        <f t="shared" si="324"/>
        <v>0.69044099999999997</v>
      </c>
      <c r="AQ118" s="875">
        <f t="shared" si="324"/>
        <v>0.73366949999999997</v>
      </c>
      <c r="AR118" s="873">
        <f t="shared" ref="AR118:BC118" si="325">+AR115*AR117/4</f>
        <v>0.81305949999999994</v>
      </c>
      <c r="AS118" s="873">
        <f t="shared" si="325"/>
        <v>0.80431600000000003</v>
      </c>
      <c r="AT118" s="873">
        <f t="shared" si="325"/>
        <v>0.88673650000000004</v>
      </c>
      <c r="AU118" s="875">
        <f t="shared" si="325"/>
        <v>0.93020800000000003</v>
      </c>
      <c r="AV118" s="873">
        <f>+AV115*AV117/4</f>
        <v>1.1153339999999998</v>
      </c>
      <c r="AW118" s="873">
        <f>+AW115*AW117/4</f>
        <v>1.1337569999999999</v>
      </c>
      <c r="AX118" s="873">
        <f t="shared" si="325"/>
        <v>1.0434479999999999</v>
      </c>
      <c r="AY118" s="875">
        <f t="shared" si="325"/>
        <v>1.0779405000000002</v>
      </c>
      <c r="AZ118" s="873">
        <f t="shared" si="325"/>
        <v>1.3724194999999999</v>
      </c>
      <c r="BA118" s="873">
        <f t="shared" si="325"/>
        <v>1.3869935</v>
      </c>
      <c r="BB118" s="873">
        <f t="shared" si="325"/>
        <v>1.4116375000000001</v>
      </c>
      <c r="BC118" s="875">
        <f t="shared" si="325"/>
        <v>1.3621970000000001</v>
      </c>
      <c r="BD118" s="873">
        <f t="shared" ref="BD118:BK118" si="326">+BD115*BD117/4</f>
        <v>1.3432520524422566</v>
      </c>
      <c r="BE118" s="873">
        <f t="shared" si="326"/>
        <v>1.3453748956994651</v>
      </c>
      <c r="BF118" s="873">
        <f t="shared" si="326"/>
        <v>1.3369753960019006</v>
      </c>
      <c r="BG118" s="875">
        <f t="shared" si="326"/>
        <v>1.3248189772602827</v>
      </c>
      <c r="BH118" s="873">
        <f t="shared" si="326"/>
        <v>1.3259250298434664</v>
      </c>
      <c r="BI118" s="873">
        <f t="shared" si="326"/>
        <v>1.3302308018281124</v>
      </c>
      <c r="BJ118" s="873">
        <f t="shared" si="326"/>
        <v>1.330714218628626</v>
      </c>
      <c r="BK118" s="875">
        <f t="shared" si="326"/>
        <v>1.3277297814685931</v>
      </c>
      <c r="BL118" s="353"/>
      <c r="BM118" s="527"/>
      <c r="BN118" s="861"/>
      <c r="BO118" s="861"/>
      <c r="BP118" s="861"/>
      <c r="BQ118" s="861"/>
      <c r="BR118" s="861"/>
      <c r="BS118" s="861"/>
      <c r="BT118" s="861"/>
      <c r="BU118" s="861"/>
      <c r="BV118" s="861"/>
      <c r="BW118" s="861"/>
      <c r="BX118" s="861"/>
      <c r="BY118" s="861">
        <f>+BY115*BY117</f>
        <v>0</v>
      </c>
      <c r="BZ118" s="861">
        <f>+BZ115*BZ117</f>
        <v>0</v>
      </c>
      <c r="CA118" s="860">
        <f>+CA115*CA117</f>
        <v>0</v>
      </c>
      <c r="CB118" s="1489"/>
      <c r="CC118" s="859"/>
      <c r="CD118" s="859"/>
      <c r="CE118" s="122"/>
      <c r="CF118" s="122"/>
      <c r="CG118" s="122"/>
      <c r="CH118" s="122"/>
      <c r="CI118" s="122"/>
      <c r="CJ118" s="122"/>
      <c r="CK118" s="122"/>
      <c r="CL118" s="122"/>
      <c r="CM118" s="122"/>
      <c r="CN118" s="122"/>
      <c r="CO118" s="122"/>
      <c r="CP118" s="861"/>
      <c r="CQ118" s="861"/>
      <c r="CR118" s="861"/>
      <c r="CS118" s="122"/>
      <c r="CT118" s="122"/>
      <c r="CU118"/>
      <c r="CV118"/>
      <c r="CW118"/>
      <c r="CX118"/>
      <c r="CY118"/>
      <c r="CZ118"/>
    </row>
    <row r="119" spans="1:104" s="735" customFormat="1" ht="14.25" customHeight="1">
      <c r="A119" s="731"/>
      <c r="B119" s="1223"/>
      <c r="C119" s="1224"/>
      <c r="D119" s="1224"/>
      <c r="E119" s="1224"/>
      <c r="F119" s="1224"/>
      <c r="G119" s="1224"/>
      <c r="H119" s="1224"/>
      <c r="I119" s="1224"/>
      <c r="J119" s="1224"/>
      <c r="K119" s="1224"/>
      <c r="L119" s="1224"/>
      <c r="M119" s="1224"/>
      <c r="N119" s="1224"/>
      <c r="O119" s="1224"/>
      <c r="P119" s="1224"/>
      <c r="Q119" s="1224"/>
      <c r="R119" s="1224"/>
      <c r="S119" s="1224"/>
      <c r="T119" s="1224"/>
      <c r="U119" s="1224"/>
      <c r="V119" s="1224"/>
      <c r="W119" s="1224"/>
      <c r="X119" s="1224"/>
      <c r="Y119" s="1224"/>
      <c r="Z119" s="1224"/>
      <c r="AA119" s="1224"/>
      <c r="AB119" s="1224"/>
      <c r="AC119" s="1224"/>
      <c r="AD119" s="1224"/>
      <c r="AE119" s="1224"/>
      <c r="AF119" s="1223"/>
      <c r="AG119" s="1224"/>
      <c r="AH119" s="1224"/>
      <c r="AI119" s="1225"/>
      <c r="AJ119" s="1226"/>
      <c r="AK119" s="1225"/>
      <c r="AL119" s="1225"/>
      <c r="AM119" s="1227"/>
      <c r="AN119" s="1225"/>
      <c r="AO119" s="1225"/>
      <c r="AP119" s="1225"/>
      <c r="AQ119" s="1227"/>
      <c r="AR119" s="1225"/>
      <c r="AS119" s="1225"/>
      <c r="AT119" s="1225"/>
      <c r="AU119" s="1227"/>
      <c r="AV119" s="1225"/>
      <c r="AW119" s="1225"/>
      <c r="AX119" s="1225"/>
      <c r="AY119" s="1227"/>
      <c r="AZ119" s="1225"/>
      <c r="BA119" s="1225"/>
      <c r="BB119" s="1225"/>
      <c r="BC119" s="1227"/>
      <c r="BD119" s="1225"/>
      <c r="BE119" s="1225"/>
      <c r="BF119" s="1225"/>
      <c r="BG119" s="1227"/>
      <c r="BH119" s="1225"/>
      <c r="BI119" s="1225"/>
      <c r="BJ119" s="1225"/>
      <c r="BK119" s="1227"/>
      <c r="BL119" s="720"/>
      <c r="BM119" s="1223"/>
      <c r="BN119" s="1224"/>
      <c r="BO119" s="1224"/>
      <c r="BP119" s="1224"/>
      <c r="BQ119" s="1224"/>
      <c r="BR119" s="1224"/>
      <c r="BS119" s="1224"/>
      <c r="BT119" s="1224"/>
      <c r="BU119" s="1224"/>
      <c r="BV119" s="1224"/>
      <c r="BW119" s="1224"/>
      <c r="BX119" s="1224"/>
      <c r="BY119" s="1224"/>
      <c r="BZ119" s="1224"/>
      <c r="CA119" s="1222"/>
      <c r="CB119" s="1488"/>
      <c r="CC119" s="857"/>
      <c r="CD119" s="857"/>
      <c r="CE119" s="731"/>
      <c r="CF119" s="731"/>
      <c r="CG119" s="731"/>
      <c r="CH119" s="731"/>
      <c r="CI119" s="731"/>
      <c r="CJ119" s="731"/>
      <c r="CK119" s="731"/>
      <c r="CL119" s="731"/>
      <c r="CM119" s="731"/>
      <c r="CN119" s="731"/>
      <c r="CO119" s="731"/>
      <c r="CP119" s="842"/>
      <c r="CQ119" s="842"/>
      <c r="CR119" s="842"/>
      <c r="CS119" s="731"/>
      <c r="CT119" s="731"/>
      <c r="CU119"/>
      <c r="CV119"/>
      <c r="CW119"/>
      <c r="CX119"/>
      <c r="CY119"/>
      <c r="CZ119"/>
    </row>
    <row r="120" spans="1:104" s="121" customFormat="1" ht="14.25" customHeight="1">
      <c r="A120" s="122"/>
      <c r="BL120" s="861"/>
      <c r="BM120" s="1244"/>
      <c r="BN120" s="1244"/>
      <c r="BO120" s="1244"/>
      <c r="BP120" s="1244"/>
      <c r="BQ120" s="1244"/>
      <c r="BR120" s="1244"/>
      <c r="BS120" s="1244"/>
      <c r="BT120" s="1244"/>
      <c r="BU120" s="1244"/>
      <c r="BV120" s="1244"/>
      <c r="BW120" s="1244"/>
      <c r="BX120" s="1244"/>
      <c r="BY120" s="1244"/>
      <c r="BZ120" s="1244"/>
      <c r="CB120" s="835"/>
      <c r="CC120" s="835"/>
      <c r="CD120" s="835"/>
      <c r="CE120" s="122"/>
      <c r="CF120" s="122"/>
      <c r="CG120" s="122"/>
      <c r="CH120" s="122"/>
      <c r="CI120" s="122"/>
      <c r="CJ120" s="122"/>
      <c r="CK120" s="122"/>
      <c r="CL120" s="122"/>
      <c r="CM120" s="122"/>
      <c r="CN120" s="122"/>
      <c r="CO120" s="122"/>
      <c r="CP120" s="861"/>
      <c r="CQ120" s="861"/>
      <c r="CR120" s="861"/>
      <c r="CS120" s="122"/>
      <c r="CT120" s="122"/>
      <c r="CU120"/>
      <c r="CV120"/>
      <c r="CW120"/>
      <c r="CX120"/>
      <c r="CY120"/>
      <c r="CZ120"/>
    </row>
    <row r="121" spans="1:104" s="121" customFormat="1" ht="14.2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22"/>
      <c r="AI121" s="837"/>
      <c r="AJ121" s="837"/>
      <c r="AK121" s="837"/>
      <c r="AL121" s="837"/>
      <c r="AM121" s="837"/>
      <c r="AN121" s="837"/>
      <c r="AO121" s="837"/>
      <c r="AP121" s="837"/>
      <c r="AQ121" s="837"/>
      <c r="AR121" s="837"/>
      <c r="AS121" s="837"/>
      <c r="AT121" s="837"/>
      <c r="AU121" s="837"/>
      <c r="AV121" s="837"/>
      <c r="AW121" s="837"/>
      <c r="AX121" s="837"/>
      <c r="AY121" s="837"/>
      <c r="AZ121" s="837"/>
      <c r="BA121" s="837"/>
      <c r="BB121" s="837"/>
      <c r="BC121" s="837"/>
      <c r="BD121" s="837"/>
      <c r="BE121" s="837"/>
      <c r="BF121" s="837"/>
      <c r="BG121" s="837"/>
      <c r="BH121" s="837"/>
      <c r="BI121" s="837"/>
      <c r="BJ121" s="837"/>
      <c r="BK121" s="837"/>
      <c r="BL121" s="122"/>
      <c r="BM121" s="122"/>
      <c r="BN121" s="122"/>
      <c r="BO121" s="122"/>
      <c r="BP121" s="122"/>
      <c r="BQ121" s="122"/>
      <c r="BR121" s="122"/>
      <c r="BS121" s="122"/>
      <c r="BT121" s="122"/>
      <c r="BU121" s="122"/>
      <c r="BV121" s="122"/>
      <c r="BW121" s="122"/>
      <c r="BX121" s="122"/>
      <c r="BY121" s="122"/>
      <c r="BZ121" s="122"/>
      <c r="CA121" s="122"/>
      <c r="CB121" s="1125"/>
      <c r="CC121" s="1125"/>
      <c r="CD121" s="1125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861"/>
      <c r="CQ121" s="861"/>
      <c r="CR121" s="861"/>
      <c r="CS121" s="122"/>
      <c r="CT121" s="122"/>
      <c r="CU121"/>
      <c r="CV121"/>
      <c r="CW121"/>
      <c r="CX121"/>
      <c r="CY121"/>
      <c r="CZ121"/>
    </row>
    <row r="122" spans="1:104" s="121" customFormat="1" ht="14.2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837"/>
      <c r="AJ122" s="837"/>
      <c r="AK122" s="837"/>
      <c r="AL122" s="837"/>
      <c r="AM122" s="837"/>
      <c r="AN122" s="837"/>
      <c r="AO122" s="837"/>
      <c r="AP122" s="837"/>
      <c r="AQ122" s="837"/>
      <c r="AR122" s="837"/>
      <c r="AS122" s="837"/>
      <c r="AT122" s="837"/>
      <c r="AU122" s="837"/>
      <c r="AV122" s="837"/>
      <c r="AW122" s="837"/>
      <c r="AX122" s="837"/>
      <c r="AY122" s="837"/>
      <c r="AZ122" s="837"/>
      <c r="BA122" s="837"/>
      <c r="BB122" s="837"/>
      <c r="BC122" s="837"/>
      <c r="BD122" s="837"/>
      <c r="BE122" s="837"/>
      <c r="BF122" s="837"/>
      <c r="BG122" s="837"/>
      <c r="BH122" s="837"/>
      <c r="BI122" s="837"/>
      <c r="BJ122" s="837"/>
      <c r="BK122" s="837"/>
      <c r="BL122" s="122"/>
      <c r="BM122" s="122"/>
      <c r="BN122" s="122"/>
      <c r="BO122" s="122"/>
      <c r="BP122" s="122"/>
      <c r="BQ122" s="122"/>
      <c r="BR122" s="122"/>
      <c r="BS122" s="122"/>
      <c r="BT122" s="122"/>
      <c r="BU122" s="122"/>
      <c r="BV122" s="122"/>
      <c r="BW122" s="122"/>
      <c r="BX122" s="122"/>
      <c r="BY122" s="122"/>
      <c r="BZ122" s="122"/>
      <c r="CA122" s="122"/>
      <c r="CB122" s="1125"/>
      <c r="CC122" s="1125"/>
      <c r="CD122" s="1125"/>
      <c r="CE122" s="122"/>
      <c r="CF122" s="122"/>
      <c r="CG122" s="122"/>
      <c r="CH122" s="122"/>
      <c r="CI122" s="122"/>
      <c r="CJ122" s="122"/>
      <c r="CK122" s="122"/>
      <c r="CL122" s="122"/>
      <c r="CM122" s="122"/>
      <c r="CN122" s="122"/>
      <c r="CO122" s="122"/>
      <c r="CP122" s="861"/>
      <c r="CQ122" s="861"/>
      <c r="CR122" s="861"/>
      <c r="CS122" s="122"/>
      <c r="CT122" s="122"/>
      <c r="CU122"/>
      <c r="CV122"/>
      <c r="CW122"/>
      <c r="CX122"/>
      <c r="CY122"/>
      <c r="CZ122"/>
    </row>
    <row r="123" spans="1:104" ht="14.25" customHeight="1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74"/>
      <c r="CC123" s="74"/>
      <c r="CD123" s="74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14"/>
      <c r="CQ123" s="14"/>
      <c r="CR123" s="14"/>
      <c r="CS123" s="8"/>
      <c r="CT123" s="8"/>
    </row>
    <row r="124" spans="1:104" ht="14.25" customHeight="1">
      <c r="CB124"/>
      <c r="CC124"/>
      <c r="CD124"/>
    </row>
    <row r="125" spans="1:104" ht="14.25" customHeight="1">
      <c r="A125" s="8"/>
      <c r="B125" s="119" t="s">
        <v>416</v>
      </c>
      <c r="C125" s="119"/>
      <c r="D125" s="120" t="e">
        <f>IS!D182</f>
        <v>#NAME?</v>
      </c>
      <c r="E125" s="120" t="e">
        <f>IS!E182</f>
        <v>#NAME?</v>
      </c>
      <c r="F125" s="120" t="e">
        <f>IS!F182</f>
        <v>#NAME?</v>
      </c>
      <c r="G125" s="120" t="e">
        <f>IS!G182</f>
        <v>#NAME?</v>
      </c>
      <c r="H125" s="120" t="e">
        <f>IS!H182</f>
        <v>#NAME?</v>
      </c>
      <c r="I125" s="120" t="e">
        <f>IS!I182</f>
        <v>#NAME?</v>
      </c>
      <c r="J125" s="120" t="e">
        <f>IS!J182</f>
        <v>#NAME?</v>
      </c>
      <c r="K125" s="120" t="e">
        <f>IS!K182</f>
        <v>#NAME?</v>
      </c>
      <c r="L125" s="120" t="e">
        <f>IS!L182</f>
        <v>#NAME?</v>
      </c>
      <c r="M125" s="120" t="e">
        <f>IS!M182</f>
        <v>#NAME?</v>
      </c>
      <c r="N125" s="120" t="e">
        <f>IS!N182</f>
        <v>#NAME?</v>
      </c>
      <c r="O125" s="120" t="e">
        <f>IS!O182</f>
        <v>#NAME?</v>
      </c>
      <c r="P125" s="120" t="e">
        <f>IS!P182</f>
        <v>#NAME?</v>
      </c>
      <c r="Q125" s="120" t="e">
        <f>IS!Q182</f>
        <v>#NAME?</v>
      </c>
      <c r="R125" s="120" t="e">
        <f>IS!R182</f>
        <v>#NAME?</v>
      </c>
      <c r="S125" s="120" t="e">
        <f>IS!S182</f>
        <v>#NAME?</v>
      </c>
      <c r="T125" s="120" t="e">
        <f>IS!T182</f>
        <v>#NAME?</v>
      </c>
      <c r="U125" s="120" t="e">
        <f>IS!U182</f>
        <v>#NAME?</v>
      </c>
      <c r="V125" s="120" t="e">
        <f>IS!V182</f>
        <v>#NAME?</v>
      </c>
      <c r="W125" s="120" t="e">
        <f>IS!W182</f>
        <v>#NAME?</v>
      </c>
      <c r="X125" s="120" t="e">
        <f>IS!X182</f>
        <v>#NAME?</v>
      </c>
      <c r="Y125" s="120" t="e">
        <f>IS!Y182</f>
        <v>#NAME?</v>
      </c>
      <c r="Z125" s="120" t="e">
        <f>IS!Z182</f>
        <v>#NAME?</v>
      </c>
      <c r="AA125" s="120" t="e">
        <f>IS!AA182</f>
        <v>#NAME?</v>
      </c>
      <c r="AB125" s="120" t="e">
        <f>IS!AB182</f>
        <v>#NAME?</v>
      </c>
      <c r="AC125" s="120" t="e">
        <f>IS!AC182</f>
        <v>#NAME?</v>
      </c>
      <c r="AD125" s="120" t="e">
        <f>IS!AD182</f>
        <v>#NAME?</v>
      </c>
      <c r="AE125" s="120" t="e">
        <f>IS!AE182</f>
        <v>#NAME?</v>
      </c>
      <c r="AF125" s="120" t="e">
        <f>IS!AF182</f>
        <v>#NAME?</v>
      </c>
      <c r="AG125" s="120" t="e">
        <f>IS!AG182</f>
        <v>#NAME?</v>
      </c>
      <c r="AH125" s="120" t="e">
        <f>IS!AH182</f>
        <v>#NAME?</v>
      </c>
      <c r="AI125" s="120" t="e">
        <f>IS!AI182</f>
        <v>#NAME?</v>
      </c>
      <c r="AJ125" s="120" t="e">
        <f>IS!AJ182</f>
        <v>#NAME?</v>
      </c>
      <c r="AK125" s="120" t="e">
        <f>IS!AK182</f>
        <v>#NAME?</v>
      </c>
      <c r="AL125" s="120" t="e">
        <f>IS!AL182</f>
        <v>#NAME?</v>
      </c>
      <c r="AM125" s="120" t="e">
        <f>IS!AM182</f>
        <v>#NAME?</v>
      </c>
      <c r="AN125" s="120" t="e">
        <f>IS!AN182</f>
        <v>#NAME?</v>
      </c>
      <c r="AO125" s="120" t="e">
        <f>IS!AO182</f>
        <v>#NAME?</v>
      </c>
      <c r="AP125" s="120" t="e">
        <f>IS!AP182</f>
        <v>#NAME?</v>
      </c>
      <c r="AQ125" s="120" t="e">
        <f>IS!AQ182</f>
        <v>#NAME?</v>
      </c>
      <c r="AR125" s="120" t="e">
        <f>IS!AR182</f>
        <v>#NAME?</v>
      </c>
      <c r="AS125" s="120" t="e">
        <f>IS!AS182</f>
        <v>#NAME?</v>
      </c>
      <c r="AT125" s="120" t="e">
        <f>IS!AT182</f>
        <v>#NAME?</v>
      </c>
      <c r="AU125" s="120" t="e">
        <f>IS!AU182</f>
        <v>#NAME?</v>
      </c>
      <c r="AV125" s="120" t="e">
        <f>IS!AV182</f>
        <v>#NAME?</v>
      </c>
      <c r="AW125" s="120" t="e">
        <f>IS!AW182</f>
        <v>#NAME?</v>
      </c>
      <c r="AX125" s="120" t="e">
        <f>IS!AX182</f>
        <v>#NAME?</v>
      </c>
      <c r="AY125" s="120" t="e">
        <f>IS!AY182</f>
        <v>#NAME?</v>
      </c>
      <c r="AZ125" s="120" t="e">
        <f>IS!AZ182</f>
        <v>#NAME?</v>
      </c>
      <c r="BA125" s="120" t="e">
        <f>IS!BA182</f>
        <v>#NAME?</v>
      </c>
      <c r="BB125" s="120" t="e">
        <f>IS!BB182</f>
        <v>#NAME?</v>
      </c>
      <c r="BC125" s="120" t="e">
        <f>IS!BC182</f>
        <v>#NAME?</v>
      </c>
      <c r="BD125" s="120" t="e">
        <f>IS!BD182</f>
        <v>#NAME?</v>
      </c>
      <c r="BE125" s="120" t="e">
        <f>IS!BE182</f>
        <v>#NAME?</v>
      </c>
      <c r="BF125" s="120" t="e">
        <f>IS!BF182</f>
        <v>#NAME?</v>
      </c>
      <c r="BG125" s="120" t="e">
        <f>IS!BG182</f>
        <v>#NAME?</v>
      </c>
      <c r="BH125" s="120" t="e">
        <f>IS!BH182</f>
        <v>#NAME?</v>
      </c>
      <c r="BI125" s="120" t="e">
        <f>IS!BI182</f>
        <v>#NAME?</v>
      </c>
      <c r="BJ125" s="120" t="e">
        <f>IS!BJ182</f>
        <v>#NAME?</v>
      </c>
      <c r="BK125" s="120" t="e">
        <f>IS!BK182</f>
        <v>#NAME?</v>
      </c>
      <c r="BL125" s="120"/>
      <c r="BM125" s="120" t="e">
        <f>IS!BM182</f>
        <v>#NAME?</v>
      </c>
      <c r="BN125" s="120" t="e">
        <f>IS!BN182</f>
        <v>#NAME?</v>
      </c>
      <c r="BO125" s="120" t="e">
        <f>IS!BO182</f>
        <v>#NAME?</v>
      </c>
      <c r="BP125" s="120" t="e">
        <f>IS!BP182</f>
        <v>#NAME?</v>
      </c>
      <c r="BQ125" s="120" t="e">
        <f>IS!BQ182</f>
        <v>#NAME?</v>
      </c>
      <c r="BR125" s="120" t="e">
        <f>IS!BR182</f>
        <v>#NAME?</v>
      </c>
      <c r="BS125" s="120" t="e">
        <f>IS!BS182</f>
        <v>#NAME?</v>
      </c>
      <c r="BT125" s="120" t="e">
        <f>IS!BT182</f>
        <v>#NAME?</v>
      </c>
      <c r="BU125" s="120" t="e">
        <f>IS!BU182</f>
        <v>#NAME?</v>
      </c>
      <c r="BV125" s="120" t="e">
        <f>IS!BV182</f>
        <v>#NAME?</v>
      </c>
      <c r="BW125" s="120" t="e">
        <f>IS!BW182</f>
        <v>#NAME?</v>
      </c>
      <c r="BX125" s="120" t="e">
        <f>IS!BX182</f>
        <v>#NAME?</v>
      </c>
      <c r="BY125" s="120" t="e">
        <f>IS!BY182</f>
        <v>#NAME?</v>
      </c>
      <c r="BZ125" s="120" t="e">
        <f>IS!BZ182</f>
        <v>#NAME?</v>
      </c>
      <c r="CA125" s="120" t="e">
        <f>IS!CA182</f>
        <v>#NAME?</v>
      </c>
      <c r="CB125" s="1197"/>
      <c r="CC125" s="1197"/>
      <c r="CD125" s="1197"/>
      <c r="CE125" s="8"/>
      <c r="CF125" s="120" t="e">
        <f>IS!CF182</f>
        <v>#NAME?</v>
      </c>
      <c r="CG125" s="120" t="e">
        <f>IS!CG182</f>
        <v>#NAME?</v>
      </c>
      <c r="CH125" s="120" t="e">
        <f>IS!CH182</f>
        <v>#NAME?</v>
      </c>
      <c r="CI125" s="120" t="e">
        <f>IS!CI182</f>
        <v>#NAME?</v>
      </c>
      <c r="CJ125" s="120" t="e">
        <f>IS!CJ182</f>
        <v>#NAME?</v>
      </c>
      <c r="CK125" s="120" t="e">
        <f>IS!CK182</f>
        <v>#NAME?</v>
      </c>
      <c r="CL125" s="120" t="e">
        <f>IS!CL182</f>
        <v>#NAME?</v>
      </c>
      <c r="CM125" s="120" t="e">
        <f>IS!CM182</f>
        <v>#NAME?</v>
      </c>
      <c r="CN125" s="120" t="e">
        <f>IS!CN182</f>
        <v>#NAME?</v>
      </c>
      <c r="CO125" s="120" t="e">
        <f>IS!CO182</f>
        <v>#NAME?</v>
      </c>
      <c r="CP125" s="1197" t="e">
        <f>IS!CP182</f>
        <v>#NAME?</v>
      </c>
      <c r="CQ125" s="1197" t="e">
        <f>IS!CQ182</f>
        <v>#NAME?</v>
      </c>
      <c r="CR125" s="1197" t="str">
        <f>IS!CR182</f>
        <v>E</v>
      </c>
      <c r="CS125" s="120" t="str">
        <f>IS!CS182</f>
        <v>E</v>
      </c>
      <c r="CT125" s="8"/>
    </row>
    <row r="126" spans="1:104" ht="14.25" hidden="1" customHeight="1" outlineLevel="1">
      <c r="A126" s="8"/>
      <c r="B126" s="74" t="s">
        <v>481</v>
      </c>
      <c r="C126" s="74"/>
      <c r="D126" s="203" t="s">
        <v>482</v>
      </c>
      <c r="E126" s="203" t="s">
        <v>482</v>
      </c>
      <c r="F126" s="203" t="s">
        <v>482</v>
      </c>
      <c r="G126" s="203" t="s">
        <v>482</v>
      </c>
      <c r="H126" s="203" t="s">
        <v>482</v>
      </c>
      <c r="I126" s="203" t="s">
        <v>482</v>
      </c>
      <c r="J126" s="203" t="s">
        <v>482</v>
      </c>
      <c r="K126" s="203" t="s">
        <v>482</v>
      </c>
      <c r="L126" s="203" t="s">
        <v>482</v>
      </c>
      <c r="M126" s="203" t="s">
        <v>482</v>
      </c>
      <c r="N126" s="203" t="s">
        <v>482</v>
      </c>
      <c r="O126" s="203" t="s">
        <v>482</v>
      </c>
      <c r="P126" s="203" t="s">
        <v>482</v>
      </c>
      <c r="Q126" s="203" t="s">
        <v>482</v>
      </c>
      <c r="R126" s="203" t="s">
        <v>482</v>
      </c>
      <c r="S126" s="203" t="s">
        <v>482</v>
      </c>
      <c r="T126" s="203" t="s">
        <v>482</v>
      </c>
      <c r="U126" s="203" t="s">
        <v>482</v>
      </c>
      <c r="V126" s="203" t="s">
        <v>482</v>
      </c>
      <c r="W126" s="203" t="s">
        <v>482</v>
      </c>
      <c r="X126" s="203" t="s">
        <v>482</v>
      </c>
      <c r="Y126" s="203" t="s">
        <v>482</v>
      </c>
      <c r="Z126" s="203" t="s">
        <v>482</v>
      </c>
      <c r="AA126" s="203" t="s">
        <v>482</v>
      </c>
      <c r="AB126" s="203" t="s">
        <v>482</v>
      </c>
      <c r="AC126" s="203" t="s">
        <v>482</v>
      </c>
      <c r="AD126" s="203" t="s">
        <v>482</v>
      </c>
      <c r="AE126" s="203" t="s">
        <v>482</v>
      </c>
      <c r="AF126" s="203" t="s">
        <v>482</v>
      </c>
      <c r="AG126" s="203" t="s">
        <v>482</v>
      </c>
      <c r="AH126" s="203" t="s">
        <v>482</v>
      </c>
      <c r="AI126" s="203" t="s">
        <v>482</v>
      </c>
      <c r="AJ126" s="203" t="s">
        <v>482</v>
      </c>
      <c r="AK126" s="203" t="s">
        <v>482</v>
      </c>
      <c r="AL126" s="203" t="s">
        <v>482</v>
      </c>
      <c r="AM126" s="203" t="s">
        <v>482</v>
      </c>
      <c r="AN126" s="203" t="s">
        <v>482</v>
      </c>
      <c r="AO126" s="203" t="s">
        <v>482</v>
      </c>
      <c r="AP126" s="203" t="s">
        <v>482</v>
      </c>
      <c r="AQ126" s="203" t="s">
        <v>482</v>
      </c>
      <c r="AR126" s="203" t="s">
        <v>482</v>
      </c>
      <c r="AS126" s="203" t="s">
        <v>482</v>
      </c>
      <c r="AT126" s="203" t="s">
        <v>482</v>
      </c>
      <c r="AU126" s="203" t="s">
        <v>482</v>
      </c>
      <c r="AV126" s="203" t="s">
        <v>482</v>
      </c>
      <c r="AW126" s="203" t="s">
        <v>482</v>
      </c>
      <c r="AX126" s="203" t="s">
        <v>482</v>
      </c>
      <c r="AY126" s="203" t="s">
        <v>482</v>
      </c>
      <c r="AZ126" s="203" t="s">
        <v>482</v>
      </c>
      <c r="BA126" s="203" t="s">
        <v>482</v>
      </c>
      <c r="BB126" s="203" t="s">
        <v>482</v>
      </c>
      <c r="BC126" s="203" t="s">
        <v>482</v>
      </c>
      <c r="BD126" s="203" t="s">
        <v>482</v>
      </c>
      <c r="BE126" s="203" t="s">
        <v>482</v>
      </c>
      <c r="BF126" s="203" t="s">
        <v>482</v>
      </c>
      <c r="BG126" s="203" t="s">
        <v>482</v>
      </c>
      <c r="BH126" s="203" t="s">
        <v>482</v>
      </c>
      <c r="BI126" s="203" t="s">
        <v>482</v>
      </c>
      <c r="BJ126" s="203" t="s">
        <v>482</v>
      </c>
      <c r="BK126" s="203" t="s">
        <v>482</v>
      </c>
      <c r="BL126" s="8"/>
      <c r="BM126" s="203" t="s">
        <v>482</v>
      </c>
      <c r="BN126" s="203" t="s">
        <v>482</v>
      </c>
      <c r="BO126" s="203" t="s">
        <v>482</v>
      </c>
      <c r="BP126" s="203" t="s">
        <v>482</v>
      </c>
      <c r="BQ126" s="203" t="s">
        <v>482</v>
      </c>
      <c r="BR126" s="203" t="s">
        <v>482</v>
      </c>
      <c r="BS126" s="203" t="s">
        <v>482</v>
      </c>
      <c r="BT126" s="203" t="s">
        <v>482</v>
      </c>
      <c r="BU126" s="203" t="s">
        <v>482</v>
      </c>
      <c r="BV126" s="203" t="s">
        <v>482</v>
      </c>
      <c r="BW126" s="203" t="s">
        <v>482</v>
      </c>
      <c r="BX126" s="203" t="s">
        <v>482</v>
      </c>
      <c r="BY126" s="203" t="s">
        <v>482</v>
      </c>
      <c r="BZ126" s="203" t="s">
        <v>482</v>
      </c>
      <c r="CA126" s="203" t="s">
        <v>482</v>
      </c>
      <c r="CB126" s="1440"/>
      <c r="CC126" s="1440"/>
      <c r="CD126" s="1440"/>
      <c r="CE126" s="8"/>
      <c r="CF126" s="203" t="s">
        <v>482</v>
      </c>
      <c r="CG126" s="203" t="s">
        <v>482</v>
      </c>
      <c r="CH126" s="203" t="s">
        <v>482</v>
      </c>
      <c r="CI126" s="203" t="s">
        <v>482</v>
      </c>
      <c r="CJ126" s="203" t="s">
        <v>482</v>
      </c>
      <c r="CK126" s="203" t="s">
        <v>482</v>
      </c>
      <c r="CL126" s="203" t="s">
        <v>482</v>
      </c>
      <c r="CM126" s="203" t="s">
        <v>482</v>
      </c>
      <c r="CN126" s="203" t="s">
        <v>482</v>
      </c>
      <c r="CO126" s="203" t="s">
        <v>482</v>
      </c>
      <c r="CP126" s="1198" t="s">
        <v>482</v>
      </c>
      <c r="CQ126" s="1198" t="s">
        <v>482</v>
      </c>
      <c r="CR126" s="1198" t="s">
        <v>482</v>
      </c>
      <c r="CS126" s="203" t="s">
        <v>482</v>
      </c>
      <c r="CT126" s="8"/>
    </row>
    <row r="127" spans="1:104" ht="14.25" customHeight="1" collapsed="1">
      <c r="A127" s="8"/>
      <c r="B127" s="74" t="s">
        <v>483</v>
      </c>
      <c r="C127" s="74"/>
      <c r="D127" s="204">
        <f>C64-D64-D66+C66+D68-C68+D71-C71+D72-C72-IS!D130+IS!D132</f>
        <v>2619.558</v>
      </c>
      <c r="E127" s="204">
        <f>D64-E64-E66+D66+E68-D68+E71-D71+E72-D72-IS!E130+IS!E132</f>
        <v>-278.80800000000011</v>
      </c>
      <c r="F127" s="204">
        <f>E64-F64-F66+E66+F68-E68+F71-E71+F72-E72-IS!F130+IS!F132</f>
        <v>-15.392000000000166</v>
      </c>
      <c r="G127" s="204">
        <f>F64-G64-G66+F66+G68-F68+G71-F71+G72-F72-IS!G130+IS!G132</f>
        <v>70.549000000000447</v>
      </c>
      <c r="H127" s="204">
        <f>G64-H64-H66+G66+H68-G68+H71-G71+H72-G72-IS!H130+IS!H132</f>
        <v>105.59000000000034</v>
      </c>
      <c r="I127" s="204">
        <f>H64-I64-I66+H66+I68-H68+I71-H71+I72-H72-IS!I130+IS!I132</f>
        <v>-20.240000000000478</v>
      </c>
      <c r="J127" s="204">
        <f>I64-J64-J66+I66+J68-I68+J71-I71+J72-I72-IS!J130+IS!J132</f>
        <v>-9.5809999999998894</v>
      </c>
      <c r="K127" s="204">
        <f>J64-K64-K66+J66+K68-J68+K71-J71+K72-J72-IS!K130+IS!K132</f>
        <v>-5.3989999999995746</v>
      </c>
      <c r="L127" s="204">
        <f>K64-L64-L66+K66+L68-K68+L71-K71+L72-K72-IS!L130+IS!L132</f>
        <v>-199.9819999999998</v>
      </c>
      <c r="M127" s="204">
        <f>L64-M64-M66+L66+M68-L68+M71-L71+M72-L72-IS!M130+IS!M132</f>
        <v>-34.182999999999964</v>
      </c>
      <c r="N127" s="204">
        <f>M64-N64-N66+M66+N68-M68+N71-M71+N72-M72-IS!N130+IS!N132</f>
        <v>-35.47000000000012</v>
      </c>
      <c r="O127" s="204">
        <f>N64-O64-O66+N66+O68-N68+O71-N71+O72-N72-IS!O130+IS!O132</f>
        <v>-35.356999999999886</v>
      </c>
      <c r="P127" s="204">
        <f>O64-P64-P66+O66+P68-O68+P71-O71+P72-O72-IS!P130+IS!P132</f>
        <v>-60.092000000000581</v>
      </c>
      <c r="Q127" s="204">
        <f>P64-Q64-Q66+P66+Q68-P68+Q71-P71+Q72-P72-IS!Q130+IS!Q132</f>
        <v>-378.75799999999998</v>
      </c>
      <c r="R127" s="204">
        <f>Q64-R64-R66+Q66+R68-Q68+R71-Q71+R72-Q72-IS!R130+IS!R132</f>
        <v>-82.503000000000071</v>
      </c>
      <c r="S127" s="204">
        <f>R64-S64-S66+R66+S68-R68+S71-R71+S72-R72-IS!S130+IS!S132</f>
        <v>-39.919000000000125</v>
      </c>
      <c r="T127" s="204">
        <f>S64-T64-T66+S66+T68-S68+T71-S71+T72-S72-IS!T130+IS!T132</f>
        <v>-63.389000000000337</v>
      </c>
      <c r="U127" s="204">
        <f>T64-U64-U66+T66+U68-T68+U71-T71+U72-T72-IS!U130+IS!U132</f>
        <v>-85.124999999999773</v>
      </c>
      <c r="V127" s="204">
        <f>U64-V64-V66+U66+V68-U68+V71-U71+V72-U72-IS!V130+IS!V132</f>
        <v>-104.81600000000003</v>
      </c>
      <c r="W127" s="204">
        <f>V64-W64-W66+V66+W68-V68+W71-V71+W72-V72-IS!W130+IS!W132</f>
        <v>-109.03099999999998</v>
      </c>
      <c r="X127" s="204">
        <f>W64-X64-X66+W66+X68-W68+X71-W71+X72-W72-IS!X130+IS!X132</f>
        <v>-126.82900000000004</v>
      </c>
      <c r="Y127" s="204">
        <f>X64-Y64-Y66+X66+Y68-X68+Y71-X71+Y72-X72-IS!Y130+IS!Y132</f>
        <v>-65.583999999999747</v>
      </c>
      <c r="Z127" s="204">
        <f>Y64-Z64-Z66+Y66+Z68-Y68+Z71-Y71+Z72-Y72-IS!Z130+IS!Z132</f>
        <v>-56.765999999999764</v>
      </c>
      <c r="AA127" s="204">
        <f>Z64-AA64-AA66+Z66+AA68-Z68+AA71-Z71+AA72-Z72-IS!AA130+IS!AA132</f>
        <v>-79.642999999999887</v>
      </c>
      <c r="AB127" s="204">
        <f>AA64-AB64-AB66+AA66+AB68-AA68+AB71-AA71+AB72-AA72-IS!AB130+IS!AB132</f>
        <v>-131.64100000000013</v>
      </c>
      <c r="AC127" s="204">
        <f>AB64-AC64-AC66+AB66+AC68-AB68+AC71-AB71+AC72-AB72-IS!AC130+IS!AC132</f>
        <v>-97.563000000000031</v>
      </c>
      <c r="AD127" s="204">
        <f>AC64-AD64-AD66+AC66+AD68-AC68+AD71-AC71+AD72-AC72-IS!AD130+IS!AD132</f>
        <v>-55.552000000000277</v>
      </c>
      <c r="AE127" s="204">
        <f>AD64-AE64-AE66+AD66+AE68-AD68+AE71-AD71+AE72-AD72-IS!AE130+IS!AE132</f>
        <v>-73.345999999999549</v>
      </c>
      <c r="AF127" s="204">
        <f>AE64-AF64-AF66+AE66+AF68-AE68+AF71-AE71+AF72-AE72-IS!AF130+IS!AF132</f>
        <v>-98.247000000000412</v>
      </c>
      <c r="AG127" s="204">
        <f>AF64-AG64-AG66+AF66+AG68-AF68+AG71-AF71+AG72-AF72-IS!AG130+IS!AG132</f>
        <v>-63.314999999999756</v>
      </c>
      <c r="AH127" s="204">
        <f>AG64-AH64-AH66+AG66+AH68-AG68+AH71-AG71+AH72-AG72-IS!AH130+IS!AH132</f>
        <v>-97.860000000000184</v>
      </c>
      <c r="AI127" s="204">
        <f>AH64-AI64-AI66+AH66+AI68-AH68+AI71-AH71+AI72-AH72-IS!AI130+IS!AI132</f>
        <v>-225.45600000000002</v>
      </c>
      <c r="AJ127" s="204">
        <f>AI64-AJ64-AJ66+AI66+AJ68-AI68+AJ71-AI71+AJ72-AI72-IS!AJ130+IS!AJ132</f>
        <v>-214.31999999999988</v>
      </c>
      <c r="AK127" s="204">
        <f>AJ64-AK64-AK66+AJ66+AK68-AJ68+AK71-AJ71+AK72-AJ72-IS!AK130+IS!AK132</f>
        <v>-88.265000000000271</v>
      </c>
      <c r="AL127" s="204">
        <f>AK64-AL64-AL66+AK66+AL68-AK68+AL71-AK71+AL72-AK72-IS!AL130+IS!AL132</f>
        <v>-78.266999999999967</v>
      </c>
      <c r="AM127" s="204">
        <f>AL64-AM64-AM66+AL66+AM68-AL68+AM71-AL71+AM72-AL72-IS!AM130+IS!AM132</f>
        <v>-50.619</v>
      </c>
      <c r="AN127" s="204">
        <f>AM64-AN64-AN66+AM66+AN68-AM68+AN71-AM71+AN72-AM72-IS!AN130+IS!AN132</f>
        <v>-116.58599999999979</v>
      </c>
      <c r="AO127" s="204">
        <f>AN64-AO64-AO66+AN66+AO68-AN68+AO71-AN71+AO72-AN72-IS!AO130+IS!AO132</f>
        <v>-98.1640000000003</v>
      </c>
      <c r="AP127" s="204">
        <f>AO64-AP64-AP66+AO66+AP68-AO68+AP71-AO71+AP72-AO72-IS!AP130+IS!AP132</f>
        <v>-67.342999999999861</v>
      </c>
      <c r="AQ127" s="204">
        <f>AP64-AQ64-AQ66+AP66+AQ68-AP68+AQ71-AP71+AQ72-AP72-IS!AQ130+IS!AQ132</f>
        <v>-63.775000000000048</v>
      </c>
      <c r="AR127" s="204">
        <f>AQ64-AR64-AR66+AQ66+AR68-AQ68+AR71-AQ71+AR72-AQ72-IS!AR130+IS!AR132</f>
        <v>-102.71000000000008</v>
      </c>
      <c r="AS127" s="204">
        <f>AR64-AS64-AS66+AR66+AS68-AR68+AS71-AR71+AS72-AR72-IS!AS130+IS!AS132</f>
        <v>-33.516999999999754</v>
      </c>
      <c r="AT127" s="204">
        <f>AS64-AT64-AT66+AS66+AT68-AS68+AT71-AS71+AT72-AS72-IS!AT130+IS!AT132</f>
        <v>-151.11599999999999</v>
      </c>
      <c r="AU127" s="204">
        <f>AT64-AU64-AU66+AT66+AU68-AT68+AU71-AT71+AU72-AT72-IS!AU130+IS!AU132</f>
        <v>-125.35300000000012</v>
      </c>
      <c r="AV127" s="204">
        <f>AU64-AV64-AV66+AU66+AV68-AU68+AV71-AU71+AV72-AU72-IS!AV130+IS!AV132</f>
        <v>-118.03699999999972</v>
      </c>
      <c r="AW127" s="204">
        <f>AV64-AW64-AW66+AV66+AW68-AV68+AW71-AV71+AW72-AV72-IS!AW130+IS!AW132</f>
        <v>-116.10500000000019</v>
      </c>
      <c r="AX127" s="204">
        <f>AW64-AX64-AX66+AW66+AX68-AW68+AX71-AW71+AX72-AW72-IS!AX130+IS!AX132</f>
        <v>-126.15099999999967</v>
      </c>
      <c r="AY127" s="204">
        <f>AX64-AY64-AY66+AX66+AY68-AX68+AY71-AX71+AY72-AX72-IS!AY130+IS!AY132</f>
        <v>-120.76900000000052</v>
      </c>
      <c r="AZ127" s="204">
        <f>AY64-AZ64-AZ66+AY66+AZ68-AY68+AZ71-AY71+AZ72-AY72-IS!AZ130+IS!AZ132</f>
        <v>-159.78199999999981</v>
      </c>
      <c r="BA127" s="204">
        <f>AZ64-BA64-BA66+AZ66+BA68-AZ68+BA71-AZ71+BA72-AZ72-IS!BA130+IS!BA132</f>
        <v>-134.82999999999996</v>
      </c>
      <c r="BB127" s="204">
        <f>BA64-BB64-BB66+BA66+BB68-BA68+BB71-BA71+BB72-BA72-IS!BB130+IS!BB132</f>
        <v>-226.92200000000011</v>
      </c>
      <c r="BC127" s="204">
        <f>BB64-BC64-BC66+BB66+BC68-BB68+BC71-BB71+BC72-BB72-IS!BC130+IS!BC132</f>
        <v>-247.64401999999987</v>
      </c>
      <c r="BD127" s="204">
        <f>BC64-BD64-BD66+BC66+BD68-BC68+BD71-BC71+BD72-BC72-IS!BD130+IS!BD132</f>
        <v>-247.51802000000006</v>
      </c>
      <c r="BE127" s="204">
        <f>BD64-BE64-BE66+BD66+BE68-BD68+BE71-BD71+BE72-BD72-IS!BE130+IS!BE132</f>
        <v>-247.39202000000006</v>
      </c>
      <c r="BF127" s="204">
        <f>BE64-BF64-BF66+BE66+BF68-BE68+BF71-BE71+BF72-BE72-IS!BF130+IS!BF132</f>
        <v>-247.26601999999991</v>
      </c>
      <c r="BG127" s="204">
        <f>BF64-BG64-BG66+BF66+BG68-BF68+BG71-BF71+BG72-BF72-IS!BG130+IS!BG132</f>
        <v>-247.14001999999996</v>
      </c>
      <c r="BH127" s="204">
        <f>BG64-BH64-BH66+BG66+BH68-BG68+BH71-BG71+BH72-BG72-IS!BH130+IS!BH132</f>
        <v>-247.01401999999999</v>
      </c>
      <c r="BI127" s="204">
        <f>BH64-BI64-BI66+BH66+BI68-BH68+BI71-BH71+BI72-BH72-IS!BI130+IS!BI132</f>
        <v>-246.88802000000001</v>
      </c>
      <c r="BJ127" s="204">
        <f>BI64-BJ64-BJ66+BI66+BJ68-BI68+BJ71-BI71+BJ72-BI72-IS!BJ130+IS!BJ132</f>
        <v>-246.76201999999981</v>
      </c>
      <c r="BK127" s="204">
        <f>BJ64-BK64-BK66+BJ66+BK68-BJ68+BK71-BJ71+BK72-BJ72-IS!BK130+IS!BK132</f>
        <v>-246.63601999999989</v>
      </c>
      <c r="BL127" s="204"/>
      <c r="BM127" s="204">
        <f>BL64-BM64-BM66+BL66+BM68-BL68+BM71-BL71+BM72-BL72-IS!BM130+IS!BM132</f>
        <v>2397.5500000000002</v>
      </c>
      <c r="BN127" s="204">
        <f>BM64-BN64-BN66+BM66+BN68-BM68+BN71-BM71+BN72-BM72-IS!BN130+IS!BN132</f>
        <v>70.370000000000118</v>
      </c>
      <c r="BO127" s="204">
        <f>BN64-BO64-BO66+BN66+BO68-BN68+BO71-BN71+BO72-BN72-IS!BO130+IS!BO132</f>
        <v>-304.99199999999956</v>
      </c>
      <c r="BP127" s="204">
        <f>BO64-BP64-BP66+BO66+BP68-BO68+BP71-BO71+BP72-BO72-IS!BP130+IS!BP132</f>
        <v>-561.27200000000039</v>
      </c>
      <c r="BQ127" s="204">
        <f>BP64-BQ64-BQ66+BP66+BQ68-BP68+BQ71-BP71+BQ72-BP72-IS!BQ130+IS!BQ132</f>
        <v>-362.36100000000022</v>
      </c>
      <c r="BR127" s="204">
        <f>BQ64-BR64-BR66+BQ66+BR68-BQ68+BR71-BQ71+BR72-BQ72-IS!BR130+IS!BR132</f>
        <v>-328.82199999999943</v>
      </c>
      <c r="BS127" s="204">
        <f>BR64-BS64-BS66+BR66+BS68-BR68+BS71-BR71+BS72-BR72-IS!BS130+IS!BS132</f>
        <v>-358.10199999999986</v>
      </c>
      <c r="BT127" s="204">
        <f>BS64-BT64-BT66+BS66+BT68-BS68+BT71-BS71+BT72-BS72-IS!BT130+IS!BT132</f>
        <v>-484.87800000000038</v>
      </c>
      <c r="BU127" s="204">
        <f>BT64-BU64-BU66+BT66+BU68-BT68+BU71-BT71+BU72-BT72-IS!BU130+IS!BU132</f>
        <v>-431.47100000000012</v>
      </c>
      <c r="BV127" s="204">
        <f>BU64-BV64-BV66+BU66+BV68-BU68+BV71-BU71+BV72-BU72-IS!BV130+IS!BV132</f>
        <v>-345.86799999999943</v>
      </c>
      <c r="BW127" s="204">
        <f>BV64-BW64-BW66+BV66+BW68-BV68+BW71-BV71+BW72-BV72-IS!BW130+IS!BW132</f>
        <v>-412.69600000000059</v>
      </c>
      <c r="BX127" s="204">
        <f>BW64-BX64-BX66+BW66+BX68-BW68+BX71-BW71+BX72-BW72-IS!BX130+IS!BX132</f>
        <v>-481.06200000000024</v>
      </c>
      <c r="BY127" s="204">
        <f>BX64-BY64-BY66+BX66+BY68-BX68+BY71-BX71+BY72-BX72-IS!BY130+IS!BY132</f>
        <v>-769.17802000000017</v>
      </c>
      <c r="BZ127" s="204">
        <f>BY64-BZ64-BZ66+BY66+BZ68-BY68+BZ71-BY71+BZ72-BY72-IS!BZ130+IS!BZ132</f>
        <v>-989.31607999999983</v>
      </c>
      <c r="CA127" s="204">
        <f>BZ64-CA64-CA66+BZ66+CA68-BZ68+CA71-BZ71+CA72-BZ72-IS!CA130+IS!CA132</f>
        <v>-987.3000799999993</v>
      </c>
      <c r="CB127" s="1441"/>
      <c r="CC127" s="1441"/>
      <c r="CD127" s="1441"/>
      <c r="CE127" s="204"/>
      <c r="CF127" s="204">
        <f>CE64-CF64-CF66+CE66+CF68-CE68+CF71-CE71+CF72-CE72-IS!CF130+IS!CF132</f>
        <v>2665.7060000000001</v>
      </c>
      <c r="CG127" s="204">
        <f>CF64-CG64-CG66+CF66+CG68-CF68+CG71-CF71+CG72-CF72-IS!CG130+IS!CG132</f>
        <v>-249.14499999999987</v>
      </c>
      <c r="CH127" s="204">
        <f>CG64-CH64-CH66+CG66+CH68-CG68+CH71-CG71+CH72-CG72-IS!CH130+IS!CH132</f>
        <v>-509.67699999999979</v>
      </c>
      <c r="CI127" s="204">
        <f>CH64-CI64-CI66+CH66+CI68-CH68+CI71-CH71+CI72-CH72-IS!CI130+IS!CI132</f>
        <v>-270.93599999999958</v>
      </c>
      <c r="CJ127" s="204">
        <f>CI64-CJ64-CJ66+CI66+CJ68-CI68+CJ71-CI71+CJ72-CI72-IS!CJ130+IS!CJ132</f>
        <v>-406.26000000000022</v>
      </c>
      <c r="CK127" s="204">
        <f>CJ64-CK64-CK66+CJ66+CK68-CJ68+CK71-CJ71+CK72-CJ72-IS!CK130+IS!CK132</f>
        <v>-365.61299999999949</v>
      </c>
      <c r="CL127" s="204">
        <f>CK64-CL64-CL66+CK66+CL68-CK68+CL71-CK71+CL72-CK72-IS!CL130+IS!CL132</f>
        <v>-258.6509999999999</v>
      </c>
      <c r="CM127" s="204">
        <f>CL64-CM64-CM66+CL66+CM68-CL68+CM71-CL71+CM72-CL72-IS!CM130+IS!CM132</f>
        <v>-623.29800000000023</v>
      </c>
      <c r="CN127" s="204">
        <f>CM64-CN64-CN66+CM66+CN68-CM68+CN71-CM71+CN72-CM72-IS!CN130+IS!CN132</f>
        <v>-343.63600000000014</v>
      </c>
      <c r="CO127" s="204">
        <f>CN64-CO64-CO66+CN66+CO68-CN68+CO71-CN71+CO72-CN72-IS!CO130+IS!CO132</f>
        <v>-267.34499999999986</v>
      </c>
      <c r="CP127" s="1199">
        <f>CO64-CP64-CP66+CO66+CP68-CO68+CP71-CO71+CP72-CO72-IS!CP130+IS!CP132</f>
        <v>-510.61099999999999</v>
      </c>
      <c r="CQ127" s="1199">
        <f>CP64-CQ64-CQ66+CP66+CQ68-CP68+CQ71-CP71+CQ72-CP72-IS!CQ130+IS!CQ132</f>
        <v>-541.53199999999947</v>
      </c>
      <c r="CR127" s="1199">
        <f>CQ64-CR64-CR66+CQ66+CR68-CQ68+CR71-CQ71+CR72-CQ72-IS!CR130+IS!CR132</f>
        <v>-969.47605999999985</v>
      </c>
      <c r="CS127" s="204">
        <f>CR64-CS64-CS66+CR66+CS68-CR68+CS71-CR71+CS72-CR72-IS!CS130+IS!CS132</f>
        <v>-988.30807999999979</v>
      </c>
      <c r="CT127" s="8"/>
    </row>
    <row r="128" spans="1:104" ht="14.25" customHeight="1">
      <c r="CP128" s="1209"/>
      <c r="CQ128" s="1209"/>
      <c r="CR128" s="1209"/>
    </row>
    <row r="129" spans="94:96" ht="14.25" customHeight="1">
      <c r="CP129" s="1209"/>
      <c r="CQ129" s="1209"/>
      <c r="CR129" s="1209"/>
    </row>
    <row r="130" spans="94:96" ht="14.25" customHeight="1">
      <c r="CP130" s="1209"/>
      <c r="CQ130" s="1209"/>
      <c r="CR130" s="1209"/>
    </row>
    <row r="131" spans="94:96" ht="14.25" customHeight="1">
      <c r="CP131" s="1209"/>
      <c r="CQ131" s="1209"/>
      <c r="CR131" s="1209"/>
    </row>
    <row r="132" spans="94:96" ht="14.25" customHeight="1">
      <c r="CP132" s="1209"/>
      <c r="CQ132" s="1209"/>
      <c r="CR132" s="1209"/>
    </row>
    <row r="133" spans="94:96" ht="14.25" customHeight="1">
      <c r="CP133" s="1209"/>
      <c r="CQ133" s="1209"/>
      <c r="CR133" s="1209"/>
    </row>
    <row r="134" spans="94:96" ht="14.25" customHeight="1">
      <c r="CP134" s="1209"/>
      <c r="CQ134" s="1209"/>
      <c r="CR134" s="1209"/>
    </row>
    <row r="135" spans="94:96" ht="14.25" customHeight="1">
      <c r="CP135" s="1209"/>
      <c r="CQ135" s="1209"/>
      <c r="CR135" s="1209"/>
    </row>
    <row r="136" spans="94:96" ht="14.25" customHeight="1">
      <c r="CP136" s="1209"/>
      <c r="CQ136" s="1209"/>
      <c r="CR136" s="1209"/>
    </row>
    <row r="137" spans="94:96" ht="14.25" customHeight="1">
      <c r="CP137" s="1209"/>
      <c r="CQ137" s="1209"/>
      <c r="CR137" s="1209"/>
    </row>
    <row r="138" spans="94:96" ht="14.25" customHeight="1">
      <c r="CP138" s="1209"/>
      <c r="CQ138" s="1209"/>
      <c r="CR138" s="1209"/>
    </row>
  </sheetData>
  <phoneticPr fontId="24" type="noConversion"/>
  <conditionalFormatting sqref="B6">
    <cfRule type="cellIs" dxfId="21" priority="1" stopIfTrue="1" operator="equal">
      <formula>"Bear Case"</formula>
    </cfRule>
    <cfRule type="cellIs" dxfId="20" priority="2" stopIfTrue="1" operator="equal">
      <formula>"Bull Case"</formula>
    </cfRule>
    <cfRule type="cellIs" dxfId="19" priority="3" stopIfTrue="1" operator="equal">
      <formula>"Base Case"</formula>
    </cfRule>
  </conditionalFormatting>
  <pageMargins left="0" right="0" top="0" bottom="0" header="0" footer="0"/>
  <pageSetup paperSize="5" scale="50" orientation="landscape" r:id="rId1"/>
  <headerFooter alignWithMargins="0"/>
  <rowBreaks count="1" manualBreakCount="1">
    <brk id="90" max="76" man="1"/>
  </rowBreaks>
  <colBreaks count="1" manualBreakCount="1">
    <brk id="82" min="5" max="86" man="1"/>
  </colBreaks>
  <ignoredErrors>
    <ignoredError sqref="CT65 CE65 DA21:DN39 CT21:CT30 CT31:CT39 AE27:AH29 CE21:CN39 BL65:BV65 AE37:AH38 BL21:BV39 DA65:DK65" formula="1"/>
    <ignoredError sqref="D74:AC74 AG74:AH74 CT74 BL74:BV74 CE74:CN74 AJ74:AM74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2"/>
  <sheetViews>
    <sheetView workbookViewId="0"/>
  </sheetViews>
  <sheetFormatPr defaultRowHeight="12.75"/>
  <sheetData>
    <row r="1" spans="1:52">
      <c r="A1" t="s">
        <v>21</v>
      </c>
    </row>
    <row r="2" spans="1:52">
      <c r="A2" s="309" t="s">
        <v>17</v>
      </c>
      <c r="B2" s="309" t="s">
        <v>631</v>
      </c>
      <c r="C2" s="309" t="s">
        <v>20</v>
      </c>
      <c r="D2" s="309" t="s">
        <v>105</v>
      </c>
      <c r="E2" s="309" t="s">
        <v>19</v>
      </c>
      <c r="F2" s="309" t="s">
        <v>654</v>
      </c>
      <c r="G2" s="309" t="s">
        <v>18</v>
      </c>
      <c r="H2" s="309" t="s">
        <v>421</v>
      </c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09"/>
      <c r="AF2" s="309"/>
      <c r="AG2" s="309"/>
      <c r="AH2" s="309"/>
      <c r="AI2" s="309"/>
      <c r="AJ2" s="309"/>
      <c r="AK2" s="309"/>
      <c r="AL2" s="309"/>
      <c r="AM2" s="309"/>
      <c r="AN2" s="309"/>
      <c r="AO2" s="309"/>
      <c r="AP2" s="309"/>
      <c r="AQ2" s="309"/>
      <c r="AR2" s="309"/>
      <c r="AS2" s="309"/>
      <c r="AT2" s="309"/>
      <c r="AU2" s="309"/>
      <c r="AV2" s="309"/>
      <c r="AW2" s="309"/>
      <c r="AX2" s="309"/>
      <c r="AY2" s="309"/>
      <c r="AZ2" s="309"/>
    </row>
  </sheetData>
  <phoneticPr fontId="24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DA170"/>
  <sheetViews>
    <sheetView showGridLines="0" zoomScale="80" zoomScaleNormal="80" workbookViewId="0">
      <pane xSplit="3" ySplit="9" topLeftCell="AV10" activePane="bottomRight" state="frozen"/>
      <selection activeCell="AZ6" sqref="AZ6:BC9"/>
      <selection pane="topRight" activeCell="AZ6" sqref="AZ6:BC9"/>
      <selection pane="bottomLeft" activeCell="AZ6" sqref="AZ6:BC9"/>
      <selection pane="bottomRight" activeCell="BB6" sqref="BB6"/>
    </sheetView>
  </sheetViews>
  <sheetFormatPr defaultRowHeight="14.25" customHeight="1" outlineLevelRow="1" outlineLevelCol="1"/>
  <cols>
    <col min="1" max="1" width="1.7109375" customWidth="1"/>
    <col min="2" max="2" width="56" customWidth="1"/>
    <col min="3" max="3" width="1.7109375" customWidth="1"/>
    <col min="4" max="27" width="11.42578125" hidden="1" customWidth="1" outlineLevel="1"/>
    <col min="28" max="28" width="11.42578125" hidden="1" customWidth="1" outlineLevel="1" collapsed="1"/>
    <col min="29" max="47" width="11.42578125" hidden="1" customWidth="1" outlineLevel="1"/>
    <col min="48" max="48" width="11.42578125" customWidth="1" collapsed="1"/>
    <col min="49" max="59" width="11.42578125" customWidth="1"/>
    <col min="60" max="63" width="11.42578125" hidden="1" customWidth="1" outlineLevel="1"/>
    <col min="64" max="64" width="2.7109375" customWidth="1" collapsed="1"/>
    <col min="65" max="75" width="11.42578125" hidden="1" customWidth="1" outlineLevel="1"/>
    <col min="76" max="76" width="11.42578125" customWidth="1" collapsed="1"/>
    <col min="77" max="78" width="11.42578125" customWidth="1"/>
    <col min="79" max="79" width="11.42578125" hidden="1" customWidth="1" outlineLevel="1"/>
    <col min="80" max="80" width="11.42578125" style="1425" customWidth="1" collapsed="1"/>
    <col min="81" max="82" width="11.42578125" style="1425" customWidth="1"/>
    <col min="83" max="83" width="2.7109375" customWidth="1"/>
    <col min="84" max="94" width="11.42578125" hidden="1" customWidth="1" outlineLevel="1"/>
    <col min="95" max="95" width="11.42578125" customWidth="1" collapsed="1"/>
    <col min="96" max="98" width="11.42578125" customWidth="1"/>
    <col min="99" max="99" width="32.85546875" hidden="1" customWidth="1" outlineLevel="1"/>
    <col min="100" max="104" width="9.140625" hidden="1" customWidth="1" outlineLevel="1"/>
    <col min="105" max="105" width="9.140625" collapsed="1"/>
  </cols>
  <sheetData>
    <row r="1" spans="1:98" ht="67.5" customHeight="1">
      <c r="A1" s="5"/>
      <c r="B1" s="332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 t="str">
        <f>IF(SUM(BS)&lt;&gt;0,"BS BREAK","")</f>
        <v/>
      </c>
      <c r="BE1" s="1"/>
      <c r="BF1" s="2" t="str">
        <f>IF(SUM(BS)&lt;&gt;0,"BS BREAK","")</f>
        <v/>
      </c>
      <c r="BG1" s="1"/>
      <c r="BH1" s="2" t="str">
        <f>IF(SUM(BS)&lt;&gt;0,"BS BREAK","")</f>
        <v/>
      </c>
      <c r="BI1" s="1"/>
      <c r="BJ1" s="2" t="str">
        <f>IF(SUM(BS)&lt;&gt;0,"BS BREAK","")</f>
        <v/>
      </c>
      <c r="BK1" s="1"/>
      <c r="BL1" s="2" t="str">
        <f>IF(SUM(BS)&lt;&gt;0,"BS BREAK","")</f>
        <v/>
      </c>
      <c r="BM1" s="2" t="str">
        <f>IF(SUM(BS)&lt;&gt;0,"BS BREAK","")</f>
        <v/>
      </c>
      <c r="BN1" s="1"/>
      <c r="BO1" s="2" t="str">
        <f>IF(SUM(BS)&lt;&gt;0,"BS BREAK","")</f>
        <v/>
      </c>
      <c r="BP1" s="2"/>
      <c r="BQ1" s="2" t="str">
        <f>IF(SUM(BS)&lt;&gt;0,"BS BREAK","")</f>
        <v/>
      </c>
      <c r="BR1" s="2"/>
      <c r="BS1" s="2" t="str">
        <f>IF(SUM(BS)&lt;&gt;0,"BS BREAK","")</f>
        <v/>
      </c>
      <c r="BT1" s="2"/>
      <c r="BU1" s="2" t="str">
        <f>IF(SUM(BS)&lt;&gt;0,"BS BREAK","")</f>
        <v/>
      </c>
      <c r="BV1" s="2"/>
      <c r="BW1" s="2"/>
      <c r="BX1" s="2"/>
      <c r="BY1" s="2" t="str">
        <f>IF(SUM(BS)&lt;&gt;0,"BS BREAK","")</f>
        <v/>
      </c>
      <c r="BZ1" s="2" t="str">
        <f>IF(SUM(BS)&lt;&gt;0,"BS BREAK","")</f>
        <v/>
      </c>
      <c r="CA1" s="2" t="str">
        <f>IF(SUM(BS)&lt;&gt;0,"BS BREAK","")</f>
        <v/>
      </c>
      <c r="CB1" s="1374"/>
      <c r="CC1" s="1374"/>
      <c r="CD1" s="1374"/>
      <c r="CE1" s="1"/>
      <c r="CF1" s="2" t="str">
        <f>IF(SUM(BS)&lt;&gt;0,"BS BREAK","")</f>
        <v/>
      </c>
      <c r="CG1" s="1"/>
      <c r="CH1" s="2" t="str">
        <f>IF(SUM(BS)&lt;&gt;0,"BS BREAK","")</f>
        <v/>
      </c>
      <c r="CI1" s="1"/>
      <c r="CJ1" s="1" t="str">
        <f>IF(SUM(BS)&lt;&gt;0,"BS BREAK","")</f>
        <v/>
      </c>
      <c r="CK1" s="1"/>
      <c r="CL1" s="1" t="str">
        <f>IF(SUM(BS)&lt;&gt;0,"BS BREAK","")</f>
        <v/>
      </c>
      <c r="CM1" s="1"/>
      <c r="CN1" s="1" t="str">
        <f t="shared" ref="CN1:CS1" si="0">IF(SUM(BS)&lt;&gt;0,"BS BREAK","")</f>
        <v/>
      </c>
      <c r="CO1" s="1" t="str">
        <f t="shared" si="0"/>
        <v/>
      </c>
      <c r="CP1" s="1" t="str">
        <f t="shared" si="0"/>
        <v/>
      </c>
      <c r="CQ1" s="1" t="str">
        <f t="shared" si="0"/>
        <v/>
      </c>
      <c r="CR1" s="1" t="str">
        <f t="shared" si="0"/>
        <v/>
      </c>
      <c r="CS1" s="2" t="str">
        <f t="shared" si="0"/>
        <v/>
      </c>
      <c r="CT1" s="1"/>
    </row>
    <row r="2" spans="1:98" ht="18" customHeight="1">
      <c r="A2" s="1"/>
      <c r="B2" s="4" t="s">
        <v>22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311"/>
      <c r="CC2" s="311"/>
      <c r="CD2" s="31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</row>
    <row r="3" spans="1:98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311"/>
      <c r="CC3" s="311"/>
      <c r="CD3" s="31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</row>
    <row r="4" spans="1:98" ht="14.25" customHeight="1">
      <c r="A4" s="1"/>
      <c r="B4" s="1"/>
      <c r="C4" s="1"/>
      <c r="D4" s="1"/>
      <c r="E4" s="1"/>
      <c r="F4" s="1"/>
      <c r="G4" s="207"/>
      <c r="H4" s="1"/>
      <c r="I4" s="1"/>
      <c r="J4" s="1"/>
      <c r="K4" s="207"/>
      <c r="L4" s="1"/>
      <c r="M4" s="1"/>
      <c r="N4" s="1"/>
      <c r="O4" s="207"/>
      <c r="P4" s="1"/>
      <c r="Q4" s="1"/>
      <c r="R4" s="1"/>
      <c r="S4" s="207"/>
      <c r="T4" s="1"/>
      <c r="U4" s="1"/>
      <c r="V4" s="1"/>
      <c r="W4" s="207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311"/>
      <c r="CC4" s="311"/>
      <c r="CD4" s="31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</row>
    <row r="5" spans="1:98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329"/>
      <c r="AG5" s="329"/>
      <c r="AH5" s="329"/>
      <c r="AI5" s="1"/>
      <c r="AJ5" s="1"/>
      <c r="AK5" s="1"/>
      <c r="AL5" s="329"/>
      <c r="AM5" s="1"/>
      <c r="AN5" s="1"/>
      <c r="AO5" s="1"/>
      <c r="AP5" s="1"/>
      <c r="AQ5" s="1"/>
      <c r="AR5" s="370"/>
      <c r="AS5" s="370"/>
      <c r="AT5" s="370"/>
      <c r="AU5" s="370"/>
      <c r="AV5" s="370"/>
      <c r="AW5" s="370"/>
      <c r="AX5" s="370"/>
      <c r="AY5" s="370"/>
      <c r="AZ5" s="370"/>
      <c r="BA5" s="370"/>
      <c r="BB5" s="370"/>
      <c r="BC5" s="370"/>
      <c r="BD5" s="370"/>
      <c r="BE5" s="370"/>
      <c r="BF5" s="370"/>
      <c r="BG5" s="370"/>
      <c r="BH5" s="370"/>
      <c r="BI5" s="370"/>
      <c r="BJ5" s="370"/>
      <c r="BK5" s="370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311"/>
      <c r="CC5" s="311"/>
      <c r="CD5" s="31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</row>
    <row r="6" spans="1:98" ht="14.25" customHeight="1">
      <c r="A6" s="1"/>
      <c r="B6" s="377" t="str">
        <f>IS!$B$6</f>
        <v>Base Case</v>
      </c>
      <c r="C6" s="7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196"/>
      <c r="AS6" s="1196"/>
      <c r="AT6" s="1196"/>
      <c r="AU6" s="1196"/>
      <c r="AV6" s="1196"/>
      <c r="AW6" s="1196"/>
      <c r="AX6" s="1196"/>
      <c r="AY6" s="1196"/>
      <c r="AZ6" s="1196"/>
      <c r="BA6" s="1196"/>
      <c r="BB6" s="1196"/>
      <c r="BC6" s="1196"/>
      <c r="BD6" s="1196"/>
      <c r="BE6" s="1196"/>
      <c r="BF6" s="1196"/>
      <c r="BG6" s="1196"/>
      <c r="BH6" s="1196"/>
      <c r="BI6" s="1196"/>
      <c r="BJ6" s="1196"/>
      <c r="BK6" s="1196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311"/>
      <c r="CC6" s="311"/>
      <c r="CD6" s="31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</row>
    <row r="7" spans="1:98" ht="14.25" customHeight="1">
      <c r="A7" s="8"/>
      <c r="B7" s="9" t="s">
        <v>25</v>
      </c>
      <c r="C7" s="10"/>
      <c r="D7" s="757" t="str">
        <f>BS!D7</f>
        <v>C3Q05A</v>
      </c>
      <c r="E7" s="758" t="str">
        <f>BS!E7</f>
        <v>C4Q05A</v>
      </c>
      <c r="F7" s="758" t="str">
        <f>BS!F7</f>
        <v>C1Q06A</v>
      </c>
      <c r="G7" s="759" t="str">
        <f>BS!G7</f>
        <v>C2Q06A</v>
      </c>
      <c r="H7" s="757" t="str">
        <f>BS!H7</f>
        <v>C3Q06A</v>
      </c>
      <c r="I7" s="758" t="str">
        <f>BS!I7</f>
        <v>C4Q06A</v>
      </c>
      <c r="J7" s="758" t="str">
        <f>BS!J7</f>
        <v>C1Q07A</v>
      </c>
      <c r="K7" s="759" t="str">
        <f>BS!K7</f>
        <v>C2Q07A</v>
      </c>
      <c r="L7" s="757" t="str">
        <f>BS!L7</f>
        <v>C3Q07A</v>
      </c>
      <c r="M7" s="758" t="str">
        <f>BS!M7</f>
        <v>C4Q07A</v>
      </c>
      <c r="N7" s="758" t="str">
        <f>BS!N7</f>
        <v>C1Q08A</v>
      </c>
      <c r="O7" s="759" t="str">
        <f>BS!O7</f>
        <v>C2Q08A</v>
      </c>
      <c r="P7" s="757" t="str">
        <f>BS!P7</f>
        <v>C3Q08A</v>
      </c>
      <c r="Q7" s="758" t="str">
        <f>BS!Q7</f>
        <v>C4Q08A</v>
      </c>
      <c r="R7" s="758" t="str">
        <f>BS!R7</f>
        <v>C1Q09A</v>
      </c>
      <c r="S7" s="759" t="str">
        <f>BS!S7</f>
        <v>C2Q09A</v>
      </c>
      <c r="T7" s="757" t="str">
        <f>BS!T7</f>
        <v>C3Q09A</v>
      </c>
      <c r="U7" s="758" t="str">
        <f>BS!U7</f>
        <v>C4Q09A</v>
      </c>
      <c r="V7" s="758" t="str">
        <f>BS!V7</f>
        <v>C1Q10A</v>
      </c>
      <c r="W7" s="759" t="str">
        <f>BS!W7</f>
        <v>C2Q10A</v>
      </c>
      <c r="X7" s="757" t="str">
        <f>BS!X7</f>
        <v>C3Q10A</v>
      </c>
      <c r="Y7" s="758" t="str">
        <f>BS!Y7</f>
        <v>C4Q10A</v>
      </c>
      <c r="Z7" s="758" t="str">
        <f>BS!Z7</f>
        <v>C1Q11A</v>
      </c>
      <c r="AA7" s="759" t="str">
        <f>BS!AA7</f>
        <v>C2Q11A</v>
      </c>
      <c r="AB7" s="757" t="str">
        <f>BS!AB7</f>
        <v>C3Q11A</v>
      </c>
      <c r="AC7" s="758" t="str">
        <f>BS!AC7</f>
        <v>C4Q11A</v>
      </c>
      <c r="AD7" s="758" t="str">
        <f>BS!AD7</f>
        <v>C1Q12A</v>
      </c>
      <c r="AE7" s="759" t="str">
        <f>BS!AE7</f>
        <v>C2Q12A</v>
      </c>
      <c r="AF7" s="757" t="str">
        <f>BS!AF7</f>
        <v>C3Q12A</v>
      </c>
      <c r="AG7" s="758" t="str">
        <f>BS!AG7</f>
        <v>C4Q12A</v>
      </c>
      <c r="AH7" s="758" t="str">
        <f>BS!AH7</f>
        <v>C1Q13A</v>
      </c>
      <c r="AI7" s="759" t="str">
        <f>BS!AI7</f>
        <v>C2Q13A</v>
      </c>
      <c r="AJ7" s="757" t="str">
        <f>BS!AJ7</f>
        <v>C3Q13A</v>
      </c>
      <c r="AK7" s="758" t="str">
        <f>BS!AK7</f>
        <v>C4Q13</v>
      </c>
      <c r="AL7" s="758" t="str">
        <f>BS!AL7</f>
        <v>C1Q14E</v>
      </c>
      <c r="AM7" s="759" t="str">
        <f>BS!AM7</f>
        <v>C2Q14A</v>
      </c>
      <c r="AN7" s="757" t="str">
        <f>BS!AN7</f>
        <v>C3Q14A</v>
      </c>
      <c r="AO7" s="758" t="str">
        <f>BS!AO7</f>
        <v>C4Q14A</v>
      </c>
      <c r="AP7" s="758" t="str">
        <f>BS!AP7</f>
        <v>C1Q15A</v>
      </c>
      <c r="AQ7" s="759" t="str">
        <f>BS!AQ7</f>
        <v>C2Q15A</v>
      </c>
      <c r="AR7" s="757" t="str">
        <f>BS!AR7</f>
        <v>C3Q15A</v>
      </c>
      <c r="AS7" s="758" t="str">
        <f>BS!AS7</f>
        <v>C4Q15A</v>
      </c>
      <c r="AT7" s="758" t="str">
        <f>BS!AT7</f>
        <v>C1Q16A</v>
      </c>
      <c r="AU7" s="759" t="str">
        <f>BS!AU7</f>
        <v>C2Q16A</v>
      </c>
      <c r="AV7" s="757" t="str">
        <f>BS!AV7</f>
        <v>C3Q16A</v>
      </c>
      <c r="AW7" s="758" t="str">
        <f>BS!AW7</f>
        <v>C4Q16A</v>
      </c>
      <c r="AX7" s="758" t="str">
        <f>BS!AX7</f>
        <v>C1Q17A</v>
      </c>
      <c r="AY7" s="759" t="str">
        <f>BS!AY7</f>
        <v>C2Q17A</v>
      </c>
      <c r="AZ7" s="758" t="str">
        <f>BS!AZ7</f>
        <v>C3Q17A</v>
      </c>
      <c r="BA7" s="758" t="str">
        <f>BS!BA7</f>
        <v>C4Q17A</v>
      </c>
      <c r="BB7" s="758" t="str">
        <f>BS!BB7</f>
        <v>C1Q18A</v>
      </c>
      <c r="BC7" s="759" t="str">
        <f>BS!BC7</f>
        <v>C2Q18E</v>
      </c>
      <c r="BD7" s="758" t="str">
        <f>BS!BD7</f>
        <v>C3Q18E</v>
      </c>
      <c r="BE7" s="758" t="str">
        <f>BS!BE7</f>
        <v>C4Q18E</v>
      </c>
      <c r="BF7" s="758" t="str">
        <f>BS!BF7</f>
        <v>C1Q19E</v>
      </c>
      <c r="BG7" s="759" t="str">
        <f>BS!BG7</f>
        <v>C2Q19E</v>
      </c>
      <c r="BH7" s="758" t="str">
        <f>BS!BH7</f>
        <v>C3Q19E</v>
      </c>
      <c r="BI7" s="758" t="str">
        <f>BS!BI7</f>
        <v>C4Q19E</v>
      </c>
      <c r="BJ7" s="758" t="str">
        <f>BS!BJ7</f>
        <v>C1Q20E</v>
      </c>
      <c r="BK7" s="759" t="str">
        <f>BS!BK7</f>
        <v>C2Q20E</v>
      </c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311"/>
      <c r="CC7" s="311"/>
      <c r="CD7" s="311"/>
      <c r="CE7" s="1228"/>
      <c r="CF7" s="763" t="str">
        <f>BS!CF7</f>
        <v>CY2006</v>
      </c>
      <c r="CG7" s="764" t="str">
        <f>BS!CG7</f>
        <v>CY2007</v>
      </c>
      <c r="CH7" s="764" t="str">
        <f>BS!CH7</f>
        <v>CY2008</v>
      </c>
      <c r="CI7" s="764" t="str">
        <f>BS!CI7</f>
        <v>CY2009</v>
      </c>
      <c r="CJ7" s="764" t="str">
        <f>BS!CJ7</f>
        <v>CY2010</v>
      </c>
      <c r="CK7" s="764" t="str">
        <f>BS!CK7</f>
        <v>CY2011</v>
      </c>
      <c r="CL7" s="764" t="str">
        <f>BS!CL7</f>
        <v>CY2012</v>
      </c>
      <c r="CM7" s="764" t="str">
        <f>BS!CM7</f>
        <v>CY2013</v>
      </c>
      <c r="CN7" s="764" t="str">
        <f>BS!CN7</f>
        <v>CY2014A</v>
      </c>
      <c r="CO7" s="764" t="str">
        <f>BS!CO7</f>
        <v>CY2015A</v>
      </c>
      <c r="CP7" s="764" t="str">
        <f>BS!CP7</f>
        <v>CY2016A</v>
      </c>
      <c r="CQ7" s="764" t="str">
        <f>BS!CQ7</f>
        <v>CY2017E</v>
      </c>
      <c r="CR7" s="764" t="str">
        <f>BS!CR7</f>
        <v>CY2018E</v>
      </c>
      <c r="CS7" s="765" t="str">
        <f>BS!CS7</f>
        <v>CY2019E</v>
      </c>
      <c r="CT7" s="206"/>
    </row>
    <row r="8" spans="1:98" ht="14.25" customHeight="1">
      <c r="A8" s="8"/>
      <c r="B8" s="12" t="s">
        <v>63</v>
      </c>
      <c r="C8" s="13"/>
      <c r="D8" s="757">
        <f>BS!D8</f>
        <v>38625</v>
      </c>
      <c r="E8" s="758">
        <f>BS!E8</f>
        <v>38717</v>
      </c>
      <c r="F8" s="758">
        <f>BS!F8</f>
        <v>38807</v>
      </c>
      <c r="G8" s="759">
        <f>BS!G8</f>
        <v>38898</v>
      </c>
      <c r="H8" s="757">
        <f>BS!H8</f>
        <v>38990</v>
      </c>
      <c r="I8" s="758">
        <f>BS!I8</f>
        <v>39082</v>
      </c>
      <c r="J8" s="758">
        <f>BS!J8</f>
        <v>39172</v>
      </c>
      <c r="K8" s="759">
        <f>BS!K8</f>
        <v>39263</v>
      </c>
      <c r="L8" s="757">
        <f>BS!L8</f>
        <v>39355</v>
      </c>
      <c r="M8" s="758">
        <f>BS!M8</f>
        <v>39447</v>
      </c>
      <c r="N8" s="758">
        <f>BS!N8</f>
        <v>39538</v>
      </c>
      <c r="O8" s="759">
        <f>BS!O8</f>
        <v>39629</v>
      </c>
      <c r="P8" s="757">
        <f>BS!P8</f>
        <v>39721</v>
      </c>
      <c r="Q8" s="758">
        <f>BS!Q8</f>
        <v>39813</v>
      </c>
      <c r="R8" s="758">
        <f>BS!R8</f>
        <v>39903</v>
      </c>
      <c r="S8" s="759">
        <f>BS!S8</f>
        <v>39994</v>
      </c>
      <c r="T8" s="757">
        <f>BS!T8</f>
        <v>40086</v>
      </c>
      <c r="U8" s="758">
        <f>BS!U8</f>
        <v>40178</v>
      </c>
      <c r="V8" s="758">
        <f>BS!V8</f>
        <v>40268</v>
      </c>
      <c r="W8" s="759">
        <f>BS!W8</f>
        <v>40359</v>
      </c>
      <c r="X8" s="757">
        <f>BS!X8</f>
        <v>40451</v>
      </c>
      <c r="Y8" s="758">
        <f>BS!Y8</f>
        <v>40543</v>
      </c>
      <c r="Z8" s="758">
        <f>BS!Z8</f>
        <v>40633</v>
      </c>
      <c r="AA8" s="759">
        <f>BS!AA8</f>
        <v>40724</v>
      </c>
      <c r="AB8" s="757">
        <f>BS!AB8</f>
        <v>40816</v>
      </c>
      <c r="AC8" s="758">
        <f>BS!AC8</f>
        <v>40908</v>
      </c>
      <c r="AD8" s="758">
        <f>BS!AD8</f>
        <v>40999</v>
      </c>
      <c r="AE8" s="759">
        <f>BS!AE8</f>
        <v>41090</v>
      </c>
      <c r="AF8" s="757">
        <f>BS!AF8</f>
        <v>41182</v>
      </c>
      <c r="AG8" s="758">
        <f>BS!AG8</f>
        <v>41274</v>
      </c>
      <c r="AH8" s="758">
        <f>BS!AH8</f>
        <v>41364</v>
      </c>
      <c r="AI8" s="759">
        <f>BS!AI8</f>
        <v>41455</v>
      </c>
      <c r="AJ8" s="757">
        <f>BS!AJ8</f>
        <v>41547</v>
      </c>
      <c r="AK8" s="758">
        <f>BS!AK8</f>
        <v>41639</v>
      </c>
      <c r="AL8" s="758">
        <f>BS!AL8</f>
        <v>41729</v>
      </c>
      <c r="AM8" s="759">
        <f>BS!AM8</f>
        <v>41820</v>
      </c>
      <c r="AN8" s="757">
        <f>BS!AN8</f>
        <v>41912</v>
      </c>
      <c r="AO8" s="758">
        <f>BS!AO8</f>
        <v>42004</v>
      </c>
      <c r="AP8" s="758">
        <f>BS!AP8</f>
        <v>42094</v>
      </c>
      <c r="AQ8" s="759">
        <f>BS!AQ8</f>
        <v>42185</v>
      </c>
      <c r="AR8" s="757">
        <f>BS!AR8</f>
        <v>42277</v>
      </c>
      <c r="AS8" s="758">
        <f>BS!AS8</f>
        <v>42369</v>
      </c>
      <c r="AT8" s="758">
        <f>BS!AT8</f>
        <v>42460</v>
      </c>
      <c r="AU8" s="759">
        <f>BS!AU8</f>
        <v>42551</v>
      </c>
      <c r="AV8" s="757">
        <f>BS!AV8</f>
        <v>42643</v>
      </c>
      <c r="AW8" s="758">
        <f>BS!AW8</f>
        <v>42735</v>
      </c>
      <c r="AX8" s="758">
        <f>BS!AX8</f>
        <v>42825</v>
      </c>
      <c r="AY8" s="759">
        <f>BS!AY8</f>
        <v>42916</v>
      </c>
      <c r="AZ8" s="758">
        <f>BS!AZ8</f>
        <v>43008</v>
      </c>
      <c r="BA8" s="758">
        <f>BS!BA8</f>
        <v>43100</v>
      </c>
      <c r="BB8" s="758">
        <f>BS!BB8</f>
        <v>43190</v>
      </c>
      <c r="BC8" s="759">
        <f>BS!BC8</f>
        <v>43281</v>
      </c>
      <c r="BD8" s="758">
        <f>BS!BD8</f>
        <v>43373</v>
      </c>
      <c r="BE8" s="758">
        <f>BS!BE8</f>
        <v>43465</v>
      </c>
      <c r="BF8" s="758">
        <f>BS!BF8</f>
        <v>43555</v>
      </c>
      <c r="BG8" s="759">
        <f>BS!BG8</f>
        <v>43646</v>
      </c>
      <c r="BH8" s="758">
        <f>BS!BH8</f>
        <v>43738</v>
      </c>
      <c r="BI8" s="758">
        <f>BS!BI8</f>
        <v>43830</v>
      </c>
      <c r="BJ8" s="758">
        <f>BS!BJ8</f>
        <v>43921</v>
      </c>
      <c r="BK8" s="759">
        <f>BS!BK8</f>
        <v>44012</v>
      </c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74"/>
      <c r="CC8" s="74"/>
      <c r="CD8" s="74"/>
      <c r="CE8" s="260"/>
      <c r="CF8" s="757">
        <f>BS!CF8</f>
        <v>39082</v>
      </c>
      <c r="CG8" s="758">
        <f>BS!CG8</f>
        <v>39447</v>
      </c>
      <c r="CH8" s="758">
        <f>BS!CH8</f>
        <v>39813</v>
      </c>
      <c r="CI8" s="758">
        <f>BS!CI8</f>
        <v>40178</v>
      </c>
      <c r="CJ8" s="758">
        <f>BS!CJ8</f>
        <v>40543</v>
      </c>
      <c r="CK8" s="758">
        <f>BS!CK8</f>
        <v>40908</v>
      </c>
      <c r="CL8" s="758">
        <f>BS!CL8</f>
        <v>41274</v>
      </c>
      <c r="CM8" s="758">
        <f>BS!CM8</f>
        <v>41639</v>
      </c>
      <c r="CN8" s="758">
        <f>BS!CN8</f>
        <v>42004</v>
      </c>
      <c r="CO8" s="758">
        <f>BS!CO8</f>
        <v>42369</v>
      </c>
      <c r="CP8" s="758">
        <f>BS!CP8</f>
        <v>42735</v>
      </c>
      <c r="CQ8" s="758">
        <f>BS!CQ8</f>
        <v>43100</v>
      </c>
      <c r="CR8" s="758">
        <f>BS!CR8</f>
        <v>43465</v>
      </c>
      <c r="CS8" s="759">
        <f>BS!CS8</f>
        <v>43830</v>
      </c>
      <c r="CT8" s="14"/>
    </row>
    <row r="9" spans="1:98" ht="14.25" customHeight="1">
      <c r="A9" s="8"/>
      <c r="B9" s="12"/>
      <c r="C9" s="208"/>
      <c r="D9" s="17" t="str">
        <f>BS!D9</f>
        <v>F1Q06A</v>
      </c>
      <c r="E9" s="18" t="str">
        <f>BS!E9</f>
        <v>F2Q06A</v>
      </c>
      <c r="F9" s="18" t="str">
        <f>BS!F9</f>
        <v>F3Q06A</v>
      </c>
      <c r="G9" s="19" t="str">
        <f>BS!G9</f>
        <v>F4Q06A</v>
      </c>
      <c r="H9" s="17" t="str">
        <f>BS!H9</f>
        <v>F1Q07A</v>
      </c>
      <c r="I9" s="18" t="str">
        <f>BS!I9</f>
        <v>F2Q07A</v>
      </c>
      <c r="J9" s="18" t="str">
        <f>BS!J9</f>
        <v>F3Q07A</v>
      </c>
      <c r="K9" s="19" t="str">
        <f>BS!K9</f>
        <v>F4Q07A</v>
      </c>
      <c r="L9" s="17" t="str">
        <f>BS!L9</f>
        <v>F1Q08A</v>
      </c>
      <c r="M9" s="18" t="str">
        <f>BS!M9</f>
        <v>F2Q08A</v>
      </c>
      <c r="N9" s="18" t="str">
        <f>BS!N9</f>
        <v>F3Q08A</v>
      </c>
      <c r="O9" s="19" t="str">
        <f>BS!O9</f>
        <v>F4Q08A</v>
      </c>
      <c r="P9" s="17" t="str">
        <f>BS!P9</f>
        <v>F1Q09A</v>
      </c>
      <c r="Q9" s="18" t="str">
        <f>BS!Q9</f>
        <v>F2Q09A</v>
      </c>
      <c r="R9" s="18" t="str">
        <f>BS!R9</f>
        <v>F3Q09A</v>
      </c>
      <c r="S9" s="19" t="str">
        <f>BS!S9</f>
        <v>F4Q09A</v>
      </c>
      <c r="T9" s="17" t="str">
        <f>BS!T9</f>
        <v>F1Q10A</v>
      </c>
      <c r="U9" s="18" t="str">
        <f>BS!U9</f>
        <v>F2Q10A</v>
      </c>
      <c r="V9" s="18" t="str">
        <f>BS!V9</f>
        <v>F3Q10A</v>
      </c>
      <c r="W9" s="19" t="str">
        <f>BS!W9</f>
        <v>F4Q10A</v>
      </c>
      <c r="X9" s="17" t="str">
        <f>BS!X9</f>
        <v>F1Q11A</v>
      </c>
      <c r="Y9" s="18" t="str">
        <f>BS!Y9</f>
        <v>F2Q11A</v>
      </c>
      <c r="Z9" s="18" t="str">
        <f>BS!Z9</f>
        <v>F3Q11A</v>
      </c>
      <c r="AA9" s="19" t="str">
        <f>BS!AA9</f>
        <v>F4Q11A</v>
      </c>
      <c r="AB9" s="17" t="str">
        <f>BS!AB9</f>
        <v>F1Q12A</v>
      </c>
      <c r="AC9" s="18" t="str">
        <f>BS!AC9</f>
        <v>F2Q12A</v>
      </c>
      <c r="AD9" s="18" t="str">
        <f>BS!AD9</f>
        <v>F3Q12A</v>
      </c>
      <c r="AE9" s="19" t="str">
        <f>BS!AE9</f>
        <v>F4Q12A</v>
      </c>
      <c r="AF9" s="17" t="str">
        <f>BS!AF9</f>
        <v>F1Q13A</v>
      </c>
      <c r="AG9" s="18" t="str">
        <f>BS!AG9</f>
        <v>F2Q13A</v>
      </c>
      <c r="AH9" s="18" t="str">
        <f>BS!AH9</f>
        <v>F3Q13A</v>
      </c>
      <c r="AI9" s="19" t="str">
        <f>BS!AI9</f>
        <v>F4Q13A</v>
      </c>
      <c r="AJ9" s="17" t="str">
        <f>BS!AJ9</f>
        <v>F1Q14A</v>
      </c>
      <c r="AK9" s="18" t="str">
        <f>BS!AK9</f>
        <v>F2Q14</v>
      </c>
      <c r="AL9" s="18" t="str">
        <f>BS!AL9</f>
        <v>F3Q14A</v>
      </c>
      <c r="AM9" s="19" t="str">
        <f>BS!AM9</f>
        <v>F4Q14A</v>
      </c>
      <c r="AN9" s="17" t="str">
        <f>BS!AN9</f>
        <v>F1Q15A</v>
      </c>
      <c r="AO9" s="18" t="str">
        <f>BS!AO9</f>
        <v>F2Q15A</v>
      </c>
      <c r="AP9" s="18" t="str">
        <f>BS!AP9</f>
        <v>F3Q15A</v>
      </c>
      <c r="AQ9" s="19" t="str">
        <f>BS!AQ9</f>
        <v>F4Q15A</v>
      </c>
      <c r="AR9" s="17" t="str">
        <f>BS!AR9</f>
        <v>F1Q16A</v>
      </c>
      <c r="AS9" s="18" t="str">
        <f>BS!AS9</f>
        <v>F2Q16A</v>
      </c>
      <c r="AT9" s="18" t="str">
        <f>BS!AT9</f>
        <v>F3Q16A</v>
      </c>
      <c r="AU9" s="19" t="str">
        <f>BS!AU9</f>
        <v>F4Q16A</v>
      </c>
      <c r="AV9" s="17" t="str">
        <f>BS!AV9</f>
        <v>F1Q17A</v>
      </c>
      <c r="AW9" s="18" t="str">
        <f>BS!AW9</f>
        <v>F2Q17A</v>
      </c>
      <c r="AX9" s="18" t="str">
        <f>BS!AX9</f>
        <v>F3Q17A</v>
      </c>
      <c r="AY9" s="19" t="str">
        <f>BS!AY9</f>
        <v>F4Q17A</v>
      </c>
      <c r="AZ9" s="18" t="str">
        <f>BS!AZ9</f>
        <v>F1Q18A</v>
      </c>
      <c r="BA9" s="18" t="str">
        <f>BS!BA9</f>
        <v>F2Q18A</v>
      </c>
      <c r="BB9" s="18" t="str">
        <f>BS!BB9</f>
        <v>F3Q18A</v>
      </c>
      <c r="BC9" s="19" t="str">
        <f>BS!BC9</f>
        <v>F4Q18E</v>
      </c>
      <c r="BD9" s="18" t="str">
        <f>BS!BD9</f>
        <v>F1Q19E</v>
      </c>
      <c r="BE9" s="18" t="str">
        <f>BS!BE9</f>
        <v>F2Q19E</v>
      </c>
      <c r="BF9" s="18" t="str">
        <f>BS!BF9</f>
        <v>F3Q19E</v>
      </c>
      <c r="BG9" s="19" t="str">
        <f>BS!BG9</f>
        <v>F4Q19E</v>
      </c>
      <c r="BH9" s="18" t="str">
        <f>BS!BH9</f>
        <v>F1Q20E</v>
      </c>
      <c r="BI9" s="18" t="str">
        <f>BS!BI9</f>
        <v>F2Q20E</v>
      </c>
      <c r="BJ9" s="18" t="str">
        <f>BS!BJ9</f>
        <v>F3Q20E</v>
      </c>
      <c r="BK9" s="19" t="str">
        <f>BS!BK9</f>
        <v>F4Q20E</v>
      </c>
      <c r="BL9" s="20"/>
      <c r="BM9" s="17" t="str">
        <f>BS!BM9</f>
        <v>FY2006A</v>
      </c>
      <c r="BN9" s="18" t="str">
        <f>BS!BN9</f>
        <v>FY2007A</v>
      </c>
      <c r="BO9" s="18" t="str">
        <f>BS!BO9</f>
        <v>FY2008A</v>
      </c>
      <c r="BP9" s="18" t="str">
        <f>BS!BP9</f>
        <v>FY2009A</v>
      </c>
      <c r="BQ9" s="18" t="str">
        <f>BS!BQ9</f>
        <v>FY2010A</v>
      </c>
      <c r="BR9" s="18" t="str">
        <f>BS!BR9</f>
        <v>FY2011A</v>
      </c>
      <c r="BS9" s="18" t="str">
        <f>BS!BS9</f>
        <v>FY2012A</v>
      </c>
      <c r="BT9" s="18" t="str">
        <f>BS!BT9</f>
        <v>FY2013A</v>
      </c>
      <c r="BU9" s="18" t="str">
        <f>BS!BU9</f>
        <v>FY2014A</v>
      </c>
      <c r="BV9" s="18" t="str">
        <f>BS!BV9</f>
        <v>FY2015A</v>
      </c>
      <c r="BW9" s="18" t="str">
        <f>BS!BW9</f>
        <v>FY2016A</v>
      </c>
      <c r="BX9" s="18" t="str">
        <f>BS!BX9</f>
        <v>FY2017A</v>
      </c>
      <c r="BY9" s="18" t="str">
        <f>BS!BY9</f>
        <v>FY2018E</v>
      </c>
      <c r="BZ9" s="18" t="str">
        <f>BS!BZ9</f>
        <v>FY2019E</v>
      </c>
      <c r="CA9" s="19" t="str">
        <f>BS!CA9</f>
        <v>FY2020E</v>
      </c>
      <c r="CB9" s="1470"/>
      <c r="CC9" s="1418"/>
      <c r="CD9" s="1418"/>
      <c r="CE9" s="260"/>
      <c r="CF9" s="725"/>
      <c r="CG9" s="726"/>
      <c r="CH9" s="726"/>
      <c r="CI9" s="726"/>
      <c r="CJ9" s="726"/>
      <c r="CK9" s="726"/>
      <c r="CL9" s="726"/>
      <c r="CM9" s="726"/>
      <c r="CN9" s="726"/>
      <c r="CO9" s="726"/>
      <c r="CP9" s="726"/>
      <c r="CQ9" s="726"/>
      <c r="CR9" s="726"/>
      <c r="CS9" s="727"/>
      <c r="CT9" s="14"/>
    </row>
    <row r="10" spans="1:98" ht="14.25" customHeight="1">
      <c r="A10" s="8"/>
      <c r="B10" s="209" t="str">
        <f t="shared" ref="B10:B29" si="1">B109</f>
        <v>Cash flows provided by (used for) operating activities:</v>
      </c>
      <c r="C10" s="48"/>
      <c r="D10" s="1305"/>
      <c r="E10" s="1306"/>
      <c r="F10" s="1306"/>
      <c r="G10" s="1307"/>
      <c r="H10" s="212"/>
      <c r="I10" s="210"/>
      <c r="J10" s="210"/>
      <c r="K10" s="211"/>
      <c r="L10" s="212"/>
      <c r="M10" s="210"/>
      <c r="N10" s="210"/>
      <c r="O10" s="211"/>
      <c r="P10" s="212"/>
      <c r="Q10" s="210"/>
      <c r="R10" s="210"/>
      <c r="S10" s="211"/>
      <c r="T10" s="212"/>
      <c r="U10" s="210"/>
      <c r="V10" s="210"/>
      <c r="W10" s="211"/>
      <c r="X10" s="212"/>
      <c r="Y10" s="210"/>
      <c r="Z10" s="210"/>
      <c r="AA10" s="211"/>
      <c r="AB10" s="212"/>
      <c r="AC10" s="210"/>
      <c r="AD10" s="210"/>
      <c r="AE10" s="211"/>
      <c r="AF10" s="212"/>
      <c r="AG10" s="210"/>
      <c r="AH10" s="210"/>
      <c r="AI10" s="211"/>
      <c r="AJ10" s="212"/>
      <c r="AK10" s="210"/>
      <c r="AL10" s="210"/>
      <c r="AM10" s="211"/>
      <c r="AN10" s="212"/>
      <c r="AO10" s="210"/>
      <c r="AP10" s="210"/>
      <c r="AQ10" s="211"/>
      <c r="AR10" s="212"/>
      <c r="AS10" s="210"/>
      <c r="AT10" s="210"/>
      <c r="AU10" s="211"/>
      <c r="AV10" s="212"/>
      <c r="AW10" s="210"/>
      <c r="AX10" s="210"/>
      <c r="AY10" s="211"/>
      <c r="AZ10" s="210"/>
      <c r="BA10" s="210"/>
      <c r="BB10" s="210"/>
      <c r="BC10" s="211"/>
      <c r="BD10" s="210"/>
      <c r="BE10" s="210"/>
      <c r="BF10" s="210"/>
      <c r="BG10" s="210"/>
      <c r="BH10" s="1305"/>
      <c r="BI10" s="210"/>
      <c r="BJ10" s="210"/>
      <c r="BK10" s="210"/>
      <c r="BL10" s="20"/>
      <c r="BM10" s="210"/>
      <c r="BN10" s="210"/>
      <c r="BO10" s="210"/>
      <c r="BP10" s="210"/>
      <c r="BQ10" s="210"/>
      <c r="BR10" s="210"/>
      <c r="BS10" s="210"/>
      <c r="BT10" s="210"/>
      <c r="BU10" s="210"/>
      <c r="BV10" s="210"/>
      <c r="BW10" s="210"/>
      <c r="BX10" s="210"/>
      <c r="BY10" s="210"/>
      <c r="BZ10" s="210"/>
      <c r="CA10" s="211"/>
      <c r="CB10" s="212"/>
      <c r="CC10" s="210"/>
      <c r="CD10" s="210"/>
      <c r="CE10" s="260"/>
      <c r="CF10" s="212"/>
      <c r="CG10" s="210"/>
      <c r="CH10" s="210"/>
      <c r="CI10" s="210"/>
      <c r="CJ10" s="210"/>
      <c r="CK10" s="210"/>
      <c r="CL10" s="210"/>
      <c r="CM10" s="210"/>
      <c r="CN10" s="210"/>
      <c r="CO10" s="210"/>
      <c r="CP10" s="210"/>
      <c r="CQ10" s="210"/>
      <c r="CR10" s="210"/>
      <c r="CS10" s="211"/>
      <c r="CT10" s="22"/>
    </row>
    <row r="11" spans="1:98" ht="14.25" customHeight="1">
      <c r="A11" s="8"/>
      <c r="B11" s="23" t="str">
        <f t="shared" si="1"/>
        <v>Net income</v>
      </c>
      <c r="C11" s="24"/>
      <c r="D11" s="1308">
        <f>IS!D135</f>
        <v>86.778000000000034</v>
      </c>
      <c r="E11" s="1304">
        <f>IS!E135</f>
        <v>97.670999999999964</v>
      </c>
      <c r="F11" s="1304">
        <f>IS!F135</f>
        <v>107.11000000000001</v>
      </c>
      <c r="G11" s="1309">
        <f>IS!G135</f>
        <v>96.141999999999811</v>
      </c>
      <c r="H11" s="1308">
        <f>IS!H135</f>
        <v>20.337999999999994</v>
      </c>
      <c r="I11" s="1304">
        <f>IS!I135</f>
        <v>97.567999999999998</v>
      </c>
      <c r="J11" s="1304">
        <f>IS!J135</f>
        <v>76.067999999999969</v>
      </c>
      <c r="K11" s="1309">
        <f>IS!K135</f>
        <v>92.252999999999844</v>
      </c>
      <c r="L11" s="1308">
        <f>IS!L135</f>
        <v>83.626000000000033</v>
      </c>
      <c r="M11" s="1304">
        <f>IS!M135</f>
        <v>107.01999999999995</v>
      </c>
      <c r="N11" s="1304">
        <f>IS!N135</f>
        <v>61.032000000000018</v>
      </c>
      <c r="O11" s="1309">
        <f>IS!O135</f>
        <v>66.04699999999994</v>
      </c>
      <c r="P11" s="1308">
        <f>IS!P135</f>
        <v>67.567000000000036</v>
      </c>
      <c r="Q11" s="1304">
        <f>IS!Q135</f>
        <v>-38.783999999999942</v>
      </c>
      <c r="R11" s="1304">
        <f>IS!R135</f>
        <v>-26.426000000000009</v>
      </c>
      <c r="S11" s="1309">
        <f>IS!S135</f>
        <v>8.0980000000002157</v>
      </c>
      <c r="T11" s="1308">
        <f>IS!T135</f>
        <v>41.951999999999984</v>
      </c>
      <c r="U11" s="1304">
        <f>IS!U135</f>
        <v>58.634999999999984</v>
      </c>
      <c r="V11" s="1304">
        <f>IS!V135</f>
        <v>-33.903000000000027</v>
      </c>
      <c r="W11" s="1309">
        <f>IS!W135</f>
        <v>58.454999999999956</v>
      </c>
      <c r="X11" s="1308">
        <f>IS!X135</f>
        <v>117.55000000000004</v>
      </c>
      <c r="Y11" s="1304">
        <f>IS!Y135</f>
        <v>109.59000000000006</v>
      </c>
      <c r="Z11" s="1304">
        <f>IS!Z135</f>
        <v>136.27599999999998</v>
      </c>
      <c r="AA11" s="1309">
        <f>IS!AA135</f>
        <v>125.59299999999971</v>
      </c>
      <c r="AB11" s="1308">
        <f>IS!AB135</f>
        <v>133.44599999999997</v>
      </c>
      <c r="AC11" s="1304">
        <f>IS!AC135</f>
        <v>88.130000000000038</v>
      </c>
      <c r="AD11" s="1304">
        <f>IS!AD135</f>
        <v>54.516999999999967</v>
      </c>
      <c r="AE11" s="1309">
        <f>IS!AE135</f>
        <v>110.63400000000001</v>
      </c>
      <c r="AF11" s="1308">
        <f>IS!AF135</f>
        <v>127.88800000000003</v>
      </c>
      <c r="AG11" s="1304">
        <f>IS!AG135</f>
        <v>76.622</v>
      </c>
      <c r="AH11" s="1304">
        <f>IS!AH135</f>
        <v>131.38799999999998</v>
      </c>
      <c r="AI11" s="1309">
        <f>IS!AI135</f>
        <v>119.014</v>
      </c>
      <c r="AJ11" s="1308">
        <f>IS!AJ135</f>
        <v>103.12000000000005</v>
      </c>
      <c r="AK11" s="1304">
        <f>IS!AK135</f>
        <v>44.353000000000009</v>
      </c>
      <c r="AL11" s="1304">
        <f>IS!AL135</f>
        <v>122.54400000000001</v>
      </c>
      <c r="AM11" s="1309">
        <f>IS!AM135</f>
        <v>84.792999999999978</v>
      </c>
      <c r="AN11" s="1308">
        <f>IS!AN135</f>
        <v>99.980000000000018</v>
      </c>
      <c r="AO11" s="1304">
        <f>IS!AO135</f>
        <v>-72.03400000000002</v>
      </c>
      <c r="AP11" s="1304">
        <f>IS!AP135</f>
        <v>79.433000000000007</v>
      </c>
      <c r="AQ11" s="1309">
        <f>IS!AQ135</f>
        <v>98.659000000000063</v>
      </c>
      <c r="AR11" s="1308">
        <f>IS!AR135</f>
        <v>-72.142999999999986</v>
      </c>
      <c r="AS11" s="1304">
        <f>IS!AS135</f>
        <v>67.46899999999998</v>
      </c>
      <c r="AT11" s="1304">
        <f>IS!AT135</f>
        <v>139.80999999999995</v>
      </c>
      <c r="AU11" s="1309">
        <f>IS!AU135</f>
        <v>92.338999999999999</v>
      </c>
      <c r="AV11" s="1308">
        <f>IS!AV135</f>
        <v>137.61399999999995</v>
      </c>
      <c r="AW11" s="1304">
        <f>IS!AW135</f>
        <v>130.47700000000003</v>
      </c>
      <c r="AX11" s="1304">
        <f>IS!AX135</f>
        <v>140.21300000000002</v>
      </c>
      <c r="AY11" s="1309">
        <f>IS!AY135</f>
        <v>163.30900000000003</v>
      </c>
      <c r="AZ11" s="1308">
        <f>IS!AZ135</f>
        <v>154.53300000000002</v>
      </c>
      <c r="BA11" s="1304">
        <f>IS!BA135</f>
        <v>-75.015000000000072</v>
      </c>
      <c r="BB11" s="1304">
        <f>IS!BB135</f>
        <v>193.62700000000004</v>
      </c>
      <c r="BC11" s="1309">
        <f>IS!BC135</f>
        <v>186.22292322436002</v>
      </c>
      <c r="BD11" s="1304">
        <f>IS!BD135</f>
        <v>186.20939697383241</v>
      </c>
      <c r="BE11" s="1304">
        <f>IS!BE135</f>
        <v>187.3203374141163</v>
      </c>
      <c r="BF11" s="1304">
        <f>IS!BF135</f>
        <v>204.92941612000061</v>
      </c>
      <c r="BG11" s="1304">
        <f>IS!BG135</f>
        <v>210.33671092537398</v>
      </c>
      <c r="BH11" s="1308">
        <f>IS!BH135</f>
        <v>204.57079040010345</v>
      </c>
      <c r="BI11" s="1304">
        <f>IS!BI135</f>
        <v>204.32679207252673</v>
      </c>
      <c r="BJ11" s="1304">
        <f>IS!BJ135</f>
        <v>218.21492118235179</v>
      </c>
      <c r="BK11" s="1309">
        <f>IS!BK135</f>
        <v>228.41002664470759</v>
      </c>
      <c r="BL11" s="20"/>
      <c r="BM11" s="112">
        <f>SUM(D11:G11)</f>
        <v>387.70099999999985</v>
      </c>
      <c r="BN11" s="112">
        <f>SUM(H11:K11)</f>
        <v>286.2269999999998</v>
      </c>
      <c r="BO11" s="112">
        <f>SUM(L11:O11)</f>
        <v>317.72499999999991</v>
      </c>
      <c r="BP11" s="112">
        <f>SUM(P11:S11)</f>
        <v>10.4550000000003</v>
      </c>
      <c r="BQ11" s="112">
        <f>SUM(T11:W11)</f>
        <v>125.1389999999999</v>
      </c>
      <c r="BR11" s="112">
        <f>SUM(X11:AA11)</f>
        <v>489.00899999999979</v>
      </c>
      <c r="BS11" s="112">
        <f>SUM(AB11:AE11)</f>
        <v>386.72699999999998</v>
      </c>
      <c r="BT11" s="112">
        <f>SUM(AF11:AI11)</f>
        <v>454.91200000000003</v>
      </c>
      <c r="BU11" s="112">
        <f>SUM(AJ11:AM11)</f>
        <v>354.81000000000006</v>
      </c>
      <c r="BV11" s="112">
        <f>SUM(AN11:AQ11)</f>
        <v>206.03800000000007</v>
      </c>
      <c r="BW11" s="112">
        <f>SUM(AR11:AU11)</f>
        <v>227.47499999999994</v>
      </c>
      <c r="BX11" s="112">
        <f>SUM(AV11:AY11)</f>
        <v>571.61300000000006</v>
      </c>
      <c r="BY11" s="112">
        <f>SUM(AZ11:BC11)</f>
        <v>459.36792322435997</v>
      </c>
      <c r="BZ11" s="112">
        <f>SUM(BD11:BG11)</f>
        <v>788.79586143332324</v>
      </c>
      <c r="CA11" s="113">
        <f>SUM(BH11:BK11)</f>
        <v>855.52253029968961</v>
      </c>
      <c r="CB11" s="1308"/>
      <c r="CC11" s="1304"/>
      <c r="CD11" s="1304"/>
      <c r="CE11" s="260"/>
      <c r="CF11" s="111">
        <f>SUM(F11:I11)</f>
        <v>321.15799999999984</v>
      </c>
      <c r="CG11" s="112">
        <f>SUM(J11:M11)</f>
        <v>358.96699999999976</v>
      </c>
      <c r="CH11" s="112">
        <f>SUM(N11:Q11)</f>
        <v>155.86200000000005</v>
      </c>
      <c r="CI11" s="112">
        <f>SUM(R11:U11)</f>
        <v>82.259000000000171</v>
      </c>
      <c r="CJ11" s="112">
        <f>SUM(V11:Y11)</f>
        <v>251.69200000000004</v>
      </c>
      <c r="CK11" s="112">
        <f>SUM(Z11:AC11)</f>
        <v>483.44499999999971</v>
      </c>
      <c r="CL11" s="112">
        <f>SUM(AD11:AG11)</f>
        <v>369.661</v>
      </c>
      <c r="CM11" s="112">
        <f>SUM(AH11:AK11)</f>
        <v>397.87500000000006</v>
      </c>
      <c r="CN11" s="112">
        <f>SUM(AL11:AO11)</f>
        <v>235.28299999999999</v>
      </c>
      <c r="CO11" s="112">
        <f>SUM(AP11:AS11)</f>
        <v>173.41800000000006</v>
      </c>
      <c r="CP11" s="112">
        <f>SUM(AT11:AW11)</f>
        <v>500.23999999999995</v>
      </c>
      <c r="CQ11" s="112">
        <f>SUM(AX11:BA11)</f>
        <v>383.03999999999996</v>
      </c>
      <c r="CR11" s="112">
        <f>SUM(BB11:BE11)</f>
        <v>753.37965761230885</v>
      </c>
      <c r="CS11" s="113">
        <f>SUM(BF11:BI11)</f>
        <v>824.16370951800468</v>
      </c>
      <c r="CT11" s="22"/>
    </row>
    <row r="12" spans="1:98" ht="14.25" customHeight="1">
      <c r="A12" s="8"/>
      <c r="B12" s="213" t="str">
        <f t="shared" si="1"/>
        <v>Adjustments to reconcile net income to net cash</v>
      </c>
      <c r="C12" s="214"/>
      <c r="D12" s="404"/>
      <c r="E12" s="405"/>
      <c r="F12" s="405"/>
      <c r="G12" s="406"/>
      <c r="H12" s="404"/>
      <c r="I12" s="405"/>
      <c r="J12" s="405"/>
      <c r="K12" s="406"/>
      <c r="L12" s="404"/>
      <c r="M12" s="405"/>
      <c r="N12" s="405"/>
      <c r="O12" s="406"/>
      <c r="P12" s="404"/>
      <c r="Q12" s="405"/>
      <c r="R12" s="405"/>
      <c r="S12" s="406"/>
      <c r="T12" s="404"/>
      <c r="U12" s="405"/>
      <c r="V12" s="405"/>
      <c r="W12" s="406"/>
      <c r="X12" s="404"/>
      <c r="Y12" s="405"/>
      <c r="Z12" s="405"/>
      <c r="AA12" s="406"/>
      <c r="AB12" s="217"/>
      <c r="AC12" s="405"/>
      <c r="AD12" s="405"/>
      <c r="AE12" s="406"/>
      <c r="AF12" s="217"/>
      <c r="AG12" s="405"/>
      <c r="AH12" s="405"/>
      <c r="AI12" s="406"/>
      <c r="AJ12" s="217"/>
      <c r="AK12" s="405"/>
      <c r="AL12" s="405"/>
      <c r="AM12" s="406"/>
      <c r="AN12" s="217"/>
      <c r="AO12" s="405"/>
      <c r="AP12" s="215"/>
      <c r="AQ12" s="406"/>
      <c r="AR12" s="217"/>
      <c r="AS12" s="405"/>
      <c r="AT12" s="215"/>
      <c r="AU12" s="406"/>
      <c r="AV12" s="217"/>
      <c r="AW12" s="405"/>
      <c r="AX12" s="215"/>
      <c r="AY12" s="216"/>
      <c r="AZ12" s="217"/>
      <c r="BA12" s="405"/>
      <c r="BB12" s="215"/>
      <c r="BC12" s="216"/>
      <c r="BD12" s="215"/>
      <c r="BE12" s="215"/>
      <c r="BF12" s="215"/>
      <c r="BG12" s="215"/>
      <c r="BH12" s="217"/>
      <c r="BI12" s="215"/>
      <c r="BJ12" s="215"/>
      <c r="BK12" s="215"/>
      <c r="BL12" s="20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6"/>
      <c r="CB12" s="217"/>
      <c r="CC12" s="215"/>
      <c r="CD12" s="215"/>
      <c r="CE12" s="260"/>
      <c r="CF12" s="217"/>
      <c r="CG12" s="215"/>
      <c r="CH12" s="215"/>
      <c r="CI12" s="215"/>
      <c r="CJ12" s="215"/>
      <c r="CK12" s="215"/>
      <c r="CL12" s="215"/>
      <c r="CM12" s="215"/>
      <c r="CN12" s="215"/>
      <c r="CO12" s="215"/>
      <c r="CP12" s="215"/>
      <c r="CQ12" s="215"/>
      <c r="CR12" s="215"/>
      <c r="CS12" s="216"/>
      <c r="CT12" s="22"/>
    </row>
    <row r="13" spans="1:98" ht="14.25" customHeight="1">
      <c r="A13" s="8"/>
      <c r="B13" s="52" t="str">
        <f t="shared" si="1"/>
        <v>Stock-based compensation</v>
      </c>
      <c r="C13" s="53"/>
      <c r="D13" s="220">
        <f t="shared" ref="D13:D21" si="2">D112</f>
        <v>64.951999999999998</v>
      </c>
      <c r="E13" s="218">
        <f t="shared" ref="E13:E21" si="3">E112-D13</f>
        <v>60.567999999999998</v>
      </c>
      <c r="F13" s="218">
        <f t="shared" ref="F13:F21" si="4">F112-E13-D13</f>
        <v>60.319000000000003</v>
      </c>
      <c r="G13" s="219">
        <f t="shared" ref="G13:G21" si="5">G112-F13-E13-D13</f>
        <v>65.574999999999989</v>
      </c>
      <c r="H13" s="220">
        <f t="shared" ref="H13:H21" si="6">H112</f>
        <v>189.88499999999999</v>
      </c>
      <c r="I13" s="218">
        <f t="shared" ref="I13:I21" si="7">I112-H13</f>
        <v>62.173000000000002</v>
      </c>
      <c r="J13" s="218">
        <f t="shared" ref="J13:J21" si="8">J112-I13-H13</f>
        <v>44.206000000000017</v>
      </c>
      <c r="K13" s="219">
        <f t="shared" ref="K13:K21" si="9">K112-J13-I13-H13</f>
        <v>57.497000000000014</v>
      </c>
      <c r="L13" s="220">
        <f t="shared" ref="L13:L21" si="10">L112</f>
        <v>72.653000000000006</v>
      </c>
      <c r="M13" s="218">
        <f t="shared" ref="M13:M21" si="11">M112-L13</f>
        <v>41.715999999999994</v>
      </c>
      <c r="N13" s="218">
        <f t="shared" ref="N13:N21" si="12">N112-M13-L13</f>
        <v>35.688999999999993</v>
      </c>
      <c r="O13" s="219">
        <f t="shared" ref="O13:O21" si="13">O112-N13-M13-L13</f>
        <v>39.662000000000006</v>
      </c>
      <c r="P13" s="220">
        <f t="shared" ref="P13:P21" si="14">P112</f>
        <v>37.561</v>
      </c>
      <c r="Q13" s="218">
        <f t="shared" ref="Q13:Q21" si="15">Q112-P13</f>
        <v>83.937000000000012</v>
      </c>
      <c r="R13" s="218">
        <f t="shared" ref="R13:R21" si="16">R112-Q13-P13</f>
        <v>39.612999999999978</v>
      </c>
      <c r="S13" s="219">
        <f t="shared" ref="S13:S21" si="17">S112-R13-Q13-P13</f>
        <v>34.997000000000021</v>
      </c>
      <c r="T13" s="220">
        <f t="shared" ref="T13:T21" si="18">T112</f>
        <v>26.465</v>
      </c>
      <c r="U13" s="218">
        <f t="shared" ref="U13:U21" si="19">U112-T13</f>
        <v>26.933000000000003</v>
      </c>
      <c r="V13" s="218">
        <f t="shared" ref="V13:V21" si="20">V112-U13-T13</f>
        <v>15.279</v>
      </c>
      <c r="W13" s="219">
        <f t="shared" ref="W13:W21" si="21">W112-V13-U13-T13</f>
        <v>24.848000000000003</v>
      </c>
      <c r="X13" s="220">
        <f t="shared" ref="X13:X21" si="22">X112</f>
        <v>27.138999999999999</v>
      </c>
      <c r="Y13" s="218">
        <f t="shared" ref="Y13:Y21" si="23">Y112-X13</f>
        <v>24.522000000000002</v>
      </c>
      <c r="Z13" s="218">
        <f t="shared" ref="Z13:Z21" si="24">Z112-Y13-X13</f>
        <v>21.227999999999991</v>
      </c>
      <c r="AA13" s="219">
        <f t="shared" ref="AA13:AA21" si="25">AA112-Z13-Y13-X13</f>
        <v>21.407999999999998</v>
      </c>
      <c r="AB13" s="218">
        <f t="shared" ref="AB13:AB21" si="26">AB112</f>
        <v>23.465</v>
      </c>
      <c r="AC13" s="218">
        <f t="shared" ref="AC13:AC21" si="27">AC112-AB13</f>
        <v>23.474</v>
      </c>
      <c r="AD13" s="218">
        <f t="shared" ref="AD13:AD21" si="28">AD112-AC13-AB13</f>
        <v>22.038</v>
      </c>
      <c r="AE13" s="219">
        <f t="shared" ref="AE13:AE21" si="29">AE112-AD13-AC13-AB13</f>
        <v>20.890000000000004</v>
      </c>
      <c r="AF13" s="218">
        <f t="shared" ref="AF13:AF21" si="30">AF112</f>
        <v>22.497</v>
      </c>
      <c r="AG13" s="218">
        <f t="shared" ref="AG13:AG21" si="31">AG112-AF13</f>
        <v>22.844999999999999</v>
      </c>
      <c r="AH13" s="218">
        <f t="shared" ref="AH13:AH21" si="32">AH112-AG13-AF13</f>
        <v>19.613</v>
      </c>
      <c r="AI13" s="219">
        <f t="shared" ref="AI13:AI21" si="33">AI112-AH13-AG13-AF13</f>
        <v>18.853000000000009</v>
      </c>
      <c r="AJ13" s="218">
        <f t="shared" ref="AJ13:AJ21" si="34">AJ112</f>
        <v>18.739999999999998</v>
      </c>
      <c r="AK13" s="218">
        <f t="shared" ref="AK13:AK21" si="35">AK112-AJ13</f>
        <v>22.869000000000003</v>
      </c>
      <c r="AL13" s="218">
        <f t="shared" ref="AL13:AL21" si="36">AL112-AK13-AJ13</f>
        <v>22.056999999999999</v>
      </c>
      <c r="AM13" s="219">
        <f t="shared" ref="AM13:AM21" si="37">AM112-AL13-AK13-AJ13</f>
        <v>21.785999999999998</v>
      </c>
      <c r="AN13" s="218">
        <f t="shared" ref="AN13:AN21" si="38">AN112</f>
        <v>22.42</v>
      </c>
      <c r="AO13" s="218">
        <f t="shared" ref="AO13:AO21" si="39">AO112-AN13</f>
        <v>20.775999999999996</v>
      </c>
      <c r="AP13" s="218">
        <f t="shared" ref="AP13:AP21" si="40">AP112-AO13-AN13</f>
        <v>18.585999999999999</v>
      </c>
      <c r="AQ13" s="219">
        <f t="shared" ref="AQ13:AQ21" si="41">AQ112-AP13-AO13-AN13</f>
        <v>17.709000000000003</v>
      </c>
      <c r="AR13" s="218">
        <f t="shared" ref="AR13:AR21" si="42">AR112</f>
        <v>16.963000000000001</v>
      </c>
      <c r="AS13" s="218">
        <f t="shared" ref="AS13:AS21" si="43">AS112-AR13</f>
        <v>18.418999999999997</v>
      </c>
      <c r="AT13" s="218">
        <f t="shared" ref="AT13:AT21" si="44">AT112-AS13-AR13</f>
        <v>17.875</v>
      </c>
      <c r="AU13" s="219">
        <f t="shared" ref="AU13:AU21" si="45">AU112-AT13-AS13-AR13</f>
        <v>16.443999999999996</v>
      </c>
      <c r="AV13" s="218">
        <f t="shared" ref="AV13:AV21" si="46">AV112</f>
        <v>17.12</v>
      </c>
      <c r="AW13" s="218">
        <f t="shared" ref="AW13:AW21" si="47">AW112-AV13</f>
        <v>18.072999999999997</v>
      </c>
      <c r="AX13" s="218">
        <f t="shared" ref="AX13:AX21" si="48">AX112-AW13-AV13</f>
        <v>18.3</v>
      </c>
      <c r="AY13" s="219">
        <f t="shared" ref="AY13:AY21" si="49">AY112-AX13-AW13-AV13</f>
        <v>17.624000000000013</v>
      </c>
      <c r="AZ13" s="218">
        <f t="shared" ref="AZ13:AZ21" si="50">AZ112</f>
        <v>17.286999999999999</v>
      </c>
      <c r="BA13" s="218">
        <f t="shared" ref="BA13:BA21" si="51">BA112-AZ13</f>
        <v>21.04</v>
      </c>
      <c r="BB13" s="1500">
        <v>20.605</v>
      </c>
      <c r="BC13" s="1323">
        <f>IS!BC122+IS!BC105</f>
        <v>0</v>
      </c>
      <c r="BD13" s="1322">
        <f>IS!BD122+IS!BD105</f>
        <v>0</v>
      </c>
      <c r="BE13" s="1322">
        <f>IS!BE122+IS!BE105</f>
        <v>0</v>
      </c>
      <c r="BF13" s="1322">
        <f>IS!BF122+IS!BF105</f>
        <v>0</v>
      </c>
      <c r="BG13" s="1322">
        <f>IS!BG122+IS!BG105</f>
        <v>0</v>
      </c>
      <c r="BH13" s="1427">
        <f>IS!BH122+IS!BH105</f>
        <v>0</v>
      </c>
      <c r="BI13" s="1322">
        <f>IS!BI122+IS!BI105</f>
        <v>0</v>
      </c>
      <c r="BJ13" s="1322">
        <f>IS!BJ122+IS!BJ105</f>
        <v>0</v>
      </c>
      <c r="BK13" s="1323">
        <f>IS!BK122+IS!BK105</f>
        <v>0</v>
      </c>
      <c r="BL13" s="20"/>
      <c r="BM13" s="218">
        <f t="shared" ref="BM13:BM21" si="52">SUM(D13:G13)</f>
        <v>251.41399999999999</v>
      </c>
      <c r="BN13" s="218">
        <f t="shared" ref="BN13:BN21" si="53">SUM(H13:K13)</f>
        <v>353.76100000000002</v>
      </c>
      <c r="BO13" s="218">
        <f t="shared" ref="BO13:BO21" si="54">SUM(L13:O13)</f>
        <v>189.72</v>
      </c>
      <c r="BP13" s="218">
        <f t="shared" ref="BP13:BP21" si="55">SUM(P13:S13)</f>
        <v>196.108</v>
      </c>
      <c r="BQ13" s="218">
        <f t="shared" ref="BQ13:BQ21" si="56">SUM(T13:W13)</f>
        <v>93.525000000000006</v>
      </c>
      <c r="BR13" s="218">
        <f t="shared" ref="BR13:BR21" si="57">SUM(X13:AA13)</f>
        <v>94.296999999999997</v>
      </c>
      <c r="BS13" s="218">
        <f t="shared" ref="BS13:BS21" si="58">SUM(AB13:AE13)</f>
        <v>89.867000000000004</v>
      </c>
      <c r="BT13" s="218">
        <f t="shared" ref="BT13:BT21" si="59">SUM(AF13:AI13)</f>
        <v>83.808000000000007</v>
      </c>
      <c r="BU13" s="218">
        <f t="shared" ref="BU13:BU21" si="60">SUM(AJ13:AM13)</f>
        <v>85.451999999999998</v>
      </c>
      <c r="BV13" s="218">
        <f t="shared" ref="BV13:BV21" si="61">SUM(AN13:AQ13)</f>
        <v>79.491</v>
      </c>
      <c r="BW13" s="218">
        <f t="shared" ref="BW13:BW21" si="62">SUM(AR13:AU13)</f>
        <v>69.700999999999993</v>
      </c>
      <c r="BX13" s="218">
        <f t="shared" ref="BX13:BX21" si="63">SUM(AV13:AY13)</f>
        <v>71.117000000000004</v>
      </c>
      <c r="BY13" s="218">
        <f t="shared" ref="BY13:BY21" si="64">SUM(AZ13:BC13)</f>
        <v>58.932000000000002</v>
      </c>
      <c r="BZ13" s="218">
        <f t="shared" ref="BZ13:BZ21" si="65">SUM(BD13:BG13)</f>
        <v>0</v>
      </c>
      <c r="CA13" s="219">
        <f t="shared" ref="CA13:CA30" si="66">SUM(BH13:BK13)</f>
        <v>0</v>
      </c>
      <c r="CB13" s="1313"/>
      <c r="CC13" s="1314"/>
      <c r="CD13" s="1314"/>
      <c r="CE13" s="260"/>
      <c r="CF13" s="220">
        <f t="shared" ref="CF13:CF21" si="67">SUM(F13:I13)</f>
        <v>377.952</v>
      </c>
      <c r="CG13" s="218">
        <f t="shared" ref="CG13:CG21" si="68">SUM(J13:M13)</f>
        <v>216.07200000000006</v>
      </c>
      <c r="CH13" s="218">
        <f t="shared" ref="CH13:CH21" si="69">SUM(N13:Q13)</f>
        <v>196.84900000000002</v>
      </c>
      <c r="CI13" s="218">
        <f t="shared" ref="CI13:CI21" si="70">SUM(R13:U13)</f>
        <v>128.00800000000001</v>
      </c>
      <c r="CJ13" s="218">
        <f t="shared" ref="CJ13:CJ21" si="71">SUM(V13:Y13)</f>
        <v>91.788000000000011</v>
      </c>
      <c r="CK13" s="218">
        <f t="shared" ref="CK13:CK21" si="72">SUM(Z13:AC13)</f>
        <v>89.574999999999989</v>
      </c>
      <c r="CL13" s="218">
        <f t="shared" ref="CL13:CL21" si="73">SUM(AD13:AG13)</f>
        <v>88.27000000000001</v>
      </c>
      <c r="CM13" s="218">
        <f t="shared" ref="CM13:CM21" si="74">SUM(AH13:AK13)</f>
        <v>80.075000000000003</v>
      </c>
      <c r="CN13" s="218">
        <f t="shared" ref="CN13:CN21" si="75">SUM(AL13:AO13)</f>
        <v>87.039000000000001</v>
      </c>
      <c r="CO13" s="218">
        <f t="shared" ref="CO13:CO21" si="76">SUM(AP13:AS13)</f>
        <v>71.676999999999992</v>
      </c>
      <c r="CP13" s="218">
        <f t="shared" ref="CP13:CP21" si="77">SUM(AT13:AW13)</f>
        <v>69.511999999999986</v>
      </c>
      <c r="CQ13" s="218">
        <f t="shared" ref="CQ13:CQ21" si="78">SUM(AX13:BA13)</f>
        <v>74.251000000000005</v>
      </c>
      <c r="CR13" s="218">
        <f t="shared" ref="CR13:CR21" si="79">SUM(BB13:BE13)</f>
        <v>20.605</v>
      </c>
      <c r="CS13" s="219">
        <f t="shared" ref="CS13:CS30" si="80">SUM(BF13:BI13)</f>
        <v>0</v>
      </c>
      <c r="CT13" s="22"/>
    </row>
    <row r="14" spans="1:98" ht="14.25" customHeight="1">
      <c r="A14" s="8"/>
      <c r="B14" s="52" t="str">
        <f t="shared" si="1"/>
        <v>Depreciation and amortization</v>
      </c>
      <c r="C14" s="53"/>
      <c r="D14" s="220">
        <f t="shared" si="2"/>
        <v>21.018000000000001</v>
      </c>
      <c r="E14" s="218">
        <f t="shared" si="3"/>
        <v>21.253999999999998</v>
      </c>
      <c r="F14" s="218">
        <f t="shared" si="4"/>
        <v>21.994000000000007</v>
      </c>
      <c r="G14" s="219">
        <f t="shared" si="5"/>
        <v>26.057999999999986</v>
      </c>
      <c r="H14" s="220">
        <f t="shared" si="6"/>
        <v>24.347000000000001</v>
      </c>
      <c r="I14" s="218">
        <f t="shared" si="7"/>
        <v>25.888999999999996</v>
      </c>
      <c r="J14" s="218">
        <f t="shared" si="8"/>
        <v>27.265000000000008</v>
      </c>
      <c r="K14" s="219">
        <f t="shared" si="9"/>
        <v>27.141999999999989</v>
      </c>
      <c r="L14" s="220">
        <f t="shared" si="10"/>
        <v>30.344999999999999</v>
      </c>
      <c r="M14" s="218">
        <f t="shared" si="11"/>
        <v>34.478999999999999</v>
      </c>
      <c r="N14" s="218">
        <f t="shared" si="12"/>
        <v>46.352000000000004</v>
      </c>
      <c r="O14" s="219">
        <f t="shared" si="13"/>
        <v>50.731000000000009</v>
      </c>
      <c r="P14" s="220">
        <f t="shared" si="14"/>
        <v>46.780999999999999</v>
      </c>
      <c r="Q14" s="218">
        <f t="shared" si="15"/>
        <v>50.893000000000008</v>
      </c>
      <c r="R14" s="218">
        <f t="shared" si="16"/>
        <v>51.235999999999997</v>
      </c>
      <c r="S14" s="219">
        <f t="shared" si="17"/>
        <v>56.513000000000012</v>
      </c>
      <c r="T14" s="220">
        <f t="shared" si="18"/>
        <v>36.496000000000002</v>
      </c>
      <c r="U14" s="218">
        <f t="shared" si="19"/>
        <v>39.832000000000001</v>
      </c>
      <c r="V14" s="218">
        <f t="shared" si="20"/>
        <v>40.810000000000009</v>
      </c>
      <c r="W14" s="219">
        <f t="shared" si="21"/>
        <v>50.384999999999998</v>
      </c>
      <c r="X14" s="220">
        <f t="shared" si="22"/>
        <v>52.134</v>
      </c>
      <c r="Y14" s="218">
        <f t="shared" si="23"/>
        <v>52.227999999999994</v>
      </c>
      <c r="Z14" s="218">
        <f t="shared" si="24"/>
        <v>50.683999999999997</v>
      </c>
      <c r="AA14" s="219">
        <f t="shared" si="25"/>
        <v>50.01600000000002</v>
      </c>
      <c r="AB14" s="220">
        <f t="shared" si="26"/>
        <v>52.070999999999998</v>
      </c>
      <c r="AC14" s="218">
        <f t="shared" si="27"/>
        <v>51.995000000000005</v>
      </c>
      <c r="AD14" s="218">
        <f t="shared" si="28"/>
        <v>53.475999999999999</v>
      </c>
      <c r="AE14" s="219">
        <f t="shared" si="29"/>
        <v>53.554000000000002</v>
      </c>
      <c r="AF14" s="220">
        <f t="shared" si="30"/>
        <v>53.673999999999999</v>
      </c>
      <c r="AG14" s="218">
        <f t="shared" si="31"/>
        <v>51.88</v>
      </c>
      <c r="AH14" s="218">
        <f t="shared" si="32"/>
        <v>50.390999999999998</v>
      </c>
      <c r="AI14" s="219">
        <f t="shared" si="33"/>
        <v>51.19100000000001</v>
      </c>
      <c r="AJ14" s="220">
        <f t="shared" si="34"/>
        <v>51.133000000000003</v>
      </c>
      <c r="AK14" s="218">
        <f t="shared" si="35"/>
        <v>64.403999999999996</v>
      </c>
      <c r="AL14" s="218">
        <f t="shared" si="36"/>
        <v>64.664999999999992</v>
      </c>
      <c r="AM14" s="219">
        <f t="shared" si="37"/>
        <v>64.390999999999991</v>
      </c>
      <c r="AN14" s="220">
        <f t="shared" si="38"/>
        <v>63.692999999999998</v>
      </c>
      <c r="AO14" s="218">
        <f t="shared" si="39"/>
        <v>71.625000000000014</v>
      </c>
      <c r="AP14" s="218">
        <f t="shared" si="40"/>
        <v>71.439000000000007</v>
      </c>
      <c r="AQ14" s="219">
        <f t="shared" si="41"/>
        <v>92.638999999999996</v>
      </c>
      <c r="AR14" s="220">
        <f t="shared" si="42"/>
        <v>102.053</v>
      </c>
      <c r="AS14" s="218">
        <f t="shared" si="43"/>
        <v>49.081999999999994</v>
      </c>
      <c r="AT14" s="218">
        <f t="shared" si="44"/>
        <v>47.087999999999994</v>
      </c>
      <c r="AU14" s="219">
        <f t="shared" si="45"/>
        <v>46.414000000000016</v>
      </c>
      <c r="AV14" s="220">
        <f t="shared" si="46"/>
        <v>43.484999999999999</v>
      </c>
      <c r="AW14" s="218">
        <f t="shared" si="47"/>
        <v>42.14</v>
      </c>
      <c r="AX14" s="218">
        <f t="shared" si="48"/>
        <v>40.472999999999999</v>
      </c>
      <c r="AY14" s="219">
        <f t="shared" si="49"/>
        <v>38.194000000000003</v>
      </c>
      <c r="AZ14" s="220">
        <f t="shared" si="50"/>
        <v>36.753999999999998</v>
      </c>
      <c r="BA14" s="218">
        <f t="shared" si="51"/>
        <v>35.812999999999995</v>
      </c>
      <c r="BB14" s="1500">
        <v>37.201000000000001</v>
      </c>
      <c r="BC14" s="219">
        <f t="shared" ref="BC14:BG14" si="81">BC80</f>
        <v>25</v>
      </c>
      <c r="BD14" s="218">
        <f t="shared" si="81"/>
        <v>56</v>
      </c>
      <c r="BE14" s="218">
        <f t="shared" si="81"/>
        <v>56</v>
      </c>
      <c r="BF14" s="218">
        <f t="shared" si="81"/>
        <v>56</v>
      </c>
      <c r="BG14" s="218">
        <f t="shared" si="81"/>
        <v>56</v>
      </c>
      <c r="BH14" s="220">
        <f>BH80</f>
        <v>56</v>
      </c>
      <c r="BI14" s="218">
        <f>BI80</f>
        <v>56</v>
      </c>
      <c r="BJ14" s="218">
        <f>BJ80</f>
        <v>56</v>
      </c>
      <c r="BK14" s="219">
        <f>BK80</f>
        <v>56</v>
      </c>
      <c r="BL14" s="20"/>
      <c r="BM14" s="218">
        <f t="shared" si="52"/>
        <v>90.323999999999984</v>
      </c>
      <c r="BN14" s="218">
        <f t="shared" si="53"/>
        <v>104.643</v>
      </c>
      <c r="BO14" s="218">
        <f t="shared" si="54"/>
        <v>161.90700000000001</v>
      </c>
      <c r="BP14" s="218">
        <f t="shared" si="55"/>
        <v>205.423</v>
      </c>
      <c r="BQ14" s="218">
        <f t="shared" si="56"/>
        <v>167.523</v>
      </c>
      <c r="BR14" s="218">
        <f t="shared" si="57"/>
        <v>205.06200000000001</v>
      </c>
      <c r="BS14" s="218">
        <f t="shared" si="58"/>
        <v>211.096</v>
      </c>
      <c r="BT14" s="218">
        <f t="shared" si="59"/>
        <v>207.136</v>
      </c>
      <c r="BU14" s="218">
        <f t="shared" si="60"/>
        <v>244.59299999999999</v>
      </c>
      <c r="BV14" s="218">
        <f t="shared" si="61"/>
        <v>299.39600000000002</v>
      </c>
      <c r="BW14" s="218">
        <f t="shared" si="62"/>
        <v>244.637</v>
      </c>
      <c r="BX14" s="218">
        <f t="shared" si="63"/>
        <v>164.292</v>
      </c>
      <c r="BY14" s="218">
        <f t="shared" si="64"/>
        <v>134.768</v>
      </c>
      <c r="BZ14" s="218">
        <f t="shared" si="65"/>
        <v>224</v>
      </c>
      <c r="CA14" s="219">
        <f t="shared" si="66"/>
        <v>224</v>
      </c>
      <c r="CB14" s="220"/>
      <c r="CC14" s="218"/>
      <c r="CD14" s="218"/>
      <c r="CE14" s="260"/>
      <c r="CF14" s="220">
        <f t="shared" si="67"/>
        <v>98.287999999999997</v>
      </c>
      <c r="CG14" s="218">
        <f t="shared" si="68"/>
        <v>119.23099999999999</v>
      </c>
      <c r="CH14" s="218">
        <f t="shared" si="69"/>
        <v>194.75700000000001</v>
      </c>
      <c r="CI14" s="218">
        <f t="shared" si="70"/>
        <v>184.077</v>
      </c>
      <c r="CJ14" s="218">
        <f t="shared" si="71"/>
        <v>195.55700000000002</v>
      </c>
      <c r="CK14" s="218">
        <f t="shared" si="72"/>
        <v>204.76600000000002</v>
      </c>
      <c r="CL14" s="218">
        <f t="shared" si="73"/>
        <v>212.584</v>
      </c>
      <c r="CM14" s="218">
        <f t="shared" si="74"/>
        <v>217.119</v>
      </c>
      <c r="CN14" s="218">
        <f t="shared" si="75"/>
        <v>264.37399999999997</v>
      </c>
      <c r="CO14" s="218">
        <f t="shared" si="76"/>
        <v>315.21299999999997</v>
      </c>
      <c r="CP14" s="218">
        <f t="shared" si="77"/>
        <v>179.12700000000001</v>
      </c>
      <c r="CQ14" s="218">
        <f t="shared" si="78"/>
        <v>151.23399999999998</v>
      </c>
      <c r="CR14" s="218">
        <f t="shared" si="79"/>
        <v>174.20099999999999</v>
      </c>
      <c r="CS14" s="219">
        <f t="shared" si="80"/>
        <v>224</v>
      </c>
      <c r="CT14" s="22"/>
    </row>
    <row r="15" spans="1:98" ht="14.25" customHeight="1">
      <c r="A15" s="8"/>
      <c r="B15" s="52" t="str">
        <f t="shared" si="1"/>
        <v>Deferred taxes</v>
      </c>
      <c r="C15" s="53"/>
      <c r="D15" s="220">
        <f t="shared" si="2"/>
        <v>-15.81</v>
      </c>
      <c r="E15" s="218">
        <f t="shared" si="3"/>
        <v>-13.238999999999999</v>
      </c>
      <c r="F15" s="218">
        <f t="shared" si="4"/>
        <v>-6.2590000000000021</v>
      </c>
      <c r="G15" s="219">
        <f t="shared" si="5"/>
        <v>-23.548000000000002</v>
      </c>
      <c r="H15" s="220">
        <f t="shared" si="6"/>
        <v>-48.15</v>
      </c>
      <c r="I15" s="218">
        <f t="shared" si="7"/>
        <v>-21.964999999999996</v>
      </c>
      <c r="J15" s="218">
        <f t="shared" si="8"/>
        <v>-5.8940000000000055</v>
      </c>
      <c r="K15" s="219">
        <f t="shared" si="9"/>
        <v>-27.517000000000003</v>
      </c>
      <c r="L15" s="220">
        <f t="shared" si="10"/>
        <v>-8.4610000000000003</v>
      </c>
      <c r="M15" s="218">
        <f t="shared" si="11"/>
        <v>26.721000000000004</v>
      </c>
      <c r="N15" s="218">
        <f t="shared" si="12"/>
        <v>-11.935000000000004</v>
      </c>
      <c r="O15" s="219">
        <f t="shared" si="13"/>
        <v>-20.972999999999999</v>
      </c>
      <c r="P15" s="220">
        <f t="shared" si="14"/>
        <v>-0.92400000000000004</v>
      </c>
      <c r="Q15" s="218">
        <f t="shared" si="15"/>
        <v>169.49800000000002</v>
      </c>
      <c r="R15" s="218">
        <f t="shared" si="16"/>
        <v>41.054999999999971</v>
      </c>
      <c r="S15" s="219">
        <f t="shared" si="17"/>
        <v>-7.276999999999993</v>
      </c>
      <c r="T15" s="220">
        <f t="shared" si="18"/>
        <v>17.809000000000001</v>
      </c>
      <c r="U15" s="218">
        <f t="shared" si="19"/>
        <v>8.5939999999999976</v>
      </c>
      <c r="V15" s="218">
        <f t="shared" si="20"/>
        <v>-53.930999999999997</v>
      </c>
      <c r="W15" s="219">
        <f t="shared" si="21"/>
        <v>56.618000000000009</v>
      </c>
      <c r="X15" s="220">
        <f t="shared" si="22"/>
        <v>92.635000000000005</v>
      </c>
      <c r="Y15" s="218">
        <f t="shared" si="23"/>
        <v>11.231999999999999</v>
      </c>
      <c r="Z15" s="218">
        <f t="shared" si="24"/>
        <v>15.73299999999999</v>
      </c>
      <c r="AA15" s="219">
        <f t="shared" si="25"/>
        <v>20.484000000000009</v>
      </c>
      <c r="AB15" s="218">
        <f t="shared" si="26"/>
        <v>39.844999999999999</v>
      </c>
      <c r="AC15" s="218">
        <f t="shared" si="27"/>
        <v>-0.3680000000000021</v>
      </c>
      <c r="AD15" s="218">
        <f t="shared" si="28"/>
        <v>-9.9419999999999966</v>
      </c>
      <c r="AE15" s="219">
        <f t="shared" si="29"/>
        <v>1.2239999999999966</v>
      </c>
      <c r="AF15" s="218">
        <f t="shared" si="30"/>
        <v>22.771999999999998</v>
      </c>
      <c r="AG15" s="218">
        <f t="shared" si="31"/>
        <v>-12.978999999999999</v>
      </c>
      <c r="AH15" s="218">
        <f t="shared" si="32"/>
        <v>18.392000000000003</v>
      </c>
      <c r="AI15" s="219">
        <f t="shared" si="33"/>
        <v>-2.8130000000000024</v>
      </c>
      <c r="AJ15" s="218">
        <f t="shared" si="34"/>
        <v>25.529</v>
      </c>
      <c r="AK15" s="218">
        <f t="shared" si="35"/>
        <v>-11.705</v>
      </c>
      <c r="AL15" s="218">
        <f t="shared" si="36"/>
        <v>-36.481999999999999</v>
      </c>
      <c r="AM15" s="219">
        <f t="shared" si="37"/>
        <v>-9.5010000000000012</v>
      </c>
      <c r="AN15" s="218">
        <f t="shared" si="38"/>
        <v>6.2069999999999999</v>
      </c>
      <c r="AO15" s="218">
        <f t="shared" si="39"/>
        <v>-30.849</v>
      </c>
      <c r="AP15" s="218">
        <f t="shared" si="40"/>
        <v>-15.657999999999998</v>
      </c>
      <c r="AQ15" s="219">
        <f t="shared" si="41"/>
        <v>-32.207000000000001</v>
      </c>
      <c r="AR15" s="218">
        <f t="shared" si="42"/>
        <v>-53.110999999999997</v>
      </c>
      <c r="AS15" s="218">
        <f t="shared" si="43"/>
        <v>18.815999999999995</v>
      </c>
      <c r="AT15" s="218">
        <f t="shared" si="44"/>
        <v>-0.33299999999999841</v>
      </c>
      <c r="AU15" s="219">
        <f t="shared" si="45"/>
        <v>-13.509999999999998</v>
      </c>
      <c r="AV15" s="218">
        <f t="shared" si="46"/>
        <v>14.895</v>
      </c>
      <c r="AW15" s="218">
        <f t="shared" si="47"/>
        <v>-7.52</v>
      </c>
      <c r="AX15" s="218">
        <f t="shared" si="48"/>
        <v>-16.966999999999999</v>
      </c>
      <c r="AY15" s="219">
        <f t="shared" si="49"/>
        <v>1.6969999999999992</v>
      </c>
      <c r="AZ15" s="218">
        <f t="shared" si="50"/>
        <v>12.115</v>
      </c>
      <c r="BA15" s="218">
        <f t="shared" si="51"/>
        <v>-3.1880000000000006</v>
      </c>
      <c r="BB15" s="1500">
        <v>-2.67</v>
      </c>
      <c r="BC15" s="222">
        <v>0</v>
      </c>
      <c r="BD15" s="221">
        <v>0</v>
      </c>
      <c r="BE15" s="221">
        <v>0</v>
      </c>
      <c r="BF15" s="221">
        <v>0</v>
      </c>
      <c r="BG15" s="221">
        <v>0</v>
      </c>
      <c r="BH15" s="223">
        <v>0</v>
      </c>
      <c r="BI15" s="221">
        <v>0</v>
      </c>
      <c r="BJ15" s="221">
        <v>0</v>
      </c>
      <c r="BK15" s="222">
        <v>0</v>
      </c>
      <c r="BL15" s="20"/>
      <c r="BM15" s="218">
        <f t="shared" si="52"/>
        <v>-58.856000000000002</v>
      </c>
      <c r="BN15" s="218">
        <f t="shared" si="53"/>
        <v>-103.52600000000001</v>
      </c>
      <c r="BO15" s="218">
        <f t="shared" si="54"/>
        <v>-14.647999999999998</v>
      </c>
      <c r="BP15" s="218">
        <f t="shared" si="55"/>
        <v>202.352</v>
      </c>
      <c r="BQ15" s="218">
        <f t="shared" si="56"/>
        <v>29.090000000000011</v>
      </c>
      <c r="BR15" s="218">
        <f t="shared" si="57"/>
        <v>140.084</v>
      </c>
      <c r="BS15" s="218">
        <f t="shared" si="58"/>
        <v>30.758999999999997</v>
      </c>
      <c r="BT15" s="218">
        <f t="shared" si="59"/>
        <v>25.372</v>
      </c>
      <c r="BU15" s="218">
        <f t="shared" si="60"/>
        <v>-32.159000000000006</v>
      </c>
      <c r="BV15" s="218">
        <f t="shared" si="61"/>
        <v>-72.507000000000005</v>
      </c>
      <c r="BW15" s="218">
        <f t="shared" si="62"/>
        <v>-48.137999999999998</v>
      </c>
      <c r="BX15" s="218">
        <f t="shared" si="63"/>
        <v>-7.8949999999999996</v>
      </c>
      <c r="BY15" s="218">
        <f t="shared" si="64"/>
        <v>6.2569999999999997</v>
      </c>
      <c r="BZ15" s="218">
        <f t="shared" si="65"/>
        <v>0</v>
      </c>
      <c r="CA15" s="219">
        <f t="shared" si="66"/>
        <v>0</v>
      </c>
      <c r="CB15" s="223"/>
      <c r="CC15" s="221"/>
      <c r="CD15" s="221"/>
      <c r="CE15" s="260"/>
      <c r="CF15" s="220">
        <f t="shared" si="67"/>
        <v>-99.921999999999997</v>
      </c>
      <c r="CG15" s="218">
        <f t="shared" si="68"/>
        <v>-15.151000000000003</v>
      </c>
      <c r="CH15" s="218">
        <f t="shared" si="69"/>
        <v>135.66600000000003</v>
      </c>
      <c r="CI15" s="218">
        <f t="shared" si="70"/>
        <v>60.180999999999969</v>
      </c>
      <c r="CJ15" s="218">
        <f t="shared" si="71"/>
        <v>106.55400000000002</v>
      </c>
      <c r="CK15" s="218">
        <f t="shared" si="72"/>
        <v>75.693999999999988</v>
      </c>
      <c r="CL15" s="218">
        <f t="shared" si="73"/>
        <v>1.0749999999999993</v>
      </c>
      <c r="CM15" s="218">
        <f t="shared" si="74"/>
        <v>29.403000000000006</v>
      </c>
      <c r="CN15" s="218">
        <f t="shared" si="75"/>
        <v>-70.625</v>
      </c>
      <c r="CO15" s="218">
        <f t="shared" si="76"/>
        <v>-82.16</v>
      </c>
      <c r="CP15" s="218">
        <f t="shared" si="77"/>
        <v>-6.4679999999999964</v>
      </c>
      <c r="CQ15" s="218">
        <f t="shared" si="78"/>
        <v>-6.343</v>
      </c>
      <c r="CR15" s="218">
        <f t="shared" si="79"/>
        <v>-2.67</v>
      </c>
      <c r="CS15" s="219">
        <f t="shared" si="80"/>
        <v>0</v>
      </c>
      <c r="CT15" s="22"/>
    </row>
    <row r="16" spans="1:98" ht="14.25" customHeight="1">
      <c r="A16" s="8"/>
      <c r="B16" s="52" t="str">
        <f t="shared" si="1"/>
        <v>Tax benefit related to stock-based compensation plans</v>
      </c>
      <c r="C16" s="53"/>
      <c r="D16" s="220">
        <f t="shared" si="2"/>
        <v>-3.1529999999999987</v>
      </c>
      <c r="E16" s="218">
        <f t="shared" si="3"/>
        <v>-1.9469999999999992</v>
      </c>
      <c r="F16" s="218">
        <f t="shared" si="4"/>
        <v>-1.8940000000000019</v>
      </c>
      <c r="G16" s="219">
        <f t="shared" si="5"/>
        <v>-4.0259999999999962</v>
      </c>
      <c r="H16" s="220">
        <f t="shared" si="6"/>
        <v>-5.9270000000000005</v>
      </c>
      <c r="I16" s="218">
        <f t="shared" si="7"/>
        <v>-5.9269999999999987</v>
      </c>
      <c r="J16" s="218">
        <f t="shared" si="8"/>
        <v>18.198</v>
      </c>
      <c r="K16" s="219">
        <f t="shared" si="9"/>
        <v>-0.23900000000000077</v>
      </c>
      <c r="L16" s="220">
        <f t="shared" si="10"/>
        <v>0.27200000000000002</v>
      </c>
      <c r="M16" s="218">
        <f t="shared" si="11"/>
        <v>-4.085</v>
      </c>
      <c r="N16" s="218">
        <f t="shared" si="12"/>
        <v>-1.3379999999999999</v>
      </c>
      <c r="O16" s="219">
        <f t="shared" si="13"/>
        <v>-0.16899999999999937</v>
      </c>
      <c r="P16" s="220">
        <f t="shared" si="14"/>
        <v>1.01</v>
      </c>
      <c r="Q16" s="218">
        <f t="shared" si="15"/>
        <v>-150.553</v>
      </c>
      <c r="R16" s="218">
        <f t="shared" si="16"/>
        <v>-55.339000000000006</v>
      </c>
      <c r="S16" s="219">
        <f t="shared" si="17"/>
        <v>207.577</v>
      </c>
      <c r="T16" s="220">
        <f t="shared" si="18"/>
        <v>-6.33</v>
      </c>
      <c r="U16" s="218">
        <f t="shared" si="19"/>
        <v>-7.7110000000000003</v>
      </c>
      <c r="V16" s="218">
        <f t="shared" si="20"/>
        <v>-3.6050000000000004</v>
      </c>
      <c r="W16" s="219">
        <f t="shared" si="21"/>
        <v>17.917999999999999</v>
      </c>
      <c r="X16" s="220">
        <f t="shared" si="22"/>
        <v>-5.2890000000000006</v>
      </c>
      <c r="Y16" s="218">
        <f t="shared" si="23"/>
        <v>-4.2350000000000003</v>
      </c>
      <c r="Z16" s="218">
        <f t="shared" si="24"/>
        <v>29.182000000000002</v>
      </c>
      <c r="AA16" s="219">
        <f t="shared" si="25"/>
        <v>-6.7120000000000042</v>
      </c>
      <c r="AB16" s="218">
        <f t="shared" si="26"/>
        <v>-1.3930000000000002</v>
      </c>
      <c r="AC16" s="218">
        <f t="shared" si="27"/>
        <v>-6.8229999999999986</v>
      </c>
      <c r="AD16" s="218">
        <f t="shared" si="28"/>
        <v>-4.0190000000000001</v>
      </c>
      <c r="AE16" s="219">
        <f t="shared" si="29"/>
        <v>-2.1350000000000002</v>
      </c>
      <c r="AF16" s="218">
        <f t="shared" si="30"/>
        <v>-3.8840000000000003</v>
      </c>
      <c r="AG16" s="218">
        <f t="shared" si="31"/>
        <v>-1.427999999999999</v>
      </c>
      <c r="AH16" s="218">
        <f t="shared" si="32"/>
        <v>-10.819000000000001</v>
      </c>
      <c r="AI16" s="219">
        <f t="shared" si="33"/>
        <v>5.4050000000000011</v>
      </c>
      <c r="AJ16" s="218">
        <f t="shared" si="34"/>
        <v>-5.1850000000000005</v>
      </c>
      <c r="AK16" s="218">
        <f t="shared" si="35"/>
        <v>-3.1850000000000005</v>
      </c>
      <c r="AL16" s="218">
        <f t="shared" si="36"/>
        <v>7.3600000000000012</v>
      </c>
      <c r="AM16" s="219">
        <f t="shared" si="37"/>
        <v>-13.250000000000002</v>
      </c>
      <c r="AN16" s="218">
        <f t="shared" si="38"/>
        <v>-0.63900000000000001</v>
      </c>
      <c r="AO16" s="218">
        <f t="shared" si="39"/>
        <v>-2.1599999999999993</v>
      </c>
      <c r="AP16" s="218">
        <f t="shared" si="40"/>
        <v>11.814999999999998</v>
      </c>
      <c r="AQ16" s="219">
        <f t="shared" si="41"/>
        <v>-13.409999999999997</v>
      </c>
      <c r="AR16" s="218">
        <f t="shared" si="42"/>
        <v>1.1930000000000001</v>
      </c>
      <c r="AS16" s="218">
        <f t="shared" si="43"/>
        <v>1.98</v>
      </c>
      <c r="AT16" s="218">
        <f t="shared" si="44"/>
        <v>0.54499999999999993</v>
      </c>
      <c r="AU16" s="219">
        <f t="shared" si="45"/>
        <v>-5.8930000000000007</v>
      </c>
      <c r="AV16" s="218">
        <f t="shared" si="46"/>
        <v>0</v>
      </c>
      <c r="AW16" s="218">
        <f t="shared" si="47"/>
        <v>0</v>
      </c>
      <c r="AX16" s="218">
        <f t="shared" si="48"/>
        <v>0</v>
      </c>
      <c r="AY16" s="219">
        <f t="shared" si="49"/>
        <v>0</v>
      </c>
      <c r="AZ16" s="218">
        <f t="shared" si="50"/>
        <v>0</v>
      </c>
      <c r="BA16" s="218">
        <f t="shared" si="51"/>
        <v>0</v>
      </c>
      <c r="BB16" s="1500">
        <v>0</v>
      </c>
      <c r="BC16" s="222">
        <v>0</v>
      </c>
      <c r="BD16" s="221">
        <v>0</v>
      </c>
      <c r="BE16" s="221">
        <v>0</v>
      </c>
      <c r="BF16" s="221">
        <v>0</v>
      </c>
      <c r="BG16" s="221">
        <v>0</v>
      </c>
      <c r="BH16" s="223">
        <v>0</v>
      </c>
      <c r="BI16" s="221">
        <v>0</v>
      </c>
      <c r="BJ16" s="221">
        <v>0</v>
      </c>
      <c r="BK16" s="222">
        <v>0</v>
      </c>
      <c r="BL16" s="20"/>
      <c r="BM16" s="218">
        <f t="shared" si="52"/>
        <v>-11.019999999999996</v>
      </c>
      <c r="BN16" s="218">
        <f t="shared" si="53"/>
        <v>6.1050000000000004</v>
      </c>
      <c r="BO16" s="218">
        <f t="shared" si="54"/>
        <v>-5.3199999999999994</v>
      </c>
      <c r="BP16" s="218">
        <f t="shared" si="55"/>
        <v>2.6949999999999932</v>
      </c>
      <c r="BQ16" s="218">
        <f t="shared" si="56"/>
        <v>0.27199999999999847</v>
      </c>
      <c r="BR16" s="218">
        <f t="shared" si="57"/>
        <v>12.945999999999998</v>
      </c>
      <c r="BS16" s="218">
        <f t="shared" si="58"/>
        <v>-14.37</v>
      </c>
      <c r="BT16" s="218">
        <f t="shared" si="59"/>
        <v>-10.725999999999999</v>
      </c>
      <c r="BU16" s="218">
        <f t="shared" si="60"/>
        <v>-14.260000000000002</v>
      </c>
      <c r="BV16" s="218">
        <f t="shared" si="61"/>
        <v>-4.3939999999999984</v>
      </c>
      <c r="BW16" s="218">
        <f t="shared" si="62"/>
        <v>-2.1750000000000007</v>
      </c>
      <c r="BX16" s="218">
        <f t="shared" si="63"/>
        <v>0</v>
      </c>
      <c r="BY16" s="218">
        <f t="shared" si="64"/>
        <v>0</v>
      </c>
      <c r="BZ16" s="218">
        <f t="shared" si="65"/>
        <v>0</v>
      </c>
      <c r="CA16" s="219">
        <f t="shared" si="66"/>
        <v>0</v>
      </c>
      <c r="CB16" s="223"/>
      <c r="CC16" s="221"/>
      <c r="CD16" s="221"/>
      <c r="CE16" s="260"/>
      <c r="CF16" s="220">
        <f t="shared" si="67"/>
        <v>-17.773999999999997</v>
      </c>
      <c r="CG16" s="218">
        <f t="shared" si="68"/>
        <v>14.145999999999997</v>
      </c>
      <c r="CH16" s="218">
        <f t="shared" si="69"/>
        <v>-151.04999999999998</v>
      </c>
      <c r="CI16" s="218">
        <f t="shared" si="70"/>
        <v>138.19699999999997</v>
      </c>
      <c r="CJ16" s="218">
        <f t="shared" si="71"/>
        <v>4.788999999999997</v>
      </c>
      <c r="CK16" s="218">
        <f t="shared" si="72"/>
        <v>14.254</v>
      </c>
      <c r="CL16" s="218">
        <f t="shared" si="73"/>
        <v>-11.465999999999999</v>
      </c>
      <c r="CM16" s="218">
        <f t="shared" si="74"/>
        <v>-13.784000000000001</v>
      </c>
      <c r="CN16" s="218">
        <f t="shared" si="75"/>
        <v>-8.6890000000000001</v>
      </c>
      <c r="CO16" s="218">
        <f t="shared" si="76"/>
        <v>1.5780000000000012</v>
      </c>
      <c r="CP16" s="218">
        <f t="shared" si="77"/>
        <v>-5.3480000000000008</v>
      </c>
      <c r="CQ16" s="218">
        <f t="shared" si="78"/>
        <v>0</v>
      </c>
      <c r="CR16" s="218">
        <f t="shared" si="79"/>
        <v>0</v>
      </c>
      <c r="CS16" s="219">
        <f t="shared" si="80"/>
        <v>0</v>
      </c>
      <c r="CT16" s="22"/>
    </row>
    <row r="17" spans="1:98" ht="14.25" customHeight="1">
      <c r="A17" s="8"/>
      <c r="B17" s="52" t="str">
        <f t="shared" si="1"/>
        <v>Loss on sale of property, plant and equipment</v>
      </c>
      <c r="C17" s="53"/>
      <c r="D17" s="220">
        <f t="shared" si="2"/>
        <v>0</v>
      </c>
      <c r="E17" s="218">
        <f t="shared" si="3"/>
        <v>0</v>
      </c>
      <c r="F17" s="218">
        <f t="shared" si="4"/>
        <v>0</v>
      </c>
      <c r="G17" s="219">
        <f t="shared" si="5"/>
        <v>0</v>
      </c>
      <c r="H17" s="220">
        <f t="shared" si="6"/>
        <v>0</v>
      </c>
      <c r="I17" s="218">
        <f t="shared" si="7"/>
        <v>0</v>
      </c>
      <c r="J17" s="218">
        <f t="shared" si="8"/>
        <v>0</v>
      </c>
      <c r="K17" s="219">
        <f t="shared" si="9"/>
        <v>-1.1970000000000001</v>
      </c>
      <c r="L17" s="220">
        <f t="shared" si="10"/>
        <v>0</v>
      </c>
      <c r="M17" s="218">
        <f t="shared" si="11"/>
        <v>-9.5579999999999998</v>
      </c>
      <c r="N17" s="218">
        <f t="shared" si="12"/>
        <v>-0.26900000000000013</v>
      </c>
      <c r="O17" s="219">
        <f t="shared" si="13"/>
        <v>0.24900000000000055</v>
      </c>
      <c r="P17" s="220">
        <f t="shared" si="14"/>
        <v>0.7</v>
      </c>
      <c r="Q17" s="218">
        <f t="shared" si="15"/>
        <v>1.1870000000000001</v>
      </c>
      <c r="R17" s="218">
        <f t="shared" si="16"/>
        <v>0.48399999999999999</v>
      </c>
      <c r="S17" s="219">
        <f t="shared" si="17"/>
        <v>-219.876</v>
      </c>
      <c r="T17" s="220">
        <f t="shared" si="18"/>
        <v>0.69899999999999995</v>
      </c>
      <c r="U17" s="218">
        <f t="shared" si="19"/>
        <v>0.39300000000000013</v>
      </c>
      <c r="V17" s="218">
        <f t="shared" si="20"/>
        <v>-0.50200000000000011</v>
      </c>
      <c r="W17" s="219">
        <f t="shared" si="21"/>
        <v>-23.343000000000004</v>
      </c>
      <c r="X17" s="220">
        <f t="shared" si="22"/>
        <v>0.53700000000000003</v>
      </c>
      <c r="Y17" s="218">
        <f t="shared" si="23"/>
        <v>14.257</v>
      </c>
      <c r="Z17" s="218">
        <f t="shared" si="24"/>
        <v>-5.0999999999999379E-2</v>
      </c>
      <c r="AA17" s="219">
        <f t="shared" si="25"/>
        <v>2.9339999999999984</v>
      </c>
      <c r="AB17" s="218">
        <f t="shared" si="26"/>
        <v>0.127</v>
      </c>
      <c r="AC17" s="218">
        <f t="shared" si="27"/>
        <v>0.124</v>
      </c>
      <c r="AD17" s="218">
        <f t="shared" si="28"/>
        <v>-6.4869999999999992</v>
      </c>
      <c r="AE17" s="219">
        <f t="shared" si="29"/>
        <v>-1.4120000000000006</v>
      </c>
      <c r="AF17" s="218">
        <f t="shared" si="30"/>
        <v>-5.0999999999999997E-2</v>
      </c>
      <c r="AG17" s="218">
        <f t="shared" si="31"/>
        <v>-8.7999999999999995E-2</v>
      </c>
      <c r="AH17" s="218">
        <f t="shared" si="32"/>
        <v>-2.3969999999999998</v>
      </c>
      <c r="AI17" s="219">
        <f t="shared" si="33"/>
        <v>1.38</v>
      </c>
      <c r="AJ17" s="218">
        <f t="shared" si="34"/>
        <v>3.5999999999999997E-2</v>
      </c>
      <c r="AK17" s="218">
        <f t="shared" si="35"/>
        <v>0.26500000000000001</v>
      </c>
      <c r="AL17" s="218">
        <f t="shared" si="36"/>
        <v>0.81799999999999995</v>
      </c>
      <c r="AM17" s="219">
        <f t="shared" si="37"/>
        <v>1.0679999999999996</v>
      </c>
      <c r="AN17" s="218">
        <f t="shared" si="38"/>
        <v>0.24399999999999999</v>
      </c>
      <c r="AO17" s="218">
        <f t="shared" si="39"/>
        <v>1.8440000000000001</v>
      </c>
      <c r="AP17" s="218">
        <f t="shared" si="40"/>
        <v>-0.44100000000000006</v>
      </c>
      <c r="AQ17" s="219">
        <f t="shared" si="41"/>
        <v>-1.228</v>
      </c>
      <c r="AR17" s="218">
        <f t="shared" si="42"/>
        <v>-1.3460000000000001</v>
      </c>
      <c r="AS17" s="218">
        <f t="shared" si="43"/>
        <v>-4.5170000000000003</v>
      </c>
      <c r="AT17" s="218">
        <f t="shared" si="44"/>
        <v>3.0979999999999999</v>
      </c>
      <c r="AU17" s="219">
        <f t="shared" si="45"/>
        <v>5.048</v>
      </c>
      <c r="AV17" s="218">
        <f t="shared" si="46"/>
        <v>0.65200000000000002</v>
      </c>
      <c r="AW17" s="218">
        <f t="shared" si="47"/>
        <v>3.8979999999999997</v>
      </c>
      <c r="AX17" s="218">
        <f t="shared" si="48"/>
        <v>4.8090000000000002</v>
      </c>
      <c r="AY17" s="219">
        <f t="shared" si="49"/>
        <v>7.0059999999999976</v>
      </c>
      <c r="AZ17" s="218">
        <f t="shared" si="50"/>
        <v>6.0999999999999999E-2</v>
      </c>
      <c r="BA17" s="218">
        <f t="shared" si="51"/>
        <v>-0.64900000000000002</v>
      </c>
      <c r="BB17" s="1500">
        <v>1.1599999999999999</v>
      </c>
      <c r="BC17" s="222">
        <v>0</v>
      </c>
      <c r="BD17" s="221">
        <v>0</v>
      </c>
      <c r="BE17" s="221">
        <v>0</v>
      </c>
      <c r="BF17" s="221">
        <v>0</v>
      </c>
      <c r="BG17" s="221">
        <v>0</v>
      </c>
      <c r="BH17" s="223">
        <v>0</v>
      </c>
      <c r="BI17" s="221">
        <v>0</v>
      </c>
      <c r="BJ17" s="221">
        <v>0</v>
      </c>
      <c r="BK17" s="222">
        <v>0</v>
      </c>
      <c r="BL17" s="20"/>
      <c r="BM17" s="218">
        <f t="shared" si="52"/>
        <v>0</v>
      </c>
      <c r="BN17" s="218">
        <f t="shared" si="53"/>
        <v>-1.1970000000000001</v>
      </c>
      <c r="BO17" s="218">
        <f t="shared" si="54"/>
        <v>-9.5779999999999994</v>
      </c>
      <c r="BP17" s="218">
        <f t="shared" si="55"/>
        <v>-217.505</v>
      </c>
      <c r="BQ17" s="218">
        <f t="shared" si="56"/>
        <v>-22.753000000000004</v>
      </c>
      <c r="BR17" s="218">
        <f t="shared" si="57"/>
        <v>17.677</v>
      </c>
      <c r="BS17" s="218">
        <f t="shared" si="58"/>
        <v>-7.6479999999999997</v>
      </c>
      <c r="BT17" s="218">
        <f t="shared" si="59"/>
        <v>-1.1559999999999997</v>
      </c>
      <c r="BU17" s="218">
        <f t="shared" si="60"/>
        <v>2.1869999999999994</v>
      </c>
      <c r="BV17" s="218">
        <f t="shared" si="61"/>
        <v>0.41900000000000004</v>
      </c>
      <c r="BW17" s="218">
        <f t="shared" si="62"/>
        <v>2.2829999999999995</v>
      </c>
      <c r="BX17" s="218">
        <f t="shared" si="63"/>
        <v>16.364999999999998</v>
      </c>
      <c r="BY17" s="218">
        <f t="shared" si="64"/>
        <v>0.57199999999999984</v>
      </c>
      <c r="BZ17" s="218">
        <f t="shared" si="65"/>
        <v>0</v>
      </c>
      <c r="CA17" s="219">
        <f t="shared" si="66"/>
        <v>0</v>
      </c>
      <c r="CB17" s="223"/>
      <c r="CC17" s="221"/>
      <c r="CD17" s="221"/>
      <c r="CE17" s="260"/>
      <c r="CF17" s="220">
        <f t="shared" si="67"/>
        <v>0</v>
      </c>
      <c r="CG17" s="218">
        <f t="shared" si="68"/>
        <v>-10.754999999999999</v>
      </c>
      <c r="CH17" s="218">
        <f t="shared" si="69"/>
        <v>1.8670000000000004</v>
      </c>
      <c r="CI17" s="218">
        <f t="shared" si="70"/>
        <v>-218.29999999999998</v>
      </c>
      <c r="CJ17" s="218">
        <f t="shared" si="71"/>
        <v>-9.0510000000000037</v>
      </c>
      <c r="CK17" s="218">
        <f t="shared" si="72"/>
        <v>3.133999999999999</v>
      </c>
      <c r="CL17" s="218">
        <f t="shared" si="73"/>
        <v>-8.0380000000000003</v>
      </c>
      <c r="CM17" s="218">
        <f t="shared" si="74"/>
        <v>-0.71599999999999986</v>
      </c>
      <c r="CN17" s="218">
        <f t="shared" si="75"/>
        <v>3.9740000000000002</v>
      </c>
      <c r="CO17" s="218">
        <f t="shared" si="76"/>
        <v>-7.532</v>
      </c>
      <c r="CP17" s="218">
        <f t="shared" si="77"/>
        <v>12.696</v>
      </c>
      <c r="CQ17" s="218">
        <f t="shared" si="78"/>
        <v>11.226999999999997</v>
      </c>
      <c r="CR17" s="218">
        <f t="shared" si="79"/>
        <v>1.1599999999999999</v>
      </c>
      <c r="CS17" s="219">
        <f t="shared" si="80"/>
        <v>0</v>
      </c>
      <c r="CT17" s="22"/>
    </row>
    <row r="18" spans="1:98" ht="14.25" customHeight="1">
      <c r="A18" s="8"/>
      <c r="B18" s="52" t="str">
        <f t="shared" si="1"/>
        <v>Impairment of long lived assets</v>
      </c>
      <c r="C18" s="53"/>
      <c r="D18" s="220">
        <f t="shared" si="2"/>
        <v>0</v>
      </c>
      <c r="E18" s="218">
        <f t="shared" si="3"/>
        <v>0</v>
      </c>
      <c r="F18" s="218">
        <f t="shared" si="4"/>
        <v>0</v>
      </c>
      <c r="G18" s="219">
        <f t="shared" si="5"/>
        <v>0</v>
      </c>
      <c r="H18" s="220">
        <f t="shared" si="6"/>
        <v>0</v>
      </c>
      <c r="I18" s="218">
        <f t="shared" si="7"/>
        <v>0</v>
      </c>
      <c r="J18" s="218">
        <f t="shared" si="8"/>
        <v>0</v>
      </c>
      <c r="K18" s="219">
        <f t="shared" si="9"/>
        <v>10.19</v>
      </c>
      <c r="L18" s="220">
        <f t="shared" si="10"/>
        <v>0</v>
      </c>
      <c r="M18" s="218">
        <f t="shared" si="11"/>
        <v>0</v>
      </c>
      <c r="N18" s="218">
        <f t="shared" si="12"/>
        <v>0</v>
      </c>
      <c r="O18" s="219">
        <f t="shared" si="13"/>
        <v>0</v>
      </c>
      <c r="P18" s="220">
        <f t="shared" si="14"/>
        <v>7.343</v>
      </c>
      <c r="Q18" s="218">
        <f t="shared" si="15"/>
        <v>43.769000000000005</v>
      </c>
      <c r="R18" s="218">
        <f t="shared" si="16"/>
        <v>0</v>
      </c>
      <c r="S18" s="219">
        <f t="shared" si="17"/>
        <v>0</v>
      </c>
      <c r="T18" s="220">
        <f t="shared" si="18"/>
        <v>8.2910000000000004</v>
      </c>
      <c r="U18" s="218">
        <f t="shared" si="19"/>
        <v>0</v>
      </c>
      <c r="V18" s="218">
        <f t="shared" si="20"/>
        <v>0</v>
      </c>
      <c r="W18" s="219">
        <f t="shared" si="21"/>
        <v>0</v>
      </c>
      <c r="X18" s="220">
        <f t="shared" si="22"/>
        <v>0</v>
      </c>
      <c r="Y18" s="218">
        <f t="shared" si="23"/>
        <v>0</v>
      </c>
      <c r="Z18" s="218">
        <f t="shared" si="24"/>
        <v>0</v>
      </c>
      <c r="AA18" s="219">
        <f t="shared" si="25"/>
        <v>0</v>
      </c>
      <c r="AB18" s="218">
        <f t="shared" si="26"/>
        <v>0</v>
      </c>
      <c r="AC18" s="218">
        <f t="shared" si="27"/>
        <v>0</v>
      </c>
      <c r="AD18" s="218">
        <f t="shared" si="28"/>
        <v>0</v>
      </c>
      <c r="AE18" s="219">
        <f t="shared" si="29"/>
        <v>30.645</v>
      </c>
      <c r="AF18" s="218">
        <f t="shared" si="30"/>
        <v>2.7069999999999999</v>
      </c>
      <c r="AG18" s="218">
        <f t="shared" si="31"/>
        <v>22.222000000000001</v>
      </c>
      <c r="AH18" s="218">
        <f t="shared" si="32"/>
        <v>-24.929000000000002</v>
      </c>
      <c r="AI18" s="219">
        <f t="shared" si="33"/>
        <v>24.929000000000002</v>
      </c>
      <c r="AJ18" s="218">
        <f t="shared" si="34"/>
        <v>0</v>
      </c>
      <c r="AK18" s="218">
        <f t="shared" si="35"/>
        <v>5.1970000000000001</v>
      </c>
      <c r="AL18" s="218">
        <f t="shared" si="36"/>
        <v>0</v>
      </c>
      <c r="AM18" s="219">
        <f t="shared" si="37"/>
        <v>6.4470000000000001</v>
      </c>
      <c r="AN18" s="218">
        <f t="shared" si="38"/>
        <v>10.226000000000001</v>
      </c>
      <c r="AO18" s="218">
        <f t="shared" si="39"/>
        <v>143.755</v>
      </c>
      <c r="AP18" s="218">
        <f t="shared" si="40"/>
        <v>-87.488</v>
      </c>
      <c r="AQ18" s="219">
        <f t="shared" si="41"/>
        <v>0.51699999999999413</v>
      </c>
      <c r="AR18" s="218">
        <f t="shared" si="42"/>
        <v>157.697</v>
      </c>
      <c r="AS18" s="218">
        <f t="shared" si="43"/>
        <v>1.9499999999999886</v>
      </c>
      <c r="AT18" s="218">
        <f t="shared" si="44"/>
        <v>0.50600000000000023</v>
      </c>
      <c r="AU18" s="219">
        <f t="shared" si="45"/>
        <v>0</v>
      </c>
      <c r="AV18" s="218">
        <f t="shared" si="46"/>
        <v>6.1340000000000003</v>
      </c>
      <c r="AW18" s="218">
        <f t="shared" si="47"/>
        <v>-5.3370000000000006</v>
      </c>
      <c r="AX18" s="218">
        <f t="shared" si="48"/>
        <v>0</v>
      </c>
      <c r="AY18" s="219">
        <f t="shared" si="49"/>
        <v>0.66500000000000004</v>
      </c>
      <c r="AZ18" s="218">
        <f t="shared" si="50"/>
        <v>4.2000000000000003E-2</v>
      </c>
      <c r="BA18" s="218">
        <f t="shared" si="51"/>
        <v>0</v>
      </c>
      <c r="BB18" s="1500">
        <v>0</v>
      </c>
      <c r="BC18" s="222">
        <v>0</v>
      </c>
      <c r="BD18" s="221">
        <v>0</v>
      </c>
      <c r="BE18" s="221">
        <v>0</v>
      </c>
      <c r="BF18" s="221">
        <v>0</v>
      </c>
      <c r="BG18" s="221">
        <v>0</v>
      </c>
      <c r="BH18" s="223">
        <v>0</v>
      </c>
      <c r="BI18" s="221">
        <v>0</v>
      </c>
      <c r="BJ18" s="221">
        <v>0</v>
      </c>
      <c r="BK18" s="222">
        <v>0</v>
      </c>
      <c r="BL18" s="20"/>
      <c r="BM18" s="218">
        <f t="shared" si="52"/>
        <v>0</v>
      </c>
      <c r="BN18" s="218">
        <f t="shared" si="53"/>
        <v>10.19</v>
      </c>
      <c r="BO18" s="218">
        <f t="shared" si="54"/>
        <v>0</v>
      </c>
      <c r="BP18" s="218">
        <f t="shared" si="55"/>
        <v>51.112000000000009</v>
      </c>
      <c r="BQ18" s="218">
        <f t="shared" si="56"/>
        <v>8.2910000000000004</v>
      </c>
      <c r="BR18" s="218">
        <f t="shared" si="57"/>
        <v>0</v>
      </c>
      <c r="BS18" s="218">
        <f t="shared" si="58"/>
        <v>30.645</v>
      </c>
      <c r="BT18" s="218">
        <f t="shared" si="59"/>
        <v>24.929000000000002</v>
      </c>
      <c r="BU18" s="218">
        <f t="shared" si="60"/>
        <v>11.644</v>
      </c>
      <c r="BV18" s="218">
        <f t="shared" si="61"/>
        <v>67.009999999999991</v>
      </c>
      <c r="BW18" s="218">
        <f t="shared" si="62"/>
        <v>160.15299999999999</v>
      </c>
      <c r="BX18" s="218">
        <f t="shared" si="63"/>
        <v>1.4619999999999997</v>
      </c>
      <c r="BY18" s="218">
        <f t="shared" si="64"/>
        <v>4.2000000000000003E-2</v>
      </c>
      <c r="BZ18" s="218">
        <f t="shared" si="65"/>
        <v>0</v>
      </c>
      <c r="CA18" s="219">
        <f t="shared" si="66"/>
        <v>0</v>
      </c>
      <c r="CB18" s="223"/>
      <c r="CC18" s="221"/>
      <c r="CD18" s="221"/>
      <c r="CE18" s="260"/>
      <c r="CF18" s="220">
        <f t="shared" si="67"/>
        <v>0</v>
      </c>
      <c r="CG18" s="218">
        <f t="shared" si="68"/>
        <v>10.19</v>
      </c>
      <c r="CH18" s="218">
        <f t="shared" si="69"/>
        <v>51.112000000000009</v>
      </c>
      <c r="CI18" s="218">
        <f t="shared" si="70"/>
        <v>8.2910000000000004</v>
      </c>
      <c r="CJ18" s="218">
        <f t="shared" si="71"/>
        <v>0</v>
      </c>
      <c r="CK18" s="218">
        <f t="shared" si="72"/>
        <v>0</v>
      </c>
      <c r="CL18" s="218">
        <f t="shared" si="73"/>
        <v>55.573999999999998</v>
      </c>
      <c r="CM18" s="218">
        <f t="shared" si="74"/>
        <v>5.1970000000000001</v>
      </c>
      <c r="CN18" s="218">
        <f t="shared" si="75"/>
        <v>160.428</v>
      </c>
      <c r="CO18" s="218">
        <f t="shared" si="76"/>
        <v>72.675999999999988</v>
      </c>
      <c r="CP18" s="218">
        <f t="shared" si="77"/>
        <v>1.3029999999999999</v>
      </c>
      <c r="CQ18" s="218">
        <f t="shared" si="78"/>
        <v>0.70700000000000007</v>
      </c>
      <c r="CR18" s="218">
        <f t="shared" si="79"/>
        <v>0</v>
      </c>
      <c r="CS18" s="219">
        <f t="shared" si="80"/>
        <v>0</v>
      </c>
      <c r="CT18" s="22"/>
    </row>
    <row r="19" spans="1:98" ht="14.25" customHeight="1">
      <c r="A19" s="8"/>
      <c r="B19" s="52" t="str">
        <f t="shared" si="1"/>
        <v>Gain on sale of business</v>
      </c>
      <c r="C19" s="53"/>
      <c r="D19" s="220">
        <f t="shared" si="2"/>
        <v>0</v>
      </c>
      <c r="E19" s="218">
        <f t="shared" si="3"/>
        <v>0</v>
      </c>
      <c r="F19" s="218">
        <f t="shared" si="4"/>
        <v>0</v>
      </c>
      <c r="G19" s="219">
        <f t="shared" si="5"/>
        <v>0</v>
      </c>
      <c r="H19" s="220">
        <f t="shared" si="6"/>
        <v>0</v>
      </c>
      <c r="I19" s="218">
        <f t="shared" si="7"/>
        <v>0</v>
      </c>
      <c r="J19" s="218">
        <f t="shared" si="8"/>
        <v>0</v>
      </c>
      <c r="K19" s="219">
        <f t="shared" si="9"/>
        <v>0</v>
      </c>
      <c r="L19" s="220">
        <f t="shared" si="10"/>
        <v>0</v>
      </c>
      <c r="M19" s="218">
        <f t="shared" si="11"/>
        <v>0</v>
      </c>
      <c r="N19" s="218">
        <f t="shared" si="12"/>
        <v>0</v>
      </c>
      <c r="O19" s="219">
        <f t="shared" si="13"/>
        <v>0</v>
      </c>
      <c r="P19" s="220">
        <f t="shared" si="14"/>
        <v>0</v>
      </c>
      <c r="Q19" s="218">
        <f t="shared" si="15"/>
        <v>0</v>
      </c>
      <c r="R19" s="218">
        <f t="shared" si="16"/>
        <v>0</v>
      </c>
      <c r="S19" s="219">
        <f t="shared" si="17"/>
        <v>0</v>
      </c>
      <c r="T19" s="220">
        <f t="shared" si="18"/>
        <v>0</v>
      </c>
      <c r="U19" s="218">
        <f t="shared" si="19"/>
        <v>0</v>
      </c>
      <c r="V19" s="218">
        <f t="shared" si="20"/>
        <v>0</v>
      </c>
      <c r="W19" s="219">
        <f t="shared" si="21"/>
        <v>0</v>
      </c>
      <c r="X19" s="220">
        <f t="shared" si="22"/>
        <v>0</v>
      </c>
      <c r="Y19" s="218">
        <f t="shared" si="23"/>
        <v>0</v>
      </c>
      <c r="Z19" s="218">
        <f t="shared" si="24"/>
        <v>0</v>
      </c>
      <c r="AA19" s="219">
        <f t="shared" si="25"/>
        <v>0</v>
      </c>
      <c r="AB19" s="218">
        <f t="shared" si="26"/>
        <v>0</v>
      </c>
      <c r="AC19" s="218">
        <f t="shared" si="27"/>
        <v>0</v>
      </c>
      <c r="AD19" s="218">
        <f t="shared" si="28"/>
        <v>0</v>
      </c>
      <c r="AE19" s="219">
        <f t="shared" si="29"/>
        <v>0</v>
      </c>
      <c r="AF19" s="218">
        <f t="shared" si="30"/>
        <v>0</v>
      </c>
      <c r="AG19" s="218">
        <f t="shared" si="31"/>
        <v>0</v>
      </c>
      <c r="AH19" s="218">
        <f t="shared" si="32"/>
        <v>0</v>
      </c>
      <c r="AI19" s="219">
        <f t="shared" si="33"/>
        <v>0</v>
      </c>
      <c r="AJ19" s="218">
        <f t="shared" si="34"/>
        <v>0</v>
      </c>
      <c r="AK19" s="218">
        <f t="shared" si="35"/>
        <v>0</v>
      </c>
      <c r="AL19" s="218">
        <f t="shared" si="36"/>
        <v>0</v>
      </c>
      <c r="AM19" s="219">
        <f t="shared" si="37"/>
        <v>0</v>
      </c>
      <c r="AN19" s="218">
        <f t="shared" si="38"/>
        <v>0</v>
      </c>
      <c r="AO19" s="218">
        <f t="shared" si="39"/>
        <v>0</v>
      </c>
      <c r="AP19" s="218">
        <f t="shared" si="40"/>
        <v>0</v>
      </c>
      <c r="AQ19" s="219">
        <f t="shared" si="41"/>
        <v>-35.848999999999997</v>
      </c>
      <c r="AR19" s="218">
        <f t="shared" si="42"/>
        <v>0</v>
      </c>
      <c r="AS19" s="218">
        <f t="shared" si="43"/>
        <v>0</v>
      </c>
      <c r="AT19" s="218">
        <f t="shared" si="44"/>
        <v>-58.944000000000003</v>
      </c>
      <c r="AU19" s="219">
        <f t="shared" si="45"/>
        <v>0</v>
      </c>
      <c r="AV19" s="218">
        <f t="shared" si="46"/>
        <v>-26.62</v>
      </c>
      <c r="AW19" s="218">
        <f t="shared" si="47"/>
        <v>0</v>
      </c>
      <c r="AX19" s="218">
        <f t="shared" si="48"/>
        <v>0</v>
      </c>
      <c r="AY19" s="219">
        <f t="shared" si="49"/>
        <v>0</v>
      </c>
      <c r="AZ19" s="218">
        <f t="shared" si="50"/>
        <v>0</v>
      </c>
      <c r="BA19" s="218">
        <f t="shared" si="51"/>
        <v>0</v>
      </c>
      <c r="BB19" s="1500">
        <v>0</v>
      </c>
      <c r="BC19" s="222">
        <v>0</v>
      </c>
      <c r="BD19" s="221">
        <v>0</v>
      </c>
      <c r="BE19" s="221">
        <v>0</v>
      </c>
      <c r="BF19" s="221">
        <v>0</v>
      </c>
      <c r="BG19" s="221">
        <v>0</v>
      </c>
      <c r="BH19" s="223">
        <v>0</v>
      </c>
      <c r="BI19" s="221">
        <v>0</v>
      </c>
      <c r="BJ19" s="221">
        <v>0</v>
      </c>
      <c r="BK19" s="222">
        <v>0</v>
      </c>
      <c r="BL19" s="20"/>
      <c r="BM19" s="218">
        <f t="shared" si="52"/>
        <v>0</v>
      </c>
      <c r="BN19" s="218">
        <f t="shared" si="53"/>
        <v>0</v>
      </c>
      <c r="BO19" s="218">
        <f t="shared" si="54"/>
        <v>0</v>
      </c>
      <c r="BP19" s="218">
        <f t="shared" si="55"/>
        <v>0</v>
      </c>
      <c r="BQ19" s="218">
        <f t="shared" si="56"/>
        <v>0</v>
      </c>
      <c r="BR19" s="218">
        <f t="shared" si="57"/>
        <v>0</v>
      </c>
      <c r="BS19" s="218">
        <f t="shared" si="58"/>
        <v>0</v>
      </c>
      <c r="BT19" s="218">
        <f t="shared" si="59"/>
        <v>0</v>
      </c>
      <c r="BU19" s="218">
        <f t="shared" si="60"/>
        <v>0</v>
      </c>
      <c r="BV19" s="218">
        <f t="shared" si="61"/>
        <v>-35.848999999999997</v>
      </c>
      <c r="BW19" s="218">
        <f t="shared" si="62"/>
        <v>-58.944000000000003</v>
      </c>
      <c r="BX19" s="218">
        <f t="shared" si="63"/>
        <v>-26.62</v>
      </c>
      <c r="BY19" s="218">
        <f t="shared" si="64"/>
        <v>0</v>
      </c>
      <c r="BZ19" s="218">
        <f t="shared" si="65"/>
        <v>0</v>
      </c>
      <c r="CA19" s="219">
        <f t="shared" si="66"/>
        <v>0</v>
      </c>
      <c r="CB19" s="223"/>
      <c r="CC19" s="221"/>
      <c r="CD19" s="221"/>
      <c r="CE19" s="260"/>
      <c r="CF19" s="220">
        <f t="shared" si="67"/>
        <v>0</v>
      </c>
      <c r="CG19" s="218">
        <f t="shared" si="68"/>
        <v>0</v>
      </c>
      <c r="CH19" s="218">
        <f t="shared" si="69"/>
        <v>0</v>
      </c>
      <c r="CI19" s="218">
        <f t="shared" si="70"/>
        <v>0</v>
      </c>
      <c r="CJ19" s="218">
        <f t="shared" si="71"/>
        <v>0</v>
      </c>
      <c r="CK19" s="218">
        <f t="shared" si="72"/>
        <v>0</v>
      </c>
      <c r="CL19" s="218">
        <f t="shared" si="73"/>
        <v>0</v>
      </c>
      <c r="CM19" s="218">
        <f t="shared" si="74"/>
        <v>0</v>
      </c>
      <c r="CN19" s="218">
        <f t="shared" si="75"/>
        <v>0</v>
      </c>
      <c r="CO19" s="218">
        <f t="shared" si="76"/>
        <v>-35.848999999999997</v>
      </c>
      <c r="CP19" s="218">
        <f t="shared" si="77"/>
        <v>-85.564000000000007</v>
      </c>
      <c r="CQ19" s="218">
        <f t="shared" si="78"/>
        <v>0</v>
      </c>
      <c r="CR19" s="218">
        <f t="shared" si="79"/>
        <v>0</v>
      </c>
      <c r="CS19" s="219">
        <f t="shared" si="80"/>
        <v>0</v>
      </c>
      <c r="CT19" s="22"/>
    </row>
    <row r="20" spans="1:98" ht="14.25" customHeight="1">
      <c r="A20" s="8"/>
      <c r="B20" s="52" t="str">
        <f t="shared" si="1"/>
        <v>Non-cash portion of special charges</v>
      </c>
      <c r="C20" s="53"/>
      <c r="D20" s="220">
        <f t="shared" si="2"/>
        <v>0</v>
      </c>
      <c r="E20" s="218">
        <f t="shared" si="3"/>
        <v>0</v>
      </c>
      <c r="F20" s="218">
        <f t="shared" si="4"/>
        <v>0</v>
      </c>
      <c r="G20" s="219">
        <f t="shared" si="5"/>
        <v>0</v>
      </c>
      <c r="H20" s="220">
        <f t="shared" si="6"/>
        <v>0</v>
      </c>
      <c r="I20" s="218">
        <f t="shared" si="7"/>
        <v>0</v>
      </c>
      <c r="J20" s="218">
        <f t="shared" si="8"/>
        <v>0</v>
      </c>
      <c r="K20" s="219">
        <f t="shared" si="9"/>
        <v>0</v>
      </c>
      <c r="L20" s="220">
        <f t="shared" si="10"/>
        <v>0</v>
      </c>
      <c r="M20" s="218">
        <f t="shared" si="11"/>
        <v>0</v>
      </c>
      <c r="N20" s="218">
        <f t="shared" si="12"/>
        <v>0</v>
      </c>
      <c r="O20" s="219">
        <f t="shared" si="13"/>
        <v>0</v>
      </c>
      <c r="P20" s="220">
        <f t="shared" si="14"/>
        <v>0</v>
      </c>
      <c r="Q20" s="218">
        <f t="shared" si="15"/>
        <v>0</v>
      </c>
      <c r="R20" s="218">
        <f t="shared" si="16"/>
        <v>0</v>
      </c>
      <c r="S20" s="219">
        <f t="shared" si="17"/>
        <v>0</v>
      </c>
      <c r="T20" s="220">
        <f t="shared" si="18"/>
        <v>0</v>
      </c>
      <c r="U20" s="218">
        <f t="shared" si="19"/>
        <v>0</v>
      </c>
      <c r="V20" s="218">
        <f t="shared" si="20"/>
        <v>0</v>
      </c>
      <c r="W20" s="219">
        <f t="shared" si="21"/>
        <v>0</v>
      </c>
      <c r="X20" s="220">
        <f t="shared" si="22"/>
        <v>0</v>
      </c>
      <c r="Y20" s="218">
        <f t="shared" si="23"/>
        <v>0</v>
      </c>
      <c r="Z20" s="218">
        <f t="shared" si="24"/>
        <v>0</v>
      </c>
      <c r="AA20" s="219">
        <f t="shared" si="25"/>
        <v>0</v>
      </c>
      <c r="AB20" s="218">
        <f t="shared" si="26"/>
        <v>0</v>
      </c>
      <c r="AC20" s="218">
        <f t="shared" si="27"/>
        <v>0</v>
      </c>
      <c r="AD20" s="218">
        <f t="shared" si="28"/>
        <v>0</v>
      </c>
      <c r="AE20" s="219">
        <f t="shared" si="29"/>
        <v>0</v>
      </c>
      <c r="AF20" s="218">
        <f t="shared" si="30"/>
        <v>0</v>
      </c>
      <c r="AG20" s="218">
        <f t="shared" si="31"/>
        <v>0</v>
      </c>
      <c r="AH20" s="218">
        <f t="shared" si="32"/>
        <v>0</v>
      </c>
      <c r="AI20" s="219">
        <f t="shared" si="33"/>
        <v>0</v>
      </c>
      <c r="AJ20" s="218">
        <f t="shared" si="34"/>
        <v>0</v>
      </c>
      <c r="AK20" s="218">
        <f t="shared" si="35"/>
        <v>0</v>
      </c>
      <c r="AL20" s="218">
        <f t="shared" si="36"/>
        <v>0</v>
      </c>
      <c r="AM20" s="219">
        <f t="shared" si="37"/>
        <v>0</v>
      </c>
      <c r="AN20" s="218">
        <f t="shared" si="38"/>
        <v>0</v>
      </c>
      <c r="AO20" s="218">
        <f t="shared" si="39"/>
        <v>0</v>
      </c>
      <c r="AP20" s="218">
        <f t="shared" si="40"/>
        <v>0</v>
      </c>
      <c r="AQ20" s="219">
        <f t="shared" si="41"/>
        <v>0</v>
      </c>
      <c r="AR20" s="218">
        <f t="shared" si="42"/>
        <v>0</v>
      </c>
      <c r="AS20" s="218">
        <f t="shared" si="43"/>
        <v>0</v>
      </c>
      <c r="AT20" s="218">
        <f t="shared" si="44"/>
        <v>0</v>
      </c>
      <c r="AU20" s="219">
        <f t="shared" si="45"/>
        <v>0</v>
      </c>
      <c r="AV20" s="218">
        <f t="shared" si="46"/>
        <v>0</v>
      </c>
      <c r="AW20" s="218">
        <f t="shared" si="47"/>
        <v>0</v>
      </c>
      <c r="AX20" s="218">
        <f t="shared" si="48"/>
        <v>0</v>
      </c>
      <c r="AY20" s="219">
        <f t="shared" si="49"/>
        <v>0</v>
      </c>
      <c r="AZ20" s="218">
        <f t="shared" si="50"/>
        <v>0</v>
      </c>
      <c r="BA20" s="218">
        <f t="shared" si="51"/>
        <v>0</v>
      </c>
      <c r="BB20" s="1500">
        <v>0</v>
      </c>
      <c r="BC20" s="222">
        <v>0</v>
      </c>
      <c r="BD20" s="221">
        <v>0</v>
      </c>
      <c r="BE20" s="221">
        <v>0</v>
      </c>
      <c r="BF20" s="221">
        <v>0</v>
      </c>
      <c r="BG20" s="221">
        <v>0</v>
      </c>
      <c r="BH20" s="223">
        <v>0</v>
      </c>
      <c r="BI20" s="221">
        <v>0</v>
      </c>
      <c r="BJ20" s="221">
        <v>0</v>
      </c>
      <c r="BK20" s="222">
        <v>0</v>
      </c>
      <c r="BL20" s="20"/>
      <c r="BM20" s="218">
        <f t="shared" si="52"/>
        <v>0</v>
      </c>
      <c r="BN20" s="218">
        <f t="shared" si="53"/>
        <v>0</v>
      </c>
      <c r="BO20" s="218">
        <f t="shared" si="54"/>
        <v>0</v>
      </c>
      <c r="BP20" s="218">
        <f t="shared" si="55"/>
        <v>0</v>
      </c>
      <c r="BQ20" s="218">
        <f t="shared" si="56"/>
        <v>0</v>
      </c>
      <c r="BR20" s="218">
        <f t="shared" si="57"/>
        <v>0</v>
      </c>
      <c r="BS20" s="218">
        <f t="shared" si="58"/>
        <v>0</v>
      </c>
      <c r="BT20" s="218">
        <f t="shared" si="59"/>
        <v>0</v>
      </c>
      <c r="BU20" s="218">
        <f t="shared" si="60"/>
        <v>0</v>
      </c>
      <c r="BV20" s="218">
        <f t="shared" si="61"/>
        <v>0</v>
      </c>
      <c r="BW20" s="218">
        <f t="shared" si="62"/>
        <v>0</v>
      </c>
      <c r="BX20" s="218">
        <f t="shared" si="63"/>
        <v>0</v>
      </c>
      <c r="BY20" s="218">
        <f t="shared" si="64"/>
        <v>0</v>
      </c>
      <c r="BZ20" s="218">
        <f t="shared" si="65"/>
        <v>0</v>
      </c>
      <c r="CA20" s="219">
        <f t="shared" si="66"/>
        <v>0</v>
      </c>
      <c r="CB20" s="223"/>
      <c r="CC20" s="221"/>
      <c r="CD20" s="221"/>
      <c r="CE20" s="260"/>
      <c r="CF20" s="220">
        <f t="shared" si="67"/>
        <v>0</v>
      </c>
      <c r="CG20" s="218">
        <f t="shared" si="68"/>
        <v>0</v>
      </c>
      <c r="CH20" s="218">
        <f t="shared" si="69"/>
        <v>0</v>
      </c>
      <c r="CI20" s="218">
        <f t="shared" si="70"/>
        <v>0</v>
      </c>
      <c r="CJ20" s="218">
        <f t="shared" si="71"/>
        <v>0</v>
      </c>
      <c r="CK20" s="218">
        <f t="shared" si="72"/>
        <v>0</v>
      </c>
      <c r="CL20" s="218">
        <f t="shared" si="73"/>
        <v>0</v>
      </c>
      <c r="CM20" s="218">
        <f t="shared" si="74"/>
        <v>0</v>
      </c>
      <c r="CN20" s="218">
        <f t="shared" si="75"/>
        <v>0</v>
      </c>
      <c r="CO20" s="218">
        <f t="shared" si="76"/>
        <v>0</v>
      </c>
      <c r="CP20" s="218">
        <f t="shared" si="77"/>
        <v>0</v>
      </c>
      <c r="CQ20" s="218">
        <f t="shared" si="78"/>
        <v>0</v>
      </c>
      <c r="CR20" s="218">
        <f t="shared" si="79"/>
        <v>0</v>
      </c>
      <c r="CS20" s="219">
        <f t="shared" si="80"/>
        <v>0</v>
      </c>
      <c r="CT20" s="22"/>
    </row>
    <row r="21" spans="1:98" ht="14.25" customHeight="1">
      <c r="A21" s="8"/>
      <c r="B21" s="52" t="str">
        <f t="shared" si="1"/>
        <v>Other non-cash activities</v>
      </c>
      <c r="C21" s="53"/>
      <c r="D21" s="220">
        <f t="shared" si="2"/>
        <v>0</v>
      </c>
      <c r="E21" s="218">
        <f t="shared" si="3"/>
        <v>0</v>
      </c>
      <c r="F21" s="218">
        <f t="shared" si="4"/>
        <v>0</v>
      </c>
      <c r="G21" s="219">
        <f t="shared" si="5"/>
        <v>0</v>
      </c>
      <c r="H21" s="220">
        <f t="shared" si="6"/>
        <v>0</v>
      </c>
      <c r="I21" s="218">
        <f t="shared" si="7"/>
        <v>0</v>
      </c>
      <c r="J21" s="218">
        <f t="shared" si="8"/>
        <v>0</v>
      </c>
      <c r="K21" s="219">
        <f t="shared" si="9"/>
        <v>0</v>
      </c>
      <c r="L21" s="220">
        <f t="shared" si="10"/>
        <v>0</v>
      </c>
      <c r="M21" s="218">
        <f t="shared" si="11"/>
        <v>0</v>
      </c>
      <c r="N21" s="218">
        <f t="shared" si="12"/>
        <v>0</v>
      </c>
      <c r="O21" s="219">
        <f t="shared" si="13"/>
        <v>0</v>
      </c>
      <c r="P21" s="220">
        <f t="shared" si="14"/>
        <v>0</v>
      </c>
      <c r="Q21" s="218">
        <f t="shared" si="15"/>
        <v>3.371</v>
      </c>
      <c r="R21" s="218">
        <f t="shared" si="16"/>
        <v>0</v>
      </c>
      <c r="S21" s="219">
        <f t="shared" si="17"/>
        <v>0</v>
      </c>
      <c r="T21" s="220">
        <f t="shared" si="18"/>
        <v>0.14899999999999999</v>
      </c>
      <c r="U21" s="218">
        <f t="shared" si="19"/>
        <v>0</v>
      </c>
      <c r="V21" s="218">
        <f t="shared" si="20"/>
        <v>0</v>
      </c>
      <c r="W21" s="219">
        <f t="shared" si="21"/>
        <v>-1.0000000000000009E-3</v>
      </c>
      <c r="X21" s="220">
        <f t="shared" si="22"/>
        <v>0</v>
      </c>
      <c r="Y21" s="218">
        <f t="shared" si="23"/>
        <v>0</v>
      </c>
      <c r="Z21" s="218">
        <f t="shared" si="24"/>
        <v>0</v>
      </c>
      <c r="AA21" s="219">
        <f t="shared" si="25"/>
        <v>0</v>
      </c>
      <c r="AB21" s="218">
        <f t="shared" si="26"/>
        <v>0</v>
      </c>
      <c r="AC21" s="218">
        <f t="shared" si="27"/>
        <v>-1.8109999999999999</v>
      </c>
      <c r="AD21" s="218">
        <f t="shared" si="28"/>
        <v>-41.960999999999999</v>
      </c>
      <c r="AE21" s="219">
        <f t="shared" si="29"/>
        <v>-1.8109999999999999</v>
      </c>
      <c r="AF21" s="218">
        <f t="shared" si="30"/>
        <v>0</v>
      </c>
      <c r="AG21" s="218">
        <f t="shared" si="31"/>
        <v>0</v>
      </c>
      <c r="AH21" s="218">
        <f t="shared" si="32"/>
        <v>7.3540000000000001</v>
      </c>
      <c r="AI21" s="219">
        <f t="shared" si="33"/>
        <v>-7.8390000000000004</v>
      </c>
      <c r="AJ21" s="218">
        <f t="shared" si="34"/>
        <v>0</v>
      </c>
      <c r="AK21" s="218">
        <f t="shared" si="35"/>
        <v>0</v>
      </c>
      <c r="AL21" s="218">
        <f t="shared" si="36"/>
        <v>-2.992</v>
      </c>
      <c r="AM21" s="219">
        <f t="shared" si="37"/>
        <v>15.832000000000001</v>
      </c>
      <c r="AN21" s="218">
        <f t="shared" si="38"/>
        <v>0</v>
      </c>
      <c r="AO21" s="218">
        <f t="shared" si="39"/>
        <v>0</v>
      </c>
      <c r="AP21" s="218">
        <f t="shared" si="40"/>
        <v>82.832999999999998</v>
      </c>
      <c r="AQ21" s="219">
        <f t="shared" si="41"/>
        <v>10.271000000000001</v>
      </c>
      <c r="AR21" s="218">
        <f t="shared" si="42"/>
        <v>-2.2490000000000001</v>
      </c>
      <c r="AS21" s="218">
        <f t="shared" si="43"/>
        <v>-3.9199999999999995</v>
      </c>
      <c r="AT21" s="218">
        <f t="shared" si="44"/>
        <v>-1.4910000000000005</v>
      </c>
      <c r="AU21" s="219">
        <f t="shared" si="45"/>
        <v>35.262</v>
      </c>
      <c r="AV21" s="218">
        <f t="shared" si="46"/>
        <v>0</v>
      </c>
      <c r="AW21" s="218">
        <f t="shared" si="47"/>
        <v>5.72</v>
      </c>
      <c r="AX21" s="218">
        <f t="shared" si="48"/>
        <v>1</v>
      </c>
      <c r="AY21" s="219">
        <f t="shared" si="49"/>
        <v>0</v>
      </c>
      <c r="AZ21" s="218">
        <f t="shared" si="50"/>
        <v>0</v>
      </c>
      <c r="BA21" s="218">
        <f t="shared" si="51"/>
        <v>0.85</v>
      </c>
      <c r="BB21" s="1500">
        <v>0</v>
      </c>
      <c r="BC21" s="1323">
        <f>BS!BC66-BS!BB66</f>
        <v>0</v>
      </c>
      <c r="BD21" s="1322">
        <f>BS!BD66-BS!BC66</f>
        <v>0</v>
      </c>
      <c r="BE21" s="1322">
        <f>BS!BE66-BS!BD66</f>
        <v>0</v>
      </c>
      <c r="BF21" s="1322">
        <f>BS!BF66-BS!BE66</f>
        <v>0</v>
      </c>
      <c r="BG21" s="1322">
        <f>BS!BG66-BS!BF66</f>
        <v>0</v>
      </c>
      <c r="BH21" s="1427">
        <f>BS!BH66-BS!BG66</f>
        <v>0</v>
      </c>
      <c r="BI21" s="1322">
        <f>BS!BI66-BS!BH66</f>
        <v>0</v>
      </c>
      <c r="BJ21" s="1322">
        <f>BS!BJ66-BS!BI66</f>
        <v>0</v>
      </c>
      <c r="BK21" s="1323">
        <f>BS!BK66-BS!BJ66</f>
        <v>0</v>
      </c>
      <c r="BL21" s="20"/>
      <c r="BM21" s="218">
        <f t="shared" si="52"/>
        <v>0</v>
      </c>
      <c r="BN21" s="218">
        <f t="shared" si="53"/>
        <v>0</v>
      </c>
      <c r="BO21" s="218">
        <f t="shared" si="54"/>
        <v>0</v>
      </c>
      <c r="BP21" s="218">
        <f t="shared" si="55"/>
        <v>3.371</v>
      </c>
      <c r="BQ21" s="218">
        <f t="shared" si="56"/>
        <v>0.14799999999999999</v>
      </c>
      <c r="BR21" s="218">
        <f t="shared" si="57"/>
        <v>0</v>
      </c>
      <c r="BS21" s="218">
        <f t="shared" si="58"/>
        <v>-45.582999999999998</v>
      </c>
      <c r="BT21" s="218">
        <f t="shared" si="59"/>
        <v>-0.48500000000000032</v>
      </c>
      <c r="BU21" s="218">
        <f t="shared" si="60"/>
        <v>12.84</v>
      </c>
      <c r="BV21" s="218">
        <f t="shared" si="61"/>
        <v>93.103999999999999</v>
      </c>
      <c r="BW21" s="218">
        <f t="shared" si="62"/>
        <v>27.602</v>
      </c>
      <c r="BX21" s="218">
        <f t="shared" si="63"/>
        <v>6.72</v>
      </c>
      <c r="BY21" s="218">
        <f t="shared" si="64"/>
        <v>0.85</v>
      </c>
      <c r="BZ21" s="218">
        <f t="shared" si="65"/>
        <v>0</v>
      </c>
      <c r="CA21" s="219">
        <f t="shared" si="66"/>
        <v>0</v>
      </c>
      <c r="CB21" s="1313"/>
      <c r="CC21" s="1314"/>
      <c r="CD21" s="1314"/>
      <c r="CE21" s="260"/>
      <c r="CF21" s="220">
        <f t="shared" si="67"/>
        <v>0</v>
      </c>
      <c r="CG21" s="218">
        <f t="shared" si="68"/>
        <v>0</v>
      </c>
      <c r="CH21" s="218">
        <f t="shared" si="69"/>
        <v>3.371</v>
      </c>
      <c r="CI21" s="218">
        <f t="shared" si="70"/>
        <v>0.14899999999999999</v>
      </c>
      <c r="CJ21" s="218">
        <f t="shared" si="71"/>
        <v>-1.0000000000000009E-3</v>
      </c>
      <c r="CK21" s="218">
        <f t="shared" si="72"/>
        <v>-1.8109999999999999</v>
      </c>
      <c r="CL21" s="218">
        <f t="shared" si="73"/>
        <v>-43.771999999999998</v>
      </c>
      <c r="CM21" s="218">
        <f t="shared" si="74"/>
        <v>-0.48500000000000032</v>
      </c>
      <c r="CN21" s="218">
        <f t="shared" si="75"/>
        <v>12.84</v>
      </c>
      <c r="CO21" s="218">
        <f t="shared" si="76"/>
        <v>86.935000000000002</v>
      </c>
      <c r="CP21" s="218">
        <f t="shared" si="77"/>
        <v>39.491</v>
      </c>
      <c r="CQ21" s="218">
        <f t="shared" si="78"/>
        <v>1.85</v>
      </c>
      <c r="CR21" s="218">
        <f t="shared" si="79"/>
        <v>0</v>
      </c>
      <c r="CS21" s="219">
        <f t="shared" si="80"/>
        <v>0</v>
      </c>
      <c r="CT21" s="22"/>
    </row>
    <row r="22" spans="1:98" ht="14.25" customHeight="1">
      <c r="A22" s="8"/>
      <c r="B22" s="28" t="str">
        <f t="shared" si="1"/>
        <v>Changes in current assets and liabilities:</v>
      </c>
      <c r="C22" s="29"/>
      <c r="D22" s="220"/>
      <c r="E22" s="218"/>
      <c r="F22" s="218"/>
      <c r="G22" s="219"/>
      <c r="H22" s="220"/>
      <c r="I22" s="218"/>
      <c r="J22" s="218"/>
      <c r="K22" s="219"/>
      <c r="L22" s="220"/>
      <c r="M22" s="218"/>
      <c r="N22" s="218"/>
      <c r="O22" s="219"/>
      <c r="P22" s="220"/>
      <c r="Q22" s="218"/>
      <c r="R22" s="218"/>
      <c r="S22" s="219"/>
      <c r="T22" s="220"/>
      <c r="U22" s="218"/>
      <c r="V22" s="218"/>
      <c r="W22" s="219"/>
      <c r="X22" s="220"/>
      <c r="Y22" s="218"/>
      <c r="Z22" s="218"/>
      <c r="AA22" s="219"/>
      <c r="AB22" s="218"/>
      <c r="AC22" s="218"/>
      <c r="AD22" s="218"/>
      <c r="AE22" s="219"/>
      <c r="AF22" s="218"/>
      <c r="AG22" s="218"/>
      <c r="AH22" s="218"/>
      <c r="AI22" s="219"/>
      <c r="AJ22" s="218"/>
      <c r="AK22" s="218"/>
      <c r="AL22" s="218"/>
      <c r="AM22" s="219"/>
      <c r="AN22" s="218"/>
      <c r="AO22" s="218"/>
      <c r="AP22" s="218"/>
      <c r="AQ22" s="219"/>
      <c r="AR22" s="218"/>
      <c r="AS22" s="218"/>
      <c r="AT22" s="218"/>
      <c r="AU22" s="219"/>
      <c r="AV22" s="218"/>
      <c r="AW22" s="218"/>
      <c r="AX22" s="218"/>
      <c r="AY22" s="219"/>
      <c r="AZ22" s="218"/>
      <c r="BA22" s="218"/>
      <c r="BB22" s="1500"/>
      <c r="BC22" s="1323"/>
      <c r="BD22" s="1322"/>
      <c r="BE22" s="1322"/>
      <c r="BF22" s="1322"/>
      <c r="BG22" s="1322"/>
      <c r="BH22" s="1427"/>
      <c r="BI22" s="1322"/>
      <c r="BJ22" s="1322"/>
      <c r="BK22" s="1323"/>
      <c r="BL22" s="20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9"/>
      <c r="CB22" s="278"/>
      <c r="CC22" s="277"/>
      <c r="CD22" s="277"/>
      <c r="CE22" s="260"/>
      <c r="CF22" s="220"/>
      <c r="CG22" s="218"/>
      <c r="CH22" s="218"/>
      <c r="CI22" s="218"/>
      <c r="CJ22" s="218"/>
      <c r="CK22" s="218"/>
      <c r="CL22" s="218"/>
      <c r="CM22" s="218"/>
      <c r="CN22" s="218"/>
      <c r="CO22" s="218"/>
      <c r="CP22" s="218"/>
      <c r="CQ22" s="218"/>
      <c r="CR22" s="218"/>
      <c r="CS22" s="219"/>
      <c r="CT22" s="22"/>
    </row>
    <row r="23" spans="1:98" ht="14.25" customHeight="1">
      <c r="A23" s="8"/>
      <c r="B23" s="52" t="str">
        <f t="shared" si="1"/>
        <v>Accounts receivable</v>
      </c>
      <c r="C23" s="53"/>
      <c r="D23" s="220">
        <f t="shared" ref="D23:D30" si="82">D122</f>
        <v>-21.422000000000001</v>
      </c>
      <c r="E23" s="218">
        <f t="shared" ref="E23:E30" si="83">E122-D23</f>
        <v>-6.3359999999999985</v>
      </c>
      <c r="F23" s="218">
        <f t="shared" ref="F23:F30" si="84">F122-E23-D23</f>
        <v>-39.25</v>
      </c>
      <c r="G23" s="219">
        <f t="shared" ref="G23:G30" si="85">G122-F23-E23-D23</f>
        <v>-30.686000000000003</v>
      </c>
      <c r="H23" s="220">
        <f t="shared" ref="H23:H30" si="86">H122</f>
        <v>0.82299999999999995</v>
      </c>
      <c r="I23" s="218">
        <f t="shared" ref="I23:I30" si="87">I122-H23</f>
        <v>19.396999999999998</v>
      </c>
      <c r="J23" s="218">
        <f t="shared" ref="J23:J30" si="88">J122-I23-H23</f>
        <v>26.362000000000002</v>
      </c>
      <c r="K23" s="219">
        <f t="shared" ref="K23:K30" si="89">K122-J23-I23-H23</f>
        <v>5.7049999999999983</v>
      </c>
      <c r="L23" s="220">
        <f t="shared" ref="L23:L30" si="90">L122</f>
        <v>-30.385000000000002</v>
      </c>
      <c r="M23" s="218">
        <f t="shared" ref="M23:M30" si="91">M122-L23</f>
        <v>-11.291999999999998</v>
      </c>
      <c r="N23" s="218">
        <f t="shared" ref="N23:N30" si="92">N122-M23-L23</f>
        <v>17.382999999999999</v>
      </c>
      <c r="O23" s="219">
        <f t="shared" ref="O23:O30" si="93">O122-N23-M23-L23</f>
        <v>-2.7369999999999983</v>
      </c>
      <c r="P23" s="220">
        <f t="shared" ref="P23:P30" si="94">P122</f>
        <v>3.46</v>
      </c>
      <c r="Q23" s="218">
        <f t="shared" ref="Q23:Q30" si="95">Q122-P23</f>
        <v>55.475999999999999</v>
      </c>
      <c r="R23" s="218">
        <f t="shared" ref="R23:R30" si="96">R122-Q23-P23</f>
        <v>17.815000000000005</v>
      </c>
      <c r="S23" s="219">
        <f t="shared" ref="S23:S30" si="97">S122-R23-Q23-P23</f>
        <v>-11.463000000000008</v>
      </c>
      <c r="T23" s="220">
        <f t="shared" ref="T23:T30" si="98">T122</f>
        <v>-21.036000000000001</v>
      </c>
      <c r="U23" s="218">
        <f t="shared" ref="U23:U30" si="99">U122-T23</f>
        <v>-52.278999999999996</v>
      </c>
      <c r="V23" s="218">
        <f t="shared" ref="V23:V30" si="100">V122-U23-T23</f>
        <v>-16.257000000000005</v>
      </c>
      <c r="W23" s="219">
        <f t="shared" ref="W23:W30" si="101">W122-V23-U23-T23</f>
        <v>-34.685999999999993</v>
      </c>
      <c r="X23" s="220">
        <f t="shared" ref="X23:X30" si="102">X122</f>
        <v>9.5410000000000004</v>
      </c>
      <c r="Y23" s="218">
        <f t="shared" ref="Y23:Y30" si="103">Y122-X23</f>
        <v>38.082999999999998</v>
      </c>
      <c r="Z23" s="218">
        <f t="shared" ref="Z23:Z30" si="104">Z122-Y23-X23</f>
        <v>-11.327000000000002</v>
      </c>
      <c r="AA23" s="219">
        <f t="shared" ref="AA23:AA30" si="105">AA122-Z23-Y23-X23</f>
        <v>6.9589999999999996</v>
      </c>
      <c r="AB23" s="218">
        <f t="shared" ref="AB23:AB30" si="106">AB122</f>
        <v>-30.79</v>
      </c>
      <c r="AC23" s="218">
        <f t="shared" ref="AC23:AC30" si="107">AC122-AB23</f>
        <v>82.759999999999991</v>
      </c>
      <c r="AD23" s="218">
        <f t="shared" ref="AD23:AD30" si="108">AD122-AC23-AB23</f>
        <v>-50.025999999999989</v>
      </c>
      <c r="AE23" s="219">
        <f t="shared" ref="AE23:AE30" si="109">AE122-AD23-AC23-AB23</f>
        <v>-21.206000000000003</v>
      </c>
      <c r="AF23" s="218">
        <f t="shared" ref="AF23:AF30" si="110">AF122</f>
        <v>0.92300000000000004</v>
      </c>
      <c r="AG23" s="218">
        <f t="shared" ref="AG23:AG30" si="111">AG122-AF23</f>
        <v>51.993000000000002</v>
      </c>
      <c r="AH23" s="218">
        <f t="shared" ref="AH23:AH30" si="112">AH122-AG23-AF23</f>
        <v>-35.501000000000005</v>
      </c>
      <c r="AI23" s="219">
        <f t="shared" ref="AI23:AI30" si="113">AI122-AH23-AG23-AF23</f>
        <v>14.607999999999999</v>
      </c>
      <c r="AJ23" s="218">
        <f t="shared" ref="AJ23:AJ30" si="114">AJ122</f>
        <v>-12.45</v>
      </c>
      <c r="AK23" s="218">
        <f t="shared" ref="AK23:AK30" si="115">AK122-AJ23</f>
        <v>33.055999999999997</v>
      </c>
      <c r="AL23" s="218">
        <f t="shared" ref="AL23:AL30" si="116">AL122-AK23-AJ23</f>
        <v>-15.565999999999999</v>
      </c>
      <c r="AM23" s="219">
        <f t="shared" ref="AM23:AM30" si="117">AM122-AL23-AK23-AJ23</f>
        <v>8.3000000000000007</v>
      </c>
      <c r="AN23" s="218">
        <f t="shared" ref="AN23:AN30" si="118">AN122</f>
        <v>13.896000000000001</v>
      </c>
      <c r="AO23" s="218">
        <f t="shared" ref="AO23:AO30" si="119">AO122-AN23</f>
        <v>23.426000000000002</v>
      </c>
      <c r="AP23" s="218">
        <f t="shared" ref="AP23:AP30" si="120">AP122-AO23-AN23</f>
        <v>-19.921000000000003</v>
      </c>
      <c r="AQ23" s="219">
        <f t="shared" ref="AQ23:AQ30" si="121">AQ122-AP23-AO23-AN23</f>
        <v>-0.41700000000000159</v>
      </c>
      <c r="AR23" s="218">
        <f t="shared" ref="AR23:AR30" si="122">AR122</f>
        <v>-3.6269999999999998</v>
      </c>
      <c r="AS23" s="218">
        <f t="shared" ref="AS23:AS30" si="123">AS122-AR23</f>
        <v>51.291000000000004</v>
      </c>
      <c r="AT23" s="218">
        <f t="shared" ref="AT23:AT30" si="124">AT122-AS23-AR23</f>
        <v>-47.322000000000003</v>
      </c>
      <c r="AU23" s="219">
        <f t="shared" ref="AU23:AU30" si="125">AU122-AT23-AS23-AR23</f>
        <v>21.971</v>
      </c>
      <c r="AV23" s="218">
        <f t="shared" ref="AV23:AV30" si="126">AV122</f>
        <v>3.0129999999999999</v>
      </c>
      <c r="AW23" s="218">
        <f t="shared" ref="AW23:AW30" si="127">AW122-AV23</f>
        <v>29.176000000000002</v>
      </c>
      <c r="AX23" s="218">
        <f t="shared" ref="AX23:AX30" si="128">AX122-AW23-AV23</f>
        <v>-33.25</v>
      </c>
      <c r="AY23" s="219">
        <f t="shared" ref="AY23:AY30" si="129">AY122-AX23-AW23-AV23</f>
        <v>1.1390000000000011</v>
      </c>
      <c r="AZ23" s="218">
        <f t="shared" ref="AZ23:AZ30" si="130">AZ122</f>
        <v>23.239000000000001</v>
      </c>
      <c r="BA23" s="218">
        <f t="shared" ref="BA23:BA30" si="131">BA122-AZ23</f>
        <v>-2.4800000000000004</v>
      </c>
      <c r="BB23" s="1500">
        <v>-80.953000000000003</v>
      </c>
      <c r="BC23" s="1323">
        <f>BS!BB13-BS!BC13</f>
        <v>5.6095405749999827</v>
      </c>
      <c r="BD23" s="1322">
        <f>BS!BC13-BS!BD13</f>
        <v>7.7423262629999954</v>
      </c>
      <c r="BE23" s="1322">
        <f>BS!BD13-BS!BE13</f>
        <v>-0.57535271493003393</v>
      </c>
      <c r="BF23" s="1322">
        <f>BS!BE13-BS!BF13</f>
        <v>-16.090382504814784</v>
      </c>
      <c r="BG23" s="1322">
        <f>BS!BF13-BS!BG13</f>
        <v>-3.4250226294785762</v>
      </c>
      <c r="BH23" s="1427">
        <f>BS!BG13-BS!BH13</f>
        <v>5.251842459589227</v>
      </c>
      <c r="BI23" s="1322">
        <f>BS!BH13-BS!BI13</f>
        <v>0.24736122146077832</v>
      </c>
      <c r="BJ23" s="1322">
        <f>BS!BI13-BS!BJ13</f>
        <v>-13.089671151007678</v>
      </c>
      <c r="BK23" s="1323">
        <f>BS!BJ13-BS!BK13</f>
        <v>-8.9033388421774475</v>
      </c>
      <c r="BL23" s="20"/>
      <c r="BM23" s="218">
        <f t="shared" ref="BM23:BM30" si="132">SUM(D23:G23)</f>
        <v>-97.694000000000003</v>
      </c>
      <c r="BN23" s="218">
        <f t="shared" ref="BN23:BN30" si="133">SUM(H23:K23)</f>
        <v>52.286999999999999</v>
      </c>
      <c r="BO23" s="218">
        <f t="shared" ref="BO23:BO30" si="134">SUM(L23:O23)</f>
        <v>-27.030999999999999</v>
      </c>
      <c r="BP23" s="218">
        <f t="shared" ref="BP23:BP30" si="135">SUM(P23:S23)</f>
        <v>65.287999999999997</v>
      </c>
      <c r="BQ23" s="218">
        <f t="shared" ref="BQ23:BQ30" si="136">SUM(T23:W23)</f>
        <v>-124.258</v>
      </c>
      <c r="BR23" s="218">
        <f t="shared" ref="BR23:BR30" si="137">SUM(X23:AA23)</f>
        <v>43.256</v>
      </c>
      <c r="BS23" s="218">
        <f t="shared" ref="BS23:BS30" si="138">SUM(AB23:AE23)</f>
        <v>-19.262</v>
      </c>
      <c r="BT23" s="218">
        <f t="shared" ref="BT23:BT30" si="139">SUM(AF23:AI23)</f>
        <v>32.022999999999996</v>
      </c>
      <c r="BU23" s="218">
        <f>SUM(AJ23:AM23)</f>
        <v>13.34</v>
      </c>
      <c r="BV23" s="218">
        <f t="shared" ref="BV23:BV30" si="140">SUM(AN23:AQ23)</f>
        <v>16.983999999999998</v>
      </c>
      <c r="BW23" s="218">
        <f t="shared" ref="BW23:BW30" si="141">SUM(AR23:AU23)</f>
        <v>22.312999999999999</v>
      </c>
      <c r="BX23" s="218">
        <f t="shared" ref="BX23:BX30" si="142">SUM(AV23:AY23)</f>
        <v>7.800000000000118E-2</v>
      </c>
      <c r="BY23" s="218">
        <f t="shared" ref="BY23:BY30" si="143">SUM(AZ23:BC23)</f>
        <v>-54.58445942500002</v>
      </c>
      <c r="BZ23" s="218">
        <f t="shared" ref="BZ23:BZ30" si="144">SUM(BD23:BG23)</f>
        <v>-12.348431586223398</v>
      </c>
      <c r="CA23" s="219">
        <f t="shared" si="66"/>
        <v>-16.493806312135121</v>
      </c>
      <c r="CB23" s="1313"/>
      <c r="CC23" s="1314"/>
      <c r="CD23" s="1314"/>
      <c r="CE23" s="260"/>
      <c r="CF23" s="220">
        <f t="shared" ref="CF23:CF30" si="145">SUM(F23:I23)</f>
        <v>-49.716000000000015</v>
      </c>
      <c r="CG23" s="218">
        <f t="shared" ref="CG23:CG30" si="146">SUM(J23:M23)</f>
        <v>-9.61</v>
      </c>
      <c r="CH23" s="218">
        <f t="shared" ref="CH23:CH30" si="147">SUM(N23:Q23)</f>
        <v>73.581999999999994</v>
      </c>
      <c r="CI23" s="218">
        <f t="shared" ref="CI23:CI30" si="148">SUM(R23:U23)</f>
        <v>-66.962999999999994</v>
      </c>
      <c r="CJ23" s="218">
        <f t="shared" ref="CJ23:CJ30" si="149">SUM(V23:Y23)</f>
        <v>-3.3190000000000026</v>
      </c>
      <c r="CK23" s="218">
        <f t="shared" ref="CK23:CK30" si="150">SUM(Z23:AC23)</f>
        <v>47.60199999999999</v>
      </c>
      <c r="CL23" s="218">
        <f t="shared" ref="CL23:CL30" si="151">SUM(AD23:AG23)</f>
        <v>-18.315999999999995</v>
      </c>
      <c r="CM23" s="218">
        <f t="shared" ref="CM23:CM30" si="152">SUM(AH23:AK23)</f>
        <v>-0.28700000000000614</v>
      </c>
      <c r="CN23" s="218">
        <f t="shared" ref="CN23:CN30" si="153">SUM(AL23:AO23)</f>
        <v>30.056000000000004</v>
      </c>
      <c r="CO23" s="218">
        <f t="shared" ref="CO23:CO30" si="154">SUM(AP23:AS23)</f>
        <v>27.326000000000001</v>
      </c>
      <c r="CP23" s="218">
        <f t="shared" ref="CP23:CP30" si="155">SUM(AT23:AW23)</f>
        <v>6.838000000000001</v>
      </c>
      <c r="CQ23" s="218">
        <f t="shared" ref="CQ23:CQ30" si="156">SUM(AX23:BA23)</f>
        <v>-11.351999999999997</v>
      </c>
      <c r="CR23" s="218">
        <f t="shared" ref="CR23:CR30" si="157">SUM(BB23:BE23)</f>
        <v>-68.176485876930059</v>
      </c>
      <c r="CS23" s="219">
        <f t="shared" si="80"/>
        <v>-14.016201453243355</v>
      </c>
      <c r="CT23" s="22"/>
    </row>
    <row r="24" spans="1:98" ht="14.25" customHeight="1">
      <c r="A24" s="8"/>
      <c r="B24" s="52" t="str">
        <f t="shared" si="1"/>
        <v>Inventory</v>
      </c>
      <c r="C24" s="53"/>
      <c r="D24" s="220">
        <f t="shared" si="82"/>
        <v>-6.69</v>
      </c>
      <c r="E24" s="218">
        <f t="shared" si="83"/>
        <v>-7.8659999999999988</v>
      </c>
      <c r="F24" s="218">
        <f t="shared" si="84"/>
        <v>-6.6460000000000017</v>
      </c>
      <c r="G24" s="219">
        <f t="shared" si="85"/>
        <v>-1.1379999999999999</v>
      </c>
      <c r="H24" s="220">
        <f t="shared" si="86"/>
        <v>-12.959</v>
      </c>
      <c r="I24" s="218">
        <f t="shared" si="87"/>
        <v>-24.02</v>
      </c>
      <c r="J24" s="218">
        <f t="shared" si="88"/>
        <v>-3.3310000000000031</v>
      </c>
      <c r="K24" s="219">
        <f t="shared" si="89"/>
        <v>-13.931999999999995</v>
      </c>
      <c r="L24" s="220">
        <f t="shared" si="90"/>
        <v>1.5860000000000001</v>
      </c>
      <c r="M24" s="218">
        <f t="shared" si="91"/>
        <v>5.8109999999999999</v>
      </c>
      <c r="N24" s="218">
        <f t="shared" si="92"/>
        <v>-11.132</v>
      </c>
      <c r="O24" s="219">
        <f t="shared" si="93"/>
        <v>-5.5520000000000014</v>
      </c>
      <c r="P24" s="220">
        <f t="shared" si="94"/>
        <v>6.4290000000000003</v>
      </c>
      <c r="Q24" s="218">
        <f t="shared" si="95"/>
        <v>7.7799999999999994</v>
      </c>
      <c r="R24" s="218">
        <f t="shared" si="96"/>
        <v>13.290999999999999</v>
      </c>
      <c r="S24" s="219">
        <f t="shared" si="97"/>
        <v>21.624000000000002</v>
      </c>
      <c r="T24" s="220">
        <f t="shared" si="98"/>
        <v>24.524999999999999</v>
      </c>
      <c r="U24" s="218">
        <f t="shared" si="99"/>
        <v>-5.5219999999999985</v>
      </c>
      <c r="V24" s="218">
        <f t="shared" si="100"/>
        <v>5.2079999999999984</v>
      </c>
      <c r="W24" s="219">
        <f t="shared" si="101"/>
        <v>-1.5299999999999976</v>
      </c>
      <c r="X24" s="220">
        <f t="shared" si="102"/>
        <v>4.8170000000000002</v>
      </c>
      <c r="Y24" s="218">
        <f t="shared" si="103"/>
        <v>-13.605</v>
      </c>
      <c r="Z24" s="218">
        <f t="shared" si="104"/>
        <v>-17.672999999999998</v>
      </c>
      <c r="AA24" s="219">
        <f t="shared" si="105"/>
        <v>-2.9740000000000002</v>
      </c>
      <c r="AB24" s="218">
        <f t="shared" si="106"/>
        <v>-9.7989999999999995</v>
      </c>
      <c r="AC24" s="218">
        <f t="shared" si="107"/>
        <v>19.045000000000002</v>
      </c>
      <c r="AD24" s="218">
        <f t="shared" si="108"/>
        <v>12.411999999999999</v>
      </c>
      <c r="AE24" s="219">
        <f t="shared" si="109"/>
        <v>-22.090000000000003</v>
      </c>
      <c r="AF24" s="218">
        <f t="shared" si="110"/>
        <v>-16.015000000000001</v>
      </c>
      <c r="AG24" s="218">
        <f t="shared" si="111"/>
        <v>0.57000000000000028</v>
      </c>
      <c r="AH24" s="218">
        <f t="shared" si="112"/>
        <v>-12.143000000000001</v>
      </c>
      <c r="AI24" s="219">
        <f t="shared" si="113"/>
        <v>-7.6569999999999965</v>
      </c>
      <c r="AJ24" s="218">
        <f t="shared" si="114"/>
        <v>-2.3010000000000002</v>
      </c>
      <c r="AK24" s="218">
        <f t="shared" si="115"/>
        <v>14.03</v>
      </c>
      <c r="AL24" s="218">
        <f t="shared" si="116"/>
        <v>7.7170000000000023</v>
      </c>
      <c r="AM24" s="219">
        <f t="shared" si="117"/>
        <v>1.2259999999999991</v>
      </c>
      <c r="AN24" s="218">
        <f t="shared" si="118"/>
        <v>-15.65</v>
      </c>
      <c r="AO24" s="218">
        <f t="shared" si="119"/>
        <v>-1.4859999999999989</v>
      </c>
      <c r="AP24" s="218">
        <f t="shared" si="120"/>
        <v>9.1939999999999991</v>
      </c>
      <c r="AQ24" s="219">
        <f t="shared" si="121"/>
        <v>10.105</v>
      </c>
      <c r="AR24" s="218">
        <f t="shared" si="122"/>
        <v>-2.1669999999999998</v>
      </c>
      <c r="AS24" s="218">
        <f t="shared" si="123"/>
        <v>15.811</v>
      </c>
      <c r="AT24" s="218">
        <f t="shared" si="124"/>
        <v>22.785000000000004</v>
      </c>
      <c r="AU24" s="219">
        <f t="shared" si="125"/>
        <v>7.6569999999999947</v>
      </c>
      <c r="AV24" s="218">
        <f t="shared" si="126"/>
        <v>2.5169999999999999</v>
      </c>
      <c r="AW24" s="218">
        <f t="shared" si="127"/>
        <v>-12.511999999999999</v>
      </c>
      <c r="AX24" s="218">
        <f t="shared" si="128"/>
        <v>-5.5050000000000008</v>
      </c>
      <c r="AY24" s="219">
        <f t="shared" si="129"/>
        <v>-5.7149999999999999</v>
      </c>
      <c r="AZ24" s="218">
        <f t="shared" si="130"/>
        <v>1.835</v>
      </c>
      <c r="BA24" s="218">
        <f t="shared" si="131"/>
        <v>-14.125</v>
      </c>
      <c r="BB24" s="1500">
        <v>-11.036</v>
      </c>
      <c r="BC24" s="1323">
        <f>BS!BB14-BS!BC14</f>
        <v>7.0523131938575148</v>
      </c>
      <c r="BD24" s="1322">
        <f>BS!BC14-BS!BD14</f>
        <v>19.621087037488138</v>
      </c>
      <c r="BE24" s="1322">
        <f>BS!BD14-BS!BE14</f>
        <v>0.28721706072713005</v>
      </c>
      <c r="BF24" s="1322">
        <f>BS!BE14-BS!BF14</f>
        <v>-11.317191513993833</v>
      </c>
      <c r="BG24" s="1323">
        <f>BS!BF14-BS!BG14</f>
        <v>-0.33641402662505016</v>
      </c>
      <c r="BH24" s="1322">
        <f>BS!BG14-BS!BH14</f>
        <v>3.3604611826820587</v>
      </c>
      <c r="BI24" s="1322">
        <f>BS!BH14-BS!BI14</f>
        <v>0.19582775294026078</v>
      </c>
      <c r="BJ24" s="1322">
        <f>BS!BI14-BS!BJ14</f>
        <v>-8.7311834895702418</v>
      </c>
      <c r="BK24" s="1323">
        <f>BS!BJ14-BS!BK14</f>
        <v>-5.3302511924564442</v>
      </c>
      <c r="BL24" s="20"/>
      <c r="BM24" s="218">
        <f t="shared" si="132"/>
        <v>-22.340000000000003</v>
      </c>
      <c r="BN24" s="218">
        <f t="shared" si="133"/>
        <v>-54.241999999999997</v>
      </c>
      <c r="BO24" s="218">
        <f t="shared" si="134"/>
        <v>-9.2870000000000008</v>
      </c>
      <c r="BP24" s="218">
        <f t="shared" si="135"/>
        <v>49.124000000000002</v>
      </c>
      <c r="BQ24" s="218">
        <f t="shared" si="136"/>
        <v>22.681000000000001</v>
      </c>
      <c r="BR24" s="218">
        <f t="shared" si="137"/>
        <v>-29.434999999999999</v>
      </c>
      <c r="BS24" s="218">
        <f t="shared" si="138"/>
        <v>-0.43200000000000216</v>
      </c>
      <c r="BT24" s="218">
        <f t="shared" si="139"/>
        <v>-35.244999999999997</v>
      </c>
      <c r="BU24" s="218">
        <f t="shared" ref="BU24:BU30" si="158">SUM(AJ24:AM24)</f>
        <v>20.672000000000001</v>
      </c>
      <c r="BV24" s="218">
        <f t="shared" si="140"/>
        <v>2.1630000000000003</v>
      </c>
      <c r="BW24" s="218">
        <f t="shared" si="141"/>
        <v>44.085999999999999</v>
      </c>
      <c r="BX24" s="218">
        <f t="shared" si="142"/>
        <v>-21.215</v>
      </c>
      <c r="BY24" s="218">
        <f t="shared" si="143"/>
        <v>-16.273686806142486</v>
      </c>
      <c r="BZ24" s="218">
        <f t="shared" si="144"/>
        <v>8.2546985575963845</v>
      </c>
      <c r="CA24" s="219">
        <f t="shared" si="66"/>
        <v>-10.505145746404366</v>
      </c>
      <c r="CB24" s="1313"/>
      <c r="CC24" s="1314"/>
      <c r="CD24" s="1314"/>
      <c r="CE24" s="260"/>
      <c r="CF24" s="220">
        <f t="shared" si="145"/>
        <v>-44.763000000000005</v>
      </c>
      <c r="CG24" s="218">
        <f t="shared" si="146"/>
        <v>-9.8659999999999979</v>
      </c>
      <c r="CH24" s="218">
        <f t="shared" si="147"/>
        <v>-2.4750000000000014</v>
      </c>
      <c r="CI24" s="218">
        <f t="shared" si="148"/>
        <v>53.917999999999999</v>
      </c>
      <c r="CJ24" s="218">
        <f t="shared" si="149"/>
        <v>-5.1099999999999994</v>
      </c>
      <c r="CK24" s="218">
        <f t="shared" si="150"/>
        <v>-11.400999999999996</v>
      </c>
      <c r="CL24" s="218">
        <f t="shared" si="151"/>
        <v>-25.123000000000005</v>
      </c>
      <c r="CM24" s="218">
        <f t="shared" si="152"/>
        <v>-8.0709999999999997</v>
      </c>
      <c r="CN24" s="218">
        <f t="shared" si="153"/>
        <v>-8.1929999999999978</v>
      </c>
      <c r="CO24" s="218">
        <f t="shared" si="154"/>
        <v>32.942999999999998</v>
      </c>
      <c r="CP24" s="218">
        <f t="shared" si="155"/>
        <v>20.447000000000003</v>
      </c>
      <c r="CQ24" s="218">
        <f t="shared" si="156"/>
        <v>-23.51</v>
      </c>
      <c r="CR24" s="218">
        <f t="shared" si="157"/>
        <v>15.924617292072783</v>
      </c>
      <c r="CS24" s="219">
        <f t="shared" si="80"/>
        <v>-8.0973166049965641</v>
      </c>
      <c r="CT24" s="22"/>
    </row>
    <row r="25" spans="1:98" ht="14.25" customHeight="1">
      <c r="A25" s="8"/>
      <c r="B25" s="52" t="str">
        <f t="shared" si="1"/>
        <v>Other current assets and income tax refund receivable</v>
      </c>
      <c r="C25" s="53"/>
      <c r="D25" s="220">
        <f t="shared" si="82"/>
        <v>-1.5329999999999999</v>
      </c>
      <c r="E25" s="218">
        <f t="shared" si="83"/>
        <v>-5.9160000000000004</v>
      </c>
      <c r="F25" s="218">
        <f t="shared" si="84"/>
        <v>3.6820000000000004</v>
      </c>
      <c r="G25" s="219">
        <f t="shared" si="85"/>
        <v>-5.7540000000000013</v>
      </c>
      <c r="H25" s="220">
        <f t="shared" si="86"/>
        <v>-0.36299999999999999</v>
      </c>
      <c r="I25" s="218">
        <f t="shared" si="87"/>
        <v>-2.9769999999999999</v>
      </c>
      <c r="J25" s="218">
        <f t="shared" si="88"/>
        <v>4.173</v>
      </c>
      <c r="K25" s="219">
        <f t="shared" si="89"/>
        <v>3.1970000000000001</v>
      </c>
      <c r="L25" s="220">
        <f t="shared" si="90"/>
        <v>5.6130000000000004</v>
      </c>
      <c r="M25" s="218">
        <f t="shared" si="91"/>
        <v>-26.759999999999998</v>
      </c>
      <c r="N25" s="218">
        <f t="shared" si="92"/>
        <v>6.5559999999999983</v>
      </c>
      <c r="O25" s="219">
        <f t="shared" si="93"/>
        <v>0.93100000000000005</v>
      </c>
      <c r="P25" s="220">
        <f t="shared" si="94"/>
        <v>11.146000000000001</v>
      </c>
      <c r="Q25" s="218">
        <f t="shared" si="95"/>
        <v>-71.872</v>
      </c>
      <c r="R25" s="218">
        <f t="shared" si="96"/>
        <v>35.224000000000004</v>
      </c>
      <c r="S25" s="219">
        <f t="shared" si="97"/>
        <v>28.727999999999994</v>
      </c>
      <c r="T25" s="220">
        <f t="shared" si="98"/>
        <v>10.595000000000001</v>
      </c>
      <c r="U25" s="218">
        <f t="shared" si="99"/>
        <v>-1.7000000000000011</v>
      </c>
      <c r="V25" s="218">
        <f t="shared" si="100"/>
        <v>-9.4649999999999999</v>
      </c>
      <c r="W25" s="219">
        <f t="shared" si="101"/>
        <v>-78.748999999999995</v>
      </c>
      <c r="X25" s="220">
        <f t="shared" si="102"/>
        <v>33.481999999999999</v>
      </c>
      <c r="Y25" s="218">
        <f t="shared" si="103"/>
        <v>-40.911999999999999</v>
      </c>
      <c r="Z25" s="218">
        <f t="shared" si="104"/>
        <v>44.653999999999996</v>
      </c>
      <c r="AA25" s="219">
        <f t="shared" si="105"/>
        <v>16.031000000000006</v>
      </c>
      <c r="AB25" s="218">
        <f t="shared" si="106"/>
        <v>-11.84</v>
      </c>
      <c r="AC25" s="218">
        <f t="shared" si="107"/>
        <v>-1.6150000000000002</v>
      </c>
      <c r="AD25" s="218">
        <f t="shared" si="108"/>
        <v>2.3320000000000007</v>
      </c>
      <c r="AE25" s="219">
        <f t="shared" si="109"/>
        <v>-5.6339999999999968</v>
      </c>
      <c r="AF25" s="218">
        <f t="shared" si="110"/>
        <v>-7.8390000000000004</v>
      </c>
      <c r="AG25" s="218">
        <f t="shared" si="111"/>
        <v>4.0910000000000002</v>
      </c>
      <c r="AH25" s="218">
        <f t="shared" si="112"/>
        <v>-14.653</v>
      </c>
      <c r="AI25" s="219">
        <f t="shared" si="113"/>
        <v>-2.1319999999999997</v>
      </c>
      <c r="AJ25" s="218">
        <f t="shared" si="114"/>
        <v>-18.545999999999999</v>
      </c>
      <c r="AK25" s="218">
        <f t="shared" si="115"/>
        <v>30.33</v>
      </c>
      <c r="AL25" s="218">
        <f t="shared" si="116"/>
        <v>7.1940000000000026</v>
      </c>
      <c r="AM25" s="219">
        <f t="shared" si="117"/>
        <v>26.579000000000001</v>
      </c>
      <c r="AN25" s="218">
        <f t="shared" si="118"/>
        <v>-24.974</v>
      </c>
      <c r="AO25" s="218">
        <f t="shared" si="119"/>
        <v>1.0090000000000003</v>
      </c>
      <c r="AP25" s="218">
        <f t="shared" si="120"/>
        <v>-0.15599999999999881</v>
      </c>
      <c r="AQ25" s="219">
        <f t="shared" si="121"/>
        <v>15.337999999999999</v>
      </c>
      <c r="AR25" s="218">
        <f t="shared" si="122"/>
        <v>4.7960000000000003</v>
      </c>
      <c r="AS25" s="218">
        <f t="shared" si="123"/>
        <v>-0.91800000000000015</v>
      </c>
      <c r="AT25" s="218">
        <f t="shared" si="124"/>
        <v>-8.9469999999999992</v>
      </c>
      <c r="AU25" s="219">
        <f t="shared" si="125"/>
        <v>8.0120000000000005</v>
      </c>
      <c r="AV25" s="218">
        <f t="shared" si="126"/>
        <v>-12.099</v>
      </c>
      <c r="AW25" s="218">
        <f t="shared" si="127"/>
        <v>-7.5829999999999984</v>
      </c>
      <c r="AX25" s="218">
        <f t="shared" si="128"/>
        <v>16.861999999999998</v>
      </c>
      <c r="AY25" s="219">
        <f t="shared" si="129"/>
        <v>-0.72700000000000031</v>
      </c>
      <c r="AZ25" s="218">
        <f t="shared" si="130"/>
        <v>1.488</v>
      </c>
      <c r="BA25" s="218">
        <f t="shared" si="131"/>
        <v>31.459000000000003</v>
      </c>
      <c r="BB25" s="1500">
        <v>-1.244</v>
      </c>
      <c r="BC25" s="1323">
        <f>BS!BB16-BS!BC16</f>
        <v>0.64263375000000167</v>
      </c>
      <c r="BD25" s="1322">
        <f>BS!BC16-BS!BD16</f>
        <v>0.53179334999999739</v>
      </c>
      <c r="BE25" s="1322">
        <f>BS!BD16-BS!BE16</f>
        <v>-3.951896850000125E-2</v>
      </c>
      <c r="BF25" s="1322">
        <f>BS!BE16-BS!BF16</f>
        <v>-1.1051921766599975</v>
      </c>
      <c r="BG25" s="1323">
        <f>BS!BF16-BS!BG16</f>
        <v>-0.23525284211550002</v>
      </c>
      <c r="BH25" s="1322">
        <f>BS!BG16-BS!BH16</f>
        <v>0.36073071585787275</v>
      </c>
      <c r="BI25" s="1322">
        <f>BS!BH16-BS!BI16</f>
        <v>1.6990378363328063E-2</v>
      </c>
      <c r="BJ25" s="1322">
        <f>BS!BI16-BS!BJ16</f>
        <v>-0.89908379411221873</v>
      </c>
      <c r="BK25" s="1323">
        <f>BS!BJ16-BS!BK16</f>
        <v>-0.61153924908765589</v>
      </c>
      <c r="BL25" s="20"/>
      <c r="BM25" s="218">
        <f t="shared" si="132"/>
        <v>-9.5210000000000008</v>
      </c>
      <c r="BN25" s="218">
        <f t="shared" si="133"/>
        <v>4.03</v>
      </c>
      <c r="BO25" s="218">
        <f t="shared" si="134"/>
        <v>-13.66</v>
      </c>
      <c r="BP25" s="218">
        <f t="shared" si="135"/>
        <v>3.2259999999999991</v>
      </c>
      <c r="BQ25" s="218">
        <f t="shared" si="136"/>
        <v>-79.318999999999988</v>
      </c>
      <c r="BR25" s="218">
        <f t="shared" si="137"/>
        <v>53.255000000000003</v>
      </c>
      <c r="BS25" s="218">
        <f t="shared" si="138"/>
        <v>-16.756999999999998</v>
      </c>
      <c r="BT25" s="218">
        <f t="shared" si="139"/>
        <v>-20.533000000000001</v>
      </c>
      <c r="BU25" s="218">
        <f t="shared" si="158"/>
        <v>45.557000000000002</v>
      </c>
      <c r="BV25" s="218">
        <f t="shared" si="140"/>
        <v>-8.7829999999999995</v>
      </c>
      <c r="BW25" s="218">
        <f t="shared" si="141"/>
        <v>2.9430000000000014</v>
      </c>
      <c r="BX25" s="218">
        <f t="shared" si="142"/>
        <v>-3.5470000000000006</v>
      </c>
      <c r="BY25" s="218">
        <f t="shared" si="143"/>
        <v>32.345633750000005</v>
      </c>
      <c r="BZ25" s="218">
        <f t="shared" si="144"/>
        <v>-0.84817063727550135</v>
      </c>
      <c r="CA25" s="219">
        <f t="shared" si="66"/>
        <v>-1.1329019489786738</v>
      </c>
      <c r="CB25" s="1313"/>
      <c r="CC25" s="1314"/>
      <c r="CD25" s="1314"/>
      <c r="CE25" s="260"/>
      <c r="CF25" s="220">
        <f t="shared" si="145"/>
        <v>-5.4120000000000008</v>
      </c>
      <c r="CG25" s="218">
        <f t="shared" si="146"/>
        <v>-13.776999999999997</v>
      </c>
      <c r="CH25" s="218">
        <f t="shared" si="147"/>
        <v>-53.239000000000004</v>
      </c>
      <c r="CI25" s="218">
        <f t="shared" si="148"/>
        <v>72.846999999999994</v>
      </c>
      <c r="CJ25" s="218">
        <f t="shared" si="149"/>
        <v>-95.644000000000005</v>
      </c>
      <c r="CK25" s="218">
        <f t="shared" si="150"/>
        <v>47.23</v>
      </c>
      <c r="CL25" s="218">
        <f t="shared" si="151"/>
        <v>-7.0499999999999963</v>
      </c>
      <c r="CM25" s="218">
        <f t="shared" si="152"/>
        <v>-5.0010000000000048</v>
      </c>
      <c r="CN25" s="218">
        <f t="shared" si="153"/>
        <v>9.8080000000000034</v>
      </c>
      <c r="CO25" s="218">
        <f t="shared" si="154"/>
        <v>19.060000000000002</v>
      </c>
      <c r="CP25" s="218">
        <f t="shared" si="155"/>
        <v>-20.616999999999997</v>
      </c>
      <c r="CQ25" s="218">
        <f t="shared" si="156"/>
        <v>49.082000000000001</v>
      </c>
      <c r="CR25" s="218">
        <f t="shared" si="157"/>
        <v>-0.10909186850000219</v>
      </c>
      <c r="CS25" s="219">
        <f t="shared" si="80"/>
        <v>-0.96272392455429667</v>
      </c>
      <c r="CT25" s="22"/>
    </row>
    <row r="26" spans="1:98" ht="14.25" customHeight="1">
      <c r="A26" s="8"/>
      <c r="B26" s="52" t="str">
        <f t="shared" si="1"/>
        <v>Accounts payable</v>
      </c>
      <c r="C26" s="53"/>
      <c r="D26" s="220">
        <f t="shared" si="82"/>
        <v>9.0909999999999993</v>
      </c>
      <c r="E26" s="218">
        <f t="shared" si="83"/>
        <v>6.3170000000000002</v>
      </c>
      <c r="F26" s="218">
        <f t="shared" si="84"/>
        <v>-10.006</v>
      </c>
      <c r="G26" s="219">
        <f t="shared" si="85"/>
        <v>25.483000000000004</v>
      </c>
      <c r="H26" s="220">
        <f t="shared" si="86"/>
        <v>-8.4559999999999995</v>
      </c>
      <c r="I26" s="218">
        <f t="shared" si="87"/>
        <v>-12.545000000000002</v>
      </c>
      <c r="J26" s="218">
        <f t="shared" si="88"/>
        <v>10.266000000000002</v>
      </c>
      <c r="K26" s="219">
        <f t="shared" si="89"/>
        <v>-1.5430000000000028</v>
      </c>
      <c r="L26" s="220">
        <f t="shared" si="90"/>
        <v>5.0999999999999997E-2</v>
      </c>
      <c r="M26" s="218">
        <f t="shared" si="91"/>
        <v>-6.0030000000000001</v>
      </c>
      <c r="N26" s="218">
        <f t="shared" si="92"/>
        <v>-8.7240000000000002</v>
      </c>
      <c r="O26" s="219">
        <f t="shared" si="93"/>
        <v>1.2930000000000013</v>
      </c>
      <c r="P26" s="220">
        <f t="shared" si="94"/>
        <v>15.471</v>
      </c>
      <c r="Q26" s="218">
        <f t="shared" si="95"/>
        <v>-15.595000000000001</v>
      </c>
      <c r="R26" s="218">
        <f t="shared" si="96"/>
        <v>-7.9059999999999988</v>
      </c>
      <c r="S26" s="219">
        <f t="shared" si="97"/>
        <v>2.041999999999998</v>
      </c>
      <c r="T26" s="220">
        <f t="shared" si="98"/>
        <v>-14.891</v>
      </c>
      <c r="U26" s="218">
        <f t="shared" si="99"/>
        <v>14.247999999999999</v>
      </c>
      <c r="V26" s="218">
        <f t="shared" si="100"/>
        <v>15.388</v>
      </c>
      <c r="W26" s="219">
        <f t="shared" si="101"/>
        <v>26.446000000000005</v>
      </c>
      <c r="X26" s="220">
        <f t="shared" si="102"/>
        <v>11.59</v>
      </c>
      <c r="Y26" s="218">
        <f t="shared" si="103"/>
        <v>-18.667000000000002</v>
      </c>
      <c r="Z26" s="218">
        <f t="shared" si="104"/>
        <v>10.952000000000002</v>
      </c>
      <c r="AA26" s="219">
        <f t="shared" si="105"/>
        <v>-8.6210000000000004</v>
      </c>
      <c r="AB26" s="218">
        <f t="shared" si="106"/>
        <v>4.8819999999999997</v>
      </c>
      <c r="AC26" s="218">
        <f t="shared" si="107"/>
        <v>-18.396999999999998</v>
      </c>
      <c r="AD26" s="218">
        <f t="shared" si="108"/>
        <v>27.228000000000002</v>
      </c>
      <c r="AE26" s="219">
        <f t="shared" si="109"/>
        <v>11.801999999999998</v>
      </c>
      <c r="AF26" s="218">
        <f t="shared" si="110"/>
        <v>-26.466000000000001</v>
      </c>
      <c r="AG26" s="218">
        <f t="shared" si="111"/>
        <v>-9.5360000000000014</v>
      </c>
      <c r="AH26" s="218">
        <f t="shared" si="112"/>
        <v>10.453000000000003</v>
      </c>
      <c r="AI26" s="219">
        <f t="shared" si="113"/>
        <v>-6.9609999999999985</v>
      </c>
      <c r="AJ26" s="218">
        <f t="shared" si="114"/>
        <v>-9.1620000000000008</v>
      </c>
      <c r="AK26" s="218">
        <f t="shared" si="115"/>
        <v>-3.2519999999999989</v>
      </c>
      <c r="AL26" s="218">
        <f t="shared" si="116"/>
        <v>-4.0439999999999987</v>
      </c>
      <c r="AM26" s="219">
        <f t="shared" si="117"/>
        <v>5.2029999999999976</v>
      </c>
      <c r="AN26" s="218">
        <f t="shared" si="118"/>
        <v>4.4550000000000001</v>
      </c>
      <c r="AO26" s="218">
        <f t="shared" si="119"/>
        <v>-12.007</v>
      </c>
      <c r="AP26" s="218">
        <f t="shared" si="120"/>
        <v>0.47699999999999942</v>
      </c>
      <c r="AQ26" s="219">
        <f t="shared" si="121"/>
        <v>2.8740000000000006</v>
      </c>
      <c r="AR26" s="218">
        <f t="shared" si="122"/>
        <v>-9.7759999999999998</v>
      </c>
      <c r="AS26" s="218">
        <f t="shared" si="123"/>
        <v>-7.6589999999999989</v>
      </c>
      <c r="AT26" s="218">
        <f t="shared" si="124"/>
        <v>8.6829999999999998</v>
      </c>
      <c r="AU26" s="219">
        <f t="shared" si="125"/>
        <v>5.0759999999999987</v>
      </c>
      <c r="AV26" s="218">
        <f t="shared" si="126"/>
        <v>-0.85799999999999998</v>
      </c>
      <c r="AW26" s="218">
        <f t="shared" si="127"/>
        <v>-11.998999999999999</v>
      </c>
      <c r="AX26" s="218">
        <f t="shared" si="128"/>
        <v>11.886999999999999</v>
      </c>
      <c r="AY26" s="219">
        <f t="shared" si="129"/>
        <v>-5.2350000000000003</v>
      </c>
      <c r="AZ26" s="218">
        <f t="shared" si="130"/>
        <v>-9.9789999999999992</v>
      </c>
      <c r="BA26" s="218">
        <f t="shared" si="131"/>
        <v>13.642999999999999</v>
      </c>
      <c r="BB26" s="1500">
        <v>-0.23499999999999999</v>
      </c>
      <c r="BC26" s="1323">
        <f>BS!BC30-BS!BB30</f>
        <v>-2.1755474817040437</v>
      </c>
      <c r="BD26" s="1322">
        <f>BS!BD30-BS!BC30</f>
        <v>-6.052851783423705</v>
      </c>
      <c r="BE26" s="1322">
        <f>BS!BE30-BS!BD30</f>
        <v>-8.8602751464804896E-2</v>
      </c>
      <c r="BF26" s="1322">
        <f>BS!BF30-BS!BE30</f>
        <v>3.4912073275015985</v>
      </c>
      <c r="BG26" s="1323">
        <f>BS!BG30-BS!BF30</f>
        <v>0.10377937966106288</v>
      </c>
      <c r="BH26" s="1322">
        <f>BS!BH30-BS!BG30</f>
        <v>-1.0366588468753406</v>
      </c>
      <c r="BI26" s="1322">
        <f>BS!BI30-BS!BH30</f>
        <v>-6.0410331056772293E-2</v>
      </c>
      <c r="BJ26" s="1322">
        <f>BS!BJ30-BS!BI30</f>
        <v>2.6934572715197902</v>
      </c>
      <c r="BK26" s="1323">
        <f>BS!BK30-BS!BJ30</f>
        <v>1.6443136088593775</v>
      </c>
      <c r="BL26" s="20"/>
      <c r="BM26" s="218">
        <f t="shared" si="132"/>
        <v>30.885000000000005</v>
      </c>
      <c r="BN26" s="218">
        <f t="shared" si="133"/>
        <v>-12.278000000000002</v>
      </c>
      <c r="BO26" s="218">
        <f t="shared" si="134"/>
        <v>-13.382999999999999</v>
      </c>
      <c r="BP26" s="218">
        <f t="shared" si="135"/>
        <v>-5.9880000000000013</v>
      </c>
      <c r="BQ26" s="218">
        <f t="shared" si="136"/>
        <v>41.191000000000003</v>
      </c>
      <c r="BR26" s="218">
        <f t="shared" si="137"/>
        <v>-4.7460000000000004</v>
      </c>
      <c r="BS26" s="218">
        <f t="shared" si="138"/>
        <v>25.515000000000001</v>
      </c>
      <c r="BT26" s="218">
        <f t="shared" si="139"/>
        <v>-32.51</v>
      </c>
      <c r="BU26" s="218">
        <f t="shared" si="158"/>
        <v>-11.255000000000001</v>
      </c>
      <c r="BV26" s="218">
        <f t="shared" si="140"/>
        <v>-4.2009999999999996</v>
      </c>
      <c r="BW26" s="218">
        <f t="shared" si="141"/>
        <v>-3.6760000000000002</v>
      </c>
      <c r="BX26" s="218">
        <f t="shared" si="142"/>
        <v>-6.205000000000001</v>
      </c>
      <c r="BY26" s="218">
        <f t="shared" si="143"/>
        <v>1.2534525182959562</v>
      </c>
      <c r="BZ26" s="218">
        <f t="shared" si="144"/>
        <v>-2.5464678277258486</v>
      </c>
      <c r="CA26" s="219">
        <f t="shared" si="66"/>
        <v>3.2407017024470548</v>
      </c>
      <c r="CB26" s="1313"/>
      <c r="CC26" s="1314"/>
      <c r="CD26" s="1314"/>
      <c r="CE26" s="260"/>
      <c r="CF26" s="220">
        <f t="shared" si="145"/>
        <v>-5.5239999999999974</v>
      </c>
      <c r="CG26" s="218">
        <f t="shared" si="146"/>
        <v>2.770999999999999</v>
      </c>
      <c r="CH26" s="218">
        <f t="shared" si="147"/>
        <v>-7.5549999999999997</v>
      </c>
      <c r="CI26" s="218">
        <f t="shared" si="148"/>
        <v>-6.5070000000000032</v>
      </c>
      <c r="CJ26" s="218">
        <f t="shared" si="149"/>
        <v>34.757000000000005</v>
      </c>
      <c r="CK26" s="218">
        <f t="shared" si="150"/>
        <v>-11.183999999999997</v>
      </c>
      <c r="CL26" s="218">
        <f t="shared" si="151"/>
        <v>3.0279999999999987</v>
      </c>
      <c r="CM26" s="218">
        <f t="shared" si="152"/>
        <v>-8.9219999999999953</v>
      </c>
      <c r="CN26" s="218">
        <f t="shared" si="153"/>
        <v>-6.3930000000000007</v>
      </c>
      <c r="CO26" s="218">
        <f t="shared" si="154"/>
        <v>-14.084</v>
      </c>
      <c r="CP26" s="218">
        <f t="shared" si="155"/>
        <v>0.90199999999999925</v>
      </c>
      <c r="CQ26" s="218">
        <f t="shared" si="156"/>
        <v>10.315999999999999</v>
      </c>
      <c r="CR26" s="218">
        <f t="shared" si="157"/>
        <v>-8.552002016592553</v>
      </c>
      <c r="CS26" s="219">
        <f t="shared" si="80"/>
        <v>2.4979175292305484</v>
      </c>
      <c r="CT26" s="22"/>
    </row>
    <row r="27" spans="1:98" ht="14.25" customHeight="1">
      <c r="A27" s="8"/>
      <c r="B27" s="52" t="str">
        <f t="shared" si="1"/>
        <v>Income taxes payable and receivable</v>
      </c>
      <c r="C27" s="53"/>
      <c r="D27" s="220">
        <f t="shared" si="82"/>
        <v>22.169</v>
      </c>
      <c r="E27" s="218">
        <f t="shared" si="83"/>
        <v>-1.0839999999999996</v>
      </c>
      <c r="F27" s="218">
        <f t="shared" si="84"/>
        <v>-10.093</v>
      </c>
      <c r="G27" s="219">
        <f t="shared" si="85"/>
        <v>9.9409999999999989</v>
      </c>
      <c r="H27" s="220">
        <f t="shared" si="86"/>
        <v>45.661999999999999</v>
      </c>
      <c r="I27" s="218">
        <f t="shared" si="87"/>
        <v>-44.576999999999998</v>
      </c>
      <c r="J27" s="218">
        <f t="shared" si="88"/>
        <v>-42.338000000000001</v>
      </c>
      <c r="K27" s="219">
        <f t="shared" si="89"/>
        <v>27.207000000000001</v>
      </c>
      <c r="L27" s="220">
        <f t="shared" si="90"/>
        <v>39.439</v>
      </c>
      <c r="M27" s="218">
        <f t="shared" si="91"/>
        <v>-49.457000000000001</v>
      </c>
      <c r="N27" s="218">
        <f t="shared" si="92"/>
        <v>0</v>
      </c>
      <c r="O27" s="219">
        <f t="shared" si="93"/>
        <v>5.5110000000000028</v>
      </c>
      <c r="P27" s="220">
        <f t="shared" si="94"/>
        <v>21.503</v>
      </c>
      <c r="Q27" s="218">
        <f t="shared" si="95"/>
        <v>-19.021999999999998</v>
      </c>
      <c r="R27" s="218">
        <f t="shared" si="96"/>
        <v>1.1920000000000002</v>
      </c>
      <c r="S27" s="219">
        <f t="shared" si="97"/>
        <v>11.872</v>
      </c>
      <c r="T27" s="220">
        <f t="shared" si="98"/>
        <v>24.49</v>
      </c>
      <c r="U27" s="218">
        <f t="shared" si="99"/>
        <v>-50.564999999999998</v>
      </c>
      <c r="V27" s="218">
        <f t="shared" si="100"/>
        <v>-0.72500000000000142</v>
      </c>
      <c r="W27" s="219">
        <f t="shared" si="101"/>
        <v>44.184000000000012</v>
      </c>
      <c r="X27" s="220">
        <f t="shared" si="102"/>
        <v>0.16400000000000001</v>
      </c>
      <c r="Y27" s="218">
        <f t="shared" si="103"/>
        <v>22.180999999999997</v>
      </c>
      <c r="Z27" s="218">
        <f t="shared" si="104"/>
        <v>-70.201000000000008</v>
      </c>
      <c r="AA27" s="219">
        <f t="shared" si="105"/>
        <v>2.5380000000000122</v>
      </c>
      <c r="AB27" s="218">
        <f t="shared" si="106"/>
        <v>3.698</v>
      </c>
      <c r="AC27" s="218">
        <f t="shared" si="107"/>
        <v>12.619</v>
      </c>
      <c r="AD27" s="218">
        <f t="shared" si="108"/>
        <v>98.321000000000012</v>
      </c>
      <c r="AE27" s="219">
        <f t="shared" si="109"/>
        <v>20.329000000000001</v>
      </c>
      <c r="AF27" s="218">
        <f t="shared" si="110"/>
        <v>10.461</v>
      </c>
      <c r="AG27" s="218">
        <f t="shared" si="111"/>
        <v>37.476999999999997</v>
      </c>
      <c r="AH27" s="218">
        <f t="shared" si="112"/>
        <v>9.1</v>
      </c>
      <c r="AI27" s="219">
        <f t="shared" si="113"/>
        <v>13.118000000000007</v>
      </c>
      <c r="AJ27" s="218">
        <f t="shared" si="114"/>
        <v>11.393000000000001</v>
      </c>
      <c r="AK27" s="218">
        <f t="shared" si="115"/>
        <v>19.001999999999999</v>
      </c>
      <c r="AL27" s="218">
        <f t="shared" si="116"/>
        <v>14.244000000000003</v>
      </c>
      <c r="AM27" s="219">
        <f t="shared" si="117"/>
        <v>9.8529999999999909</v>
      </c>
      <c r="AN27" s="218">
        <f t="shared" si="118"/>
        <v>-12.289</v>
      </c>
      <c r="AO27" s="218">
        <f t="shared" si="119"/>
        <v>12.834999999999999</v>
      </c>
      <c r="AP27" s="218">
        <f t="shared" si="120"/>
        <v>22.587</v>
      </c>
      <c r="AQ27" s="219">
        <f t="shared" si="121"/>
        <v>39.217000000000006</v>
      </c>
      <c r="AR27" s="218">
        <f t="shared" si="122"/>
        <v>34.127000000000002</v>
      </c>
      <c r="AS27" s="218">
        <f t="shared" si="123"/>
        <v>-26.875000000000004</v>
      </c>
      <c r="AT27" s="218">
        <f t="shared" si="124"/>
        <v>29.597000000000001</v>
      </c>
      <c r="AU27" s="219">
        <f t="shared" si="125"/>
        <v>19.791999999999994</v>
      </c>
      <c r="AV27" s="218">
        <f t="shared" si="126"/>
        <v>0.11</v>
      </c>
      <c r="AW27" s="218">
        <f t="shared" si="127"/>
        <v>17.138000000000002</v>
      </c>
      <c r="AX27" s="218">
        <f t="shared" si="128"/>
        <v>20.931000000000001</v>
      </c>
      <c r="AY27" s="219">
        <f t="shared" si="129"/>
        <v>22.619000000000003</v>
      </c>
      <c r="AZ27" s="218">
        <f t="shared" si="130"/>
        <v>16.332999999999998</v>
      </c>
      <c r="BA27" s="218">
        <f t="shared" si="131"/>
        <v>234.26400000000001</v>
      </c>
      <c r="BB27" s="1500">
        <v>30.067</v>
      </c>
      <c r="BC27" s="1323">
        <f>BS!BB15-BS!BC15+BS!BB25-BS!BC25+BS!BC31-BS!BB31+BS!BC40-BS!BB40</f>
        <v>0</v>
      </c>
      <c r="BD27" s="1322">
        <f>BS!BC15-BS!BD15+BS!BC25-BS!BD25+BS!BD31-BS!BC31+BS!BD40-BS!BC40</f>
        <v>0</v>
      </c>
      <c r="BE27" s="1322">
        <f>BS!BD15-BS!BE15+BS!BD25-BS!BE25+BS!BE31-BS!BD31+BS!BE40-BS!BD40</f>
        <v>0</v>
      </c>
      <c r="BF27" s="1322">
        <f>BS!BE15-BS!BF15+BS!BE25-BS!BF25+BS!BF31-BS!BE31+BS!BF40-BS!BE40</f>
        <v>0</v>
      </c>
      <c r="BG27" s="1323">
        <f>BS!BF15-BS!BG15+BS!BF25-BS!BG25+BS!BG31-BS!BF31+BS!BG40-BS!BF40</f>
        <v>0</v>
      </c>
      <c r="BH27" s="1322">
        <f>BS!BG15-BS!BH15+BS!BG25-BS!BH25+BS!BH31-BS!BG31+BS!BH40-BS!BG40</f>
        <v>0</v>
      </c>
      <c r="BI27" s="1322">
        <f>BS!BH15-BS!BI15+BS!BH25-BS!BI25+BS!BI31-BS!BH31+BS!BI40-BS!BH40</f>
        <v>0</v>
      </c>
      <c r="BJ27" s="1322">
        <f>BS!BI15-BS!BJ15+BS!BI25-BS!BJ25+BS!BJ31-BS!BI31+BS!BJ40-BS!BI40</f>
        <v>0</v>
      </c>
      <c r="BK27" s="1323">
        <f>BS!BJ15-BS!BK15+BS!BJ25-BS!BK25+BS!BK31-BS!BJ31+BS!BK40-BS!BJ40</f>
        <v>0</v>
      </c>
      <c r="BL27" s="20"/>
      <c r="BM27" s="218">
        <f>SUM(D27:G27)</f>
        <v>20.933</v>
      </c>
      <c r="BN27" s="218">
        <f>SUM(H27:K27)</f>
        <v>-14.045999999999999</v>
      </c>
      <c r="BO27" s="218">
        <f>SUM(L27:O27)</f>
        <v>-4.5069999999999979</v>
      </c>
      <c r="BP27" s="218">
        <f>SUM(P27:S27)</f>
        <v>15.545000000000002</v>
      </c>
      <c r="BQ27" s="218">
        <f>SUM(T27:W27)</f>
        <v>17.384000000000011</v>
      </c>
      <c r="BR27" s="218">
        <f>SUM(X27:AA27)</f>
        <v>-45.317999999999998</v>
      </c>
      <c r="BS27" s="218">
        <f>SUM(AB27:AE27)</f>
        <v>134.96700000000001</v>
      </c>
      <c r="BT27" s="218">
        <f>SUM(AF27:AI27)</f>
        <v>70.156000000000006</v>
      </c>
      <c r="BU27" s="218">
        <f>SUM(AJ27:AM27)</f>
        <v>54.49199999999999</v>
      </c>
      <c r="BV27" s="218">
        <f t="shared" si="140"/>
        <v>62.350000000000009</v>
      </c>
      <c r="BW27" s="218">
        <f t="shared" si="141"/>
        <v>56.640999999999998</v>
      </c>
      <c r="BX27" s="218">
        <f t="shared" si="142"/>
        <v>60.798000000000002</v>
      </c>
      <c r="BY27" s="218">
        <f t="shared" si="143"/>
        <v>280.66399999999999</v>
      </c>
      <c r="BZ27" s="218">
        <f t="shared" si="144"/>
        <v>0</v>
      </c>
      <c r="CA27" s="219">
        <f t="shared" si="66"/>
        <v>0</v>
      </c>
      <c r="CB27" s="1313"/>
      <c r="CC27" s="1314"/>
      <c r="CD27" s="1314"/>
      <c r="CE27" s="260"/>
      <c r="CF27" s="220">
        <f t="shared" si="145"/>
        <v>0.93299999999999983</v>
      </c>
      <c r="CG27" s="218">
        <f t="shared" si="146"/>
        <v>-25.149000000000001</v>
      </c>
      <c r="CH27" s="218">
        <f t="shared" si="147"/>
        <v>7.9920000000000044</v>
      </c>
      <c r="CI27" s="218">
        <f t="shared" si="148"/>
        <v>-13.010999999999996</v>
      </c>
      <c r="CJ27" s="218">
        <f t="shared" si="149"/>
        <v>65.804000000000002</v>
      </c>
      <c r="CK27" s="218">
        <f t="shared" si="150"/>
        <v>-51.345999999999997</v>
      </c>
      <c r="CL27" s="218">
        <f t="shared" si="151"/>
        <v>166.58800000000002</v>
      </c>
      <c r="CM27" s="218">
        <f t="shared" si="152"/>
        <v>52.613</v>
      </c>
      <c r="CN27" s="218">
        <f t="shared" si="153"/>
        <v>24.642999999999994</v>
      </c>
      <c r="CO27" s="218">
        <f t="shared" si="154"/>
        <v>69.056000000000012</v>
      </c>
      <c r="CP27" s="218">
        <f t="shared" si="155"/>
        <v>66.637</v>
      </c>
      <c r="CQ27" s="218">
        <f t="shared" si="156"/>
        <v>294.14699999999999</v>
      </c>
      <c r="CR27" s="218">
        <f t="shared" si="157"/>
        <v>30.067</v>
      </c>
      <c r="CS27" s="219">
        <f t="shared" si="80"/>
        <v>0</v>
      </c>
      <c r="CT27" s="22"/>
    </row>
    <row r="28" spans="1:98" ht="14.25" customHeight="1">
      <c r="A28" s="8"/>
      <c r="B28" s="52" t="str">
        <f t="shared" si="1"/>
        <v>Deferred income on shipments to distributors</v>
      </c>
      <c r="C28" s="53"/>
      <c r="D28" s="220">
        <f t="shared" si="82"/>
        <v>-0.97799999999999998</v>
      </c>
      <c r="E28" s="218">
        <f t="shared" si="83"/>
        <v>0.15300000000000002</v>
      </c>
      <c r="F28" s="218">
        <f t="shared" si="84"/>
        <v>3.0330000000000004</v>
      </c>
      <c r="G28" s="219">
        <f t="shared" si="85"/>
        <v>-1.3060000000000003</v>
      </c>
      <c r="H28" s="220">
        <f t="shared" si="86"/>
        <v>1.1259999999999999</v>
      </c>
      <c r="I28" s="218">
        <f t="shared" si="87"/>
        <v>-1.0619999999999998</v>
      </c>
      <c r="J28" s="218">
        <f t="shared" si="88"/>
        <v>2.621</v>
      </c>
      <c r="K28" s="219">
        <f t="shared" si="89"/>
        <v>-0.17100000000000026</v>
      </c>
      <c r="L28" s="220">
        <f t="shared" si="90"/>
        <v>-1.9139999999999999</v>
      </c>
      <c r="M28" s="218">
        <f t="shared" si="91"/>
        <v>0.52299999999999991</v>
      </c>
      <c r="N28" s="218">
        <f t="shared" si="92"/>
        <v>-2.4590000000000005</v>
      </c>
      <c r="O28" s="219">
        <f t="shared" si="93"/>
        <v>1.6560000000000006</v>
      </c>
      <c r="P28" s="220">
        <f t="shared" si="94"/>
        <v>-0.13800000000000001</v>
      </c>
      <c r="Q28" s="218">
        <f t="shared" si="95"/>
        <v>-0.71199999999999997</v>
      </c>
      <c r="R28" s="218">
        <f t="shared" si="96"/>
        <v>-2.5869999999999997</v>
      </c>
      <c r="S28" s="219">
        <f t="shared" si="97"/>
        <v>-1.2500000000000004</v>
      </c>
      <c r="T28" s="220">
        <f t="shared" si="98"/>
        <v>2.004</v>
      </c>
      <c r="U28" s="218">
        <f t="shared" si="99"/>
        <v>-0.53699999999999992</v>
      </c>
      <c r="V28" s="218">
        <f t="shared" si="100"/>
        <v>2.8779999999999997</v>
      </c>
      <c r="W28" s="219">
        <f t="shared" si="101"/>
        <v>4.6749999999999989</v>
      </c>
      <c r="X28" s="220">
        <f t="shared" si="102"/>
        <v>6.5069999999999997</v>
      </c>
      <c r="Y28" s="218">
        <f t="shared" si="103"/>
        <v>1.979000000000001</v>
      </c>
      <c r="Z28" s="218">
        <f t="shared" si="104"/>
        <v>1.3059999999999992</v>
      </c>
      <c r="AA28" s="219">
        <f t="shared" si="105"/>
        <v>1.3100000000000005</v>
      </c>
      <c r="AB28" s="218">
        <f t="shared" si="106"/>
        <v>-2.3010000000000002</v>
      </c>
      <c r="AC28" s="218">
        <f t="shared" si="107"/>
        <v>-3.444</v>
      </c>
      <c r="AD28" s="218">
        <f t="shared" si="108"/>
        <v>-2.4069999999999991</v>
      </c>
      <c r="AE28" s="219">
        <f t="shared" si="109"/>
        <v>-2.448999999999999</v>
      </c>
      <c r="AF28" s="218">
        <f t="shared" si="110"/>
        <v>0.745</v>
      </c>
      <c r="AG28" s="218">
        <f t="shared" si="111"/>
        <v>-1.663</v>
      </c>
      <c r="AH28" s="218">
        <f t="shared" si="112"/>
        <v>0.48899999999999999</v>
      </c>
      <c r="AI28" s="219">
        <f t="shared" si="113"/>
        <v>0.70600000000000007</v>
      </c>
      <c r="AJ28" s="218">
        <f t="shared" si="114"/>
        <v>0.622</v>
      </c>
      <c r="AK28" s="218">
        <f t="shared" si="115"/>
        <v>-1.637</v>
      </c>
      <c r="AL28" s="218">
        <f t="shared" si="116"/>
        <v>-1.2829999999999999</v>
      </c>
      <c r="AM28" s="219">
        <f t="shared" si="117"/>
        <v>1.4750000000000001</v>
      </c>
      <c r="AN28" s="218">
        <f t="shared" si="118"/>
        <v>1.087</v>
      </c>
      <c r="AO28" s="218">
        <f t="shared" si="119"/>
        <v>0.28200000000000003</v>
      </c>
      <c r="AP28" s="218">
        <f t="shared" si="120"/>
        <v>3.4470000000000001</v>
      </c>
      <c r="AQ28" s="219">
        <f t="shared" si="121"/>
        <v>-0.22300000000000009</v>
      </c>
      <c r="AR28" s="218">
        <f t="shared" si="122"/>
        <v>4.7640000000000002</v>
      </c>
      <c r="AS28" s="218">
        <f t="shared" si="123"/>
        <v>-3.024</v>
      </c>
      <c r="AT28" s="218">
        <f t="shared" si="124"/>
        <v>2.3899999999999997</v>
      </c>
      <c r="AU28" s="219">
        <f t="shared" si="125"/>
        <v>4.3220000000000001</v>
      </c>
      <c r="AV28" s="218">
        <f t="shared" si="126"/>
        <v>-3.0249999999999999</v>
      </c>
      <c r="AW28" s="218">
        <f t="shared" si="127"/>
        <v>0.38300000000000001</v>
      </c>
      <c r="AX28" s="218">
        <f t="shared" si="128"/>
        <v>-0.41300000000000026</v>
      </c>
      <c r="AY28" s="219">
        <f t="shared" si="129"/>
        <v>-20.75</v>
      </c>
      <c r="AZ28" s="218">
        <f t="shared" si="130"/>
        <v>2.02</v>
      </c>
      <c r="BA28" s="218">
        <f t="shared" si="131"/>
        <v>-16.994</v>
      </c>
      <c r="BB28" s="1500">
        <v>0</v>
      </c>
      <c r="BC28" s="1323">
        <f>BS!BB20-BS!BC20+BS!BC41-BS!BB41</f>
        <v>0</v>
      </c>
      <c r="BD28" s="1322">
        <f>BS!BC20-BS!BD20+BS!BD41-BS!BC41</f>
        <v>0</v>
      </c>
      <c r="BE28" s="1322">
        <f>BS!BD20-BS!BE20+BS!BE41-BS!BD41</f>
        <v>0</v>
      </c>
      <c r="BF28" s="1322">
        <f>BS!BE20-BS!BF20+BS!BF41-BS!BE41</f>
        <v>0</v>
      </c>
      <c r="BG28" s="1323">
        <f>BS!BF20-BS!BG20+BS!BG41-BS!BF41</f>
        <v>0</v>
      </c>
      <c r="BH28" s="1322">
        <f>BS!BG20-BS!BH20+BS!BH41-BS!BG41</f>
        <v>0</v>
      </c>
      <c r="BI28" s="1322">
        <f>BS!BH20-BS!BI20+BS!BI41-BS!BH41</f>
        <v>0</v>
      </c>
      <c r="BJ28" s="1322">
        <f>BS!BI20-BS!BJ20+BS!BJ41-BS!BI41</f>
        <v>0</v>
      </c>
      <c r="BK28" s="1323">
        <f>BS!BJ20-BS!BK20+BS!BK41-BS!BJ41</f>
        <v>0</v>
      </c>
      <c r="BL28" s="20"/>
      <c r="BM28" s="218">
        <f>SUM(D28:G28)</f>
        <v>0.90199999999999991</v>
      </c>
      <c r="BN28" s="218">
        <f>SUM(H28:K28)</f>
        <v>2.5139999999999998</v>
      </c>
      <c r="BO28" s="218">
        <f>SUM(L28:O28)</f>
        <v>-2.194</v>
      </c>
      <c r="BP28" s="218">
        <f>SUM(P28:S28)</f>
        <v>-4.6870000000000003</v>
      </c>
      <c r="BQ28" s="218">
        <f>SUM(T28:W28)</f>
        <v>9.02</v>
      </c>
      <c r="BR28" s="218">
        <f>SUM(X28:AA28)</f>
        <v>11.102</v>
      </c>
      <c r="BS28" s="218">
        <f>SUM(AB28:AE28)</f>
        <v>-10.600999999999999</v>
      </c>
      <c r="BT28" s="218">
        <f>SUM(AF28:AI28)</f>
        <v>0.27700000000000002</v>
      </c>
      <c r="BU28" s="218">
        <f>SUM(AJ28:AM28)</f>
        <v>-0.82299999999999995</v>
      </c>
      <c r="BV28" s="218">
        <f t="shared" si="140"/>
        <v>4.593</v>
      </c>
      <c r="BW28" s="218">
        <f t="shared" si="141"/>
        <v>8.452</v>
      </c>
      <c r="BX28" s="218">
        <f t="shared" si="142"/>
        <v>-23.805</v>
      </c>
      <c r="BY28" s="218">
        <f t="shared" si="143"/>
        <v>-14.974</v>
      </c>
      <c r="BZ28" s="218">
        <f t="shared" si="144"/>
        <v>0</v>
      </c>
      <c r="CA28" s="219">
        <f t="shared" si="66"/>
        <v>0</v>
      </c>
      <c r="CB28" s="1313"/>
      <c r="CC28" s="1314"/>
      <c r="CD28" s="1314"/>
      <c r="CE28" s="260"/>
      <c r="CF28" s="220">
        <f t="shared" si="145"/>
        <v>1.7909999999999999</v>
      </c>
      <c r="CG28" s="218">
        <f t="shared" si="146"/>
        <v>1.0589999999999997</v>
      </c>
      <c r="CH28" s="218">
        <f t="shared" si="147"/>
        <v>-1.653</v>
      </c>
      <c r="CI28" s="218">
        <f t="shared" si="148"/>
        <v>-2.37</v>
      </c>
      <c r="CJ28" s="218">
        <f t="shared" si="149"/>
        <v>16.039000000000001</v>
      </c>
      <c r="CK28" s="218">
        <f t="shared" si="150"/>
        <v>-3.1290000000000004</v>
      </c>
      <c r="CL28" s="218">
        <f t="shared" si="151"/>
        <v>-5.7739999999999982</v>
      </c>
      <c r="CM28" s="218">
        <f t="shared" si="152"/>
        <v>0.18000000000000016</v>
      </c>
      <c r="CN28" s="218">
        <f t="shared" si="153"/>
        <v>1.5610000000000002</v>
      </c>
      <c r="CO28" s="218">
        <f t="shared" si="154"/>
        <v>4.9640000000000004</v>
      </c>
      <c r="CP28" s="218">
        <f t="shared" si="155"/>
        <v>4.07</v>
      </c>
      <c r="CQ28" s="218">
        <f t="shared" si="156"/>
        <v>-36.137</v>
      </c>
      <c r="CR28" s="218">
        <f t="shared" si="157"/>
        <v>0</v>
      </c>
      <c r="CS28" s="219">
        <f t="shared" si="80"/>
        <v>0</v>
      </c>
      <c r="CT28" s="22"/>
    </row>
    <row r="29" spans="1:98" ht="14.25" customHeight="1">
      <c r="A29" s="8"/>
      <c r="B29" s="52" t="str">
        <f t="shared" si="1"/>
        <v>Accrued liabilities</v>
      </c>
      <c r="C29" s="53"/>
      <c r="D29" s="220">
        <f t="shared" si="82"/>
        <v>19.329000000000001</v>
      </c>
      <c r="E29" s="218">
        <f t="shared" si="83"/>
        <v>-20.747</v>
      </c>
      <c r="F29" s="218">
        <f t="shared" si="84"/>
        <v>3.2629999999999981</v>
      </c>
      <c r="G29" s="219">
        <f t="shared" si="85"/>
        <v>34.536999999999999</v>
      </c>
      <c r="H29" s="220">
        <f t="shared" si="86"/>
        <v>7.5659999999999998</v>
      </c>
      <c r="I29" s="218">
        <f t="shared" si="87"/>
        <v>-4.7289999999999992</v>
      </c>
      <c r="J29" s="218">
        <f t="shared" si="88"/>
        <v>-9.4720000000000013</v>
      </c>
      <c r="K29" s="219">
        <f t="shared" si="89"/>
        <v>-11.273999999999997</v>
      </c>
      <c r="L29" s="220">
        <f t="shared" si="90"/>
        <v>-17.422999999999998</v>
      </c>
      <c r="M29" s="218">
        <f t="shared" si="91"/>
        <v>-20.045000000000005</v>
      </c>
      <c r="N29" s="218">
        <f t="shared" si="92"/>
        <v>28.320000000000004</v>
      </c>
      <c r="O29" s="219">
        <f t="shared" si="93"/>
        <v>-2.7959999999999994</v>
      </c>
      <c r="P29" s="220">
        <f t="shared" si="94"/>
        <v>-51.896999999999998</v>
      </c>
      <c r="Q29" s="218">
        <f t="shared" si="95"/>
        <v>-18.865000000000002</v>
      </c>
      <c r="R29" s="218">
        <f t="shared" si="96"/>
        <v>-0.39300000000000068</v>
      </c>
      <c r="S29" s="219">
        <f t="shared" si="97"/>
        <v>-18.887999999999998</v>
      </c>
      <c r="T29" s="220">
        <f t="shared" si="98"/>
        <v>-12.25</v>
      </c>
      <c r="U29" s="218">
        <f t="shared" si="99"/>
        <v>1.1799999999999997</v>
      </c>
      <c r="V29" s="218">
        <f t="shared" si="100"/>
        <v>30.472999999999999</v>
      </c>
      <c r="W29" s="219">
        <f t="shared" si="101"/>
        <v>11.944000000000003</v>
      </c>
      <c r="X29" s="220">
        <f t="shared" si="102"/>
        <v>-19.308</v>
      </c>
      <c r="Y29" s="218">
        <f t="shared" si="103"/>
        <v>3.4949999999999992</v>
      </c>
      <c r="Z29" s="218">
        <f t="shared" si="104"/>
        <v>45.933999999999997</v>
      </c>
      <c r="AA29" s="219">
        <f t="shared" si="105"/>
        <v>17.308000000000007</v>
      </c>
      <c r="AB29" s="218">
        <f t="shared" si="106"/>
        <v>0</v>
      </c>
      <c r="AC29" s="218">
        <f t="shared" si="107"/>
        <v>0</v>
      </c>
      <c r="AD29" s="218">
        <f t="shared" si="108"/>
        <v>0</v>
      </c>
      <c r="AE29" s="219">
        <f t="shared" si="109"/>
        <v>0</v>
      </c>
      <c r="AF29" s="218">
        <f t="shared" si="110"/>
        <v>0</v>
      </c>
      <c r="AG29" s="218">
        <f t="shared" si="111"/>
        <v>0</v>
      </c>
      <c r="AH29" s="218">
        <f t="shared" si="112"/>
        <v>0</v>
      </c>
      <c r="AI29" s="219">
        <f t="shared" si="113"/>
        <v>0</v>
      </c>
      <c r="AJ29" s="218">
        <f t="shared" si="114"/>
        <v>0</v>
      </c>
      <c r="AK29" s="218">
        <f t="shared" si="115"/>
        <v>0</v>
      </c>
      <c r="AL29" s="218">
        <f t="shared" si="116"/>
        <v>0</v>
      </c>
      <c r="AM29" s="219">
        <f t="shared" si="117"/>
        <v>0</v>
      </c>
      <c r="AN29" s="218">
        <f t="shared" si="118"/>
        <v>0</v>
      </c>
      <c r="AO29" s="218">
        <f t="shared" si="119"/>
        <v>0</v>
      </c>
      <c r="AP29" s="218">
        <f t="shared" si="120"/>
        <v>0</v>
      </c>
      <c r="AQ29" s="219">
        <f t="shared" si="121"/>
        <v>0</v>
      </c>
      <c r="AR29" s="218">
        <f t="shared" si="122"/>
        <v>0</v>
      </c>
      <c r="AS29" s="218">
        <f t="shared" si="123"/>
        <v>0</v>
      </c>
      <c r="AT29" s="218">
        <f t="shared" si="124"/>
        <v>0</v>
      </c>
      <c r="AU29" s="219">
        <f t="shared" si="125"/>
        <v>0</v>
      </c>
      <c r="AV29" s="218">
        <f t="shared" si="126"/>
        <v>-55.572000000000003</v>
      </c>
      <c r="AW29" s="218">
        <f t="shared" si="127"/>
        <v>-1.6509999999999962</v>
      </c>
      <c r="AX29" s="218">
        <f t="shared" si="128"/>
        <v>57.222999999999999</v>
      </c>
      <c r="AY29" s="219">
        <f t="shared" si="129"/>
        <v>0</v>
      </c>
      <c r="AZ29" s="218">
        <f t="shared" si="130"/>
        <v>-42.104999999999997</v>
      </c>
      <c r="BA29" s="218">
        <f t="shared" si="131"/>
        <v>10.522999999999996</v>
      </c>
      <c r="BB29" s="1500">
        <v>33.408000000000001</v>
      </c>
      <c r="BC29" s="1323">
        <f>BS!BC33-BS!BB33</f>
        <v>0</v>
      </c>
      <c r="BD29" s="1322">
        <f>BS!BD33-BS!BC33</f>
        <v>0</v>
      </c>
      <c r="BE29" s="1322">
        <f>BS!BE33-BS!BD33</f>
        <v>0</v>
      </c>
      <c r="BF29" s="1322">
        <f>BS!BF33-BS!BE33</f>
        <v>0</v>
      </c>
      <c r="BG29" s="1323">
        <f>BS!BG33-BS!BF33</f>
        <v>0</v>
      </c>
      <c r="BH29" s="1322">
        <f>BS!BH33-BS!BG33</f>
        <v>0</v>
      </c>
      <c r="BI29" s="1322">
        <f>BS!BI33-BS!BH33</f>
        <v>0</v>
      </c>
      <c r="BJ29" s="1322">
        <f>BS!BJ33-BS!BI33</f>
        <v>0</v>
      </c>
      <c r="BK29" s="1323">
        <f>BS!BK33-BS!BJ33</f>
        <v>0</v>
      </c>
      <c r="BL29" s="20"/>
      <c r="BM29" s="218">
        <f t="shared" si="132"/>
        <v>36.381999999999998</v>
      </c>
      <c r="BN29" s="218">
        <f t="shared" si="133"/>
        <v>-17.908999999999999</v>
      </c>
      <c r="BO29" s="218">
        <f t="shared" si="134"/>
        <v>-11.943999999999999</v>
      </c>
      <c r="BP29" s="218">
        <f t="shared" si="135"/>
        <v>-90.043000000000006</v>
      </c>
      <c r="BQ29" s="218">
        <f t="shared" si="136"/>
        <v>31.347000000000001</v>
      </c>
      <c r="BR29" s="218">
        <f t="shared" si="137"/>
        <v>47.429000000000002</v>
      </c>
      <c r="BS29" s="218">
        <f t="shared" si="138"/>
        <v>0</v>
      </c>
      <c r="BT29" s="218">
        <f t="shared" si="139"/>
        <v>0</v>
      </c>
      <c r="BU29" s="218">
        <f t="shared" si="158"/>
        <v>0</v>
      </c>
      <c r="BV29" s="218">
        <f t="shared" si="140"/>
        <v>0</v>
      </c>
      <c r="BW29" s="218">
        <f t="shared" si="141"/>
        <v>0</v>
      </c>
      <c r="BX29" s="218">
        <f t="shared" si="142"/>
        <v>0</v>
      </c>
      <c r="BY29" s="218">
        <f t="shared" si="143"/>
        <v>1.8260000000000005</v>
      </c>
      <c r="BZ29" s="218">
        <f t="shared" si="144"/>
        <v>0</v>
      </c>
      <c r="CA29" s="219">
        <f t="shared" si="66"/>
        <v>0</v>
      </c>
      <c r="CB29" s="1313"/>
      <c r="CC29" s="1314"/>
      <c r="CD29" s="1314"/>
      <c r="CE29" s="260"/>
      <c r="CF29" s="220">
        <f t="shared" si="145"/>
        <v>40.637</v>
      </c>
      <c r="CG29" s="218">
        <f t="shared" si="146"/>
        <v>-58.213999999999999</v>
      </c>
      <c r="CH29" s="218">
        <f t="shared" si="147"/>
        <v>-45.238</v>
      </c>
      <c r="CI29" s="218">
        <f t="shared" si="148"/>
        <v>-30.350999999999999</v>
      </c>
      <c r="CJ29" s="218">
        <f t="shared" si="149"/>
        <v>26.603999999999999</v>
      </c>
      <c r="CK29" s="218">
        <f t="shared" si="150"/>
        <v>63.242000000000004</v>
      </c>
      <c r="CL29" s="218">
        <f t="shared" si="151"/>
        <v>0</v>
      </c>
      <c r="CM29" s="218">
        <f t="shared" si="152"/>
        <v>0</v>
      </c>
      <c r="CN29" s="218">
        <f t="shared" si="153"/>
        <v>0</v>
      </c>
      <c r="CO29" s="218">
        <f t="shared" si="154"/>
        <v>0</v>
      </c>
      <c r="CP29" s="218">
        <f t="shared" si="155"/>
        <v>-57.222999999999999</v>
      </c>
      <c r="CQ29" s="218">
        <f t="shared" si="156"/>
        <v>25.640999999999998</v>
      </c>
      <c r="CR29" s="218">
        <f t="shared" si="157"/>
        <v>33.408000000000001</v>
      </c>
      <c r="CS29" s="219">
        <f t="shared" si="80"/>
        <v>0</v>
      </c>
      <c r="CT29" s="22"/>
    </row>
    <row r="30" spans="1:98" ht="14.25" customHeight="1">
      <c r="A30" s="8"/>
      <c r="B30" s="52" t="s">
        <v>561</v>
      </c>
      <c r="C30" s="53"/>
      <c r="D30" s="220">
        <f t="shared" si="82"/>
        <v>0</v>
      </c>
      <c r="E30" s="218">
        <f t="shared" si="83"/>
        <v>0</v>
      </c>
      <c r="F30" s="218">
        <f t="shared" si="84"/>
        <v>0</v>
      </c>
      <c r="G30" s="219">
        <f t="shared" si="85"/>
        <v>0</v>
      </c>
      <c r="H30" s="220">
        <f t="shared" si="86"/>
        <v>0</v>
      </c>
      <c r="I30" s="218">
        <f t="shared" si="87"/>
        <v>0</v>
      </c>
      <c r="J30" s="218">
        <f t="shared" si="88"/>
        <v>0</v>
      </c>
      <c r="K30" s="219">
        <f t="shared" si="89"/>
        <v>0</v>
      </c>
      <c r="L30" s="220">
        <f t="shared" si="90"/>
        <v>0</v>
      </c>
      <c r="M30" s="218">
        <f t="shared" si="91"/>
        <v>-23.753</v>
      </c>
      <c r="N30" s="218">
        <f t="shared" si="92"/>
        <v>-3.3320000000000007</v>
      </c>
      <c r="O30" s="219">
        <f t="shared" si="93"/>
        <v>-11.290999999999997</v>
      </c>
      <c r="P30" s="220">
        <f t="shared" si="94"/>
        <v>-8.9480000000000004</v>
      </c>
      <c r="Q30" s="218">
        <f t="shared" si="95"/>
        <v>-28.092999999999996</v>
      </c>
      <c r="R30" s="218">
        <f t="shared" si="96"/>
        <v>-1.294000000000004</v>
      </c>
      <c r="S30" s="219">
        <f t="shared" si="97"/>
        <v>-2.3459999999999965</v>
      </c>
      <c r="T30" s="220">
        <f t="shared" si="98"/>
        <v>-0.45300000000000001</v>
      </c>
      <c r="U30" s="218">
        <f t="shared" si="99"/>
        <v>-0.54</v>
      </c>
      <c r="V30" s="218">
        <f t="shared" si="100"/>
        <v>172.82900000000001</v>
      </c>
      <c r="W30" s="219">
        <f t="shared" si="101"/>
        <v>-0.16400000000001064</v>
      </c>
      <c r="X30" s="220">
        <f t="shared" si="102"/>
        <v>-173</v>
      </c>
      <c r="Y30" s="218">
        <f t="shared" si="103"/>
        <v>-0.16399999999998727</v>
      </c>
      <c r="Z30" s="218">
        <f t="shared" si="104"/>
        <v>0</v>
      </c>
      <c r="AA30" s="219">
        <f t="shared" si="105"/>
        <v>0</v>
      </c>
      <c r="AB30" s="218">
        <f t="shared" si="106"/>
        <v>-80.602000000000004</v>
      </c>
      <c r="AC30" s="218">
        <f t="shared" si="107"/>
        <v>3.6310000000000002</v>
      </c>
      <c r="AD30" s="218">
        <f t="shared" si="108"/>
        <v>41.024000000000001</v>
      </c>
      <c r="AE30" s="219">
        <f t="shared" si="109"/>
        <v>-2.2539999999999907</v>
      </c>
      <c r="AF30" s="218">
        <f t="shared" si="110"/>
        <v>-50.667000000000002</v>
      </c>
      <c r="AG30" s="218">
        <f t="shared" si="111"/>
        <v>13.091000000000001</v>
      </c>
      <c r="AH30" s="218">
        <f t="shared" si="112"/>
        <v>64.954999999999998</v>
      </c>
      <c r="AI30" s="219">
        <f t="shared" si="113"/>
        <v>-7.4019999999999939</v>
      </c>
      <c r="AJ30" s="218">
        <f t="shared" si="114"/>
        <v>-67.034999999999997</v>
      </c>
      <c r="AK30" s="218">
        <f t="shared" si="115"/>
        <v>20.703999999999994</v>
      </c>
      <c r="AL30" s="218">
        <f t="shared" si="116"/>
        <v>25.466000000000008</v>
      </c>
      <c r="AM30" s="219">
        <f t="shared" si="117"/>
        <v>9.8819999999999908</v>
      </c>
      <c r="AN30" s="218">
        <f t="shared" si="118"/>
        <v>-51.658999999999999</v>
      </c>
      <c r="AO30" s="218">
        <f t="shared" si="119"/>
        <v>15.838999999999999</v>
      </c>
      <c r="AP30" s="218">
        <f t="shared" si="120"/>
        <v>5.9170000000000016</v>
      </c>
      <c r="AQ30" s="219">
        <f t="shared" si="121"/>
        <v>17.794999999999995</v>
      </c>
      <c r="AR30" s="218">
        <f t="shared" si="122"/>
        <v>-59.835000000000001</v>
      </c>
      <c r="AS30" s="218">
        <f t="shared" si="123"/>
        <v>4.5840000000000032</v>
      </c>
      <c r="AT30" s="218">
        <f t="shared" si="124"/>
        <v>12.646000000000001</v>
      </c>
      <c r="AU30" s="219">
        <f t="shared" si="125"/>
        <v>11.136999999999993</v>
      </c>
      <c r="AV30" s="218">
        <f t="shared" si="126"/>
        <v>-3.964</v>
      </c>
      <c r="AW30" s="218">
        <f t="shared" si="127"/>
        <v>-7.7729999999999997</v>
      </c>
      <c r="AX30" s="218">
        <f t="shared" si="128"/>
        <v>-34.866</v>
      </c>
      <c r="AY30" s="219">
        <f t="shared" si="129"/>
        <v>17.101999999999997</v>
      </c>
      <c r="AZ30" s="218">
        <f t="shared" si="130"/>
        <v>6.0819999999999999</v>
      </c>
      <c r="BA30" s="218">
        <f t="shared" si="131"/>
        <v>-5.2669999999999995</v>
      </c>
      <c r="BB30" s="1500">
        <v>3.2949999999999999</v>
      </c>
      <c r="BC30" s="1323">
        <f>BS!BC34-BS!BB34+BS!BC32-BS!BB32+BS!BC36-BS!BB36</f>
        <v>0</v>
      </c>
      <c r="BD30" s="1322">
        <f>BS!BD34-BS!BC34+BS!BD32-BS!BC32+BS!BD36-BS!BC36</f>
        <v>0</v>
      </c>
      <c r="BE30" s="1322">
        <f>BS!BE34-BS!BD34+BS!BE32-BS!BD32+BS!BE36-BS!BD36</f>
        <v>0</v>
      </c>
      <c r="BF30" s="1322">
        <f>BS!BF34-BS!BE34+BS!BF32-BS!BE32+BS!BF36-BS!BE36</f>
        <v>0</v>
      </c>
      <c r="BG30" s="1323">
        <f>BS!BG34-BS!BF34+BS!BG32-BS!BF32+BS!BG36-BS!BF36</f>
        <v>0</v>
      </c>
      <c r="BH30" s="1322">
        <f>BS!BH34-BS!BG34+BS!BH32-BS!BG32+BS!BH36-BS!BG36</f>
        <v>0</v>
      </c>
      <c r="BI30" s="1322">
        <f>BS!BI34-BS!BH34+BS!BI32-BS!BH32+BS!BI36-BS!BH36</f>
        <v>0</v>
      </c>
      <c r="BJ30" s="1322">
        <f>BS!BJ34-BS!BI34+BS!BJ32-BS!BI32+BS!BJ36-BS!BI36</f>
        <v>0</v>
      </c>
      <c r="BK30" s="1323">
        <f>BS!BK34-BS!BJ34+BS!BK32-BS!BJ32+BS!BK36-BS!BJ36</f>
        <v>0</v>
      </c>
      <c r="BL30" s="20"/>
      <c r="BM30" s="218">
        <f t="shared" si="132"/>
        <v>0</v>
      </c>
      <c r="BN30" s="218">
        <f t="shared" si="133"/>
        <v>0</v>
      </c>
      <c r="BO30" s="218">
        <f t="shared" si="134"/>
        <v>-38.375999999999998</v>
      </c>
      <c r="BP30" s="218">
        <f t="shared" si="135"/>
        <v>-40.680999999999997</v>
      </c>
      <c r="BQ30" s="218">
        <f t="shared" si="136"/>
        <v>171.672</v>
      </c>
      <c r="BR30" s="218">
        <f t="shared" si="137"/>
        <v>-173.16399999999999</v>
      </c>
      <c r="BS30" s="218">
        <f t="shared" si="138"/>
        <v>-38.200999999999993</v>
      </c>
      <c r="BT30" s="218">
        <f t="shared" si="139"/>
        <v>19.977000000000004</v>
      </c>
      <c r="BU30" s="218">
        <f t="shared" si="158"/>
        <v>-10.983000000000004</v>
      </c>
      <c r="BV30" s="218">
        <f t="shared" si="140"/>
        <v>-12.108000000000004</v>
      </c>
      <c r="BW30" s="218">
        <f t="shared" si="141"/>
        <v>-31.468000000000004</v>
      </c>
      <c r="BX30" s="218">
        <f t="shared" si="142"/>
        <v>-29.501000000000005</v>
      </c>
      <c r="BY30" s="218">
        <f t="shared" si="143"/>
        <v>4.1100000000000003</v>
      </c>
      <c r="BZ30" s="218">
        <f t="shared" si="144"/>
        <v>0</v>
      </c>
      <c r="CA30" s="219">
        <f t="shared" si="66"/>
        <v>0</v>
      </c>
      <c r="CB30" s="1313"/>
      <c r="CC30" s="1314"/>
      <c r="CD30" s="1314"/>
      <c r="CE30" s="260"/>
      <c r="CF30" s="220">
        <f t="shared" si="145"/>
        <v>0</v>
      </c>
      <c r="CG30" s="218">
        <f t="shared" si="146"/>
        <v>-23.753</v>
      </c>
      <c r="CH30" s="218">
        <f t="shared" si="147"/>
        <v>-51.663999999999994</v>
      </c>
      <c r="CI30" s="218">
        <f t="shared" si="148"/>
        <v>-4.6330000000000009</v>
      </c>
      <c r="CJ30" s="218">
        <f t="shared" si="149"/>
        <v>-0.49899999999999523</v>
      </c>
      <c r="CK30" s="218">
        <f t="shared" si="150"/>
        <v>-76.971000000000004</v>
      </c>
      <c r="CL30" s="218">
        <f t="shared" si="151"/>
        <v>1.1940000000000097</v>
      </c>
      <c r="CM30" s="218">
        <f t="shared" si="152"/>
        <v>11.222000000000001</v>
      </c>
      <c r="CN30" s="218">
        <f t="shared" si="153"/>
        <v>-0.47200000000000131</v>
      </c>
      <c r="CO30" s="218">
        <f t="shared" si="154"/>
        <v>-31.539000000000001</v>
      </c>
      <c r="CP30" s="218">
        <f t="shared" si="155"/>
        <v>12.045999999999996</v>
      </c>
      <c r="CQ30" s="218">
        <f t="shared" si="156"/>
        <v>-16.949000000000002</v>
      </c>
      <c r="CR30" s="218">
        <f t="shared" si="157"/>
        <v>3.2949999999999999</v>
      </c>
      <c r="CS30" s="219">
        <f t="shared" si="80"/>
        <v>0</v>
      </c>
      <c r="CT30" s="22"/>
    </row>
    <row r="31" spans="1:98" ht="14.25" customHeight="1" thickBot="1">
      <c r="A31" s="8"/>
      <c r="B31" s="224" t="str">
        <f>B130</f>
        <v>Net cash provided by operating activities</v>
      </c>
      <c r="C31" s="225"/>
      <c r="D31" s="227">
        <f t="shared" ref="D31:AL31" si="159">D11+SUM(D13:D21)+SUM(D23:D30)</f>
        <v>173.75100000000003</v>
      </c>
      <c r="E31" s="226">
        <f t="shared" si="159"/>
        <v>128.82799999999997</v>
      </c>
      <c r="F31" s="226">
        <f t="shared" si="159"/>
        <v>125.25300000000004</v>
      </c>
      <c r="G31" s="228">
        <f t="shared" si="159"/>
        <v>191.27799999999979</v>
      </c>
      <c r="H31" s="227">
        <f t="shared" si="159"/>
        <v>213.892</v>
      </c>
      <c r="I31" s="226">
        <f t="shared" si="159"/>
        <v>87.224999999999994</v>
      </c>
      <c r="J31" s="226">
        <f t="shared" si="159"/>
        <v>148.12400000000002</v>
      </c>
      <c r="K31" s="228">
        <f t="shared" si="159"/>
        <v>167.31799999999984</v>
      </c>
      <c r="L31" s="227">
        <f t="shared" si="159"/>
        <v>175.40200000000004</v>
      </c>
      <c r="M31" s="226">
        <f t="shared" si="159"/>
        <v>65.31699999999995</v>
      </c>
      <c r="N31" s="226">
        <f t="shared" si="159"/>
        <v>156.143</v>
      </c>
      <c r="O31" s="228">
        <f t="shared" si="159"/>
        <v>122.56199999999998</v>
      </c>
      <c r="P31" s="227">
        <f t="shared" si="159"/>
        <v>157.06400000000005</v>
      </c>
      <c r="Q31" s="226">
        <f t="shared" si="159"/>
        <v>72.415000000000134</v>
      </c>
      <c r="R31" s="226">
        <f t="shared" si="159"/>
        <v>105.96499999999993</v>
      </c>
      <c r="S31" s="228">
        <f t="shared" si="159"/>
        <v>110.35100000000025</v>
      </c>
      <c r="T31" s="227">
        <f t="shared" si="159"/>
        <v>138.51499999999999</v>
      </c>
      <c r="U31" s="226">
        <f t="shared" si="159"/>
        <v>30.96099999999997</v>
      </c>
      <c r="V31" s="226">
        <f t="shared" si="159"/>
        <v>164.477</v>
      </c>
      <c r="W31" s="228">
        <f t="shared" si="159"/>
        <v>156.99999999999997</v>
      </c>
      <c r="X31" s="227">
        <f t="shared" si="159"/>
        <v>158.49900000000008</v>
      </c>
      <c r="Y31" s="226">
        <f t="shared" si="159"/>
        <v>199.98400000000007</v>
      </c>
      <c r="Z31" s="226">
        <f t="shared" si="159"/>
        <v>256.69699999999995</v>
      </c>
      <c r="AA31" s="228">
        <f t="shared" si="159"/>
        <v>246.27399999999975</v>
      </c>
      <c r="AB31" s="226">
        <f t="shared" si="159"/>
        <v>120.80899999999997</v>
      </c>
      <c r="AC31" s="226">
        <f t="shared" si="159"/>
        <v>249.32000000000005</v>
      </c>
      <c r="AD31" s="226">
        <f t="shared" si="159"/>
        <v>196.50599999999997</v>
      </c>
      <c r="AE31" s="228">
        <f t="shared" si="159"/>
        <v>190.08699999999999</v>
      </c>
      <c r="AF31" s="226">
        <f t="shared" si="159"/>
        <v>136.745</v>
      </c>
      <c r="AG31" s="226">
        <f t="shared" si="159"/>
        <v>255.09700000000001</v>
      </c>
      <c r="AH31" s="226">
        <f t="shared" si="159"/>
        <v>211.69299999999993</v>
      </c>
      <c r="AI31" s="228">
        <f t="shared" si="159"/>
        <v>214.40000000000003</v>
      </c>
      <c r="AJ31" s="226">
        <f t="shared" si="159"/>
        <v>95.894000000000062</v>
      </c>
      <c r="AK31" s="226">
        <f>AK11+SUM(AK13:AK21)+SUM(AK23:AK30)</f>
        <v>234.43099999999998</v>
      </c>
      <c r="AL31" s="226">
        <f t="shared" si="159"/>
        <v>211.69800000000004</v>
      </c>
      <c r="AM31" s="228">
        <f t="shared" ref="AM31:AR31" si="160">AM11+SUM(AM13:AM21)+SUM(AM23:AM30)</f>
        <v>234.08399999999995</v>
      </c>
      <c r="AN31" s="226">
        <f t="shared" si="160"/>
        <v>116.99700000000003</v>
      </c>
      <c r="AO31" s="226">
        <f t="shared" si="160"/>
        <v>172.85499999999999</v>
      </c>
      <c r="AP31" s="226">
        <f t="shared" si="160"/>
        <v>182.06399999999999</v>
      </c>
      <c r="AQ31" s="228">
        <f t="shared" si="160"/>
        <v>221.79000000000005</v>
      </c>
      <c r="AR31" s="226">
        <f t="shared" si="160"/>
        <v>117.33900000000001</v>
      </c>
      <c r="AS31" s="226">
        <f t="shared" ref="AS31:BC31" si="161">AS11+SUM(AS13:AS21)+SUM(AS23:AS30)</f>
        <v>182.48899999999992</v>
      </c>
      <c r="AT31" s="226">
        <f t="shared" si="161"/>
        <v>167.98599999999993</v>
      </c>
      <c r="AU31" s="228">
        <f t="shared" si="161"/>
        <v>254.071</v>
      </c>
      <c r="AV31" s="226">
        <f t="shared" si="161"/>
        <v>123.40199999999994</v>
      </c>
      <c r="AW31" s="226">
        <f>AW11+SUM(AW13:AW21)+SUM(AW23:AW30)</f>
        <v>192.63000000000002</v>
      </c>
      <c r="AX31" s="226">
        <f>AX11+SUM(AX13:AX21)+SUM(AX23:AX30)</f>
        <v>220.69700000000003</v>
      </c>
      <c r="AY31" s="228">
        <f>AY11+SUM(AY13:AY21)+SUM(AY23:AY30)</f>
        <v>236.92800000000005</v>
      </c>
      <c r="AZ31" s="226">
        <f>AZ11+SUM(AZ13:AZ21)+SUM(AZ23:AZ30)</f>
        <v>219.70500000000004</v>
      </c>
      <c r="BA31" s="226">
        <f>BA11+SUM(BA13:BA21)+SUM(BA23:BA30)</f>
        <v>229.87399999999994</v>
      </c>
      <c r="BB31" s="226">
        <f t="shared" si="161"/>
        <v>223.22500000000002</v>
      </c>
      <c r="BC31" s="228">
        <f t="shared" si="161"/>
        <v>222.35186326151347</v>
      </c>
      <c r="BD31" s="226">
        <f t="shared" ref="BD31:BK31" si="162">BD11+SUM(BD13:BD21)+SUM(BD23:BD30)</f>
        <v>264.05175184089683</v>
      </c>
      <c r="BE31" s="226">
        <f t="shared" si="162"/>
        <v>242.90408003994858</v>
      </c>
      <c r="BF31" s="226">
        <f t="shared" si="162"/>
        <v>235.90785725203358</v>
      </c>
      <c r="BG31" s="226">
        <f t="shared" si="162"/>
        <v>262.44380080681589</v>
      </c>
      <c r="BH31" s="226">
        <f t="shared" si="162"/>
        <v>268.50716591135722</v>
      </c>
      <c r="BI31" s="226">
        <f t="shared" si="162"/>
        <v>260.72656109423428</v>
      </c>
      <c r="BJ31" s="226">
        <f t="shared" si="162"/>
        <v>254.1884400191814</v>
      </c>
      <c r="BK31" s="226">
        <f t="shared" si="162"/>
        <v>271.20921096984546</v>
      </c>
      <c r="BL31" s="20"/>
      <c r="BM31" s="226">
        <f t="shared" ref="BM31:BW31" si="163">BM11+SUM(BM13:BM21)+SUM(BM23:BM30)</f>
        <v>619.1099999999999</v>
      </c>
      <c r="BN31" s="226">
        <f t="shared" si="163"/>
        <v>616.55899999999974</v>
      </c>
      <c r="BO31" s="226">
        <f t="shared" si="163"/>
        <v>519.42399999999998</v>
      </c>
      <c r="BP31" s="226">
        <f t="shared" si="163"/>
        <v>445.7950000000003</v>
      </c>
      <c r="BQ31" s="226">
        <f t="shared" si="163"/>
        <v>490.95299999999997</v>
      </c>
      <c r="BR31" s="226">
        <f t="shared" si="163"/>
        <v>861.45399999999984</v>
      </c>
      <c r="BS31" s="226">
        <f t="shared" si="163"/>
        <v>756.72199999999998</v>
      </c>
      <c r="BT31" s="226">
        <f t="shared" si="163"/>
        <v>817.93500000000006</v>
      </c>
      <c r="BU31" s="226">
        <f t="shared" si="163"/>
        <v>776.10699999999997</v>
      </c>
      <c r="BV31" s="226">
        <f t="shared" si="163"/>
        <v>693.70600000000013</v>
      </c>
      <c r="BW31" s="226">
        <f t="shared" si="163"/>
        <v>721.88499999999988</v>
      </c>
      <c r="BX31" s="226">
        <f>BX11+SUM(BX13:BX21)+SUM(BX23:BX30)</f>
        <v>773.65700000000004</v>
      </c>
      <c r="BY31" s="226">
        <f>BY11+SUM(BY13:BY21)+SUM(BY23:BY30)</f>
        <v>895.15586326151333</v>
      </c>
      <c r="BZ31" s="226">
        <f>BZ11+SUM(BZ13:BZ21)+SUM(BZ23:BZ30)</f>
        <v>1005.3074899396948</v>
      </c>
      <c r="CA31" s="228">
        <f>CA11+SUM(CA13:CA21)+SUM(CA23:CA30)</f>
        <v>1054.6313779946186</v>
      </c>
      <c r="CB31" s="233"/>
      <c r="CC31" s="232"/>
      <c r="CD31" s="232"/>
      <c r="CE31" s="260"/>
      <c r="CF31" s="227">
        <f t="shared" ref="CF31:CO31" si="164">CF11+SUM(CF13:CF21)+SUM(CF23:CF30)</f>
        <v>617.64799999999968</v>
      </c>
      <c r="CG31" s="226">
        <f t="shared" si="164"/>
        <v>556.16099999999983</v>
      </c>
      <c r="CH31" s="226">
        <f t="shared" si="164"/>
        <v>508.1840000000002</v>
      </c>
      <c r="CI31" s="226">
        <f t="shared" si="164"/>
        <v>385.7920000000002</v>
      </c>
      <c r="CJ31" s="226">
        <f t="shared" si="164"/>
        <v>679.96</v>
      </c>
      <c r="CK31" s="226">
        <f t="shared" si="164"/>
        <v>873.0999999999998</v>
      </c>
      <c r="CL31" s="226">
        <f t="shared" si="164"/>
        <v>778.43500000000006</v>
      </c>
      <c r="CM31" s="226">
        <f t="shared" si="164"/>
        <v>756.41800000000012</v>
      </c>
      <c r="CN31" s="226">
        <f t="shared" si="164"/>
        <v>735.6339999999999</v>
      </c>
      <c r="CO31" s="226">
        <f t="shared" si="164"/>
        <v>703.68200000000013</v>
      </c>
      <c r="CP31" s="226">
        <f>CP11+SUM(CP13:CP21)+SUM(CP23:CP30)</f>
        <v>738.08899999999994</v>
      </c>
      <c r="CQ31" s="226">
        <f>CQ11+SUM(CQ13:CQ21)+SUM(CQ23:CQ30)</f>
        <v>907.20399999999995</v>
      </c>
      <c r="CR31" s="226">
        <f>CR11+SUM(CR13:CR21)+SUM(CR23:CR30)</f>
        <v>952.5326951423591</v>
      </c>
      <c r="CS31" s="228">
        <f>CS11+SUM(CS13:CS21)+SUM(CS23:CS30)</f>
        <v>1027.585385064441</v>
      </c>
      <c r="CT31" s="22"/>
    </row>
    <row r="32" spans="1:98" ht="14.25" customHeight="1" thickTop="1">
      <c r="A32" s="8"/>
      <c r="B32" s="23"/>
      <c r="C32" s="24"/>
      <c r="D32" s="220"/>
      <c r="E32" s="218"/>
      <c r="F32" s="218"/>
      <c r="G32" s="219"/>
      <c r="H32" s="220"/>
      <c r="I32" s="218"/>
      <c r="J32" s="218"/>
      <c r="K32" s="219"/>
      <c r="L32" s="220"/>
      <c r="M32" s="218"/>
      <c r="N32" s="218"/>
      <c r="O32" s="219"/>
      <c r="P32" s="220"/>
      <c r="Q32" s="218"/>
      <c r="R32" s="218"/>
      <c r="S32" s="219"/>
      <c r="T32" s="220"/>
      <c r="U32" s="218"/>
      <c r="V32" s="218"/>
      <c r="W32" s="219"/>
      <c r="X32" s="220"/>
      <c r="Y32" s="218"/>
      <c r="Z32" s="218"/>
      <c r="AA32" s="219"/>
      <c r="AB32" s="218"/>
      <c r="AC32" s="218"/>
      <c r="AD32" s="218"/>
      <c r="AE32" s="219"/>
      <c r="AF32" s="218"/>
      <c r="AG32" s="218"/>
      <c r="AH32" s="218"/>
      <c r="AI32" s="219"/>
      <c r="AJ32" s="218"/>
      <c r="AK32" s="218"/>
      <c r="AL32" s="218"/>
      <c r="AM32" s="219"/>
      <c r="AN32" s="218"/>
      <c r="AO32" s="218"/>
      <c r="AP32" s="218"/>
      <c r="AQ32" s="219"/>
      <c r="AR32" s="218"/>
      <c r="AS32" s="218"/>
      <c r="AT32" s="218"/>
      <c r="AU32" s="219"/>
      <c r="AV32" s="218"/>
      <c r="AW32" s="218"/>
      <c r="AX32" s="218"/>
      <c r="AY32" s="219"/>
      <c r="AZ32" s="218"/>
      <c r="BA32" s="218"/>
      <c r="BB32" s="221"/>
      <c r="BC32" s="222"/>
      <c r="BD32" s="221"/>
      <c r="BE32" s="221"/>
      <c r="BF32" s="221"/>
      <c r="BG32" s="221"/>
      <c r="BH32" s="1428"/>
      <c r="BI32" s="221"/>
      <c r="BJ32" s="221"/>
      <c r="BK32" s="221"/>
      <c r="BL32" s="20"/>
      <c r="BM32" s="221"/>
      <c r="BN32" s="221"/>
      <c r="BO32" s="221"/>
      <c r="BP32" s="221"/>
      <c r="BQ32" s="221"/>
      <c r="BR32" s="221"/>
      <c r="BS32" s="221"/>
      <c r="BT32" s="221"/>
      <c r="BU32" s="221"/>
      <c r="BV32" s="221"/>
      <c r="BW32" s="221"/>
      <c r="BX32" s="221"/>
      <c r="BY32" s="221"/>
      <c r="BZ32" s="221"/>
      <c r="CA32" s="222"/>
      <c r="CB32" s="223"/>
      <c r="CC32" s="221"/>
      <c r="CD32" s="221"/>
      <c r="CE32" s="260"/>
      <c r="CF32" s="223"/>
      <c r="CG32" s="221"/>
      <c r="CH32" s="221"/>
      <c r="CI32" s="221"/>
      <c r="CJ32" s="221"/>
      <c r="CK32" s="221"/>
      <c r="CL32" s="221"/>
      <c r="CM32" s="221"/>
      <c r="CN32" s="221"/>
      <c r="CO32" s="221"/>
      <c r="CP32" s="221"/>
      <c r="CQ32" s="221"/>
      <c r="CR32" s="221"/>
      <c r="CS32" s="222"/>
      <c r="CT32" s="22"/>
    </row>
    <row r="33" spans="1:98" ht="14.25" customHeight="1">
      <c r="A33" s="8"/>
      <c r="B33" s="47" t="str">
        <f t="shared" ref="B33:B41" si="165">B132</f>
        <v>Cash flows from investing activities:</v>
      </c>
      <c r="C33" s="48"/>
      <c r="D33" s="220"/>
      <c r="E33" s="218"/>
      <c r="F33" s="218"/>
      <c r="G33" s="219"/>
      <c r="H33" s="220"/>
      <c r="I33" s="218"/>
      <c r="J33" s="218"/>
      <c r="K33" s="219"/>
      <c r="L33" s="220"/>
      <c r="M33" s="218"/>
      <c r="N33" s="218"/>
      <c r="O33" s="219"/>
      <c r="P33" s="220"/>
      <c r="Q33" s="218"/>
      <c r="R33" s="218"/>
      <c r="S33" s="219"/>
      <c r="T33" s="220"/>
      <c r="U33" s="218"/>
      <c r="V33" s="218"/>
      <c r="W33" s="219"/>
      <c r="X33" s="220"/>
      <c r="Y33" s="218"/>
      <c r="Z33" s="218"/>
      <c r="AA33" s="219"/>
      <c r="AB33" s="218"/>
      <c r="AC33" s="218"/>
      <c r="AD33" s="218"/>
      <c r="AE33" s="219"/>
      <c r="AF33" s="218"/>
      <c r="AG33" s="218"/>
      <c r="AH33" s="218"/>
      <c r="AI33" s="219"/>
      <c r="AJ33" s="218"/>
      <c r="AK33" s="218"/>
      <c r="AL33" s="218"/>
      <c r="AM33" s="219"/>
      <c r="AN33" s="218"/>
      <c r="AO33" s="218"/>
      <c r="AP33" s="218"/>
      <c r="AQ33" s="219"/>
      <c r="AR33" s="218"/>
      <c r="AS33" s="218"/>
      <c r="AT33" s="218"/>
      <c r="AU33" s="219"/>
      <c r="AV33" s="218"/>
      <c r="AW33" s="218"/>
      <c r="AX33" s="218"/>
      <c r="AY33" s="219"/>
      <c r="AZ33" s="218"/>
      <c r="BA33" s="218"/>
      <c r="BB33" s="221"/>
      <c r="BC33" s="222"/>
      <c r="BD33" s="221"/>
      <c r="BE33" s="221"/>
      <c r="BF33" s="221"/>
      <c r="BG33" s="221"/>
      <c r="BH33" s="223"/>
      <c r="BI33" s="221"/>
      <c r="BJ33" s="221"/>
      <c r="BK33" s="221"/>
      <c r="BL33" s="20"/>
      <c r="BM33" s="221"/>
      <c r="BN33" s="221"/>
      <c r="BO33" s="221"/>
      <c r="BP33" s="221"/>
      <c r="BQ33" s="221"/>
      <c r="BR33" s="221"/>
      <c r="BS33" s="221"/>
      <c r="BT33" s="221"/>
      <c r="BU33" s="221"/>
      <c r="BV33" s="221"/>
      <c r="BW33" s="221"/>
      <c r="BX33" s="221"/>
      <c r="BY33" s="221"/>
      <c r="BZ33" s="221"/>
      <c r="CA33" s="222"/>
      <c r="CB33" s="223"/>
      <c r="CC33" s="221"/>
      <c r="CD33" s="221"/>
      <c r="CE33" s="260"/>
      <c r="CF33" s="223"/>
      <c r="CG33" s="221"/>
      <c r="CH33" s="221"/>
      <c r="CI33" s="221"/>
      <c r="CJ33" s="221"/>
      <c r="CK33" s="221"/>
      <c r="CL33" s="221"/>
      <c r="CM33" s="221"/>
      <c r="CN33" s="221"/>
      <c r="CO33" s="221"/>
      <c r="CP33" s="221"/>
      <c r="CQ33" s="221"/>
      <c r="CR33" s="221"/>
      <c r="CS33" s="222"/>
      <c r="CT33" s="22"/>
    </row>
    <row r="34" spans="1:98" ht="14.25" customHeight="1">
      <c r="A34" s="8"/>
      <c r="B34" s="28" t="str">
        <f t="shared" si="165"/>
        <v>Purchase of property, plant and equipment</v>
      </c>
      <c r="C34" s="29"/>
      <c r="D34" s="220">
        <f t="shared" ref="D34:D40" si="166">D133</f>
        <v>-18.632999999999999</v>
      </c>
      <c r="E34" s="218">
        <f t="shared" ref="E34:E40" si="167">E133-D34</f>
        <v>-33.221999999999994</v>
      </c>
      <c r="F34" s="218">
        <f t="shared" ref="F34:F40" si="168">F133-E34-D34</f>
        <v>-48.38600000000001</v>
      </c>
      <c r="G34" s="219">
        <f t="shared" ref="G34:G40" si="169">G133-F34-E34-D34</f>
        <v>-100.96200000000002</v>
      </c>
      <c r="H34" s="220">
        <f t="shared" ref="H34:H40" si="170">H133</f>
        <v>-94.909000000000006</v>
      </c>
      <c r="I34" s="218">
        <f t="shared" ref="I34:I40" si="171">I133-H34</f>
        <v>-99.463999999999984</v>
      </c>
      <c r="J34" s="218">
        <f t="shared" ref="J34:J40" si="172">J133-I34-H34</f>
        <v>-64.049000000000021</v>
      </c>
      <c r="K34" s="219">
        <f t="shared" ref="K34:K40" si="173">K133-J34-I34-H34</f>
        <v>-143.31799999999998</v>
      </c>
      <c r="L34" s="220">
        <f t="shared" ref="L34:L40" si="174">L133</f>
        <v>-56.953000000000003</v>
      </c>
      <c r="M34" s="218">
        <f t="shared" ref="M34:M40" si="175">M133-L34</f>
        <v>-76.72999999999999</v>
      </c>
      <c r="N34" s="218">
        <f t="shared" ref="N34:N40" si="176">N133-M34-L34</f>
        <v>-45.94</v>
      </c>
      <c r="O34" s="219">
        <f t="shared" ref="O34:O40" si="177">O133-N34-M34-L34</f>
        <v>-36.247000000000014</v>
      </c>
      <c r="P34" s="220">
        <f t="shared" ref="P34:P40" si="178">P133</f>
        <v>-37.994999999999997</v>
      </c>
      <c r="Q34" s="218">
        <f t="shared" ref="Q34:Q40" si="179">Q133-P34</f>
        <v>-29.54</v>
      </c>
      <c r="R34" s="218">
        <f t="shared" ref="R34:R40" si="180">R133-Q34-P34</f>
        <v>-35.996999999999993</v>
      </c>
      <c r="S34" s="219">
        <f t="shared" ref="S34:S40" si="181">S133-R34-Q34-P34</f>
        <v>-31.897000000000027</v>
      </c>
      <c r="T34" s="220">
        <f t="shared" ref="T34:T40" si="182">T133</f>
        <v>-26.463000000000001</v>
      </c>
      <c r="U34" s="218">
        <f t="shared" ref="U34:U40" si="183">U133-T34</f>
        <v>-28.289000000000001</v>
      </c>
      <c r="V34" s="218">
        <f t="shared" ref="V34:V40" si="184">V133-U34-T34</f>
        <v>-25.481999999999992</v>
      </c>
      <c r="W34" s="219">
        <f t="shared" ref="W34:W40" si="185">W133-V34-U34-T34</f>
        <v>-43.667000000000009</v>
      </c>
      <c r="X34" s="220">
        <f t="shared" ref="X34:X40" si="186">X133</f>
        <v>-38.529000000000003</v>
      </c>
      <c r="Y34" s="218">
        <f t="shared" ref="Y34:Y40" si="187">Y133-X34</f>
        <v>-59.067999999999991</v>
      </c>
      <c r="Z34" s="218">
        <f t="shared" ref="Z34:Z40" si="188">Z133-Y34-X34</f>
        <v>-29.593000000000011</v>
      </c>
      <c r="AA34" s="219">
        <f t="shared" ref="AA34:AA40" si="189">AA133-Z34-Y34-X34</f>
        <v>-48.062999999999981</v>
      </c>
      <c r="AB34" s="218">
        <f t="shared" ref="AB34:AB40" si="190">AB133</f>
        <v>-49.323999999999998</v>
      </c>
      <c r="AC34" s="218">
        <f t="shared" ref="AC34:AC40" si="191">AC133-AB34</f>
        <v>-68.361000000000004</v>
      </c>
      <c r="AD34" s="218">
        <f t="shared" ref="AD34:AD40" si="192">AD133-AC34-AB34</f>
        <v>-70.052999999999997</v>
      </c>
      <c r="AE34" s="219">
        <f t="shared" ref="AE34:AE40" si="193">AE133-AD34-AC34-AB34</f>
        <v>-76.610000000000014</v>
      </c>
      <c r="AF34" s="218">
        <f t="shared" ref="AF34:AF40" si="194">AF133</f>
        <v>-50.703000000000003</v>
      </c>
      <c r="AG34" s="218">
        <f t="shared" ref="AG34:AG40" si="195">AG133-AF34</f>
        <v>-62.102000000000004</v>
      </c>
      <c r="AH34" s="218">
        <f t="shared" ref="AH34:AH40" si="196">AH133-AG34-AF34</f>
        <v>-54.944999999999993</v>
      </c>
      <c r="AI34" s="219">
        <f t="shared" ref="AI34:AI40" si="197">AI133-AH34-AG34-AF34</f>
        <v>-48.921999999999997</v>
      </c>
      <c r="AJ34" s="218">
        <f t="shared" ref="AJ34:AJ40" si="198">AJ133</f>
        <v>-36.329000000000001</v>
      </c>
      <c r="AK34" s="218">
        <f t="shared" ref="AK34:AK40" si="199">AK133-AJ34</f>
        <v>-46.133000000000003</v>
      </c>
      <c r="AL34" s="218">
        <f t="shared" ref="AL34:AL40" si="200">AL133-AK34-AJ34</f>
        <v>-26.406999999999996</v>
      </c>
      <c r="AM34" s="219">
        <f t="shared" ref="AM34:AM40" si="201">AM133-AL34-AK34-AJ34</f>
        <v>-23.653999999999996</v>
      </c>
      <c r="AN34" s="218">
        <f t="shared" ref="AN34:AN40" si="202">AN133</f>
        <v>-31.686</v>
      </c>
      <c r="AO34" s="218">
        <f t="shared" ref="AO34:AO40" si="203">AO133-AN34</f>
        <v>-18.585000000000001</v>
      </c>
      <c r="AP34" s="218">
        <f t="shared" ref="AP34:AP40" si="204">AP133-AO34-AN34</f>
        <v>-10.185000000000002</v>
      </c>
      <c r="AQ34" s="219">
        <f t="shared" ref="AQ34:AQ40" si="205">AQ133-AP34-AO34-AN34</f>
        <v>-15.36</v>
      </c>
      <c r="AR34" s="218">
        <f t="shared" ref="AR34:AR40" si="206">AR133</f>
        <v>-15.821</v>
      </c>
      <c r="AS34" s="218">
        <f t="shared" ref="AS34:AS40" si="207">AS133-AR34</f>
        <v>-13.53</v>
      </c>
      <c r="AT34" s="218">
        <f t="shared" ref="AT34:AT40" si="208">AT133-AS34-AR34</f>
        <v>-17.53</v>
      </c>
      <c r="AU34" s="219">
        <f t="shared" ref="AU34:AU40" si="209">AU133-AT34-AS34-AR34</f>
        <v>-22.488</v>
      </c>
      <c r="AV34" s="218">
        <f>AV133</f>
        <v>-14.31</v>
      </c>
      <c r="AW34" s="218">
        <f t="shared" ref="AW34:AW40" si="210">AW133-AV34</f>
        <v>-15.775</v>
      </c>
      <c r="AX34" s="218">
        <f t="shared" ref="AX34:AX40" si="211">AX133-AW34-AV34</f>
        <v>-8.2860000000000031</v>
      </c>
      <c r="AY34" s="219">
        <f t="shared" ref="AY34:AY40" si="212">AY133-AX34-AW34-AV34</f>
        <v>-13.049999999999999</v>
      </c>
      <c r="AZ34" s="218">
        <f>AZ133</f>
        <v>-14.321</v>
      </c>
      <c r="BA34" s="218">
        <f t="shared" ref="BA34:BA40" si="213">BA133-AZ34</f>
        <v>-22.413000000000004</v>
      </c>
      <c r="BB34" s="1500">
        <v>-16.93</v>
      </c>
      <c r="BC34" s="219">
        <f t="shared" ref="BC34:BG34" si="214">-BC66-BC67</f>
        <v>-12.597738377000001</v>
      </c>
      <c r="BD34" s="218">
        <f t="shared" si="214"/>
        <v>-12.288045326480001</v>
      </c>
      <c r="BE34" s="218">
        <f t="shared" si="214"/>
        <v>-12.311059435077203</v>
      </c>
      <c r="BF34" s="218">
        <f t="shared" si="214"/>
        <v>-12.954674735269794</v>
      </c>
      <c r="BG34" s="218">
        <f t="shared" si="214"/>
        <v>-13.091675640448937</v>
      </c>
      <c r="BH34" s="220">
        <f>-BH66-BH67</f>
        <v>-12.881601942065368</v>
      </c>
      <c r="BI34" s="218">
        <f>-BI66-BI67</f>
        <v>-12.871707493206937</v>
      </c>
      <c r="BJ34" s="218">
        <f>-BJ66-BJ67</f>
        <v>-13.395294339247243</v>
      </c>
      <c r="BK34" s="218">
        <f>-BK66-BK67</f>
        <v>-13.751427892934341</v>
      </c>
      <c r="BL34" s="20"/>
      <c r="BM34" s="218">
        <f t="shared" ref="BM34:BM40" si="215">SUM(D34:G34)</f>
        <v>-201.20300000000003</v>
      </c>
      <c r="BN34" s="218">
        <f t="shared" ref="BN34:BN40" si="216">SUM(H34:K34)</f>
        <v>-401.74</v>
      </c>
      <c r="BO34" s="218">
        <f t="shared" ref="BO34:BO40" si="217">SUM(L34:O34)</f>
        <v>-215.87</v>
      </c>
      <c r="BP34" s="218">
        <f t="shared" ref="BP34:BP40" si="218">SUM(P34:S34)</f>
        <v>-135.429</v>
      </c>
      <c r="BQ34" s="218">
        <f t="shared" ref="BQ34:BQ40" si="219">SUM(T34:W34)</f>
        <v>-123.90100000000001</v>
      </c>
      <c r="BR34" s="218">
        <f t="shared" ref="BR34:BR40" si="220">SUM(X34:AA34)</f>
        <v>-175.25299999999999</v>
      </c>
      <c r="BS34" s="218">
        <f t="shared" ref="BS34:BS40" si="221">SUM(AB34:AE34)</f>
        <v>-264.34800000000001</v>
      </c>
      <c r="BT34" s="218">
        <f t="shared" ref="BT34:BT40" si="222">SUM(AF34:AI34)</f>
        <v>-216.672</v>
      </c>
      <c r="BU34" s="218">
        <f t="shared" ref="BU34:BU40" si="223">SUM(AJ34:AM34)</f>
        <v>-132.523</v>
      </c>
      <c r="BV34" s="218">
        <f t="shared" ref="BV34:BV40" si="224">SUM(AN34:AQ34)</f>
        <v>-75.816000000000003</v>
      </c>
      <c r="BW34" s="218">
        <f t="shared" ref="BW34:BW40" si="225">SUM(AR34:AU34)</f>
        <v>-69.369</v>
      </c>
      <c r="BX34" s="218">
        <f t="shared" ref="BX34:BX40" si="226">SUM(AV34:AY34)</f>
        <v>-51.420999999999999</v>
      </c>
      <c r="BY34" s="218">
        <f t="shared" ref="BY34:BY40" si="227">SUM(AZ34:BC34)</f>
        <v>-66.261738377</v>
      </c>
      <c r="BZ34" s="218">
        <f>SUM(BD34:BG34)</f>
        <v>-50.645455137275931</v>
      </c>
      <c r="CA34" s="219">
        <f>SUM(BH34:BK34)</f>
        <v>-52.900031667453888</v>
      </c>
      <c r="CB34" s="220"/>
      <c r="CC34" s="218"/>
      <c r="CD34" s="218"/>
      <c r="CE34" s="260"/>
      <c r="CF34" s="220">
        <f t="shared" ref="CF34:CF40" si="228">SUM(F34:I34)</f>
        <v>-343.721</v>
      </c>
      <c r="CG34" s="218">
        <f t="shared" ref="CG34:CG40" si="229">SUM(J34:M34)</f>
        <v>-341.05000000000007</v>
      </c>
      <c r="CH34" s="218">
        <f t="shared" ref="CH34:CH40" si="230">SUM(N34:Q34)</f>
        <v>-149.72200000000001</v>
      </c>
      <c r="CI34" s="218">
        <f t="shared" ref="CI34:CI40" si="231">SUM(R34:U34)</f>
        <v>-122.64600000000003</v>
      </c>
      <c r="CJ34" s="218">
        <f t="shared" ref="CJ34:CJ40" si="232">SUM(V34:Y34)</f>
        <v>-166.74599999999998</v>
      </c>
      <c r="CK34" s="218">
        <f t="shared" ref="CK34:CK40" si="233">SUM(Z34:AC34)</f>
        <v>-195.34100000000001</v>
      </c>
      <c r="CL34" s="218">
        <f t="shared" ref="CL34:CL40" si="234">SUM(AD34:AG34)</f>
        <v>-259.46800000000002</v>
      </c>
      <c r="CM34" s="218">
        <f t="shared" ref="CM34:CM40" si="235">SUM(AH34:AK34)</f>
        <v>-186.32900000000001</v>
      </c>
      <c r="CN34" s="218">
        <f t="shared" ref="CN34:CN40" si="236">SUM(AL34:AO34)</f>
        <v>-100.33199999999999</v>
      </c>
      <c r="CO34" s="218">
        <f t="shared" ref="CO34:CO40" si="237">SUM(AP34:AS34)</f>
        <v>-54.896000000000001</v>
      </c>
      <c r="CP34" s="218">
        <f t="shared" ref="CP34:CP40" si="238">SUM(AT34:AW34)</f>
        <v>-70.103000000000009</v>
      </c>
      <c r="CQ34" s="218">
        <f t="shared" ref="CQ34:CQ40" si="239">SUM(AX34:BA34)</f>
        <v>-58.070000000000007</v>
      </c>
      <c r="CR34" s="218">
        <f t="shared" ref="CR34:CR40" si="240">SUM(BB34:BE34)</f>
        <v>-54.126843138557206</v>
      </c>
      <c r="CS34" s="219">
        <f t="shared" ref="CS34:CS40" si="241">SUM(BF34:BI34)</f>
        <v>-51.799659810991031</v>
      </c>
      <c r="CT34" s="22"/>
    </row>
    <row r="35" spans="1:98" ht="14.25" customHeight="1">
      <c r="A35" s="8"/>
      <c r="B35" s="28" t="str">
        <f t="shared" si="165"/>
        <v>Proceeds from sale of property, plant and equipment</v>
      </c>
      <c r="C35" s="29"/>
      <c r="D35" s="220">
        <f t="shared" si="166"/>
        <v>0</v>
      </c>
      <c r="E35" s="218">
        <f t="shared" si="167"/>
        <v>1.544</v>
      </c>
      <c r="F35" s="218">
        <f t="shared" si="168"/>
        <v>0</v>
      </c>
      <c r="G35" s="219">
        <f t="shared" si="169"/>
        <v>0</v>
      </c>
      <c r="H35" s="220">
        <f t="shared" si="170"/>
        <v>0</v>
      </c>
      <c r="I35" s="218">
        <f t="shared" si="171"/>
        <v>0</v>
      </c>
      <c r="J35" s="218">
        <f t="shared" si="172"/>
        <v>0</v>
      </c>
      <c r="K35" s="219">
        <f t="shared" si="173"/>
        <v>2.3340000000000001</v>
      </c>
      <c r="L35" s="220">
        <f t="shared" si="174"/>
        <v>0</v>
      </c>
      <c r="M35" s="218">
        <f t="shared" si="175"/>
        <v>14.157999999999999</v>
      </c>
      <c r="N35" s="218">
        <f t="shared" si="176"/>
        <v>1.4770000000000003</v>
      </c>
      <c r="O35" s="219">
        <f t="shared" si="177"/>
        <v>0.73399999999999999</v>
      </c>
      <c r="P35" s="220">
        <f t="shared" si="178"/>
        <v>0.32200000000000001</v>
      </c>
      <c r="Q35" s="218">
        <f t="shared" si="179"/>
        <v>0.625</v>
      </c>
      <c r="R35" s="218">
        <f t="shared" si="180"/>
        <v>0</v>
      </c>
      <c r="S35" s="219">
        <f t="shared" si="181"/>
        <v>0</v>
      </c>
      <c r="T35" s="220">
        <f t="shared" si="182"/>
        <v>0.34</v>
      </c>
      <c r="U35" s="218">
        <f t="shared" si="183"/>
        <v>1.397</v>
      </c>
      <c r="V35" s="218">
        <f t="shared" si="184"/>
        <v>-0.55700000000000016</v>
      </c>
      <c r="W35" s="219">
        <f t="shared" si="185"/>
        <v>1.6219999999999999</v>
      </c>
      <c r="X35" s="220">
        <f t="shared" si="186"/>
        <v>0.53500000000000003</v>
      </c>
      <c r="Y35" s="218">
        <f t="shared" si="187"/>
        <v>24.713999999999999</v>
      </c>
      <c r="Z35" s="218">
        <f t="shared" si="188"/>
        <v>8.0000000000001958E-2</v>
      </c>
      <c r="AA35" s="219">
        <f t="shared" si="189"/>
        <v>2.2949999999999982</v>
      </c>
      <c r="AB35" s="218">
        <f t="shared" si="190"/>
        <v>0</v>
      </c>
      <c r="AC35" s="218">
        <f t="shared" si="191"/>
        <v>1.7090000000000001</v>
      </c>
      <c r="AD35" s="218">
        <f t="shared" si="192"/>
        <v>13.774000000000001</v>
      </c>
      <c r="AE35" s="219">
        <f t="shared" si="193"/>
        <v>1.3999999999999981</v>
      </c>
      <c r="AF35" s="218">
        <f t="shared" si="194"/>
        <v>0.34399999999999997</v>
      </c>
      <c r="AG35" s="218">
        <f t="shared" si="195"/>
        <v>4.1150000000000002</v>
      </c>
      <c r="AH35" s="218">
        <f t="shared" si="196"/>
        <v>10.199</v>
      </c>
      <c r="AI35" s="219">
        <f t="shared" si="197"/>
        <v>15.324000000000002</v>
      </c>
      <c r="AJ35" s="218">
        <f t="shared" si="198"/>
        <v>3.048</v>
      </c>
      <c r="AK35" s="218">
        <f t="shared" si="199"/>
        <v>0</v>
      </c>
      <c r="AL35" s="218">
        <f t="shared" si="200"/>
        <v>0.61799999999999988</v>
      </c>
      <c r="AM35" s="219">
        <f t="shared" si="201"/>
        <v>1.6270000000000007</v>
      </c>
      <c r="AN35" s="218">
        <f t="shared" si="202"/>
        <v>0.21199999999999999</v>
      </c>
      <c r="AO35" s="218">
        <f t="shared" si="203"/>
        <v>24.466999999999999</v>
      </c>
      <c r="AP35" s="218">
        <f t="shared" si="204"/>
        <v>1.6150000000000018</v>
      </c>
      <c r="AQ35" s="219">
        <f t="shared" si="205"/>
        <v>2.7409999999999992</v>
      </c>
      <c r="AR35" s="218">
        <f t="shared" si="206"/>
        <v>0.60599999999999998</v>
      </c>
      <c r="AS35" s="218">
        <f t="shared" si="207"/>
        <v>49.708999999999996</v>
      </c>
      <c r="AT35" s="218">
        <f t="shared" si="208"/>
        <v>0.13600000000000445</v>
      </c>
      <c r="AU35" s="219">
        <f t="shared" si="209"/>
        <v>34.690999999999988</v>
      </c>
      <c r="AV35" s="218">
        <f t="shared" ref="AV35:AV40" si="242">AV134</f>
        <v>0.20499999999999999</v>
      </c>
      <c r="AW35" s="218">
        <f t="shared" si="210"/>
        <v>2.2239999999999998</v>
      </c>
      <c r="AX35" s="218">
        <f t="shared" si="211"/>
        <v>0.78700000000000048</v>
      </c>
      <c r="AY35" s="219">
        <f t="shared" si="212"/>
        <v>7.5759999999999987</v>
      </c>
      <c r="AZ35" s="218">
        <f t="shared" ref="AZ35:AZ40" si="243">AZ134</f>
        <v>1.4730000000000001</v>
      </c>
      <c r="BA35" s="218">
        <f t="shared" si="213"/>
        <v>1.4439999999999997</v>
      </c>
      <c r="BB35" s="221">
        <v>2.8439999999999999</v>
      </c>
      <c r="BC35" s="222">
        <v>0</v>
      </c>
      <c r="BD35" s="221">
        <v>0</v>
      </c>
      <c r="BE35" s="221">
        <v>0</v>
      </c>
      <c r="BF35" s="221">
        <v>0</v>
      </c>
      <c r="BG35" s="221">
        <v>0</v>
      </c>
      <c r="BH35" s="223">
        <v>0</v>
      </c>
      <c r="BI35" s="221">
        <v>0</v>
      </c>
      <c r="BJ35" s="221">
        <v>0</v>
      </c>
      <c r="BK35" s="221">
        <v>0</v>
      </c>
      <c r="BL35" s="20"/>
      <c r="BM35" s="218">
        <f>SUM(D35:G35)</f>
        <v>1.544</v>
      </c>
      <c r="BN35" s="218">
        <f>SUM(H35:K35)</f>
        <v>2.3340000000000001</v>
      </c>
      <c r="BO35" s="218">
        <f>SUM(L35:O35)</f>
        <v>16.369</v>
      </c>
      <c r="BP35" s="218">
        <f>SUM(P35:S35)</f>
        <v>0.94700000000000006</v>
      </c>
      <c r="BQ35" s="218">
        <f>SUM(T35:W35)</f>
        <v>2.8019999999999996</v>
      </c>
      <c r="BR35" s="218">
        <f>SUM(X35:AA35)</f>
        <v>27.623999999999999</v>
      </c>
      <c r="BS35" s="218">
        <f>SUM(AB35:AE35)</f>
        <v>16.882999999999999</v>
      </c>
      <c r="BT35" s="218">
        <f>SUM(AF35:AI35)</f>
        <v>29.982000000000003</v>
      </c>
      <c r="BU35" s="218">
        <f>SUM(AJ35:AM35)</f>
        <v>5.293000000000001</v>
      </c>
      <c r="BV35" s="218">
        <f t="shared" si="224"/>
        <v>29.035</v>
      </c>
      <c r="BW35" s="218">
        <f t="shared" si="225"/>
        <v>85.141999999999996</v>
      </c>
      <c r="BX35" s="218">
        <f t="shared" si="226"/>
        <v>10.791999999999998</v>
      </c>
      <c r="BY35" s="218">
        <f t="shared" si="227"/>
        <v>5.7609999999999992</v>
      </c>
      <c r="BZ35" s="218">
        <f t="shared" ref="BZ35:BZ40" si="244">SUM(BD35:BG35)</f>
        <v>0</v>
      </c>
      <c r="CA35" s="219">
        <f t="shared" ref="CA35:CA40" si="245">SUM(BH35:BK35)</f>
        <v>0</v>
      </c>
      <c r="CB35" s="1491"/>
      <c r="CC35" s="408"/>
      <c r="CD35" s="408"/>
      <c r="CE35" s="260"/>
      <c r="CF35" s="220">
        <f t="shared" si="228"/>
        <v>0</v>
      </c>
      <c r="CG35" s="218">
        <f t="shared" si="229"/>
        <v>16.492000000000001</v>
      </c>
      <c r="CH35" s="218">
        <f t="shared" si="230"/>
        <v>3.1580000000000004</v>
      </c>
      <c r="CI35" s="218">
        <f t="shared" si="231"/>
        <v>1.7370000000000001</v>
      </c>
      <c r="CJ35" s="218">
        <f t="shared" si="232"/>
        <v>26.314</v>
      </c>
      <c r="CK35" s="218">
        <f t="shared" si="233"/>
        <v>4.0839999999999996</v>
      </c>
      <c r="CL35" s="218">
        <f t="shared" si="234"/>
        <v>19.632999999999999</v>
      </c>
      <c r="CM35" s="218">
        <f t="shared" si="235"/>
        <v>28.571000000000005</v>
      </c>
      <c r="CN35" s="218">
        <f t="shared" si="236"/>
        <v>26.923999999999999</v>
      </c>
      <c r="CO35" s="218">
        <f t="shared" si="237"/>
        <v>54.670999999999999</v>
      </c>
      <c r="CP35" s="218">
        <f t="shared" si="238"/>
        <v>37.255999999999986</v>
      </c>
      <c r="CQ35" s="218">
        <f t="shared" si="239"/>
        <v>11.28</v>
      </c>
      <c r="CR35" s="218">
        <f t="shared" si="240"/>
        <v>2.8439999999999999</v>
      </c>
      <c r="CS35" s="219">
        <f t="shared" si="241"/>
        <v>0</v>
      </c>
      <c r="CT35" s="22"/>
    </row>
    <row r="36" spans="1:98" ht="14.25" customHeight="1">
      <c r="A36" s="8"/>
      <c r="B36" s="28" t="str">
        <f t="shared" si="165"/>
        <v>Acquisitions</v>
      </c>
      <c r="C36" s="29"/>
      <c r="D36" s="220">
        <f t="shared" si="166"/>
        <v>0</v>
      </c>
      <c r="E36" s="218">
        <f t="shared" si="167"/>
        <v>0</v>
      </c>
      <c r="F36" s="218">
        <f t="shared" si="168"/>
        <v>0</v>
      </c>
      <c r="G36" s="219">
        <f t="shared" si="169"/>
        <v>0</v>
      </c>
      <c r="H36" s="220">
        <f t="shared" si="170"/>
        <v>0</v>
      </c>
      <c r="I36" s="218">
        <f t="shared" si="171"/>
        <v>0</v>
      </c>
      <c r="J36" s="218">
        <f t="shared" si="172"/>
        <v>0</v>
      </c>
      <c r="K36" s="219">
        <f t="shared" si="173"/>
        <v>0</v>
      </c>
      <c r="L36" s="220">
        <f t="shared" si="174"/>
        <v>-0.754</v>
      </c>
      <c r="M36" s="218">
        <f t="shared" si="175"/>
        <v>-63.369000000000007</v>
      </c>
      <c r="N36" s="218">
        <f t="shared" si="176"/>
        <v>2.2204460492503131E-15</v>
      </c>
      <c r="O36" s="219">
        <f t="shared" si="177"/>
        <v>2.2204460492503131E-15</v>
      </c>
      <c r="P36" s="220">
        <f t="shared" si="178"/>
        <v>0</v>
      </c>
      <c r="Q36" s="218">
        <f t="shared" si="179"/>
        <v>-30.31</v>
      </c>
      <c r="R36" s="218">
        <f t="shared" si="180"/>
        <v>-30.7</v>
      </c>
      <c r="S36" s="219">
        <f t="shared" si="181"/>
        <v>0</v>
      </c>
      <c r="T36" s="220">
        <f t="shared" si="182"/>
        <v>-4</v>
      </c>
      <c r="U36" s="218">
        <f t="shared" si="183"/>
        <v>0</v>
      </c>
      <c r="V36" s="218">
        <f t="shared" si="184"/>
        <v>0</v>
      </c>
      <c r="W36" s="219">
        <f t="shared" si="185"/>
        <v>-312.78399999999999</v>
      </c>
      <c r="X36" s="220">
        <f t="shared" si="186"/>
        <v>-73.106999999999999</v>
      </c>
      <c r="Y36" s="218">
        <f t="shared" si="187"/>
        <v>0</v>
      </c>
      <c r="Z36" s="218">
        <f t="shared" si="188"/>
        <v>0</v>
      </c>
      <c r="AA36" s="219">
        <f t="shared" si="189"/>
        <v>-7.811000000000007</v>
      </c>
      <c r="AB36" s="218">
        <f t="shared" si="190"/>
        <v>-154.26900000000001</v>
      </c>
      <c r="AC36" s="218">
        <f t="shared" si="191"/>
        <v>-12.018000000000001</v>
      </c>
      <c r="AD36" s="218">
        <f t="shared" si="192"/>
        <v>0</v>
      </c>
      <c r="AE36" s="219">
        <f t="shared" si="193"/>
        <v>-2.257000000000005</v>
      </c>
      <c r="AF36" s="218">
        <f t="shared" si="194"/>
        <v>0</v>
      </c>
      <c r="AG36" s="218">
        <f t="shared" si="195"/>
        <v>0</v>
      </c>
      <c r="AH36" s="218">
        <f t="shared" si="196"/>
        <v>0</v>
      </c>
      <c r="AI36" s="219">
        <f t="shared" si="197"/>
        <v>-2.7669999999999999</v>
      </c>
      <c r="AJ36" s="218">
        <f t="shared" si="198"/>
        <v>0</v>
      </c>
      <c r="AK36" s="218">
        <f t="shared" si="199"/>
        <v>-453.50599999999997</v>
      </c>
      <c r="AL36" s="218">
        <f t="shared" si="200"/>
        <v>-5.75</v>
      </c>
      <c r="AM36" s="219">
        <f t="shared" si="201"/>
        <v>0</v>
      </c>
      <c r="AN36" s="218">
        <f t="shared" si="202"/>
        <v>0</v>
      </c>
      <c r="AO36" s="218">
        <f t="shared" si="203"/>
        <v>0</v>
      </c>
      <c r="AP36" s="218">
        <f t="shared" si="204"/>
        <v>0</v>
      </c>
      <c r="AQ36" s="219">
        <f t="shared" si="205"/>
        <v>0</v>
      </c>
      <c r="AR36" s="218">
        <f t="shared" si="206"/>
        <v>0</v>
      </c>
      <c r="AS36" s="218">
        <f t="shared" si="207"/>
        <v>0</v>
      </c>
      <c r="AT36" s="218">
        <f t="shared" si="208"/>
        <v>0</v>
      </c>
      <c r="AU36" s="219">
        <f t="shared" si="209"/>
        <v>94.516999999999996</v>
      </c>
      <c r="AV36" s="218">
        <f t="shared" si="242"/>
        <v>42.198999999999998</v>
      </c>
      <c r="AW36" s="218">
        <f t="shared" si="210"/>
        <v>0</v>
      </c>
      <c r="AX36" s="218">
        <f t="shared" si="211"/>
        <v>-42.198999999999998</v>
      </c>
      <c r="AY36" s="219">
        <f t="shared" si="212"/>
        <v>0</v>
      </c>
      <c r="AZ36" s="218">
        <f t="shared" si="243"/>
        <v>0</v>
      </c>
      <c r="BA36" s="218">
        <f t="shared" si="213"/>
        <v>0</v>
      </c>
      <c r="BB36" s="221">
        <v>-57.773000000000003</v>
      </c>
      <c r="BC36" s="222">
        <v>0</v>
      </c>
      <c r="BD36" s="221">
        <v>0</v>
      </c>
      <c r="BE36" s="221">
        <v>0</v>
      </c>
      <c r="BF36" s="221">
        <v>0</v>
      </c>
      <c r="BG36" s="221">
        <v>0</v>
      </c>
      <c r="BH36" s="223">
        <v>0</v>
      </c>
      <c r="BI36" s="221">
        <v>0</v>
      </c>
      <c r="BJ36" s="221">
        <v>0</v>
      </c>
      <c r="BK36" s="221">
        <v>0</v>
      </c>
      <c r="BL36" s="20"/>
      <c r="BM36" s="218">
        <f>SUM(D36:G36)</f>
        <v>0</v>
      </c>
      <c r="BN36" s="218">
        <f>SUM(H36:K36)</f>
        <v>0</v>
      </c>
      <c r="BO36" s="218">
        <f>SUM(L36:O36)</f>
        <v>-64.123000000000005</v>
      </c>
      <c r="BP36" s="218">
        <f>SUM(P36:S36)</f>
        <v>-61.01</v>
      </c>
      <c r="BQ36" s="218">
        <f>SUM(T36:W36)</f>
        <v>-316.78399999999999</v>
      </c>
      <c r="BR36" s="218">
        <f>SUM(X36:AA36)</f>
        <v>-80.918000000000006</v>
      </c>
      <c r="BS36" s="218">
        <f>SUM(AB36:AE36)</f>
        <v>-168.54400000000001</v>
      </c>
      <c r="BT36" s="218">
        <f>SUM(AF36:AI36)</f>
        <v>-2.7669999999999999</v>
      </c>
      <c r="BU36" s="218">
        <f>SUM(AJ36:AM36)</f>
        <v>-459.25599999999997</v>
      </c>
      <c r="BV36" s="218">
        <f t="shared" si="224"/>
        <v>0</v>
      </c>
      <c r="BW36" s="218">
        <f t="shared" si="225"/>
        <v>94.516999999999996</v>
      </c>
      <c r="BX36" s="218">
        <f t="shared" si="226"/>
        <v>0</v>
      </c>
      <c r="BY36" s="218">
        <f t="shared" si="227"/>
        <v>-57.773000000000003</v>
      </c>
      <c r="BZ36" s="218">
        <f t="shared" si="244"/>
        <v>0</v>
      </c>
      <c r="CA36" s="219">
        <f t="shared" si="245"/>
        <v>0</v>
      </c>
      <c r="CB36" s="1491"/>
      <c r="CC36" s="408"/>
      <c r="CD36" s="408"/>
      <c r="CE36" s="260"/>
      <c r="CF36" s="220">
        <f t="shared" si="228"/>
        <v>0</v>
      </c>
      <c r="CG36" s="218">
        <f t="shared" si="229"/>
        <v>-64.123000000000005</v>
      </c>
      <c r="CH36" s="218">
        <f t="shared" si="230"/>
        <v>-30.309999999999995</v>
      </c>
      <c r="CI36" s="218">
        <f t="shared" si="231"/>
        <v>-34.700000000000003</v>
      </c>
      <c r="CJ36" s="218">
        <f t="shared" si="232"/>
        <v>-385.89099999999996</v>
      </c>
      <c r="CK36" s="218">
        <f t="shared" si="233"/>
        <v>-174.09800000000001</v>
      </c>
      <c r="CL36" s="218">
        <f t="shared" si="234"/>
        <v>-2.257000000000005</v>
      </c>
      <c r="CM36" s="218">
        <f t="shared" si="235"/>
        <v>-456.27299999999997</v>
      </c>
      <c r="CN36" s="218">
        <f t="shared" si="236"/>
        <v>-5.75</v>
      </c>
      <c r="CO36" s="218">
        <f t="shared" si="237"/>
        <v>0</v>
      </c>
      <c r="CP36" s="218">
        <f t="shared" si="238"/>
        <v>136.71600000000001</v>
      </c>
      <c r="CQ36" s="218">
        <f t="shared" si="239"/>
        <v>-42.198999999999998</v>
      </c>
      <c r="CR36" s="218">
        <f t="shared" si="240"/>
        <v>-57.773000000000003</v>
      </c>
      <c r="CS36" s="219">
        <f t="shared" si="241"/>
        <v>0</v>
      </c>
      <c r="CT36" s="22"/>
    </row>
    <row r="37" spans="1:98" ht="14.25" customHeight="1">
      <c r="A37" s="8"/>
      <c r="B37" s="28" t="str">
        <f t="shared" si="165"/>
        <v>Purchase of available-for-sale securities</v>
      </c>
      <c r="C37" s="29"/>
      <c r="D37" s="220">
        <f t="shared" si="166"/>
        <v>-245.43199999999999</v>
      </c>
      <c r="E37" s="218">
        <f t="shared" si="167"/>
        <v>-153.67500000000004</v>
      </c>
      <c r="F37" s="218">
        <f t="shared" si="168"/>
        <v>-8.964999999999975</v>
      </c>
      <c r="G37" s="219">
        <f t="shared" si="169"/>
        <v>-7.964999999999975</v>
      </c>
      <c r="H37" s="220">
        <f t="shared" si="170"/>
        <v>-302.399</v>
      </c>
      <c r="I37" s="218">
        <f t="shared" si="171"/>
        <v>-256.25699999999995</v>
      </c>
      <c r="J37" s="218">
        <f t="shared" si="172"/>
        <v>-210.875</v>
      </c>
      <c r="K37" s="219">
        <f t="shared" si="173"/>
        <v>-10.121000000000095</v>
      </c>
      <c r="L37" s="220">
        <f t="shared" si="174"/>
        <v>-107.11199999999999</v>
      </c>
      <c r="M37" s="218">
        <f t="shared" si="175"/>
        <v>-3.8980000000000103</v>
      </c>
      <c r="N37" s="218">
        <f t="shared" si="176"/>
        <v>-0.83699999999998909</v>
      </c>
      <c r="O37" s="219">
        <f t="shared" si="177"/>
        <v>-204.33500000000001</v>
      </c>
      <c r="P37" s="220">
        <f t="shared" si="178"/>
        <v>-1.37</v>
      </c>
      <c r="Q37" s="218">
        <f t="shared" si="179"/>
        <v>-1.37</v>
      </c>
      <c r="R37" s="218">
        <f t="shared" si="180"/>
        <v>-1.3919999999999995</v>
      </c>
      <c r="S37" s="219">
        <f t="shared" si="181"/>
        <v>-1.3920000000000003</v>
      </c>
      <c r="T37" s="220">
        <f t="shared" si="182"/>
        <v>0</v>
      </c>
      <c r="U37" s="218">
        <f t="shared" si="183"/>
        <v>0</v>
      </c>
      <c r="V37" s="218">
        <f t="shared" si="184"/>
        <v>0</v>
      </c>
      <c r="W37" s="219">
        <f t="shared" si="185"/>
        <v>0</v>
      </c>
      <c r="X37" s="220">
        <f t="shared" si="186"/>
        <v>0</v>
      </c>
      <c r="Y37" s="218">
        <f t="shared" si="187"/>
        <v>0</v>
      </c>
      <c r="Z37" s="218">
        <f t="shared" si="188"/>
        <v>-49.786999999999999</v>
      </c>
      <c r="AA37" s="219">
        <f t="shared" si="189"/>
        <v>0</v>
      </c>
      <c r="AB37" s="218">
        <f t="shared" si="190"/>
        <v>0</v>
      </c>
      <c r="AC37" s="218">
        <f t="shared" si="191"/>
        <v>-25.108000000000001</v>
      </c>
      <c r="AD37" s="218">
        <f t="shared" si="192"/>
        <v>-1.9800000000000004</v>
      </c>
      <c r="AE37" s="219">
        <f t="shared" si="193"/>
        <v>1.9800000000000004</v>
      </c>
      <c r="AF37" s="218">
        <f t="shared" si="194"/>
        <v>0</v>
      </c>
      <c r="AG37" s="218">
        <f t="shared" si="195"/>
        <v>0</v>
      </c>
      <c r="AH37" s="218">
        <f t="shared" si="196"/>
        <v>0</v>
      </c>
      <c r="AI37" s="219">
        <f t="shared" si="197"/>
        <v>0</v>
      </c>
      <c r="AJ37" s="218">
        <f t="shared" si="198"/>
        <v>0</v>
      </c>
      <c r="AK37" s="218">
        <f t="shared" si="199"/>
        <v>0</v>
      </c>
      <c r="AL37" s="218">
        <f t="shared" si="200"/>
        <v>0</v>
      </c>
      <c r="AM37" s="219">
        <f t="shared" si="201"/>
        <v>-49.953000000000003</v>
      </c>
      <c r="AN37" s="218">
        <f t="shared" si="202"/>
        <v>-25.141999999999999</v>
      </c>
      <c r="AO37" s="218">
        <f t="shared" si="203"/>
        <v>25.141999999999999</v>
      </c>
      <c r="AP37" s="218">
        <f t="shared" si="204"/>
        <v>-0.19999999999999929</v>
      </c>
      <c r="AQ37" s="219">
        <f t="shared" si="205"/>
        <v>-24.942000000000004</v>
      </c>
      <c r="AR37" s="218">
        <f t="shared" si="206"/>
        <v>-25.055</v>
      </c>
      <c r="AS37" s="218">
        <f t="shared" si="207"/>
        <v>-32.040000000000006</v>
      </c>
      <c r="AT37" s="218">
        <f t="shared" si="208"/>
        <v>-24.860999999999997</v>
      </c>
      <c r="AU37" s="219">
        <f t="shared" si="209"/>
        <v>-17.991999999999983</v>
      </c>
      <c r="AV37" s="218">
        <f t="shared" si="242"/>
        <v>-77.561000000000007</v>
      </c>
      <c r="AW37" s="218">
        <f t="shared" si="210"/>
        <v>-225.94800000000001</v>
      </c>
      <c r="AX37" s="218">
        <f t="shared" si="211"/>
        <v>-96.735000000000014</v>
      </c>
      <c r="AY37" s="219">
        <f t="shared" si="212"/>
        <v>-49.890999999999963</v>
      </c>
      <c r="AZ37" s="218">
        <f t="shared" si="243"/>
        <v>-716.30399999999997</v>
      </c>
      <c r="BA37" s="218">
        <f t="shared" si="213"/>
        <v>-139.27200000000005</v>
      </c>
      <c r="BB37" s="221">
        <v>-268.82100000000003</v>
      </c>
      <c r="BC37" s="222">
        <v>0</v>
      </c>
      <c r="BD37" s="221">
        <v>0</v>
      </c>
      <c r="BE37" s="221">
        <v>0</v>
      </c>
      <c r="BF37" s="221">
        <v>0</v>
      </c>
      <c r="BG37" s="221">
        <v>0</v>
      </c>
      <c r="BH37" s="223">
        <v>0</v>
      </c>
      <c r="BI37" s="221">
        <v>0</v>
      </c>
      <c r="BJ37" s="221">
        <v>0</v>
      </c>
      <c r="BK37" s="221">
        <v>0</v>
      </c>
      <c r="BL37" s="20"/>
      <c r="BM37" s="218">
        <f>SUM(D37:G37)</f>
        <v>-416.03699999999998</v>
      </c>
      <c r="BN37" s="218">
        <f>SUM(H37:K37)</f>
        <v>-779.65200000000004</v>
      </c>
      <c r="BO37" s="218">
        <f>SUM(L37:O37)</f>
        <v>-316.18200000000002</v>
      </c>
      <c r="BP37" s="218">
        <f>SUM(P37:S37)</f>
        <v>-5.524</v>
      </c>
      <c r="BQ37" s="218">
        <f>SUM(T37:W37)</f>
        <v>0</v>
      </c>
      <c r="BR37" s="218">
        <f>SUM(X37:AA37)</f>
        <v>-49.786999999999999</v>
      </c>
      <c r="BS37" s="218">
        <f>SUM(AB37:AE37)</f>
        <v>-25.108000000000001</v>
      </c>
      <c r="BT37" s="218">
        <f>SUM(AF37:AI37)</f>
        <v>0</v>
      </c>
      <c r="BU37" s="218">
        <f>SUM(AJ37:AM37)</f>
        <v>-49.953000000000003</v>
      </c>
      <c r="BV37" s="218">
        <f t="shared" si="224"/>
        <v>-25.142000000000003</v>
      </c>
      <c r="BW37" s="218">
        <f t="shared" si="225"/>
        <v>-99.947999999999979</v>
      </c>
      <c r="BX37" s="218">
        <f t="shared" si="226"/>
        <v>-450.13499999999999</v>
      </c>
      <c r="BY37" s="218">
        <f t="shared" si="227"/>
        <v>-1124.3969999999999</v>
      </c>
      <c r="BZ37" s="218">
        <f t="shared" si="244"/>
        <v>0</v>
      </c>
      <c r="CA37" s="219">
        <f t="shared" si="245"/>
        <v>0</v>
      </c>
      <c r="CB37" s="1491"/>
      <c r="CC37" s="408"/>
      <c r="CD37" s="408"/>
      <c r="CE37" s="260"/>
      <c r="CF37" s="220">
        <f t="shared" si="228"/>
        <v>-575.5859999999999</v>
      </c>
      <c r="CG37" s="218">
        <f t="shared" si="229"/>
        <v>-332.00600000000009</v>
      </c>
      <c r="CH37" s="218">
        <f t="shared" si="230"/>
        <v>-207.91200000000001</v>
      </c>
      <c r="CI37" s="218">
        <f t="shared" si="231"/>
        <v>-2.7839999999999998</v>
      </c>
      <c r="CJ37" s="218">
        <f t="shared" si="232"/>
        <v>0</v>
      </c>
      <c r="CK37" s="218">
        <f t="shared" si="233"/>
        <v>-74.894999999999996</v>
      </c>
      <c r="CL37" s="218">
        <f t="shared" si="234"/>
        <v>0</v>
      </c>
      <c r="CM37" s="218">
        <f t="shared" si="235"/>
        <v>0</v>
      </c>
      <c r="CN37" s="218">
        <f t="shared" si="236"/>
        <v>-49.953000000000003</v>
      </c>
      <c r="CO37" s="218">
        <f t="shared" si="237"/>
        <v>-82.237000000000009</v>
      </c>
      <c r="CP37" s="218">
        <f t="shared" si="238"/>
        <v>-346.36199999999997</v>
      </c>
      <c r="CQ37" s="218">
        <f t="shared" si="239"/>
        <v>-1002.202</v>
      </c>
      <c r="CR37" s="218">
        <f t="shared" si="240"/>
        <v>-268.82100000000003</v>
      </c>
      <c r="CS37" s="219">
        <f t="shared" si="241"/>
        <v>0</v>
      </c>
      <c r="CT37" s="22"/>
    </row>
    <row r="38" spans="1:98" ht="14.25" customHeight="1">
      <c r="A38" s="8"/>
      <c r="B38" s="28" t="str">
        <f t="shared" si="165"/>
        <v>Proceeds from sales/maturities of available-for-sale securities</v>
      </c>
      <c r="C38" s="29"/>
      <c r="D38" s="220">
        <f t="shared" si="166"/>
        <v>149</v>
      </c>
      <c r="E38" s="218">
        <f t="shared" si="167"/>
        <v>341.851</v>
      </c>
      <c r="F38" s="218">
        <f t="shared" si="168"/>
        <v>109.93100000000004</v>
      </c>
      <c r="G38" s="219">
        <f t="shared" si="169"/>
        <v>181.68399999999997</v>
      </c>
      <c r="H38" s="220">
        <f t="shared" si="170"/>
        <v>301.49099999999999</v>
      </c>
      <c r="I38" s="218">
        <f t="shared" si="171"/>
        <v>239.75900000000001</v>
      </c>
      <c r="J38" s="218">
        <f t="shared" si="172"/>
        <v>216.42499999999995</v>
      </c>
      <c r="K38" s="219">
        <f t="shared" si="173"/>
        <v>230.11400000000003</v>
      </c>
      <c r="L38" s="220">
        <f t="shared" si="174"/>
        <v>295.767</v>
      </c>
      <c r="M38" s="218">
        <f t="shared" si="175"/>
        <v>391.88500000000005</v>
      </c>
      <c r="N38" s="218">
        <f t="shared" si="176"/>
        <v>148.11199999999997</v>
      </c>
      <c r="O38" s="219">
        <f t="shared" si="177"/>
        <v>0</v>
      </c>
      <c r="P38" s="220">
        <f t="shared" si="178"/>
        <v>2.4380000000000002</v>
      </c>
      <c r="Q38" s="218">
        <f t="shared" si="179"/>
        <v>2.2369999999999997</v>
      </c>
      <c r="R38" s="218">
        <f t="shared" si="180"/>
        <v>2.4380000000000011</v>
      </c>
      <c r="S38" s="219">
        <f t="shared" si="181"/>
        <v>1.3129999999999997</v>
      </c>
      <c r="T38" s="220">
        <f t="shared" si="182"/>
        <v>100.233</v>
      </c>
      <c r="U38" s="218">
        <f t="shared" si="183"/>
        <v>0</v>
      </c>
      <c r="V38" s="218">
        <f t="shared" si="184"/>
        <v>0</v>
      </c>
      <c r="W38" s="219">
        <f t="shared" si="185"/>
        <v>100</v>
      </c>
      <c r="X38" s="220">
        <f t="shared" si="186"/>
        <v>0</v>
      </c>
      <c r="Y38" s="218">
        <f t="shared" si="187"/>
        <v>0</v>
      </c>
      <c r="Z38" s="218">
        <f t="shared" si="188"/>
        <v>0</v>
      </c>
      <c r="AA38" s="219">
        <f t="shared" si="189"/>
        <v>0</v>
      </c>
      <c r="AB38" s="218">
        <f t="shared" si="190"/>
        <v>0</v>
      </c>
      <c r="AC38" s="218">
        <f t="shared" si="191"/>
        <v>3.2250000000000001</v>
      </c>
      <c r="AD38" s="218">
        <f t="shared" si="192"/>
        <v>0</v>
      </c>
      <c r="AE38" s="219">
        <f t="shared" si="193"/>
        <v>0</v>
      </c>
      <c r="AF38" s="218">
        <f t="shared" si="194"/>
        <v>0</v>
      </c>
      <c r="AG38" s="218">
        <f t="shared" si="195"/>
        <v>0</v>
      </c>
      <c r="AH38" s="218">
        <f t="shared" si="196"/>
        <v>0</v>
      </c>
      <c r="AI38" s="219">
        <f t="shared" si="197"/>
        <v>50.585000000000001</v>
      </c>
      <c r="AJ38" s="218">
        <f t="shared" si="198"/>
        <v>0</v>
      </c>
      <c r="AK38" s="218">
        <f t="shared" si="199"/>
        <v>27</v>
      </c>
      <c r="AL38" s="218">
        <f t="shared" si="200"/>
        <v>0</v>
      </c>
      <c r="AM38" s="219">
        <f t="shared" si="201"/>
        <v>0</v>
      </c>
      <c r="AN38" s="218">
        <f t="shared" si="202"/>
        <v>0</v>
      </c>
      <c r="AO38" s="218">
        <f t="shared" si="203"/>
        <v>-25.141999999999999</v>
      </c>
      <c r="AP38" s="218">
        <f t="shared" si="204"/>
        <v>0.5</v>
      </c>
      <c r="AQ38" s="219">
        <f t="shared" si="205"/>
        <v>24.641999999999999</v>
      </c>
      <c r="AR38" s="218">
        <f t="shared" si="206"/>
        <v>0</v>
      </c>
      <c r="AS38" s="218">
        <f t="shared" si="207"/>
        <v>0</v>
      </c>
      <c r="AT38" s="218">
        <f t="shared" si="208"/>
        <v>105</v>
      </c>
      <c r="AU38" s="219">
        <f t="shared" si="209"/>
        <v>-55</v>
      </c>
      <c r="AV38" s="218">
        <f t="shared" si="242"/>
        <v>49.54</v>
      </c>
      <c r="AW38" s="218">
        <f t="shared" si="210"/>
        <v>26.454000000000001</v>
      </c>
      <c r="AX38" s="218">
        <f t="shared" si="211"/>
        <v>42.199000000000005</v>
      </c>
      <c r="AY38" s="219">
        <f t="shared" si="212"/>
        <v>49.999999999999964</v>
      </c>
      <c r="AZ38" s="218">
        <f t="shared" si="243"/>
        <v>18.100999999999999</v>
      </c>
      <c r="BA38" s="218">
        <f t="shared" si="213"/>
        <v>140.10599999999999</v>
      </c>
      <c r="BB38" s="221">
        <f>60.008+304.289</f>
        <v>364.29699999999997</v>
      </c>
      <c r="BC38" s="222">
        <v>0</v>
      </c>
      <c r="BD38" s="221">
        <v>0</v>
      </c>
      <c r="BE38" s="221">
        <v>0</v>
      </c>
      <c r="BF38" s="221">
        <v>0</v>
      </c>
      <c r="BG38" s="221">
        <v>0</v>
      </c>
      <c r="BH38" s="223">
        <v>0</v>
      </c>
      <c r="BI38" s="221">
        <v>0</v>
      </c>
      <c r="BJ38" s="221">
        <v>0</v>
      </c>
      <c r="BK38" s="221">
        <v>0</v>
      </c>
      <c r="BL38" s="20"/>
      <c r="BM38" s="218">
        <f>SUM(D38:G38)</f>
        <v>782.46600000000001</v>
      </c>
      <c r="BN38" s="218">
        <f>SUM(H38:K38)</f>
        <v>987.78899999999999</v>
      </c>
      <c r="BO38" s="218">
        <f>SUM(L38:O38)</f>
        <v>835.76400000000001</v>
      </c>
      <c r="BP38" s="218">
        <f>SUM(P38:S38)</f>
        <v>8.4260000000000019</v>
      </c>
      <c r="BQ38" s="218">
        <f>SUM(T38:W38)</f>
        <v>200.233</v>
      </c>
      <c r="BR38" s="218">
        <f>SUM(X38:AA38)</f>
        <v>0</v>
      </c>
      <c r="BS38" s="218">
        <f>SUM(AB38:AE38)</f>
        <v>3.2250000000000001</v>
      </c>
      <c r="BT38" s="218">
        <f>SUM(AF38:AI38)</f>
        <v>50.585000000000001</v>
      </c>
      <c r="BU38" s="218">
        <f>SUM(AJ38:AM38)</f>
        <v>27</v>
      </c>
      <c r="BV38" s="218">
        <f t="shared" si="224"/>
        <v>0</v>
      </c>
      <c r="BW38" s="218">
        <f t="shared" si="225"/>
        <v>50</v>
      </c>
      <c r="BX38" s="218">
        <f t="shared" si="226"/>
        <v>168.19299999999998</v>
      </c>
      <c r="BY38" s="218">
        <f t="shared" si="227"/>
        <v>522.50399999999991</v>
      </c>
      <c r="BZ38" s="218">
        <f t="shared" si="244"/>
        <v>0</v>
      </c>
      <c r="CA38" s="219">
        <f t="shared" si="245"/>
        <v>0</v>
      </c>
      <c r="CB38" s="1491"/>
      <c r="CC38" s="408"/>
      <c r="CD38" s="408"/>
      <c r="CE38" s="260"/>
      <c r="CF38" s="220">
        <f t="shared" si="228"/>
        <v>832.86500000000001</v>
      </c>
      <c r="CG38" s="218">
        <f t="shared" si="229"/>
        <v>1134.191</v>
      </c>
      <c r="CH38" s="218">
        <f t="shared" si="230"/>
        <v>152.78699999999995</v>
      </c>
      <c r="CI38" s="218">
        <f t="shared" si="231"/>
        <v>103.98400000000001</v>
      </c>
      <c r="CJ38" s="218">
        <f t="shared" si="232"/>
        <v>100</v>
      </c>
      <c r="CK38" s="218">
        <f t="shared" si="233"/>
        <v>3.2250000000000001</v>
      </c>
      <c r="CL38" s="218">
        <f t="shared" si="234"/>
        <v>0</v>
      </c>
      <c r="CM38" s="218">
        <f t="shared" si="235"/>
        <v>77.585000000000008</v>
      </c>
      <c r="CN38" s="218">
        <f t="shared" si="236"/>
        <v>-25.141999999999999</v>
      </c>
      <c r="CO38" s="218">
        <f t="shared" si="237"/>
        <v>25.141999999999999</v>
      </c>
      <c r="CP38" s="218">
        <f t="shared" si="238"/>
        <v>125.994</v>
      </c>
      <c r="CQ38" s="218">
        <f t="shared" si="239"/>
        <v>250.40599999999995</v>
      </c>
      <c r="CR38" s="218">
        <f t="shared" si="240"/>
        <v>364.29699999999997</v>
      </c>
      <c r="CS38" s="219">
        <f t="shared" si="241"/>
        <v>0</v>
      </c>
      <c r="CT38" s="22"/>
    </row>
    <row r="39" spans="1:98" ht="14.25" customHeight="1">
      <c r="A39" s="8"/>
      <c r="B39" s="28" t="str">
        <f t="shared" si="165"/>
        <v>Restricted cash</v>
      </c>
      <c r="C39" s="29"/>
      <c r="D39" s="220">
        <f t="shared" si="166"/>
        <v>0</v>
      </c>
      <c r="E39" s="218">
        <f t="shared" si="167"/>
        <v>0</v>
      </c>
      <c r="F39" s="218">
        <f t="shared" si="168"/>
        <v>0</v>
      </c>
      <c r="G39" s="219">
        <f t="shared" si="169"/>
        <v>0</v>
      </c>
      <c r="H39" s="220">
        <f t="shared" si="170"/>
        <v>0</v>
      </c>
      <c r="I39" s="218">
        <f t="shared" si="171"/>
        <v>0</v>
      </c>
      <c r="J39" s="218">
        <f t="shared" si="172"/>
        <v>0</v>
      </c>
      <c r="K39" s="219">
        <f t="shared" si="173"/>
        <v>0</v>
      </c>
      <c r="L39" s="220">
        <f t="shared" si="174"/>
        <v>0</v>
      </c>
      <c r="M39" s="218">
        <f t="shared" si="175"/>
        <v>-14.157999999999999</v>
      </c>
      <c r="N39" s="218">
        <f t="shared" si="176"/>
        <v>-0.1509999999999998</v>
      </c>
      <c r="O39" s="219">
        <f t="shared" si="177"/>
        <v>14.308999999999999</v>
      </c>
      <c r="P39" s="220">
        <f t="shared" si="178"/>
        <v>0</v>
      </c>
      <c r="Q39" s="218">
        <f t="shared" si="179"/>
        <v>0</v>
      </c>
      <c r="R39" s="218">
        <f t="shared" si="180"/>
        <v>0</v>
      </c>
      <c r="S39" s="219">
        <f t="shared" si="181"/>
        <v>0</v>
      </c>
      <c r="T39" s="220">
        <f t="shared" si="182"/>
        <v>0</v>
      </c>
      <c r="U39" s="218">
        <f t="shared" si="183"/>
        <v>0</v>
      </c>
      <c r="V39" s="218">
        <f t="shared" si="184"/>
        <v>0</v>
      </c>
      <c r="W39" s="219">
        <f t="shared" si="185"/>
        <v>0</v>
      </c>
      <c r="X39" s="220">
        <f t="shared" si="186"/>
        <v>0</v>
      </c>
      <c r="Y39" s="218">
        <f t="shared" si="187"/>
        <v>0</v>
      </c>
      <c r="Z39" s="218">
        <f t="shared" si="188"/>
        <v>0</v>
      </c>
      <c r="AA39" s="219">
        <f t="shared" si="189"/>
        <v>0</v>
      </c>
      <c r="AB39" s="218">
        <f t="shared" si="190"/>
        <v>0</v>
      </c>
      <c r="AC39" s="218">
        <f t="shared" si="191"/>
        <v>0</v>
      </c>
      <c r="AD39" s="218">
        <f t="shared" si="192"/>
        <v>0</v>
      </c>
      <c r="AE39" s="219">
        <f t="shared" si="193"/>
        <v>0</v>
      </c>
      <c r="AF39" s="218">
        <f t="shared" si="194"/>
        <v>0</v>
      </c>
      <c r="AG39" s="218">
        <f t="shared" si="195"/>
        <v>0</v>
      </c>
      <c r="AH39" s="218">
        <f t="shared" si="196"/>
        <v>0</v>
      </c>
      <c r="AI39" s="219">
        <f t="shared" si="197"/>
        <v>0</v>
      </c>
      <c r="AJ39" s="218">
        <f t="shared" si="198"/>
        <v>0</v>
      </c>
      <c r="AK39" s="218">
        <f t="shared" si="199"/>
        <v>0</v>
      </c>
      <c r="AL39" s="218">
        <f t="shared" si="200"/>
        <v>0</v>
      </c>
      <c r="AM39" s="219">
        <f t="shared" si="201"/>
        <v>0</v>
      </c>
      <c r="AN39" s="218">
        <f t="shared" si="202"/>
        <v>0</v>
      </c>
      <c r="AO39" s="218">
        <f t="shared" si="203"/>
        <v>0</v>
      </c>
      <c r="AP39" s="218">
        <f t="shared" si="204"/>
        <v>0</v>
      </c>
      <c r="AQ39" s="219">
        <f t="shared" si="205"/>
        <v>0</v>
      </c>
      <c r="AR39" s="218">
        <f t="shared" si="206"/>
        <v>0</v>
      </c>
      <c r="AS39" s="218">
        <f t="shared" si="207"/>
        <v>0</v>
      </c>
      <c r="AT39" s="218">
        <f t="shared" si="208"/>
        <v>0</v>
      </c>
      <c r="AU39" s="219">
        <f t="shared" si="209"/>
        <v>0</v>
      </c>
      <c r="AV39" s="218">
        <f t="shared" si="242"/>
        <v>0</v>
      </c>
      <c r="AW39" s="218">
        <f t="shared" si="210"/>
        <v>0</v>
      </c>
      <c r="AX39" s="218">
        <f t="shared" si="211"/>
        <v>0</v>
      </c>
      <c r="AY39" s="219">
        <f t="shared" si="212"/>
        <v>0</v>
      </c>
      <c r="AZ39" s="218">
        <f t="shared" si="243"/>
        <v>0</v>
      </c>
      <c r="BA39" s="218">
        <f t="shared" si="213"/>
        <v>0</v>
      </c>
      <c r="BB39" s="221">
        <v>0</v>
      </c>
      <c r="BC39" s="222">
        <v>0</v>
      </c>
      <c r="BD39" s="221">
        <v>0</v>
      </c>
      <c r="BE39" s="221">
        <v>0</v>
      </c>
      <c r="BF39" s="221">
        <v>0</v>
      </c>
      <c r="BG39" s="221">
        <v>0</v>
      </c>
      <c r="BH39" s="223">
        <v>0</v>
      </c>
      <c r="BI39" s="221">
        <v>0</v>
      </c>
      <c r="BJ39" s="221">
        <v>0</v>
      </c>
      <c r="BK39" s="221">
        <v>0</v>
      </c>
      <c r="BL39" s="20"/>
      <c r="BM39" s="218">
        <f t="shared" si="215"/>
        <v>0</v>
      </c>
      <c r="BN39" s="218">
        <f t="shared" si="216"/>
        <v>0</v>
      </c>
      <c r="BO39" s="218">
        <f t="shared" si="217"/>
        <v>0</v>
      </c>
      <c r="BP39" s="218">
        <f t="shared" si="218"/>
        <v>0</v>
      </c>
      <c r="BQ39" s="218">
        <f t="shared" si="219"/>
        <v>0</v>
      </c>
      <c r="BR39" s="218">
        <f t="shared" si="220"/>
        <v>0</v>
      </c>
      <c r="BS39" s="218">
        <f t="shared" si="221"/>
        <v>0</v>
      </c>
      <c r="BT39" s="218">
        <f t="shared" si="222"/>
        <v>0</v>
      </c>
      <c r="BU39" s="218">
        <f t="shared" si="223"/>
        <v>0</v>
      </c>
      <c r="BV39" s="218">
        <f t="shared" si="224"/>
        <v>0</v>
      </c>
      <c r="BW39" s="218">
        <f t="shared" si="225"/>
        <v>0</v>
      </c>
      <c r="BX39" s="218">
        <f t="shared" si="226"/>
        <v>0</v>
      </c>
      <c r="BY39" s="218">
        <f t="shared" si="227"/>
        <v>0</v>
      </c>
      <c r="BZ39" s="218">
        <f t="shared" si="244"/>
        <v>0</v>
      </c>
      <c r="CA39" s="219">
        <f t="shared" si="245"/>
        <v>0</v>
      </c>
      <c r="CB39" s="1491"/>
      <c r="CC39" s="408"/>
      <c r="CD39" s="408"/>
      <c r="CE39" s="260"/>
      <c r="CF39" s="220">
        <f t="shared" si="228"/>
        <v>0</v>
      </c>
      <c r="CG39" s="218">
        <f t="shared" si="229"/>
        <v>-14.157999999999999</v>
      </c>
      <c r="CH39" s="218">
        <f t="shared" si="230"/>
        <v>14.157999999999999</v>
      </c>
      <c r="CI39" s="218">
        <f t="shared" si="231"/>
        <v>0</v>
      </c>
      <c r="CJ39" s="218">
        <f t="shared" si="232"/>
        <v>0</v>
      </c>
      <c r="CK39" s="218">
        <f t="shared" si="233"/>
        <v>0</v>
      </c>
      <c r="CL39" s="218">
        <f t="shared" si="234"/>
        <v>0</v>
      </c>
      <c r="CM39" s="218">
        <f t="shared" si="235"/>
        <v>0</v>
      </c>
      <c r="CN39" s="218">
        <f t="shared" si="236"/>
        <v>0</v>
      </c>
      <c r="CO39" s="218">
        <f t="shared" si="237"/>
        <v>0</v>
      </c>
      <c r="CP39" s="218">
        <f t="shared" si="238"/>
        <v>0</v>
      </c>
      <c r="CQ39" s="218">
        <f t="shared" si="239"/>
        <v>0</v>
      </c>
      <c r="CR39" s="218">
        <f t="shared" si="240"/>
        <v>0</v>
      </c>
      <c r="CS39" s="219">
        <f t="shared" si="241"/>
        <v>0</v>
      </c>
      <c r="CT39" s="22"/>
    </row>
    <row r="40" spans="1:98" ht="14.25" customHeight="1">
      <c r="A40" s="11"/>
      <c r="B40" s="28" t="str">
        <f t="shared" si="165"/>
        <v>Other investing activities</v>
      </c>
      <c r="C40" s="29"/>
      <c r="D40" s="220">
        <f t="shared" si="166"/>
        <v>7.0999999999999994E-2</v>
      </c>
      <c r="E40" s="218">
        <f t="shared" si="167"/>
        <v>-0.57499999999999996</v>
      </c>
      <c r="F40" s="218">
        <f t="shared" si="168"/>
        <v>-9.7420000000000009</v>
      </c>
      <c r="G40" s="219">
        <f t="shared" si="169"/>
        <v>1.0830000000000006</v>
      </c>
      <c r="H40" s="220">
        <f t="shared" si="170"/>
        <v>3.38</v>
      </c>
      <c r="I40" s="218">
        <f t="shared" si="171"/>
        <v>-4.8710000000000004</v>
      </c>
      <c r="J40" s="218">
        <f t="shared" si="172"/>
        <v>-14.629999999999999</v>
      </c>
      <c r="K40" s="219">
        <f t="shared" si="173"/>
        <v>4.4560000000000004</v>
      </c>
      <c r="L40" s="220">
        <f t="shared" si="174"/>
        <v>0.93400000000000005</v>
      </c>
      <c r="M40" s="218">
        <f t="shared" si="175"/>
        <v>17.096</v>
      </c>
      <c r="N40" s="218">
        <f t="shared" si="176"/>
        <v>-8.2099999999999991</v>
      </c>
      <c r="O40" s="219">
        <f t="shared" si="177"/>
        <v>-0.68899999999999906</v>
      </c>
      <c r="P40" s="220">
        <f t="shared" si="178"/>
        <v>-3.206</v>
      </c>
      <c r="Q40" s="218">
        <f t="shared" si="179"/>
        <v>1.96</v>
      </c>
      <c r="R40" s="218">
        <f t="shared" si="180"/>
        <v>2.1189999999999998</v>
      </c>
      <c r="S40" s="219">
        <f t="shared" si="181"/>
        <v>0</v>
      </c>
      <c r="T40" s="220">
        <f t="shared" si="182"/>
        <v>0.95299999999999996</v>
      </c>
      <c r="U40" s="218">
        <f t="shared" si="183"/>
        <v>-0.28799999999999992</v>
      </c>
      <c r="V40" s="218">
        <f t="shared" si="184"/>
        <v>-0.92800000000000005</v>
      </c>
      <c r="W40" s="219">
        <f t="shared" si="185"/>
        <v>-3.7350000000000003</v>
      </c>
      <c r="X40" s="220">
        <f t="shared" si="186"/>
        <v>0</v>
      </c>
      <c r="Y40" s="218">
        <f t="shared" si="187"/>
        <v>0</v>
      </c>
      <c r="Z40" s="218">
        <f t="shared" si="188"/>
        <v>0</v>
      </c>
      <c r="AA40" s="219">
        <f t="shared" si="189"/>
        <v>0</v>
      </c>
      <c r="AB40" s="218">
        <f t="shared" si="190"/>
        <v>0</v>
      </c>
      <c r="AC40" s="218">
        <f t="shared" si="191"/>
        <v>0</v>
      </c>
      <c r="AD40" s="218">
        <f t="shared" si="192"/>
        <v>56.606999999999999</v>
      </c>
      <c r="AE40" s="219">
        <f t="shared" si="193"/>
        <v>-3.4799999999999969</v>
      </c>
      <c r="AF40" s="218">
        <f t="shared" si="194"/>
        <v>0</v>
      </c>
      <c r="AG40" s="218">
        <f t="shared" si="195"/>
        <v>0</v>
      </c>
      <c r="AH40" s="218">
        <f t="shared" si="196"/>
        <v>50</v>
      </c>
      <c r="AI40" s="219">
        <f t="shared" si="197"/>
        <v>-50.5</v>
      </c>
      <c r="AJ40" s="218">
        <f t="shared" si="198"/>
        <v>0</v>
      </c>
      <c r="AK40" s="218">
        <f t="shared" si="199"/>
        <v>0</v>
      </c>
      <c r="AL40" s="218">
        <f t="shared" si="200"/>
        <v>0</v>
      </c>
      <c r="AM40" s="219">
        <f t="shared" si="201"/>
        <v>0</v>
      </c>
      <c r="AN40" s="218">
        <f t="shared" si="202"/>
        <v>0</v>
      </c>
      <c r="AO40" s="218">
        <f t="shared" si="203"/>
        <v>0</v>
      </c>
      <c r="AP40" s="218">
        <f t="shared" si="204"/>
        <v>0</v>
      </c>
      <c r="AQ40" s="219">
        <f t="shared" si="205"/>
        <v>35.849999999999994</v>
      </c>
      <c r="AR40" s="218">
        <f t="shared" si="206"/>
        <v>-1</v>
      </c>
      <c r="AS40" s="218">
        <f t="shared" si="207"/>
        <v>3.38</v>
      </c>
      <c r="AT40" s="218">
        <f t="shared" si="208"/>
        <v>-1.9210000000000003</v>
      </c>
      <c r="AU40" s="219">
        <f t="shared" si="209"/>
        <v>1.9210000000000003</v>
      </c>
      <c r="AV40" s="218">
        <f t="shared" si="242"/>
        <v>0</v>
      </c>
      <c r="AW40" s="218">
        <f t="shared" si="210"/>
        <v>0</v>
      </c>
      <c r="AX40" s="218">
        <f t="shared" si="211"/>
        <v>-2.8250000000000002</v>
      </c>
      <c r="AY40" s="219">
        <f t="shared" si="212"/>
        <v>0</v>
      </c>
      <c r="AZ40" s="218">
        <f t="shared" si="243"/>
        <v>-0.60599999999999998</v>
      </c>
      <c r="BA40" s="218">
        <f t="shared" si="213"/>
        <v>0.60599999999999998</v>
      </c>
      <c r="BB40" s="1501">
        <v>-1.25</v>
      </c>
      <c r="BC40" s="1323">
        <f>BS!BB22-BS!BC22-BS!BC24+BS!BB24-BS!BC23+BS!BB23+BS!BB26-BS!BC26</f>
        <v>0</v>
      </c>
      <c r="BD40" s="1322">
        <f>BS!BC22-BS!BD22-BS!BD24+BS!BC24-BS!BD23+BS!BC23+BS!BC26-BS!BD26</f>
        <v>0</v>
      </c>
      <c r="BE40" s="1322">
        <f>BS!BD22-BS!BE22-BS!BE24+BS!BD24-BS!BE23+BS!BD23+BS!BD26-BS!BE26</f>
        <v>0</v>
      </c>
      <c r="BF40" s="1322">
        <f>BS!BE22-BS!BF22-BS!BF24+BS!BE24-BS!BF23+BS!BE23+BS!BE26-BS!BF26</f>
        <v>0</v>
      </c>
      <c r="BG40" s="1322">
        <f>BS!BF22-BS!BG22-BS!BG24+BS!BF24-BS!BG23+BS!BF23+BS!BF26-BS!BG26</f>
        <v>0</v>
      </c>
      <c r="BH40" s="1427">
        <f>BS!BG22-BS!BH22-BS!BH24+BS!BG24-BS!BH23+BS!BG23+BS!BG26-BS!BH26</f>
        <v>0</v>
      </c>
      <c r="BI40" s="1322">
        <f>BS!BH22-BS!BI22-BS!BI24+BS!BH24-BS!BI23+BS!BH23+BS!BH26-BS!BI26</f>
        <v>0</v>
      </c>
      <c r="BJ40" s="1322">
        <f>BS!BI22-BS!BJ22-BS!BJ24+BS!BI24-BS!BJ23+BS!BI23+BS!BI26-BS!BJ26</f>
        <v>0</v>
      </c>
      <c r="BK40" s="1323">
        <f>BS!BJ22-BS!BK22-BS!BK24+BS!BJ24-BS!BK23+BS!BJ23+BS!BJ26-BS!BK26</f>
        <v>0</v>
      </c>
      <c r="BL40" s="185"/>
      <c r="BM40" s="218">
        <f t="shared" si="215"/>
        <v>-9.1630000000000003</v>
      </c>
      <c r="BN40" s="218">
        <f t="shared" si="216"/>
        <v>-11.664999999999999</v>
      </c>
      <c r="BO40" s="218">
        <f t="shared" si="217"/>
        <v>9.1310000000000038</v>
      </c>
      <c r="BP40" s="218">
        <f t="shared" si="218"/>
        <v>0.87299999999999978</v>
      </c>
      <c r="BQ40" s="218">
        <f t="shared" si="219"/>
        <v>-3.9980000000000002</v>
      </c>
      <c r="BR40" s="218">
        <f t="shared" si="220"/>
        <v>0</v>
      </c>
      <c r="BS40" s="218">
        <f t="shared" si="221"/>
        <v>53.127000000000002</v>
      </c>
      <c r="BT40" s="218">
        <f t="shared" si="222"/>
        <v>-0.5</v>
      </c>
      <c r="BU40" s="218">
        <f t="shared" si="223"/>
        <v>0</v>
      </c>
      <c r="BV40" s="218">
        <f t="shared" si="224"/>
        <v>35.849999999999994</v>
      </c>
      <c r="BW40" s="218">
        <f t="shared" si="225"/>
        <v>2.38</v>
      </c>
      <c r="BX40" s="218">
        <f t="shared" si="226"/>
        <v>-2.8250000000000002</v>
      </c>
      <c r="BY40" s="218">
        <f t="shared" si="227"/>
        <v>-1.25</v>
      </c>
      <c r="BZ40" s="218">
        <f t="shared" si="244"/>
        <v>0</v>
      </c>
      <c r="CA40" s="219">
        <f t="shared" si="245"/>
        <v>0</v>
      </c>
      <c r="CB40" s="1313"/>
      <c r="CC40" s="1314"/>
      <c r="CD40" s="1314"/>
      <c r="CE40" s="24"/>
      <c r="CF40" s="220">
        <f t="shared" si="228"/>
        <v>-10.150000000000002</v>
      </c>
      <c r="CG40" s="218">
        <f t="shared" si="229"/>
        <v>7.8559999999999999</v>
      </c>
      <c r="CH40" s="218">
        <f t="shared" si="230"/>
        <v>-10.144999999999996</v>
      </c>
      <c r="CI40" s="218">
        <f t="shared" si="231"/>
        <v>2.7839999999999998</v>
      </c>
      <c r="CJ40" s="218">
        <f t="shared" si="232"/>
        <v>-4.6630000000000003</v>
      </c>
      <c r="CK40" s="218">
        <f t="shared" si="233"/>
        <v>0</v>
      </c>
      <c r="CL40" s="218">
        <f t="shared" si="234"/>
        <v>53.127000000000002</v>
      </c>
      <c r="CM40" s="218">
        <f t="shared" si="235"/>
        <v>-0.5</v>
      </c>
      <c r="CN40" s="218">
        <f t="shared" si="236"/>
        <v>0</v>
      </c>
      <c r="CO40" s="218">
        <f t="shared" si="237"/>
        <v>38.229999999999997</v>
      </c>
      <c r="CP40" s="218">
        <f t="shared" si="238"/>
        <v>0</v>
      </c>
      <c r="CQ40" s="218">
        <f t="shared" si="239"/>
        <v>-2.8250000000000002</v>
      </c>
      <c r="CR40" s="218">
        <f t="shared" si="240"/>
        <v>-1.25</v>
      </c>
      <c r="CS40" s="219">
        <f t="shared" si="241"/>
        <v>0</v>
      </c>
      <c r="CT40" s="23"/>
    </row>
    <row r="41" spans="1:98" ht="14.25" customHeight="1" thickBot="1">
      <c r="A41" s="8"/>
      <c r="B41" s="224" t="str">
        <f t="shared" si="165"/>
        <v>Net cash used for investing activities</v>
      </c>
      <c r="C41" s="225"/>
      <c r="D41" s="227">
        <f t="shared" ref="D41:AL41" si="246">SUM(D34:D40)</f>
        <v>-114.994</v>
      </c>
      <c r="E41" s="226">
        <f t="shared" si="246"/>
        <v>155.92299999999997</v>
      </c>
      <c r="F41" s="226">
        <f t="shared" si="246"/>
        <v>42.838000000000051</v>
      </c>
      <c r="G41" s="228">
        <f t="shared" si="246"/>
        <v>73.839999999999975</v>
      </c>
      <c r="H41" s="227">
        <f t="shared" si="246"/>
        <v>-92.437000000000012</v>
      </c>
      <c r="I41" s="226">
        <f t="shared" si="246"/>
        <v>-120.83299999999993</v>
      </c>
      <c r="J41" s="226">
        <f t="shared" si="246"/>
        <v>-73.129000000000076</v>
      </c>
      <c r="K41" s="228">
        <f t="shared" si="246"/>
        <v>83.464999999999961</v>
      </c>
      <c r="L41" s="227">
        <f t="shared" si="246"/>
        <v>131.88200000000001</v>
      </c>
      <c r="M41" s="226">
        <f t="shared" si="246"/>
        <v>264.98400000000004</v>
      </c>
      <c r="N41" s="226">
        <f t="shared" si="246"/>
        <v>94.450999999999993</v>
      </c>
      <c r="O41" s="228">
        <f t="shared" si="246"/>
        <v>-226.22800000000001</v>
      </c>
      <c r="P41" s="227">
        <f t="shared" si="246"/>
        <v>-39.810999999999993</v>
      </c>
      <c r="Q41" s="226">
        <f t="shared" si="246"/>
        <v>-56.397999999999989</v>
      </c>
      <c r="R41" s="226">
        <f t="shared" si="246"/>
        <v>-63.531999999999982</v>
      </c>
      <c r="S41" s="228">
        <f t="shared" si="246"/>
        <v>-31.976000000000031</v>
      </c>
      <c r="T41" s="227">
        <f t="shared" si="246"/>
        <v>71.063000000000002</v>
      </c>
      <c r="U41" s="226">
        <f t="shared" si="246"/>
        <v>-27.180000000000003</v>
      </c>
      <c r="V41" s="226">
        <f t="shared" si="246"/>
        <v>-26.966999999999992</v>
      </c>
      <c r="W41" s="228">
        <f t="shared" si="246"/>
        <v>-258.56400000000002</v>
      </c>
      <c r="X41" s="227">
        <f t="shared" si="246"/>
        <v>-111.101</v>
      </c>
      <c r="Y41" s="226">
        <f t="shared" si="246"/>
        <v>-34.353999999999992</v>
      </c>
      <c r="Z41" s="226">
        <f t="shared" si="246"/>
        <v>-79.300000000000011</v>
      </c>
      <c r="AA41" s="228">
        <f t="shared" si="246"/>
        <v>-53.578999999999994</v>
      </c>
      <c r="AB41" s="226">
        <f t="shared" si="246"/>
        <v>-203.59300000000002</v>
      </c>
      <c r="AC41" s="226">
        <f t="shared" si="246"/>
        <v>-100.55300000000001</v>
      </c>
      <c r="AD41" s="226">
        <f t="shared" si="246"/>
        <v>-1.652000000000001</v>
      </c>
      <c r="AE41" s="228">
        <f t="shared" si="246"/>
        <v>-78.967000000000013</v>
      </c>
      <c r="AF41" s="226">
        <f t="shared" si="246"/>
        <v>-50.359000000000002</v>
      </c>
      <c r="AG41" s="226">
        <f t="shared" si="246"/>
        <v>-57.987000000000002</v>
      </c>
      <c r="AH41" s="226">
        <f t="shared" si="246"/>
        <v>5.2540000000000049</v>
      </c>
      <c r="AI41" s="228">
        <f t="shared" si="246"/>
        <v>-36.28</v>
      </c>
      <c r="AJ41" s="226">
        <f t="shared" si="246"/>
        <v>-33.280999999999999</v>
      </c>
      <c r="AK41" s="226">
        <f>SUM(AK34:AK40)</f>
        <v>-472.63899999999995</v>
      </c>
      <c r="AL41" s="226">
        <f t="shared" si="246"/>
        <v>-31.538999999999998</v>
      </c>
      <c r="AM41" s="228">
        <f t="shared" ref="AM41:AR41" si="247">SUM(AM34:AM40)</f>
        <v>-71.97999999999999</v>
      </c>
      <c r="AN41" s="226">
        <f t="shared" si="247"/>
        <v>-56.616</v>
      </c>
      <c r="AO41" s="226">
        <f t="shared" si="247"/>
        <v>5.8819999999999979</v>
      </c>
      <c r="AP41" s="226">
        <f t="shared" si="247"/>
        <v>-8.27</v>
      </c>
      <c r="AQ41" s="228">
        <f t="shared" si="247"/>
        <v>22.930999999999987</v>
      </c>
      <c r="AR41" s="226">
        <f t="shared" si="247"/>
        <v>-41.269999999999996</v>
      </c>
      <c r="AS41" s="226">
        <f t="shared" ref="AS41:BC41" si="248">SUM(AS34:AS40)</f>
        <v>7.5189999999999886</v>
      </c>
      <c r="AT41" s="226">
        <f t="shared" si="248"/>
        <v>60.824000000000005</v>
      </c>
      <c r="AU41" s="228">
        <f t="shared" si="248"/>
        <v>35.649000000000008</v>
      </c>
      <c r="AV41" s="226">
        <f t="shared" si="248"/>
        <v>7.2999999999986187E-2</v>
      </c>
      <c r="AW41" s="226">
        <f>SUM(AW34:AW40)</f>
        <v>-213.04499999999999</v>
      </c>
      <c r="AX41" s="226">
        <f>SUM(AX34:AX40)</f>
        <v>-107.05900000000001</v>
      </c>
      <c r="AY41" s="228">
        <f>SUM(AY34:AY40)</f>
        <v>-5.365000000000002</v>
      </c>
      <c r="AZ41" s="226">
        <f>SUM(AZ34:AZ40)</f>
        <v>-711.65699999999993</v>
      </c>
      <c r="BA41" s="226">
        <f>SUM(BA34:BA40)</f>
        <v>-19.529000000000046</v>
      </c>
      <c r="BB41" s="226">
        <f t="shared" si="248"/>
        <v>22.366999999999905</v>
      </c>
      <c r="BC41" s="228">
        <f t="shared" si="248"/>
        <v>-12.597738377000001</v>
      </c>
      <c r="BD41" s="226">
        <f t="shared" ref="BD41:BK41" si="249">SUM(BD34:BD40)</f>
        <v>-12.288045326480001</v>
      </c>
      <c r="BE41" s="226">
        <f t="shared" si="249"/>
        <v>-12.311059435077203</v>
      </c>
      <c r="BF41" s="226">
        <f t="shared" si="249"/>
        <v>-12.954674735269794</v>
      </c>
      <c r="BG41" s="226">
        <f t="shared" si="249"/>
        <v>-13.091675640448937</v>
      </c>
      <c r="BH41" s="227">
        <f t="shared" si="249"/>
        <v>-12.881601942065368</v>
      </c>
      <c r="BI41" s="226">
        <f t="shared" si="249"/>
        <v>-12.871707493206937</v>
      </c>
      <c r="BJ41" s="226">
        <f t="shared" si="249"/>
        <v>-13.395294339247243</v>
      </c>
      <c r="BK41" s="226">
        <f t="shared" si="249"/>
        <v>-13.751427892934341</v>
      </c>
      <c r="BL41" s="20"/>
      <c r="BM41" s="226">
        <f t="shared" ref="BM41:BW41" si="250">SUM(BM34:BM40)</f>
        <v>157.60699999999997</v>
      </c>
      <c r="BN41" s="226">
        <f t="shared" si="250"/>
        <v>-202.934</v>
      </c>
      <c r="BO41" s="226">
        <f t="shared" si="250"/>
        <v>265.089</v>
      </c>
      <c r="BP41" s="226">
        <f t="shared" si="250"/>
        <v>-191.71699999999998</v>
      </c>
      <c r="BQ41" s="226">
        <f t="shared" si="250"/>
        <v>-241.64800000000002</v>
      </c>
      <c r="BR41" s="226">
        <f t="shared" si="250"/>
        <v>-278.334</v>
      </c>
      <c r="BS41" s="226">
        <f t="shared" si="250"/>
        <v>-384.76499999999999</v>
      </c>
      <c r="BT41" s="226">
        <f t="shared" si="250"/>
        <v>-139.37199999999999</v>
      </c>
      <c r="BU41" s="226">
        <f t="shared" si="250"/>
        <v>-609.43899999999996</v>
      </c>
      <c r="BV41" s="226">
        <f t="shared" si="250"/>
        <v>-36.073000000000008</v>
      </c>
      <c r="BW41" s="226">
        <f t="shared" si="250"/>
        <v>62.722000000000016</v>
      </c>
      <c r="BX41" s="226">
        <f>SUM(BX34:BX40)</f>
        <v>-325.39600000000002</v>
      </c>
      <c r="BY41" s="226">
        <f>SUM(BY34:BY40)</f>
        <v>-721.416738377</v>
      </c>
      <c r="BZ41" s="226">
        <f>SUM(BZ34:BZ40)</f>
        <v>-50.645455137275931</v>
      </c>
      <c r="CA41" s="228">
        <f>SUM(CA34:CA40)</f>
        <v>-52.900031667453888</v>
      </c>
      <c r="CB41" s="233"/>
      <c r="CC41" s="232"/>
      <c r="CD41" s="232"/>
      <c r="CE41" s="260"/>
      <c r="CF41" s="227">
        <f t="shared" ref="CF41:CO41" si="251">SUM(CF34:CF40)</f>
        <v>-96.591999999999899</v>
      </c>
      <c r="CG41" s="226">
        <f t="shared" si="251"/>
        <v>407.20199999999988</v>
      </c>
      <c r="CH41" s="226">
        <f t="shared" si="251"/>
        <v>-227.9860000000001</v>
      </c>
      <c r="CI41" s="226">
        <f t="shared" si="251"/>
        <v>-51.625000000000021</v>
      </c>
      <c r="CJ41" s="226">
        <f t="shared" si="251"/>
        <v>-430.98599999999999</v>
      </c>
      <c r="CK41" s="226">
        <f t="shared" si="251"/>
        <v>-437.02499999999998</v>
      </c>
      <c r="CL41" s="226">
        <f t="shared" si="251"/>
        <v>-188.965</v>
      </c>
      <c r="CM41" s="226">
        <f t="shared" si="251"/>
        <v>-536.94599999999991</v>
      </c>
      <c r="CN41" s="226">
        <f t="shared" si="251"/>
        <v>-154.25299999999999</v>
      </c>
      <c r="CO41" s="226">
        <f t="shared" si="251"/>
        <v>-19.090000000000025</v>
      </c>
      <c r="CP41" s="226">
        <f>SUM(CP34:CP40)</f>
        <v>-116.499</v>
      </c>
      <c r="CQ41" s="226">
        <f>SUM(CQ34:CQ40)</f>
        <v>-843.61000000000013</v>
      </c>
      <c r="CR41" s="226">
        <f>SUM(CR34:CR40)</f>
        <v>-14.829843138557237</v>
      </c>
      <c r="CS41" s="228">
        <f>SUM(CS34:CS40)</f>
        <v>-51.799659810991031</v>
      </c>
      <c r="CT41" s="22"/>
    </row>
    <row r="42" spans="1:98" ht="14.25" customHeight="1" thickTop="1">
      <c r="A42" s="8"/>
      <c r="B42" s="23"/>
      <c r="C42" s="24"/>
      <c r="D42" s="220"/>
      <c r="E42" s="218"/>
      <c r="F42" s="218"/>
      <c r="G42" s="219"/>
      <c r="H42" s="220"/>
      <c r="I42" s="218"/>
      <c r="J42" s="218"/>
      <c r="K42" s="219"/>
      <c r="L42" s="220"/>
      <c r="M42" s="218"/>
      <c r="N42" s="218"/>
      <c r="O42" s="219"/>
      <c r="P42" s="220"/>
      <c r="Q42" s="218"/>
      <c r="R42" s="218"/>
      <c r="S42" s="219"/>
      <c r="T42" s="220"/>
      <c r="U42" s="218"/>
      <c r="V42" s="218"/>
      <c r="W42" s="219"/>
      <c r="X42" s="220"/>
      <c r="Y42" s="218"/>
      <c r="Z42" s="218"/>
      <c r="AA42" s="219"/>
      <c r="AB42" s="218"/>
      <c r="AC42" s="218"/>
      <c r="AD42" s="218"/>
      <c r="AE42" s="219"/>
      <c r="AF42" s="218"/>
      <c r="AG42" s="218"/>
      <c r="AH42" s="218"/>
      <c r="AI42" s="219"/>
      <c r="AJ42" s="218"/>
      <c r="AK42" s="218"/>
      <c r="AL42" s="218"/>
      <c r="AM42" s="219"/>
      <c r="AN42" s="218"/>
      <c r="AO42" s="218"/>
      <c r="AP42" s="218"/>
      <c r="AQ42" s="219"/>
      <c r="AR42" s="218"/>
      <c r="AS42" s="218"/>
      <c r="AT42" s="218"/>
      <c r="AU42" s="219"/>
      <c r="AV42" s="218"/>
      <c r="AW42" s="218"/>
      <c r="AX42" s="221"/>
      <c r="AY42" s="219"/>
      <c r="AZ42" s="218"/>
      <c r="BA42" s="218"/>
      <c r="BB42" s="221"/>
      <c r="BC42" s="222"/>
      <c r="BD42" s="221"/>
      <c r="BE42" s="221"/>
      <c r="BF42" s="221"/>
      <c r="BG42" s="221"/>
      <c r="BH42" s="223"/>
      <c r="BI42" s="221"/>
      <c r="BJ42" s="221"/>
      <c r="BK42" s="221"/>
      <c r="BL42" s="20"/>
      <c r="BM42" s="221"/>
      <c r="BN42" s="221"/>
      <c r="BO42" s="221"/>
      <c r="BP42" s="221"/>
      <c r="BQ42" s="221"/>
      <c r="BR42" s="221"/>
      <c r="BS42" s="221"/>
      <c r="BT42" s="221"/>
      <c r="BU42" s="221"/>
      <c r="BV42" s="221"/>
      <c r="BW42" s="221"/>
      <c r="BX42" s="221"/>
      <c r="BY42" s="221"/>
      <c r="BZ42" s="221"/>
      <c r="CA42" s="222"/>
      <c r="CB42" s="223"/>
      <c r="CC42" s="221"/>
      <c r="CD42" s="221"/>
      <c r="CE42" s="260"/>
      <c r="CF42" s="223"/>
      <c r="CG42" s="221"/>
      <c r="CH42" s="221"/>
      <c r="CI42" s="221"/>
      <c r="CJ42" s="221"/>
      <c r="CK42" s="221"/>
      <c r="CL42" s="221"/>
      <c r="CM42" s="221"/>
      <c r="CN42" s="221"/>
      <c r="CO42" s="221"/>
      <c r="CP42" s="221"/>
      <c r="CQ42" s="221"/>
      <c r="CR42" s="221"/>
      <c r="CS42" s="222"/>
      <c r="CT42" s="22"/>
    </row>
    <row r="43" spans="1:98" ht="14.25" customHeight="1">
      <c r="A43" s="8"/>
      <c r="B43" s="229" t="str">
        <f t="shared" ref="B43:B51" si="252">B142</f>
        <v>Cash flows from financing activities:</v>
      </c>
      <c r="C43" s="230"/>
      <c r="D43" s="220"/>
      <c r="E43" s="218"/>
      <c r="F43" s="218"/>
      <c r="G43" s="219"/>
      <c r="H43" s="220"/>
      <c r="I43" s="218"/>
      <c r="J43" s="218"/>
      <c r="K43" s="219"/>
      <c r="L43" s="220"/>
      <c r="M43" s="218"/>
      <c r="N43" s="218"/>
      <c r="O43" s="219"/>
      <c r="P43" s="220"/>
      <c r="Q43" s="218"/>
      <c r="R43" s="218"/>
      <c r="S43" s="219"/>
      <c r="T43" s="220"/>
      <c r="U43" s="218"/>
      <c r="V43" s="218"/>
      <c r="W43" s="219"/>
      <c r="X43" s="220"/>
      <c r="Y43" s="218"/>
      <c r="Z43" s="218"/>
      <c r="AA43" s="219"/>
      <c r="AB43" s="218"/>
      <c r="AC43" s="218"/>
      <c r="AD43" s="218"/>
      <c r="AE43" s="219"/>
      <c r="AF43" s="218"/>
      <c r="AG43" s="218"/>
      <c r="AH43" s="218"/>
      <c r="AI43" s="219"/>
      <c r="AJ43" s="218"/>
      <c r="AK43" s="218"/>
      <c r="AL43" s="218"/>
      <c r="AM43" s="219"/>
      <c r="AN43" s="218"/>
      <c r="AO43" s="218"/>
      <c r="AP43" s="218"/>
      <c r="AQ43" s="219"/>
      <c r="AR43" s="218"/>
      <c r="AS43" s="218"/>
      <c r="AT43" s="218"/>
      <c r="AU43" s="219"/>
      <c r="AV43" s="218"/>
      <c r="AW43" s="218"/>
      <c r="AX43" s="218"/>
      <c r="AY43" s="219"/>
      <c r="AZ43" s="218"/>
      <c r="BA43" s="218"/>
      <c r="BB43" s="221"/>
      <c r="BC43" s="222"/>
      <c r="BD43" s="221"/>
      <c r="BE43" s="221"/>
      <c r="BF43" s="221"/>
      <c r="BG43" s="221"/>
      <c r="BH43" s="223"/>
      <c r="BI43" s="221"/>
      <c r="BJ43" s="221"/>
      <c r="BK43" s="221"/>
      <c r="BL43" s="20"/>
      <c r="BM43" s="221"/>
      <c r="BN43" s="221"/>
      <c r="BO43" s="221"/>
      <c r="BP43" s="221"/>
      <c r="BQ43" s="221"/>
      <c r="BR43" s="221"/>
      <c r="BS43" s="221"/>
      <c r="BT43" s="221"/>
      <c r="BU43" s="221"/>
      <c r="BV43" s="221"/>
      <c r="BW43" s="221"/>
      <c r="BX43" s="221"/>
      <c r="BY43" s="221"/>
      <c r="BZ43" s="221"/>
      <c r="CA43" s="222"/>
      <c r="CB43" s="223"/>
      <c r="CC43" s="221"/>
      <c r="CD43" s="221"/>
      <c r="CE43" s="260"/>
      <c r="CF43" s="223"/>
      <c r="CG43" s="221"/>
      <c r="CH43" s="221"/>
      <c r="CI43" s="221"/>
      <c r="CJ43" s="221"/>
      <c r="CK43" s="221"/>
      <c r="CL43" s="221"/>
      <c r="CM43" s="221"/>
      <c r="CN43" s="221"/>
      <c r="CO43" s="221"/>
      <c r="CP43" s="221"/>
      <c r="CQ43" s="221"/>
      <c r="CR43" s="221"/>
      <c r="CS43" s="222"/>
      <c r="CT43" s="22"/>
    </row>
    <row r="44" spans="1:98" ht="14.25" customHeight="1">
      <c r="A44" s="8"/>
      <c r="B44" s="28" t="str">
        <f t="shared" si="252"/>
        <v>Increase (decrease) in short-term debt, net</v>
      </c>
      <c r="C44" s="29"/>
      <c r="D44" s="220">
        <f t="shared" ref="D44:D51" si="253">D143</f>
        <v>0</v>
      </c>
      <c r="E44" s="218">
        <f t="shared" ref="E44:E51" si="254">E143-D44</f>
        <v>0</v>
      </c>
      <c r="F44" s="218">
        <f t="shared" ref="F44:F51" si="255">F143-E44-D44</f>
        <v>0</v>
      </c>
      <c r="G44" s="219">
        <f t="shared" ref="G44:G51" si="256">G143-F44-E44-D44</f>
        <v>0</v>
      </c>
      <c r="H44" s="220">
        <f t="shared" ref="H44:H51" si="257">H143</f>
        <v>0</v>
      </c>
      <c r="I44" s="218">
        <f t="shared" ref="I44:I51" si="258">I143-H44</f>
        <v>0</v>
      </c>
      <c r="J44" s="218">
        <f t="shared" ref="J44:J51" si="259">J143-I44-H44</f>
        <v>0</v>
      </c>
      <c r="K44" s="219">
        <f t="shared" ref="K44:K51" si="260">K143-J44-I44-H44</f>
        <v>0</v>
      </c>
      <c r="L44" s="220">
        <f t="shared" ref="L44:L51" si="261">L143</f>
        <v>0</v>
      </c>
      <c r="M44" s="218">
        <f t="shared" ref="M44:M51" si="262">M143-L44</f>
        <v>0</v>
      </c>
      <c r="N44" s="218">
        <f t="shared" ref="N44:N51" si="263">N143-M44-L44</f>
        <v>0</v>
      </c>
      <c r="O44" s="219">
        <f t="shared" ref="O44:O51" si="264">O143-N44-M44-L44</f>
        <v>0</v>
      </c>
      <c r="P44" s="220">
        <f t="shared" ref="P44:P51" si="265">P143</f>
        <v>0</v>
      </c>
      <c r="Q44" s="218">
        <f t="shared" ref="Q44:Q51" si="266">Q143-P44</f>
        <v>0</v>
      </c>
      <c r="R44" s="218">
        <f t="shared" ref="R44:R51" si="267">R143-Q44-P44</f>
        <v>0</v>
      </c>
      <c r="S44" s="219">
        <f t="shared" ref="S44:S51" si="268">S143-R44-Q44-P44</f>
        <v>0</v>
      </c>
      <c r="T44" s="220">
        <f t="shared" ref="T44:T51" si="269">T143</f>
        <v>0</v>
      </c>
      <c r="U44" s="218">
        <f t="shared" ref="U44:U51" si="270">U143-T44</f>
        <v>0</v>
      </c>
      <c r="V44" s="218">
        <f t="shared" ref="V44:V51" si="271">V143-U44-T44</f>
        <v>0</v>
      </c>
      <c r="W44" s="219">
        <f t="shared" ref="W44:W51" si="272">W143-V44-U44-T44</f>
        <v>0</v>
      </c>
      <c r="X44" s="220">
        <f t="shared" ref="X44:X51" si="273">X143</f>
        <v>0</v>
      </c>
      <c r="Y44" s="218">
        <f t="shared" ref="Y44:Y51" si="274">Y143-X44</f>
        <v>0</v>
      </c>
      <c r="Z44" s="218">
        <f t="shared" ref="Z44:Z51" si="275">Z143-Y44-X44</f>
        <v>0</v>
      </c>
      <c r="AA44" s="219">
        <f t="shared" ref="AA44:AA51" si="276">AA143-Z44-Y44-X44</f>
        <v>0</v>
      </c>
      <c r="AB44" s="218">
        <f t="shared" ref="AB44:AB51" si="277">AB143</f>
        <v>0</v>
      </c>
      <c r="AC44" s="218">
        <f t="shared" ref="AC44:AC51" si="278">AC143-AB44</f>
        <v>0</v>
      </c>
      <c r="AD44" s="218">
        <f t="shared" ref="AD44:AD51" si="279">AD143-AC44-AB44</f>
        <v>0</v>
      </c>
      <c r="AE44" s="219">
        <f t="shared" ref="AE44:AE51" si="280">AE143-AD44-AC44-AB44</f>
        <v>0</v>
      </c>
      <c r="AF44" s="218">
        <f t="shared" ref="AF44:AF51" si="281">AF143</f>
        <v>0</v>
      </c>
      <c r="AG44" s="218">
        <f t="shared" ref="AG44:AG51" si="282">AG143-AF44</f>
        <v>0</v>
      </c>
      <c r="AH44" s="218">
        <f t="shared" ref="AH44:AH51" si="283">AH143-AG44-AF44</f>
        <v>0</v>
      </c>
      <c r="AI44" s="219">
        <f t="shared" ref="AI44:AI51" si="284">AI143-AH44-AG44-AF44</f>
        <v>0</v>
      </c>
      <c r="AJ44" s="218">
        <f t="shared" ref="AJ44:AJ51" si="285">AJ143</f>
        <v>0.1</v>
      </c>
      <c r="AK44" s="218">
        <f t="shared" ref="AK44:AK51" si="286">AK143-AJ44</f>
        <v>-0.1</v>
      </c>
      <c r="AL44" s="218">
        <f t="shared" ref="AL44:AL51" si="287">AL143-AK44-AJ44</f>
        <v>0</v>
      </c>
      <c r="AM44" s="219">
        <f t="shared" ref="AM44:AM51" si="288">AM143-AL44-AK44-AJ44</f>
        <v>0</v>
      </c>
      <c r="AN44" s="218">
        <f t="shared" ref="AN44:AN51" si="289">AN143</f>
        <v>0</v>
      </c>
      <c r="AO44" s="218">
        <f t="shared" ref="AO44:AO51" si="290">AO143-AN44</f>
        <v>0</v>
      </c>
      <c r="AP44" s="218">
        <f t="shared" ref="AP44:AP51" si="291">AP143-AO44-AN44</f>
        <v>0</v>
      </c>
      <c r="AQ44" s="219">
        <f t="shared" ref="AQ44:AQ51" si="292">AQ143-AP44-AO44-AN44</f>
        <v>0</v>
      </c>
      <c r="AR44" s="218">
        <f t="shared" ref="AR44:AR51" si="293">AR143</f>
        <v>0</v>
      </c>
      <c r="AS44" s="218">
        <f t="shared" ref="AS44:AS51" si="294">AS143-AR44</f>
        <v>0</v>
      </c>
      <c r="AT44" s="218">
        <f t="shared" ref="AT44:AT51" si="295">AT143-AS44-AR44</f>
        <v>0</v>
      </c>
      <c r="AU44" s="219">
        <f t="shared" ref="AU44:AU51" si="296">AU143-AT44-AS44-AR44</f>
        <v>0</v>
      </c>
      <c r="AV44" s="218">
        <f t="shared" ref="AV44:AV51" si="297">AV143</f>
        <v>0</v>
      </c>
      <c r="AW44" s="218">
        <f t="shared" ref="AW44:AW51" si="298">AW143-AV44</f>
        <v>0</v>
      </c>
      <c r="AX44" s="218">
        <f t="shared" ref="AX44:AX51" si="299">AX143-AW44-AV44</f>
        <v>0</v>
      </c>
      <c r="AY44" s="219">
        <f t="shared" ref="AY44:AY51" si="300">AY143-AX44-AW44-AV44</f>
        <v>0</v>
      </c>
      <c r="AZ44" s="218">
        <f t="shared" ref="AZ44:AZ51" si="301">AZ143</f>
        <v>0</v>
      </c>
      <c r="BA44" s="218">
        <f t="shared" ref="BA44:BA51" si="302">BA143-AZ44</f>
        <v>0</v>
      </c>
      <c r="BB44" s="1500">
        <v>0</v>
      </c>
      <c r="BC44" s="222">
        <v>0</v>
      </c>
      <c r="BD44" s="221">
        <v>0</v>
      </c>
      <c r="BE44" s="221">
        <v>0</v>
      </c>
      <c r="BF44" s="221">
        <v>0</v>
      </c>
      <c r="BG44" s="221">
        <v>0</v>
      </c>
      <c r="BH44" s="223">
        <v>0</v>
      </c>
      <c r="BI44" s="221">
        <v>0</v>
      </c>
      <c r="BJ44" s="221">
        <v>0</v>
      </c>
      <c r="BK44" s="221">
        <v>0</v>
      </c>
      <c r="BL44" s="20"/>
      <c r="BM44" s="218">
        <f t="shared" ref="BM44:BM51" si="303">SUM(D44:G44)</f>
        <v>0</v>
      </c>
      <c r="BN44" s="218">
        <f t="shared" ref="BN44:BN51" si="304">SUM(H44:K44)</f>
        <v>0</v>
      </c>
      <c r="BO44" s="218">
        <f t="shared" ref="BO44:BO51" si="305">SUM(L44:O44)</f>
        <v>0</v>
      </c>
      <c r="BP44" s="218">
        <f t="shared" ref="BP44:BP51" si="306">SUM(P44:S44)</f>
        <v>0</v>
      </c>
      <c r="BQ44" s="218">
        <f t="shared" ref="BQ44:BQ51" si="307">SUM(T44:W44)</f>
        <v>0</v>
      </c>
      <c r="BR44" s="218">
        <f t="shared" ref="BR44:BR51" si="308">SUM(X44:AA44)</f>
        <v>0</v>
      </c>
      <c r="BS44" s="218">
        <f t="shared" ref="BS44:BS51" si="309">SUM(AB44:AE44)</f>
        <v>0</v>
      </c>
      <c r="BT44" s="218">
        <f t="shared" ref="BT44:BT51" si="310">SUM(AF44:AI44)</f>
        <v>0</v>
      </c>
      <c r="BU44" s="218">
        <f t="shared" ref="BU44:BU51" si="311">SUM(AJ44:AM44)</f>
        <v>0</v>
      </c>
      <c r="BV44" s="218">
        <f t="shared" ref="BV44:BV51" si="312">SUM(AN44:AQ44)</f>
        <v>0</v>
      </c>
      <c r="BW44" s="218">
        <f t="shared" ref="BW44:BW51" si="313">SUM(AR44:AU44)</f>
        <v>0</v>
      </c>
      <c r="BX44" s="218">
        <f t="shared" ref="BX44:BX51" si="314">SUM(AV44:AY44)</f>
        <v>0</v>
      </c>
      <c r="BY44" s="218">
        <f t="shared" ref="BY44:BY51" si="315">SUM(AZ44:BC44)</f>
        <v>0</v>
      </c>
      <c r="BZ44" s="218">
        <f>SUM(BD44:BG44)</f>
        <v>0</v>
      </c>
      <c r="CA44" s="219">
        <f t="shared" ref="CA44:CA50" si="316">SUM(BH44:BK44)</f>
        <v>0</v>
      </c>
      <c r="CB44" s="223"/>
      <c r="CC44" s="221"/>
      <c r="CD44" s="221"/>
      <c r="CE44" s="260"/>
      <c r="CF44" s="220">
        <f t="shared" ref="CF44:CF51" si="317">SUM(F44:I44)</f>
        <v>0</v>
      </c>
      <c r="CG44" s="218">
        <f t="shared" ref="CG44:CG51" si="318">SUM(J44:M44)</f>
        <v>0</v>
      </c>
      <c r="CH44" s="218">
        <f t="shared" ref="CH44:CH51" si="319">SUM(N44:Q44)</f>
        <v>0</v>
      </c>
      <c r="CI44" s="218">
        <f t="shared" ref="CI44:CI51" si="320">SUM(R44:U44)</f>
        <v>0</v>
      </c>
      <c r="CJ44" s="218">
        <f t="shared" ref="CJ44:CJ51" si="321">SUM(V44:Y44)</f>
        <v>0</v>
      </c>
      <c r="CK44" s="218">
        <f t="shared" ref="CK44:CK51" si="322">SUM(Z44:AC44)</f>
        <v>0</v>
      </c>
      <c r="CL44" s="218">
        <f t="shared" ref="CL44:CL51" si="323">SUM(AD44:AG44)</f>
        <v>0</v>
      </c>
      <c r="CM44" s="218">
        <f t="shared" ref="CM44:CM51" si="324">SUM(AH44:AK44)</f>
        <v>0</v>
      </c>
      <c r="CN44" s="218">
        <f t="shared" ref="CN44:CN51" si="325">SUM(AL44:AO44)</f>
        <v>0</v>
      </c>
      <c r="CO44" s="218">
        <f t="shared" ref="CO44:CO51" si="326">SUM(AP44:AS44)</f>
        <v>0</v>
      </c>
      <c r="CP44" s="218">
        <f t="shared" ref="CP44:CP51" si="327">SUM(AT44:AW44)</f>
        <v>0</v>
      </c>
      <c r="CQ44" s="218">
        <f t="shared" ref="CQ44:CQ51" si="328">SUM(AX44:BA44)</f>
        <v>0</v>
      </c>
      <c r="CR44" s="218">
        <f t="shared" ref="CR44:CR51" si="329">SUM(BB44:BE44)</f>
        <v>0</v>
      </c>
      <c r="CS44" s="219">
        <f t="shared" ref="CS44:CS51" si="330">SUM(BF44:BI44)</f>
        <v>0</v>
      </c>
      <c r="CT44" s="22"/>
    </row>
    <row r="45" spans="1:98" ht="14.25" customHeight="1">
      <c r="A45" s="8"/>
      <c r="B45" s="28" t="str">
        <f t="shared" si="252"/>
        <v>Proceeds from long-term debt</v>
      </c>
      <c r="C45" s="29"/>
      <c r="D45" s="220">
        <f t="shared" si="253"/>
        <v>0</v>
      </c>
      <c r="E45" s="218">
        <f t="shared" si="254"/>
        <v>0</v>
      </c>
      <c r="F45" s="218">
        <f t="shared" si="255"/>
        <v>0</v>
      </c>
      <c r="G45" s="219">
        <f t="shared" si="256"/>
        <v>0</v>
      </c>
      <c r="H45" s="220">
        <f t="shared" si="257"/>
        <v>0</v>
      </c>
      <c r="I45" s="218">
        <f t="shared" si="258"/>
        <v>0</v>
      </c>
      <c r="J45" s="218">
        <f t="shared" si="259"/>
        <v>0</v>
      </c>
      <c r="K45" s="219">
        <f t="shared" si="260"/>
        <v>3.347</v>
      </c>
      <c r="L45" s="220">
        <f t="shared" si="261"/>
        <v>0</v>
      </c>
      <c r="M45" s="218">
        <f t="shared" si="262"/>
        <v>0</v>
      </c>
      <c r="N45" s="218">
        <f t="shared" si="263"/>
        <v>0</v>
      </c>
      <c r="O45" s="219">
        <f t="shared" si="264"/>
        <v>0</v>
      </c>
      <c r="P45" s="220">
        <f t="shared" si="265"/>
        <v>0</v>
      </c>
      <c r="Q45" s="218">
        <f t="shared" si="266"/>
        <v>0</v>
      </c>
      <c r="R45" s="218">
        <f t="shared" si="267"/>
        <v>0</v>
      </c>
      <c r="S45" s="219">
        <f t="shared" si="268"/>
        <v>0</v>
      </c>
      <c r="T45" s="220">
        <f t="shared" si="269"/>
        <v>0</v>
      </c>
      <c r="U45" s="218">
        <f t="shared" si="270"/>
        <v>0</v>
      </c>
      <c r="V45" s="218">
        <f t="shared" si="271"/>
        <v>0</v>
      </c>
      <c r="W45" s="219">
        <f t="shared" si="272"/>
        <v>298.57799999999997</v>
      </c>
      <c r="X45" s="220">
        <f t="shared" si="273"/>
        <v>0</v>
      </c>
      <c r="Y45" s="218">
        <f t="shared" si="274"/>
        <v>0</v>
      </c>
      <c r="Z45" s="218">
        <f t="shared" si="275"/>
        <v>0</v>
      </c>
      <c r="AA45" s="219">
        <f t="shared" si="276"/>
        <v>0</v>
      </c>
      <c r="AB45" s="218">
        <f t="shared" si="277"/>
        <v>0</v>
      </c>
      <c r="AC45" s="218">
        <f t="shared" si="278"/>
        <v>0</v>
      </c>
      <c r="AD45" s="218">
        <f t="shared" si="279"/>
        <v>0</v>
      </c>
      <c r="AE45" s="219">
        <f t="shared" si="280"/>
        <v>0</v>
      </c>
      <c r="AF45" s="218">
        <f t="shared" si="281"/>
        <v>0</v>
      </c>
      <c r="AG45" s="218">
        <f t="shared" si="282"/>
        <v>0</v>
      </c>
      <c r="AH45" s="218">
        <f t="shared" si="283"/>
        <v>0</v>
      </c>
      <c r="AI45" s="219">
        <f t="shared" si="284"/>
        <v>490.47399999999999</v>
      </c>
      <c r="AJ45" s="218">
        <f t="shared" si="285"/>
        <v>0</v>
      </c>
      <c r="AK45" s="218">
        <f t="shared" si="286"/>
        <v>494.464</v>
      </c>
      <c r="AL45" s="218">
        <f t="shared" si="287"/>
        <v>0</v>
      </c>
      <c r="AM45" s="219">
        <f t="shared" si="288"/>
        <v>0</v>
      </c>
      <c r="AN45" s="218">
        <f t="shared" si="289"/>
        <v>0</v>
      </c>
      <c r="AO45" s="218">
        <f t="shared" si="290"/>
        <v>0</v>
      </c>
      <c r="AP45" s="218">
        <f t="shared" si="291"/>
        <v>0</v>
      </c>
      <c r="AQ45" s="219">
        <f t="shared" si="292"/>
        <v>0</v>
      </c>
      <c r="AR45" s="218">
        <f t="shared" si="293"/>
        <v>0</v>
      </c>
      <c r="AS45" s="218">
        <f t="shared" si="294"/>
        <v>0</v>
      </c>
      <c r="AT45" s="218">
        <f t="shared" si="295"/>
        <v>0</v>
      </c>
      <c r="AU45" s="219">
        <f t="shared" si="296"/>
        <v>249.71700000000001</v>
      </c>
      <c r="AV45" s="218">
        <f t="shared" si="297"/>
        <v>0</v>
      </c>
      <c r="AW45" s="218">
        <f t="shared" si="298"/>
        <v>0</v>
      </c>
      <c r="AX45" s="218">
        <f t="shared" si="299"/>
        <v>0</v>
      </c>
      <c r="AY45" s="219">
        <f t="shared" si="300"/>
        <v>500</v>
      </c>
      <c r="AZ45" s="218">
        <f t="shared" si="301"/>
        <v>0</v>
      </c>
      <c r="BA45" s="218">
        <f t="shared" si="302"/>
        <v>0</v>
      </c>
      <c r="BB45" s="1500">
        <v>0</v>
      </c>
      <c r="BC45" s="222">
        <v>0</v>
      </c>
      <c r="BD45" s="221">
        <v>0</v>
      </c>
      <c r="BE45" s="221">
        <v>0</v>
      </c>
      <c r="BF45" s="221">
        <v>0</v>
      </c>
      <c r="BG45" s="221">
        <v>0</v>
      </c>
      <c r="BH45" s="223">
        <v>0</v>
      </c>
      <c r="BI45" s="221">
        <v>0</v>
      </c>
      <c r="BJ45" s="221">
        <v>0</v>
      </c>
      <c r="BK45" s="221">
        <v>0</v>
      </c>
      <c r="BL45" s="20"/>
      <c r="BM45" s="218">
        <f t="shared" si="303"/>
        <v>0</v>
      </c>
      <c r="BN45" s="218">
        <f t="shared" si="304"/>
        <v>3.347</v>
      </c>
      <c r="BO45" s="218">
        <f t="shared" si="305"/>
        <v>0</v>
      </c>
      <c r="BP45" s="218">
        <f t="shared" si="306"/>
        <v>0</v>
      </c>
      <c r="BQ45" s="218">
        <f t="shared" si="307"/>
        <v>298.57799999999997</v>
      </c>
      <c r="BR45" s="218">
        <f t="shared" si="308"/>
        <v>0</v>
      </c>
      <c r="BS45" s="218">
        <f t="shared" si="309"/>
        <v>0</v>
      </c>
      <c r="BT45" s="218">
        <f t="shared" si="310"/>
        <v>490.47399999999999</v>
      </c>
      <c r="BU45" s="218">
        <f t="shared" si="311"/>
        <v>494.464</v>
      </c>
      <c r="BV45" s="218">
        <f t="shared" si="312"/>
        <v>0</v>
      </c>
      <c r="BW45" s="218">
        <f t="shared" si="313"/>
        <v>249.71700000000001</v>
      </c>
      <c r="BX45" s="218">
        <f t="shared" si="314"/>
        <v>500</v>
      </c>
      <c r="BY45" s="218">
        <f t="shared" si="315"/>
        <v>0</v>
      </c>
      <c r="BZ45" s="218">
        <f t="shared" ref="BZ45:BZ51" si="331">SUM(BD45:BG45)</f>
        <v>0</v>
      </c>
      <c r="CA45" s="219">
        <f t="shared" si="316"/>
        <v>0</v>
      </c>
      <c r="CB45" s="223"/>
      <c r="CC45" s="221"/>
      <c r="CD45" s="221"/>
      <c r="CE45" s="260"/>
      <c r="CF45" s="220">
        <f t="shared" si="317"/>
        <v>0</v>
      </c>
      <c r="CG45" s="218">
        <f t="shared" si="318"/>
        <v>3.347</v>
      </c>
      <c r="CH45" s="218">
        <f t="shared" si="319"/>
        <v>0</v>
      </c>
      <c r="CI45" s="218">
        <f t="shared" si="320"/>
        <v>0</v>
      </c>
      <c r="CJ45" s="218">
        <f t="shared" si="321"/>
        <v>298.57799999999997</v>
      </c>
      <c r="CK45" s="218">
        <f t="shared" si="322"/>
        <v>0</v>
      </c>
      <c r="CL45" s="218">
        <f t="shared" si="323"/>
        <v>0</v>
      </c>
      <c r="CM45" s="218">
        <f t="shared" si="324"/>
        <v>984.93799999999999</v>
      </c>
      <c r="CN45" s="218">
        <f t="shared" si="325"/>
        <v>0</v>
      </c>
      <c r="CO45" s="218">
        <f t="shared" si="326"/>
        <v>0</v>
      </c>
      <c r="CP45" s="218">
        <f t="shared" si="327"/>
        <v>249.71700000000001</v>
      </c>
      <c r="CQ45" s="218">
        <f t="shared" si="328"/>
        <v>500</v>
      </c>
      <c r="CR45" s="218">
        <f t="shared" si="329"/>
        <v>0</v>
      </c>
      <c r="CS45" s="219">
        <f t="shared" si="330"/>
        <v>0</v>
      </c>
      <c r="CT45" s="22"/>
    </row>
    <row r="46" spans="1:98" ht="14.25" customHeight="1">
      <c r="A46" s="8"/>
      <c r="B46" s="28" t="str">
        <f t="shared" si="252"/>
        <v>Repayments of notes payable</v>
      </c>
      <c r="C46" s="29"/>
      <c r="D46" s="220">
        <f t="shared" si="253"/>
        <v>0</v>
      </c>
      <c r="E46" s="218">
        <f t="shared" si="254"/>
        <v>0</v>
      </c>
      <c r="F46" s="218">
        <f t="shared" si="255"/>
        <v>0</v>
      </c>
      <c r="G46" s="219">
        <f t="shared" si="256"/>
        <v>0</v>
      </c>
      <c r="H46" s="220">
        <f t="shared" si="257"/>
        <v>0</v>
      </c>
      <c r="I46" s="218">
        <f t="shared" si="258"/>
        <v>0</v>
      </c>
      <c r="J46" s="218">
        <f t="shared" si="259"/>
        <v>0</v>
      </c>
      <c r="K46" s="219">
        <f t="shared" si="260"/>
        <v>0</v>
      </c>
      <c r="L46" s="220">
        <f t="shared" si="261"/>
        <v>-0.01</v>
      </c>
      <c r="M46" s="218">
        <f t="shared" si="262"/>
        <v>-0.01</v>
      </c>
      <c r="N46" s="218">
        <f t="shared" si="263"/>
        <v>-9.9999999999999967E-3</v>
      </c>
      <c r="O46" s="219">
        <f t="shared" si="264"/>
        <v>-1.0000000000000004E-2</v>
      </c>
      <c r="P46" s="220">
        <f t="shared" si="265"/>
        <v>-1.92</v>
      </c>
      <c r="Q46" s="218">
        <f t="shared" si="266"/>
        <v>-0.77300000000000013</v>
      </c>
      <c r="R46" s="218">
        <f t="shared" si="267"/>
        <v>-1.1639999999999997</v>
      </c>
      <c r="S46" s="219">
        <f t="shared" si="268"/>
        <v>-1.0000000000000231E-2</v>
      </c>
      <c r="T46" s="220">
        <f t="shared" si="269"/>
        <v>-0.01</v>
      </c>
      <c r="U46" s="218">
        <f t="shared" si="270"/>
        <v>-0.01</v>
      </c>
      <c r="V46" s="218">
        <f t="shared" si="271"/>
        <v>-9.9999999999999967E-3</v>
      </c>
      <c r="W46" s="219">
        <f t="shared" si="272"/>
        <v>-1.0000000000000004E-2</v>
      </c>
      <c r="X46" s="220">
        <f t="shared" si="273"/>
        <v>-4.6589999999999998</v>
      </c>
      <c r="Y46" s="218">
        <f t="shared" si="274"/>
        <v>0</v>
      </c>
      <c r="Z46" s="218">
        <f t="shared" si="275"/>
        <v>0</v>
      </c>
      <c r="AA46" s="219">
        <f t="shared" si="276"/>
        <v>0</v>
      </c>
      <c r="AB46" s="218">
        <f t="shared" si="277"/>
        <v>-16.216999999999999</v>
      </c>
      <c r="AC46" s="218">
        <f t="shared" si="278"/>
        <v>-4.1890000000000001</v>
      </c>
      <c r="AD46" s="218">
        <f t="shared" si="279"/>
        <v>0</v>
      </c>
      <c r="AE46" s="219">
        <f t="shared" si="280"/>
        <v>-0.39999999999999858</v>
      </c>
      <c r="AF46" s="218">
        <f t="shared" si="281"/>
        <v>-0.224</v>
      </c>
      <c r="AG46" s="218">
        <f t="shared" si="282"/>
        <v>-7.3999999999999982E-2</v>
      </c>
      <c r="AH46" s="218">
        <f t="shared" si="283"/>
        <v>-0.90300000000000002</v>
      </c>
      <c r="AI46" s="219">
        <f t="shared" si="284"/>
        <v>-302.29899999999998</v>
      </c>
      <c r="AJ46" s="218">
        <f t="shared" si="285"/>
        <v>0</v>
      </c>
      <c r="AK46" s="218">
        <f t="shared" si="286"/>
        <v>-1.839</v>
      </c>
      <c r="AL46" s="218">
        <f t="shared" si="287"/>
        <v>-0.43900000000000006</v>
      </c>
      <c r="AM46" s="219">
        <f t="shared" si="288"/>
        <v>-2.4300000000000002</v>
      </c>
      <c r="AN46" s="218">
        <f t="shared" si="289"/>
        <v>-0.437</v>
      </c>
      <c r="AO46" s="218">
        <f t="shared" si="290"/>
        <v>0</v>
      </c>
      <c r="AP46" s="218">
        <f t="shared" si="291"/>
        <v>0</v>
      </c>
      <c r="AQ46" s="219">
        <f t="shared" si="292"/>
        <v>0</v>
      </c>
      <c r="AR46" s="218">
        <f t="shared" si="293"/>
        <v>0</v>
      </c>
      <c r="AS46" s="218">
        <f t="shared" si="294"/>
        <v>0</v>
      </c>
      <c r="AT46" s="218">
        <f t="shared" si="295"/>
        <v>0</v>
      </c>
      <c r="AU46" s="219">
        <f t="shared" si="296"/>
        <v>0</v>
      </c>
      <c r="AV46" s="218">
        <f t="shared" si="297"/>
        <v>0</v>
      </c>
      <c r="AW46" s="218">
        <f t="shared" si="298"/>
        <v>-250</v>
      </c>
      <c r="AX46" s="218">
        <f t="shared" si="299"/>
        <v>0</v>
      </c>
      <c r="AY46" s="219">
        <f t="shared" si="300"/>
        <v>0</v>
      </c>
      <c r="AZ46" s="218">
        <f t="shared" si="301"/>
        <v>0</v>
      </c>
      <c r="BA46" s="218">
        <f t="shared" si="302"/>
        <v>0</v>
      </c>
      <c r="BB46" s="1500">
        <v>0</v>
      </c>
      <c r="BC46" s="222">
        <v>0</v>
      </c>
      <c r="BD46" s="221">
        <v>0</v>
      </c>
      <c r="BE46" s="221">
        <v>0</v>
      </c>
      <c r="BF46" s="221">
        <v>0</v>
      </c>
      <c r="BG46" s="221">
        <v>0</v>
      </c>
      <c r="BH46" s="223">
        <v>0</v>
      </c>
      <c r="BI46" s="221">
        <v>0</v>
      </c>
      <c r="BJ46" s="221">
        <v>0</v>
      </c>
      <c r="BK46" s="221">
        <v>0</v>
      </c>
      <c r="BL46" s="20"/>
      <c r="BM46" s="218">
        <f t="shared" si="303"/>
        <v>0</v>
      </c>
      <c r="BN46" s="218">
        <f t="shared" si="304"/>
        <v>0</v>
      </c>
      <c r="BO46" s="218">
        <f t="shared" si="305"/>
        <v>-0.04</v>
      </c>
      <c r="BP46" s="218">
        <f t="shared" si="306"/>
        <v>-3.867</v>
      </c>
      <c r="BQ46" s="218">
        <f t="shared" si="307"/>
        <v>-0.04</v>
      </c>
      <c r="BR46" s="218">
        <f t="shared" si="308"/>
        <v>-4.6589999999999998</v>
      </c>
      <c r="BS46" s="218">
        <f t="shared" si="309"/>
        <v>-20.805999999999997</v>
      </c>
      <c r="BT46" s="218">
        <f t="shared" si="310"/>
        <v>-303.5</v>
      </c>
      <c r="BU46" s="218">
        <f t="shared" si="311"/>
        <v>-4.7080000000000002</v>
      </c>
      <c r="BV46" s="218">
        <f t="shared" si="312"/>
        <v>-0.437</v>
      </c>
      <c r="BW46" s="218">
        <f t="shared" si="313"/>
        <v>0</v>
      </c>
      <c r="BX46" s="218">
        <f t="shared" si="314"/>
        <v>-250</v>
      </c>
      <c r="BY46" s="218">
        <f t="shared" si="315"/>
        <v>0</v>
      </c>
      <c r="BZ46" s="218">
        <f t="shared" si="331"/>
        <v>0</v>
      </c>
      <c r="CA46" s="219">
        <f t="shared" si="316"/>
        <v>0</v>
      </c>
      <c r="CB46" s="223"/>
      <c r="CC46" s="221"/>
      <c r="CD46" s="221"/>
      <c r="CE46" s="260"/>
      <c r="CF46" s="220">
        <f t="shared" si="317"/>
        <v>0</v>
      </c>
      <c r="CG46" s="218">
        <f t="shared" si="318"/>
        <v>-0.02</v>
      </c>
      <c r="CH46" s="218">
        <f t="shared" si="319"/>
        <v>-2.7130000000000001</v>
      </c>
      <c r="CI46" s="218">
        <f t="shared" si="320"/>
        <v>-1.194</v>
      </c>
      <c r="CJ46" s="218">
        <f t="shared" si="321"/>
        <v>-4.6789999999999994</v>
      </c>
      <c r="CK46" s="218">
        <f t="shared" si="322"/>
        <v>-20.405999999999999</v>
      </c>
      <c r="CL46" s="218">
        <f t="shared" si="323"/>
        <v>-0.69799999999999851</v>
      </c>
      <c r="CM46" s="218">
        <f t="shared" si="324"/>
        <v>-305.041</v>
      </c>
      <c r="CN46" s="218">
        <f t="shared" si="325"/>
        <v>-3.306</v>
      </c>
      <c r="CO46" s="218">
        <f t="shared" si="326"/>
        <v>0</v>
      </c>
      <c r="CP46" s="218">
        <f t="shared" si="327"/>
        <v>-250</v>
      </c>
      <c r="CQ46" s="218">
        <f t="shared" si="328"/>
        <v>0</v>
      </c>
      <c r="CR46" s="218">
        <f t="shared" si="329"/>
        <v>0</v>
      </c>
      <c r="CS46" s="219">
        <f t="shared" si="330"/>
        <v>0</v>
      </c>
      <c r="CT46" s="22"/>
    </row>
    <row r="47" spans="1:98" ht="14.25" customHeight="1">
      <c r="A47" s="8"/>
      <c r="B47" s="28" t="str">
        <f t="shared" si="252"/>
        <v>Issuance of common stock</v>
      </c>
      <c r="C47" s="29"/>
      <c r="D47" s="220">
        <f t="shared" si="253"/>
        <v>53.62</v>
      </c>
      <c r="E47" s="218">
        <f t="shared" si="254"/>
        <v>29.155000000000008</v>
      </c>
      <c r="F47" s="218">
        <f t="shared" si="255"/>
        <v>42.877999999999993</v>
      </c>
      <c r="G47" s="219">
        <f t="shared" si="256"/>
        <v>23.139000000000017</v>
      </c>
      <c r="H47" s="220">
        <f t="shared" si="257"/>
        <v>25.673999999999999</v>
      </c>
      <c r="I47" s="218">
        <f t="shared" si="258"/>
        <v>0</v>
      </c>
      <c r="J47" s="218">
        <f t="shared" si="259"/>
        <v>0</v>
      </c>
      <c r="K47" s="219">
        <f t="shared" si="260"/>
        <v>1.0000000000012221E-3</v>
      </c>
      <c r="L47" s="220">
        <f t="shared" si="261"/>
        <v>0</v>
      </c>
      <c r="M47" s="218">
        <f t="shared" si="262"/>
        <v>0</v>
      </c>
      <c r="N47" s="218">
        <f t="shared" si="263"/>
        <v>0</v>
      </c>
      <c r="O47" s="219">
        <f t="shared" si="264"/>
        <v>0</v>
      </c>
      <c r="P47" s="220">
        <f t="shared" si="265"/>
        <v>0</v>
      </c>
      <c r="Q47" s="218">
        <f t="shared" si="266"/>
        <v>0</v>
      </c>
      <c r="R47" s="218">
        <f t="shared" si="267"/>
        <v>0</v>
      </c>
      <c r="S47" s="219">
        <f t="shared" si="268"/>
        <v>0</v>
      </c>
      <c r="T47" s="220">
        <f t="shared" si="269"/>
        <v>0</v>
      </c>
      <c r="U47" s="218">
        <f t="shared" si="270"/>
        <v>0</v>
      </c>
      <c r="V47" s="218">
        <f t="shared" si="271"/>
        <v>0</v>
      </c>
      <c r="W47" s="219">
        <f t="shared" si="272"/>
        <v>0</v>
      </c>
      <c r="X47" s="220">
        <f t="shared" si="273"/>
        <v>0</v>
      </c>
      <c r="Y47" s="218">
        <f t="shared" si="274"/>
        <v>9.6920000000000002</v>
      </c>
      <c r="Z47" s="218">
        <f t="shared" si="275"/>
        <v>-2.0640000000000001</v>
      </c>
      <c r="AA47" s="219">
        <f t="shared" si="276"/>
        <v>17.201999999999998</v>
      </c>
      <c r="AB47" s="218">
        <f t="shared" si="277"/>
        <v>0</v>
      </c>
      <c r="AC47" s="218">
        <f t="shared" si="278"/>
        <v>16.077999999999999</v>
      </c>
      <c r="AD47" s="218">
        <f t="shared" si="279"/>
        <v>12.725999999999996</v>
      </c>
      <c r="AE47" s="219">
        <f t="shared" si="280"/>
        <v>25.224999999999998</v>
      </c>
      <c r="AF47" s="218">
        <f t="shared" si="281"/>
        <v>5.2190000000000003</v>
      </c>
      <c r="AG47" s="218">
        <f t="shared" si="282"/>
        <v>37.118000000000002</v>
      </c>
      <c r="AH47" s="218">
        <f t="shared" si="283"/>
        <v>18.138000000000005</v>
      </c>
      <c r="AI47" s="219">
        <f t="shared" si="284"/>
        <v>18.121999999999986</v>
      </c>
      <c r="AJ47" s="218">
        <f t="shared" si="285"/>
        <v>1.6970000000000001</v>
      </c>
      <c r="AK47" s="218">
        <f t="shared" si="286"/>
        <v>17.196000000000005</v>
      </c>
      <c r="AL47" s="218">
        <f t="shared" si="287"/>
        <v>0.20299999999999496</v>
      </c>
      <c r="AM47" s="219">
        <f t="shared" si="288"/>
        <v>61.967999999999996</v>
      </c>
      <c r="AN47" s="218">
        <f t="shared" si="289"/>
        <v>0</v>
      </c>
      <c r="AO47" s="218">
        <f t="shared" si="290"/>
        <v>21.82</v>
      </c>
      <c r="AP47" s="218">
        <f t="shared" si="291"/>
        <v>-3.1670000000000016</v>
      </c>
      <c r="AQ47" s="219">
        <f t="shared" si="292"/>
        <v>53.092000000000006</v>
      </c>
      <c r="AR47" s="218">
        <f t="shared" si="293"/>
        <v>4.1480000000000006</v>
      </c>
      <c r="AS47" s="218">
        <f t="shared" si="294"/>
        <v>55.105000000000004</v>
      </c>
      <c r="AT47" s="218">
        <f t="shared" si="295"/>
        <v>-8.852999999999998</v>
      </c>
      <c r="AU47" s="219">
        <f t="shared" si="296"/>
        <v>39.098999999999997</v>
      </c>
      <c r="AV47" s="218">
        <f t="shared" si="297"/>
        <v>0</v>
      </c>
      <c r="AW47" s="218">
        <f t="shared" si="298"/>
        <v>35.279000000000003</v>
      </c>
      <c r="AX47" s="218">
        <f t="shared" si="299"/>
        <v>6.039999999999992</v>
      </c>
      <c r="AY47" s="219">
        <f t="shared" si="300"/>
        <v>30.770000000000003</v>
      </c>
      <c r="AZ47" s="218">
        <f t="shared" si="301"/>
        <v>0</v>
      </c>
      <c r="BA47" s="218">
        <f t="shared" si="302"/>
        <v>22.122000000000003</v>
      </c>
      <c r="BB47" s="1500">
        <v>0</v>
      </c>
      <c r="BC47" s="222">
        <v>0</v>
      </c>
      <c r="BD47" s="221">
        <v>0</v>
      </c>
      <c r="BE47" s="221">
        <v>0</v>
      </c>
      <c r="BF47" s="221">
        <v>0</v>
      </c>
      <c r="BG47" s="221">
        <v>0</v>
      </c>
      <c r="BH47" s="223">
        <v>0</v>
      </c>
      <c r="BI47" s="221">
        <v>0</v>
      </c>
      <c r="BJ47" s="221">
        <v>0</v>
      </c>
      <c r="BK47" s="221">
        <v>0</v>
      </c>
      <c r="BL47" s="20"/>
      <c r="BM47" s="218">
        <f t="shared" si="303"/>
        <v>148.792</v>
      </c>
      <c r="BN47" s="218">
        <f t="shared" si="304"/>
        <v>25.675000000000001</v>
      </c>
      <c r="BO47" s="218">
        <f t="shared" si="305"/>
        <v>0</v>
      </c>
      <c r="BP47" s="218">
        <f t="shared" si="306"/>
        <v>0</v>
      </c>
      <c r="BQ47" s="218">
        <f t="shared" si="307"/>
        <v>0</v>
      </c>
      <c r="BR47" s="218">
        <f t="shared" si="308"/>
        <v>24.83</v>
      </c>
      <c r="BS47" s="218">
        <f t="shared" si="309"/>
        <v>54.028999999999996</v>
      </c>
      <c r="BT47" s="218">
        <f t="shared" si="310"/>
        <v>78.596999999999994</v>
      </c>
      <c r="BU47" s="218">
        <f t="shared" si="311"/>
        <v>81.063999999999993</v>
      </c>
      <c r="BV47" s="218">
        <f t="shared" si="312"/>
        <v>71.745000000000005</v>
      </c>
      <c r="BW47" s="218">
        <f t="shared" si="313"/>
        <v>89.498999999999995</v>
      </c>
      <c r="BX47" s="218">
        <f>SUM(AV47:AY47)</f>
        <v>72.088999999999999</v>
      </c>
      <c r="BY47" s="218">
        <f t="shared" si="315"/>
        <v>22.122000000000003</v>
      </c>
      <c r="BZ47" s="218">
        <f t="shared" si="331"/>
        <v>0</v>
      </c>
      <c r="CA47" s="219">
        <f t="shared" si="316"/>
        <v>0</v>
      </c>
      <c r="CB47" s="223"/>
      <c r="CC47" s="221"/>
      <c r="CD47" s="221"/>
      <c r="CE47" s="260"/>
      <c r="CF47" s="220">
        <f t="shared" si="317"/>
        <v>91.691000000000003</v>
      </c>
      <c r="CG47" s="218">
        <f t="shared" si="318"/>
        <v>1.0000000000012221E-3</v>
      </c>
      <c r="CH47" s="218">
        <f t="shared" si="319"/>
        <v>0</v>
      </c>
      <c r="CI47" s="218">
        <f t="shared" si="320"/>
        <v>0</v>
      </c>
      <c r="CJ47" s="218">
        <f t="shared" si="321"/>
        <v>9.6920000000000002</v>
      </c>
      <c r="CK47" s="218">
        <f t="shared" si="322"/>
        <v>31.215999999999998</v>
      </c>
      <c r="CL47" s="218">
        <f t="shared" si="323"/>
        <v>80.287999999999997</v>
      </c>
      <c r="CM47" s="218">
        <f t="shared" si="324"/>
        <v>55.152999999999999</v>
      </c>
      <c r="CN47" s="218">
        <f t="shared" si="325"/>
        <v>83.990999999999985</v>
      </c>
      <c r="CO47" s="218">
        <f t="shared" si="326"/>
        <v>109.17800000000001</v>
      </c>
      <c r="CP47" s="218">
        <f t="shared" si="327"/>
        <v>65.525000000000006</v>
      </c>
      <c r="CQ47" s="218">
        <f t="shared" si="328"/>
        <v>58.932000000000002</v>
      </c>
      <c r="CR47" s="218">
        <f t="shared" si="329"/>
        <v>0</v>
      </c>
      <c r="CS47" s="219">
        <f t="shared" si="330"/>
        <v>0</v>
      </c>
      <c r="CT47" s="22"/>
    </row>
    <row r="48" spans="1:98" ht="14.25" customHeight="1">
      <c r="A48" s="8"/>
      <c r="B48" s="28" t="str">
        <f t="shared" si="252"/>
        <v>Repurchase of common stock</v>
      </c>
      <c r="C48" s="29"/>
      <c r="D48" s="220">
        <f t="shared" si="253"/>
        <v>-81.308999999999997</v>
      </c>
      <c r="E48" s="218">
        <f t="shared" si="254"/>
        <v>-334.60299999999995</v>
      </c>
      <c r="F48" s="218">
        <f t="shared" si="255"/>
        <v>-87.761000000000053</v>
      </c>
      <c r="G48" s="219">
        <f t="shared" si="256"/>
        <v>-76.713999999999913</v>
      </c>
      <c r="H48" s="220">
        <f t="shared" si="257"/>
        <v>-60.767000000000003</v>
      </c>
      <c r="I48" s="218">
        <f t="shared" si="258"/>
        <v>0</v>
      </c>
      <c r="J48" s="218">
        <f t="shared" si="259"/>
        <v>0</v>
      </c>
      <c r="K48" s="219">
        <f t="shared" si="260"/>
        <v>0</v>
      </c>
      <c r="L48" s="220">
        <f t="shared" si="261"/>
        <v>0</v>
      </c>
      <c r="M48" s="218">
        <f t="shared" si="262"/>
        <v>0</v>
      </c>
      <c r="N48" s="218">
        <f t="shared" si="263"/>
        <v>0</v>
      </c>
      <c r="O48" s="219">
        <f t="shared" si="264"/>
        <v>0</v>
      </c>
      <c r="P48" s="220">
        <f t="shared" si="265"/>
        <v>0</v>
      </c>
      <c r="Q48" s="218">
        <f t="shared" si="266"/>
        <v>-235.131</v>
      </c>
      <c r="R48" s="218">
        <f t="shared" si="267"/>
        <v>0</v>
      </c>
      <c r="S48" s="219">
        <f t="shared" si="268"/>
        <v>-1.0000000000047748E-3</v>
      </c>
      <c r="T48" s="220">
        <f t="shared" si="269"/>
        <v>-17.568999999999999</v>
      </c>
      <c r="U48" s="218">
        <f t="shared" si="270"/>
        <v>-46.900999999999996</v>
      </c>
      <c r="V48" s="218">
        <f t="shared" si="271"/>
        <v>-49.146000000000001</v>
      </c>
      <c r="W48" s="219">
        <f t="shared" si="272"/>
        <v>-77.289000000000016</v>
      </c>
      <c r="X48" s="220">
        <f t="shared" si="273"/>
        <v>-84.483000000000004</v>
      </c>
      <c r="Y48" s="218">
        <f t="shared" si="274"/>
        <v>-40.831999999999994</v>
      </c>
      <c r="Z48" s="218">
        <f t="shared" si="275"/>
        <v>-46.688999999999993</v>
      </c>
      <c r="AA48" s="219">
        <f t="shared" si="276"/>
        <v>-59.00800000000001</v>
      </c>
      <c r="AB48" s="218">
        <f t="shared" si="277"/>
        <v>-88.674000000000007</v>
      </c>
      <c r="AC48" s="218">
        <f t="shared" si="278"/>
        <v>-72.48599999999999</v>
      </c>
      <c r="AD48" s="218">
        <f t="shared" si="279"/>
        <v>-28.97</v>
      </c>
      <c r="AE48" s="219">
        <f t="shared" si="280"/>
        <v>-56.281999999999982</v>
      </c>
      <c r="AF48" s="218">
        <f t="shared" si="281"/>
        <v>-65.149000000000001</v>
      </c>
      <c r="AG48" s="218">
        <f t="shared" si="282"/>
        <v>-50.435000000000002</v>
      </c>
      <c r="AH48" s="218">
        <f t="shared" si="283"/>
        <v>-66.329999999999984</v>
      </c>
      <c r="AI48" s="219">
        <f t="shared" si="284"/>
        <v>-193.221</v>
      </c>
      <c r="AJ48" s="218">
        <f t="shared" si="285"/>
        <v>-154.386</v>
      </c>
      <c r="AK48" s="218">
        <f t="shared" si="286"/>
        <v>-59.100999999999999</v>
      </c>
      <c r="AL48" s="218">
        <f t="shared" si="287"/>
        <v>-51.082999999999998</v>
      </c>
      <c r="AM48" s="219">
        <f t="shared" si="288"/>
        <v>-40.744000000000028</v>
      </c>
      <c r="AN48" s="218">
        <f t="shared" si="289"/>
        <v>-62.685000000000002</v>
      </c>
      <c r="AO48" s="218">
        <f t="shared" si="290"/>
        <v>-59.665999999999997</v>
      </c>
      <c r="AP48" s="218">
        <f t="shared" si="291"/>
        <v>-36.774000000000001</v>
      </c>
      <c r="AQ48" s="219">
        <f t="shared" si="292"/>
        <v>-35.962999999999994</v>
      </c>
      <c r="AR48" s="218">
        <f t="shared" si="293"/>
        <v>-39.697000000000003</v>
      </c>
      <c r="AS48" s="218">
        <f t="shared" si="294"/>
        <v>-23.15</v>
      </c>
      <c r="AT48" s="218">
        <f t="shared" si="295"/>
        <v>-83.800999999999988</v>
      </c>
      <c r="AU48" s="219">
        <f t="shared" si="296"/>
        <v>-90.438000000000017</v>
      </c>
      <c r="AV48" s="218">
        <f t="shared" si="297"/>
        <v>-57.709000000000003</v>
      </c>
      <c r="AW48" s="218">
        <f t="shared" si="298"/>
        <v>-61.234999999999999</v>
      </c>
      <c r="AX48" s="218">
        <f t="shared" si="299"/>
        <v>-56.999000000000009</v>
      </c>
      <c r="AY48" s="219">
        <f t="shared" si="300"/>
        <v>-75.855999999999995</v>
      </c>
      <c r="AZ48" s="218">
        <f t="shared" si="301"/>
        <v>-75.290999999999997</v>
      </c>
      <c r="BA48" s="218">
        <f t="shared" si="302"/>
        <v>-76.953000000000003</v>
      </c>
      <c r="BB48" s="1500">
        <v>-127.7</v>
      </c>
      <c r="BC48" s="219">
        <f t="shared" ref="BC48:BG48" si="332">+BB48</f>
        <v>-127.7</v>
      </c>
      <c r="BD48" s="218">
        <f t="shared" si="332"/>
        <v>-127.7</v>
      </c>
      <c r="BE48" s="218">
        <f t="shared" si="332"/>
        <v>-127.7</v>
      </c>
      <c r="BF48" s="218">
        <f t="shared" si="332"/>
        <v>-127.7</v>
      </c>
      <c r="BG48" s="218">
        <f t="shared" si="332"/>
        <v>-127.7</v>
      </c>
      <c r="BH48" s="220">
        <f>+BG48</f>
        <v>-127.7</v>
      </c>
      <c r="BI48" s="218">
        <f>+BH48</f>
        <v>-127.7</v>
      </c>
      <c r="BJ48" s="218">
        <f>+BI48</f>
        <v>-127.7</v>
      </c>
      <c r="BK48" s="218">
        <f>+BJ48</f>
        <v>-127.7</v>
      </c>
      <c r="BL48" s="20"/>
      <c r="BM48" s="218">
        <f t="shared" si="303"/>
        <v>-580.38699999999994</v>
      </c>
      <c r="BN48" s="218">
        <f t="shared" si="304"/>
        <v>-60.767000000000003</v>
      </c>
      <c r="BO48" s="218">
        <f t="shared" si="305"/>
        <v>0</v>
      </c>
      <c r="BP48" s="218">
        <f t="shared" si="306"/>
        <v>-235.13200000000001</v>
      </c>
      <c r="BQ48" s="218">
        <f t="shared" si="307"/>
        <v>-190.90500000000003</v>
      </c>
      <c r="BR48" s="218">
        <f t="shared" si="308"/>
        <v>-231.012</v>
      </c>
      <c r="BS48" s="218">
        <f t="shared" si="309"/>
        <v>-246.41199999999998</v>
      </c>
      <c r="BT48" s="218">
        <f t="shared" si="310"/>
        <v>-375.13499999999999</v>
      </c>
      <c r="BU48" s="218">
        <f t="shared" si="311"/>
        <v>-305.31400000000002</v>
      </c>
      <c r="BV48" s="218">
        <f t="shared" si="312"/>
        <v>-195.08799999999999</v>
      </c>
      <c r="BW48" s="218">
        <f t="shared" si="313"/>
        <v>-237.08600000000001</v>
      </c>
      <c r="BX48" s="218">
        <f t="shared" si="314"/>
        <v>-251.79900000000001</v>
      </c>
      <c r="BY48" s="218">
        <f t="shared" si="315"/>
        <v>-407.64400000000001</v>
      </c>
      <c r="BZ48" s="218">
        <f t="shared" si="331"/>
        <v>-510.8</v>
      </c>
      <c r="CA48" s="219">
        <f t="shared" si="316"/>
        <v>-510.8</v>
      </c>
      <c r="CB48" s="223"/>
      <c r="CC48" s="221"/>
      <c r="CD48" s="221"/>
      <c r="CE48" s="260"/>
      <c r="CF48" s="220">
        <f t="shared" si="317"/>
        <v>-225.24199999999996</v>
      </c>
      <c r="CG48" s="218">
        <f t="shared" si="318"/>
        <v>0</v>
      </c>
      <c r="CH48" s="218">
        <f t="shared" si="319"/>
        <v>-235.131</v>
      </c>
      <c r="CI48" s="218">
        <f t="shared" si="320"/>
        <v>-64.471000000000004</v>
      </c>
      <c r="CJ48" s="218">
        <f t="shared" si="321"/>
        <v>-251.75</v>
      </c>
      <c r="CK48" s="218">
        <f t="shared" si="322"/>
        <v>-266.85699999999997</v>
      </c>
      <c r="CL48" s="218">
        <f t="shared" si="323"/>
        <v>-200.83599999999998</v>
      </c>
      <c r="CM48" s="218">
        <f t="shared" si="324"/>
        <v>-473.03800000000001</v>
      </c>
      <c r="CN48" s="218">
        <f t="shared" si="325"/>
        <v>-214.17800000000003</v>
      </c>
      <c r="CO48" s="218">
        <f t="shared" si="326"/>
        <v>-135.584</v>
      </c>
      <c r="CP48" s="218">
        <f t="shared" si="327"/>
        <v>-293.18299999999999</v>
      </c>
      <c r="CQ48" s="218">
        <f t="shared" si="328"/>
        <v>-285.09900000000005</v>
      </c>
      <c r="CR48" s="218">
        <f t="shared" si="329"/>
        <v>-510.8</v>
      </c>
      <c r="CS48" s="219">
        <f t="shared" si="330"/>
        <v>-510.8</v>
      </c>
      <c r="CT48" s="22"/>
    </row>
    <row r="49" spans="1:104" ht="14.25" customHeight="1">
      <c r="A49" s="8"/>
      <c r="B49" s="28" t="str">
        <f t="shared" si="252"/>
        <v>Dividends paid</v>
      </c>
      <c r="C49" s="29"/>
      <c r="D49" s="220">
        <f t="shared" si="253"/>
        <v>-32.789000000000001</v>
      </c>
      <c r="E49" s="218">
        <f t="shared" si="254"/>
        <v>-39.995000000000005</v>
      </c>
      <c r="F49" s="218">
        <f t="shared" si="255"/>
        <v>-40.024000000000001</v>
      </c>
      <c r="G49" s="219">
        <f t="shared" si="256"/>
        <v>-40.191999999999993</v>
      </c>
      <c r="H49" s="220">
        <f t="shared" si="257"/>
        <v>-50.02</v>
      </c>
      <c r="I49" s="218">
        <f t="shared" si="258"/>
        <v>-50.095999999999997</v>
      </c>
      <c r="J49" s="218">
        <f t="shared" si="259"/>
        <v>-50.007999999999988</v>
      </c>
      <c r="K49" s="219">
        <f t="shared" si="260"/>
        <v>-50.005000000000003</v>
      </c>
      <c r="L49" s="220">
        <f t="shared" si="261"/>
        <v>-60.103999999999999</v>
      </c>
      <c r="M49" s="218">
        <f t="shared" si="262"/>
        <v>-60.102999999999994</v>
      </c>
      <c r="N49" s="218">
        <f t="shared" si="263"/>
        <v>-60.104000000000013</v>
      </c>
      <c r="O49" s="219">
        <f t="shared" si="264"/>
        <v>-60.103999999999985</v>
      </c>
      <c r="P49" s="220">
        <f t="shared" si="265"/>
        <v>-64.111000000000004</v>
      </c>
      <c r="Q49" s="218">
        <f t="shared" si="266"/>
        <v>-62.302999999999997</v>
      </c>
      <c r="R49" s="218">
        <f t="shared" si="267"/>
        <v>-60.960999999999999</v>
      </c>
      <c r="S49" s="219">
        <f t="shared" si="268"/>
        <v>-61.126000000000019</v>
      </c>
      <c r="T49" s="220">
        <f t="shared" si="269"/>
        <v>-61.377000000000002</v>
      </c>
      <c r="U49" s="218">
        <f t="shared" si="270"/>
        <v>-61.017000000000003</v>
      </c>
      <c r="V49" s="218">
        <f t="shared" si="271"/>
        <v>-60.948999999999991</v>
      </c>
      <c r="W49" s="219">
        <f t="shared" si="272"/>
        <v>-60.412000000000013</v>
      </c>
      <c r="X49" s="220">
        <f t="shared" si="273"/>
        <v>-62.466999999999999</v>
      </c>
      <c r="Y49" s="218">
        <f t="shared" si="274"/>
        <v>-62.278000000000006</v>
      </c>
      <c r="Z49" s="218">
        <f t="shared" si="275"/>
        <v>-62.323000000000008</v>
      </c>
      <c r="AA49" s="219">
        <f t="shared" si="276"/>
        <v>-62.076999999999998</v>
      </c>
      <c r="AB49" s="218">
        <f t="shared" si="277"/>
        <v>-64.781000000000006</v>
      </c>
      <c r="AC49" s="218">
        <f t="shared" si="278"/>
        <v>-64.157999999999987</v>
      </c>
      <c r="AD49" s="218">
        <f t="shared" si="279"/>
        <v>-64.384000000000015</v>
      </c>
      <c r="AE49" s="219">
        <f t="shared" si="280"/>
        <v>-64.407999999999987</v>
      </c>
      <c r="AF49" s="218">
        <f>AF148</f>
        <v>-70.198999999999998</v>
      </c>
      <c r="AG49" s="218">
        <f t="shared" si="282"/>
        <v>-70.063000000000002</v>
      </c>
      <c r="AH49" s="218">
        <f t="shared" si="283"/>
        <v>-70.421000000000006</v>
      </c>
      <c r="AI49" s="219">
        <f t="shared" si="284"/>
        <v>-69.531999999999996</v>
      </c>
      <c r="AJ49" s="218">
        <f>AJ148</f>
        <v>-73.744</v>
      </c>
      <c r="AK49" s="218">
        <f t="shared" si="286"/>
        <v>-73.324000000000012</v>
      </c>
      <c r="AL49" s="218">
        <f t="shared" si="287"/>
        <v>-73.480999999999995</v>
      </c>
      <c r="AM49" s="219">
        <f t="shared" si="288"/>
        <v>-73.626000000000005</v>
      </c>
      <c r="AN49" s="218">
        <f>AN148</f>
        <v>-79.763000000000005</v>
      </c>
      <c r="AO49" s="218">
        <f t="shared" si="290"/>
        <v>-79.168999999999983</v>
      </c>
      <c r="AP49" s="218">
        <f t="shared" si="291"/>
        <v>-79.419000000000011</v>
      </c>
      <c r="AQ49" s="219">
        <f t="shared" si="292"/>
        <v>-79.557999999999993</v>
      </c>
      <c r="AR49" s="218">
        <f>AR148</f>
        <v>-85.387</v>
      </c>
      <c r="AS49" s="218">
        <f t="shared" si="294"/>
        <v>-85.711999999999989</v>
      </c>
      <c r="AT49" s="218">
        <f t="shared" si="295"/>
        <v>-85.713999999999999</v>
      </c>
      <c r="AU49" s="219">
        <f t="shared" si="296"/>
        <v>-85.210000000000036</v>
      </c>
      <c r="AV49" s="218">
        <f>AV148</f>
        <v>-93.626999999999995</v>
      </c>
      <c r="AW49" s="218">
        <f t="shared" si="298"/>
        <v>-93.561999999999998</v>
      </c>
      <c r="AX49" s="218">
        <f t="shared" si="299"/>
        <v>-93.387000000000015</v>
      </c>
      <c r="AY49" s="219">
        <f t="shared" si="300"/>
        <v>-93.394999999999996</v>
      </c>
      <c r="AZ49" s="218">
        <f>AZ148</f>
        <v>-101.462</v>
      </c>
      <c r="BA49" s="218">
        <f t="shared" si="302"/>
        <v>-101.42100000000001</v>
      </c>
      <c r="BB49" s="1502">
        <v>-117.883</v>
      </c>
      <c r="BC49" s="1318">
        <f>-IS!BC153*IS!BC147</f>
        <v>-119.94401999999998</v>
      </c>
      <c r="BD49" s="1314">
        <f>-IS!BD153*IS!BD147</f>
        <v>-119.81801999999998</v>
      </c>
      <c r="BE49" s="1314">
        <f>-IS!BE153*IS!BE147</f>
        <v>-119.69201999999997</v>
      </c>
      <c r="BF49" s="1314">
        <f>-IS!BF153*IS!BF147</f>
        <v>-119.56601999999997</v>
      </c>
      <c r="BG49" s="1314">
        <f>-IS!BG153*IS!BG147</f>
        <v>-119.44001999999996</v>
      </c>
      <c r="BH49" s="1313">
        <f>-IS!BH153*IS!BH147</f>
        <v>-119.31401999999996</v>
      </c>
      <c r="BI49" s="1314">
        <f>-IS!BI153*IS!BI147</f>
        <v>-119.18801999999995</v>
      </c>
      <c r="BJ49" s="1314">
        <f>-IS!BJ153*IS!BJ147</f>
        <v>-119.06201999999995</v>
      </c>
      <c r="BK49" s="1318">
        <f>-IS!BK153*IS!BK147</f>
        <v>-118.93601999999994</v>
      </c>
      <c r="BL49" s="20"/>
      <c r="BM49" s="218">
        <f t="shared" si="303"/>
        <v>-153</v>
      </c>
      <c r="BN49" s="218">
        <f t="shared" si="304"/>
        <v>-200.12899999999999</v>
      </c>
      <c r="BO49" s="218">
        <f t="shared" si="305"/>
        <v>-240.41499999999999</v>
      </c>
      <c r="BP49" s="218">
        <f t="shared" si="306"/>
        <v>-248.50100000000003</v>
      </c>
      <c r="BQ49" s="218">
        <f t="shared" si="307"/>
        <v>-243.755</v>
      </c>
      <c r="BR49" s="218">
        <f t="shared" si="308"/>
        <v>-249.14500000000001</v>
      </c>
      <c r="BS49" s="218">
        <f t="shared" si="309"/>
        <v>-257.73099999999999</v>
      </c>
      <c r="BT49" s="218">
        <f t="shared" si="310"/>
        <v>-280.21499999999997</v>
      </c>
      <c r="BU49" s="218">
        <f t="shared" si="311"/>
        <v>-294.17500000000001</v>
      </c>
      <c r="BV49" s="218">
        <f t="shared" si="312"/>
        <v>-317.90899999999999</v>
      </c>
      <c r="BW49" s="218">
        <f t="shared" si="313"/>
        <v>-342.02300000000002</v>
      </c>
      <c r="BX49" s="218">
        <f t="shared" si="314"/>
        <v>-373.971</v>
      </c>
      <c r="BY49" s="218">
        <f t="shared" si="315"/>
        <v>-440.71001999999999</v>
      </c>
      <c r="BZ49" s="218">
        <f t="shared" si="331"/>
        <v>-478.51607999999987</v>
      </c>
      <c r="CA49" s="219">
        <f t="shared" si="316"/>
        <v>-476.5000799999998</v>
      </c>
      <c r="CB49" s="223"/>
      <c r="CC49" s="221"/>
      <c r="CD49" s="221"/>
      <c r="CE49" s="260"/>
      <c r="CF49" s="220">
        <f t="shared" si="317"/>
        <v>-180.33199999999999</v>
      </c>
      <c r="CG49" s="218">
        <f t="shared" si="318"/>
        <v>-220.21999999999997</v>
      </c>
      <c r="CH49" s="218">
        <f t="shared" si="319"/>
        <v>-246.62200000000001</v>
      </c>
      <c r="CI49" s="218">
        <f t="shared" si="320"/>
        <v>-244.48100000000002</v>
      </c>
      <c r="CJ49" s="218">
        <f t="shared" si="321"/>
        <v>-246.10599999999999</v>
      </c>
      <c r="CK49" s="218">
        <f t="shared" si="322"/>
        <v>-253.339</v>
      </c>
      <c r="CL49" s="218">
        <f t="shared" si="323"/>
        <v>-269.05399999999997</v>
      </c>
      <c r="CM49" s="218">
        <f t="shared" si="324"/>
        <v>-287.02100000000002</v>
      </c>
      <c r="CN49" s="218">
        <f t="shared" si="325"/>
        <v>-306.03899999999999</v>
      </c>
      <c r="CO49" s="218">
        <f t="shared" si="326"/>
        <v>-330.07600000000002</v>
      </c>
      <c r="CP49" s="218">
        <f t="shared" si="327"/>
        <v>-358.11300000000006</v>
      </c>
      <c r="CQ49" s="218">
        <f t="shared" si="328"/>
        <v>-389.66500000000002</v>
      </c>
      <c r="CR49" s="218">
        <f t="shared" si="329"/>
        <v>-477.33705999999989</v>
      </c>
      <c r="CS49" s="219">
        <f t="shared" si="330"/>
        <v>-477.50807999999984</v>
      </c>
      <c r="CT49" s="22"/>
    </row>
    <row r="50" spans="1:104" ht="14.25" customHeight="1">
      <c r="A50" s="8"/>
      <c r="B50" s="28" t="str">
        <f t="shared" si="252"/>
        <v>Repurchase of noncontrolling interest</v>
      </c>
      <c r="C50" s="29"/>
      <c r="D50" s="220">
        <f t="shared" si="253"/>
        <v>0</v>
      </c>
      <c r="E50" s="218">
        <f t="shared" si="254"/>
        <v>0</v>
      </c>
      <c r="F50" s="218">
        <f t="shared" si="255"/>
        <v>0</v>
      </c>
      <c r="G50" s="219">
        <f t="shared" si="256"/>
        <v>0</v>
      </c>
      <c r="H50" s="220">
        <f t="shared" si="257"/>
        <v>0</v>
      </c>
      <c r="I50" s="218">
        <f t="shared" si="258"/>
        <v>0</v>
      </c>
      <c r="J50" s="218">
        <f t="shared" si="259"/>
        <v>0</v>
      </c>
      <c r="K50" s="219">
        <f t="shared" si="260"/>
        <v>0</v>
      </c>
      <c r="L50" s="220">
        <f t="shared" si="261"/>
        <v>0</v>
      </c>
      <c r="M50" s="218">
        <f t="shared" si="262"/>
        <v>0</v>
      </c>
      <c r="N50" s="218">
        <f t="shared" si="263"/>
        <v>0</v>
      </c>
      <c r="O50" s="219">
        <f t="shared" si="264"/>
        <v>0</v>
      </c>
      <c r="P50" s="220">
        <f t="shared" si="265"/>
        <v>0</v>
      </c>
      <c r="Q50" s="218">
        <f t="shared" si="266"/>
        <v>0</v>
      </c>
      <c r="R50" s="218">
        <f t="shared" si="267"/>
        <v>0</v>
      </c>
      <c r="S50" s="219">
        <f t="shared" si="268"/>
        <v>0</v>
      </c>
      <c r="T50" s="220">
        <f t="shared" si="269"/>
        <v>0</v>
      </c>
      <c r="U50" s="218">
        <f t="shared" si="270"/>
        <v>0</v>
      </c>
      <c r="V50" s="218">
        <f t="shared" si="271"/>
        <v>0</v>
      </c>
      <c r="W50" s="219">
        <f t="shared" si="272"/>
        <v>0</v>
      </c>
      <c r="X50" s="220">
        <f t="shared" si="273"/>
        <v>0</v>
      </c>
      <c r="Y50" s="218">
        <f t="shared" si="274"/>
        <v>0</v>
      </c>
      <c r="Z50" s="218">
        <f t="shared" si="275"/>
        <v>0</v>
      </c>
      <c r="AA50" s="219">
        <f t="shared" si="276"/>
        <v>0</v>
      </c>
      <c r="AB50" s="218">
        <f t="shared" si="277"/>
        <v>0</v>
      </c>
      <c r="AC50" s="218">
        <f t="shared" si="278"/>
        <v>0</v>
      </c>
      <c r="AD50" s="218">
        <f t="shared" si="279"/>
        <v>0</v>
      </c>
      <c r="AE50" s="219">
        <f t="shared" si="280"/>
        <v>0</v>
      </c>
      <c r="AF50" s="218">
        <f t="shared" si="281"/>
        <v>0</v>
      </c>
      <c r="AG50" s="218">
        <f t="shared" si="282"/>
        <v>0</v>
      </c>
      <c r="AH50" s="218">
        <f t="shared" si="283"/>
        <v>0</v>
      </c>
      <c r="AI50" s="219">
        <f t="shared" si="284"/>
        <v>0</v>
      </c>
      <c r="AJ50" s="218">
        <f t="shared" si="285"/>
        <v>0</v>
      </c>
      <c r="AK50" s="218">
        <f t="shared" si="286"/>
        <v>0</v>
      </c>
      <c r="AL50" s="218">
        <f t="shared" si="287"/>
        <v>0</v>
      </c>
      <c r="AM50" s="219">
        <f t="shared" si="288"/>
        <v>0</v>
      </c>
      <c r="AN50" s="218">
        <f t="shared" si="289"/>
        <v>0</v>
      </c>
      <c r="AO50" s="218">
        <f t="shared" si="290"/>
        <v>0</v>
      </c>
      <c r="AP50" s="218">
        <f t="shared" si="291"/>
        <v>0</v>
      </c>
      <c r="AQ50" s="219">
        <f t="shared" si="292"/>
        <v>0</v>
      </c>
      <c r="AR50" s="218">
        <f t="shared" si="293"/>
        <v>0</v>
      </c>
      <c r="AS50" s="218">
        <f t="shared" si="294"/>
        <v>0</v>
      </c>
      <c r="AT50" s="218">
        <f t="shared" si="295"/>
        <v>0</v>
      </c>
      <c r="AU50" s="219">
        <f t="shared" si="296"/>
        <v>0</v>
      </c>
      <c r="AV50" s="218">
        <f t="shared" si="297"/>
        <v>0</v>
      </c>
      <c r="AW50" s="218">
        <f t="shared" si="298"/>
        <v>0</v>
      </c>
      <c r="AX50" s="218">
        <f t="shared" si="299"/>
        <v>0</v>
      </c>
      <c r="AY50" s="219">
        <f t="shared" si="300"/>
        <v>0</v>
      </c>
      <c r="AZ50" s="218">
        <f t="shared" si="301"/>
        <v>0</v>
      </c>
      <c r="BA50" s="218">
        <f t="shared" si="302"/>
        <v>0</v>
      </c>
      <c r="BB50" s="1508">
        <v>0</v>
      </c>
      <c r="BC50" s="262">
        <v>0</v>
      </c>
      <c r="BD50" s="266">
        <v>0</v>
      </c>
      <c r="BE50" s="266">
        <v>0</v>
      </c>
      <c r="BF50" s="266">
        <v>0</v>
      </c>
      <c r="BG50" s="266">
        <v>0</v>
      </c>
      <c r="BH50" s="265">
        <v>0</v>
      </c>
      <c r="BI50" s="266">
        <v>0</v>
      </c>
      <c r="BJ50" s="266">
        <v>0</v>
      </c>
      <c r="BK50" s="266">
        <v>0</v>
      </c>
      <c r="BL50" s="20"/>
      <c r="BM50" s="218">
        <f t="shared" si="303"/>
        <v>0</v>
      </c>
      <c r="BN50" s="218">
        <f t="shared" si="304"/>
        <v>0</v>
      </c>
      <c r="BO50" s="218">
        <f t="shared" si="305"/>
        <v>0</v>
      </c>
      <c r="BP50" s="218">
        <f t="shared" si="306"/>
        <v>0</v>
      </c>
      <c r="BQ50" s="218">
        <f t="shared" si="307"/>
        <v>0</v>
      </c>
      <c r="BR50" s="218">
        <f t="shared" si="308"/>
        <v>0</v>
      </c>
      <c r="BS50" s="218">
        <f t="shared" si="309"/>
        <v>0</v>
      </c>
      <c r="BT50" s="218">
        <f t="shared" si="310"/>
        <v>0</v>
      </c>
      <c r="BU50" s="218">
        <f t="shared" si="311"/>
        <v>0</v>
      </c>
      <c r="BV50" s="218">
        <f t="shared" si="312"/>
        <v>0</v>
      </c>
      <c r="BW50" s="218">
        <f t="shared" si="313"/>
        <v>0</v>
      </c>
      <c r="BX50" s="218">
        <f t="shared" si="314"/>
        <v>0</v>
      </c>
      <c r="BY50" s="218">
        <f t="shared" si="315"/>
        <v>0</v>
      </c>
      <c r="BZ50" s="218">
        <f t="shared" si="331"/>
        <v>0</v>
      </c>
      <c r="CA50" s="219">
        <f t="shared" si="316"/>
        <v>0</v>
      </c>
      <c r="CB50" s="223"/>
      <c r="CC50" s="221"/>
      <c r="CD50" s="221"/>
      <c r="CE50" s="260"/>
      <c r="CF50" s="220">
        <f t="shared" si="317"/>
        <v>0</v>
      </c>
      <c r="CG50" s="218">
        <f t="shared" si="318"/>
        <v>0</v>
      </c>
      <c r="CH50" s="218">
        <f t="shared" si="319"/>
        <v>0</v>
      </c>
      <c r="CI50" s="218">
        <f t="shared" si="320"/>
        <v>0</v>
      </c>
      <c r="CJ50" s="218">
        <f t="shared" si="321"/>
        <v>0</v>
      </c>
      <c r="CK50" s="218">
        <f t="shared" si="322"/>
        <v>0</v>
      </c>
      <c r="CL50" s="218">
        <f t="shared" si="323"/>
        <v>0</v>
      </c>
      <c r="CM50" s="218">
        <f t="shared" si="324"/>
        <v>0</v>
      </c>
      <c r="CN50" s="218">
        <f t="shared" si="325"/>
        <v>0</v>
      </c>
      <c r="CO50" s="218">
        <f t="shared" si="326"/>
        <v>0</v>
      </c>
      <c r="CP50" s="218">
        <f t="shared" si="327"/>
        <v>0</v>
      </c>
      <c r="CQ50" s="218">
        <f t="shared" si="328"/>
        <v>0</v>
      </c>
      <c r="CR50" s="218">
        <f t="shared" si="329"/>
        <v>0</v>
      </c>
      <c r="CS50" s="219">
        <f t="shared" si="330"/>
        <v>0</v>
      </c>
      <c r="CT50" s="22"/>
    </row>
    <row r="51" spans="1:104" s="505" customFormat="1" ht="14.25" customHeight="1">
      <c r="A51" s="8"/>
      <c r="B51" s="28" t="str">
        <f t="shared" si="252"/>
        <v>Other financing activities</v>
      </c>
      <c r="C51" s="29"/>
      <c r="D51" s="220">
        <f t="shared" si="253"/>
        <v>18.97</v>
      </c>
      <c r="E51" s="218">
        <f t="shared" si="254"/>
        <v>6.3580000000000005</v>
      </c>
      <c r="F51" s="218">
        <f t="shared" si="255"/>
        <v>11.66</v>
      </c>
      <c r="G51" s="219">
        <f t="shared" si="256"/>
        <v>7.6720000000000006</v>
      </c>
      <c r="H51" s="220">
        <f t="shared" si="257"/>
        <v>8.1430000000000007</v>
      </c>
      <c r="I51" s="218">
        <f t="shared" si="258"/>
        <v>-12.4</v>
      </c>
      <c r="J51" s="218">
        <f t="shared" si="259"/>
        <v>-12.639999999999999</v>
      </c>
      <c r="K51" s="219">
        <f t="shared" si="260"/>
        <v>-10.119</v>
      </c>
      <c r="L51" s="220">
        <f t="shared" si="261"/>
        <v>-10.565000000000001</v>
      </c>
      <c r="M51" s="218">
        <f t="shared" si="262"/>
        <v>-76.435000000000002</v>
      </c>
      <c r="N51" s="218">
        <f t="shared" si="263"/>
        <v>-8.8550000000000004</v>
      </c>
      <c r="O51" s="219">
        <f t="shared" si="264"/>
        <v>-12.151999999999983</v>
      </c>
      <c r="P51" s="220">
        <f t="shared" si="265"/>
        <v>-13.147</v>
      </c>
      <c r="Q51" s="218">
        <f t="shared" si="266"/>
        <v>-50.804000000000002</v>
      </c>
      <c r="R51" s="218">
        <f t="shared" si="267"/>
        <v>-5.6830000000000123</v>
      </c>
      <c r="S51" s="219">
        <f t="shared" si="268"/>
        <v>-0.71499999999999453</v>
      </c>
      <c r="T51" s="220">
        <f t="shared" si="269"/>
        <v>-3.9410000000000007</v>
      </c>
      <c r="U51" s="218">
        <f t="shared" si="270"/>
        <v>5.6400000000000006</v>
      </c>
      <c r="V51" s="218">
        <f t="shared" si="271"/>
        <v>-6.4910000000000014</v>
      </c>
      <c r="W51" s="219">
        <f t="shared" si="272"/>
        <v>8.7730000000000015</v>
      </c>
      <c r="X51" s="220">
        <f t="shared" si="273"/>
        <v>-4.0209999999999999</v>
      </c>
      <c r="Y51" s="218">
        <f t="shared" si="274"/>
        <v>7.8520000000000003</v>
      </c>
      <c r="Z51" s="218">
        <f t="shared" si="275"/>
        <v>4.258</v>
      </c>
      <c r="AA51" s="219">
        <f t="shared" si="276"/>
        <v>4.806</v>
      </c>
      <c r="AB51" s="218">
        <f t="shared" si="277"/>
        <v>-4.4000000000000039E-2</v>
      </c>
      <c r="AC51" s="218">
        <f t="shared" si="278"/>
        <v>7.1069999999999993</v>
      </c>
      <c r="AD51" s="218">
        <f t="shared" si="279"/>
        <v>5.1650000000000009</v>
      </c>
      <c r="AE51" s="219">
        <f t="shared" si="280"/>
        <v>5.2539999999999996</v>
      </c>
      <c r="AF51" s="218">
        <f t="shared" si="281"/>
        <v>12.757000000000001</v>
      </c>
      <c r="AG51" s="218">
        <f t="shared" si="282"/>
        <v>-8.3990000000000009</v>
      </c>
      <c r="AH51" s="218">
        <f t="shared" si="283"/>
        <v>495.44199999999995</v>
      </c>
      <c r="AI51" s="219">
        <f t="shared" si="284"/>
        <v>-494.65799999999996</v>
      </c>
      <c r="AJ51" s="218">
        <f t="shared" si="285"/>
        <v>-1.7190000000000003</v>
      </c>
      <c r="AK51" s="218">
        <f t="shared" si="286"/>
        <v>1.274</v>
      </c>
      <c r="AL51" s="218">
        <f t="shared" si="287"/>
        <v>25.98</v>
      </c>
      <c r="AM51" s="219">
        <f t="shared" si="288"/>
        <v>-16.048000000000002</v>
      </c>
      <c r="AN51" s="218">
        <f t="shared" si="289"/>
        <v>3.9150000000000009</v>
      </c>
      <c r="AO51" s="218">
        <f t="shared" si="290"/>
        <v>0.26499999999999879</v>
      </c>
      <c r="AP51" s="218">
        <f t="shared" si="291"/>
        <v>31.893000000000001</v>
      </c>
      <c r="AQ51" s="219">
        <f t="shared" si="292"/>
        <v>-23.524000000000001</v>
      </c>
      <c r="AR51" s="218">
        <f t="shared" si="293"/>
        <v>2.2490000000000001</v>
      </c>
      <c r="AS51" s="218">
        <f t="shared" si="294"/>
        <v>3.9199999999999995</v>
      </c>
      <c r="AT51" s="218">
        <f t="shared" si="295"/>
        <v>11.379999999999999</v>
      </c>
      <c r="AU51" s="219">
        <f t="shared" si="296"/>
        <v>-7.9989999999999988</v>
      </c>
      <c r="AV51" s="218">
        <f t="shared" si="297"/>
        <v>14.705000000000002</v>
      </c>
      <c r="AW51" s="218">
        <f t="shared" si="298"/>
        <v>-14.705000000000002</v>
      </c>
      <c r="AX51" s="218">
        <f t="shared" si="299"/>
        <v>0</v>
      </c>
      <c r="AY51" s="219">
        <f t="shared" si="300"/>
        <v>-3.6880000000000006</v>
      </c>
      <c r="AZ51" s="218">
        <f t="shared" si="301"/>
        <v>-0.25600000000000023</v>
      </c>
      <c r="BA51" s="218">
        <f t="shared" si="302"/>
        <v>0.25600000000000023</v>
      </c>
      <c r="BB51" s="1502">
        <f>-9.642+7.716</f>
        <v>-1.9259999999999993</v>
      </c>
      <c r="BC51" s="1318">
        <f>+BS!BC42-BS!BB42</f>
        <v>0</v>
      </c>
      <c r="BD51" s="1314">
        <f>+BS!BD42-BS!BC42</f>
        <v>0</v>
      </c>
      <c r="BE51" s="1314">
        <f>+BS!BE42-BS!BD42</f>
        <v>0</v>
      </c>
      <c r="BF51" s="1314">
        <f>+BS!BF42-BS!BE42</f>
        <v>0</v>
      </c>
      <c r="BG51" s="1314">
        <f>+BS!BG42-BS!BF42</f>
        <v>0</v>
      </c>
      <c r="BH51" s="1313">
        <f>+BS!BH42-BS!BG42</f>
        <v>0</v>
      </c>
      <c r="BI51" s="1314">
        <f>+BS!BI42-BS!BH42</f>
        <v>0</v>
      </c>
      <c r="BJ51" s="1314">
        <f>+BS!BJ42-BS!BI42</f>
        <v>0</v>
      </c>
      <c r="BK51" s="1318">
        <f>+BS!BK42-BS!BJ42</f>
        <v>0</v>
      </c>
      <c r="BL51" s="20"/>
      <c r="BM51" s="218">
        <f t="shared" si="303"/>
        <v>44.66</v>
      </c>
      <c r="BN51" s="218">
        <f t="shared" si="304"/>
        <v>-27.015999999999998</v>
      </c>
      <c r="BO51" s="218">
        <f t="shared" si="305"/>
        <v>-108.00699999999999</v>
      </c>
      <c r="BP51" s="218">
        <f t="shared" si="306"/>
        <v>-70.349000000000004</v>
      </c>
      <c r="BQ51" s="218">
        <f t="shared" si="307"/>
        <v>3.9809999999999999</v>
      </c>
      <c r="BR51" s="218">
        <f t="shared" si="308"/>
        <v>12.895</v>
      </c>
      <c r="BS51" s="218">
        <f t="shared" si="309"/>
        <v>17.481999999999999</v>
      </c>
      <c r="BT51" s="218">
        <f t="shared" si="310"/>
        <v>5.1419999999999959</v>
      </c>
      <c r="BU51" s="218">
        <f t="shared" si="311"/>
        <v>9.4869999999999983</v>
      </c>
      <c r="BV51" s="218">
        <f t="shared" si="312"/>
        <v>12.548999999999999</v>
      </c>
      <c r="BW51" s="218">
        <f t="shared" si="313"/>
        <v>9.5500000000000007</v>
      </c>
      <c r="BX51" s="218">
        <f t="shared" si="314"/>
        <v>-3.6880000000000006</v>
      </c>
      <c r="BY51" s="218">
        <f t="shared" si="315"/>
        <v>-1.9259999999999993</v>
      </c>
      <c r="BZ51" s="218">
        <f t="shared" si="331"/>
        <v>0</v>
      </c>
      <c r="CA51" s="219">
        <f>SUM(BH51:BK51)</f>
        <v>0</v>
      </c>
      <c r="CB51" s="1313"/>
      <c r="CC51" s="1314"/>
      <c r="CD51" s="1314"/>
      <c r="CE51" s="260"/>
      <c r="CF51" s="220">
        <f t="shared" si="317"/>
        <v>15.075000000000001</v>
      </c>
      <c r="CG51" s="218">
        <f t="shared" si="318"/>
        <v>-109.759</v>
      </c>
      <c r="CH51" s="218">
        <f t="shared" si="319"/>
        <v>-84.957999999999984</v>
      </c>
      <c r="CI51" s="218">
        <f t="shared" si="320"/>
        <v>-4.6990000000000069</v>
      </c>
      <c r="CJ51" s="218">
        <f t="shared" si="321"/>
        <v>6.1130000000000004</v>
      </c>
      <c r="CK51" s="218">
        <f t="shared" si="322"/>
        <v>16.126999999999999</v>
      </c>
      <c r="CL51" s="218">
        <f t="shared" si="323"/>
        <v>14.777000000000001</v>
      </c>
      <c r="CM51" s="218">
        <f t="shared" si="324"/>
        <v>0.33899999999999153</v>
      </c>
      <c r="CN51" s="218">
        <f t="shared" si="325"/>
        <v>14.111999999999998</v>
      </c>
      <c r="CO51" s="218">
        <f t="shared" si="326"/>
        <v>14.538</v>
      </c>
      <c r="CP51" s="218">
        <f t="shared" si="327"/>
        <v>3.3810000000000002</v>
      </c>
      <c r="CQ51" s="218">
        <f t="shared" si="328"/>
        <v>-3.6880000000000006</v>
      </c>
      <c r="CR51" s="218">
        <f t="shared" si="329"/>
        <v>-1.9259999999999993</v>
      </c>
      <c r="CS51" s="219">
        <f t="shared" si="330"/>
        <v>0</v>
      </c>
      <c r="CT51" s="22"/>
      <c r="CU51"/>
      <c r="CV51"/>
      <c r="CW51"/>
      <c r="CX51"/>
      <c r="CY51"/>
      <c r="CZ51"/>
    </row>
    <row r="52" spans="1:104" ht="14.25" customHeight="1" thickBot="1">
      <c r="A52" s="8"/>
      <c r="B52" s="224" t="str">
        <f t="shared" ref="B52:B62" si="333">B151</f>
        <v>Net cash used for financing activities</v>
      </c>
      <c r="C52" s="225"/>
      <c r="D52" s="227">
        <f t="shared" ref="D52:AJ52" si="334">SUM(D44:D51)</f>
        <v>-41.508000000000003</v>
      </c>
      <c r="E52" s="226">
        <f t="shared" si="334"/>
        <v>-339.08499999999992</v>
      </c>
      <c r="F52" s="226">
        <f t="shared" si="334"/>
        <v>-73.247000000000071</v>
      </c>
      <c r="G52" s="228">
        <f t="shared" si="334"/>
        <v>-86.094999999999885</v>
      </c>
      <c r="H52" s="227">
        <f t="shared" si="334"/>
        <v>-76.97</v>
      </c>
      <c r="I52" s="226">
        <f t="shared" si="334"/>
        <v>-62.495999999999995</v>
      </c>
      <c r="J52" s="226">
        <f t="shared" si="334"/>
        <v>-62.647999999999989</v>
      </c>
      <c r="K52" s="228">
        <f t="shared" si="334"/>
        <v>-56.776000000000003</v>
      </c>
      <c r="L52" s="227">
        <f t="shared" si="334"/>
        <v>-70.679000000000002</v>
      </c>
      <c r="M52" s="226">
        <f t="shared" si="334"/>
        <v>-136.548</v>
      </c>
      <c r="N52" s="226">
        <f t="shared" si="334"/>
        <v>-68.969000000000008</v>
      </c>
      <c r="O52" s="228">
        <f t="shared" si="334"/>
        <v>-72.265999999999963</v>
      </c>
      <c r="P52" s="227">
        <f t="shared" si="334"/>
        <v>-79.178000000000011</v>
      </c>
      <c r="Q52" s="226">
        <f t="shared" si="334"/>
        <v>-349.01099999999997</v>
      </c>
      <c r="R52" s="226">
        <f t="shared" si="334"/>
        <v>-67.808000000000007</v>
      </c>
      <c r="S52" s="228">
        <f t="shared" si="334"/>
        <v>-61.852000000000018</v>
      </c>
      <c r="T52" s="227">
        <f t="shared" si="334"/>
        <v>-82.897000000000006</v>
      </c>
      <c r="U52" s="226">
        <f t="shared" si="334"/>
        <v>-102.288</v>
      </c>
      <c r="V52" s="226">
        <f t="shared" si="334"/>
        <v>-116.59599999999999</v>
      </c>
      <c r="W52" s="228">
        <f t="shared" si="334"/>
        <v>169.63999999999996</v>
      </c>
      <c r="X52" s="227">
        <f t="shared" si="334"/>
        <v>-155.63</v>
      </c>
      <c r="Y52" s="226">
        <f t="shared" si="334"/>
        <v>-85.566000000000003</v>
      </c>
      <c r="Z52" s="226">
        <f t="shared" si="334"/>
        <v>-106.818</v>
      </c>
      <c r="AA52" s="228">
        <f t="shared" si="334"/>
        <v>-99.077000000000012</v>
      </c>
      <c r="AB52" s="226">
        <f t="shared" si="334"/>
        <v>-169.71600000000004</v>
      </c>
      <c r="AC52" s="226">
        <f t="shared" si="334"/>
        <v>-117.64799999999998</v>
      </c>
      <c r="AD52" s="226">
        <f>SUM(AD44:AD51)</f>
        <v>-75.463000000000008</v>
      </c>
      <c r="AE52" s="228">
        <f t="shared" si="334"/>
        <v>-90.610999999999962</v>
      </c>
      <c r="AF52" s="226">
        <f t="shared" si="334"/>
        <v>-117.596</v>
      </c>
      <c r="AG52" s="226">
        <f t="shared" si="334"/>
        <v>-91.853000000000009</v>
      </c>
      <c r="AH52" s="226">
        <f>SUM(AH44:AH51)</f>
        <v>375.92599999999993</v>
      </c>
      <c r="AI52" s="228">
        <f t="shared" si="334"/>
        <v>-551.11399999999992</v>
      </c>
      <c r="AJ52" s="226">
        <f t="shared" si="334"/>
        <v>-228.05199999999999</v>
      </c>
      <c r="AK52" s="226">
        <f t="shared" ref="AK52:AQ52" si="335">SUM(AK44:AK51)</f>
        <v>378.57</v>
      </c>
      <c r="AL52" s="226">
        <f t="shared" si="335"/>
        <v>-98.82</v>
      </c>
      <c r="AM52" s="228">
        <f t="shared" si="335"/>
        <v>-70.880000000000038</v>
      </c>
      <c r="AN52" s="226">
        <f t="shared" si="335"/>
        <v>-138.97</v>
      </c>
      <c r="AO52" s="226">
        <f t="shared" si="335"/>
        <v>-116.74999999999999</v>
      </c>
      <c r="AP52" s="226">
        <f t="shared" si="335"/>
        <v>-87.467000000000013</v>
      </c>
      <c r="AQ52" s="228">
        <f t="shared" si="335"/>
        <v>-85.952999999999975</v>
      </c>
      <c r="AR52" s="226">
        <f t="shared" ref="AR52:BC52" si="336">SUM(AR44:AR51)</f>
        <v>-118.68700000000001</v>
      </c>
      <c r="AS52" s="226">
        <f t="shared" si="336"/>
        <v>-49.836999999999982</v>
      </c>
      <c r="AT52" s="226">
        <f t="shared" si="336"/>
        <v>-166.988</v>
      </c>
      <c r="AU52" s="228">
        <f t="shared" si="336"/>
        <v>105.16899999999998</v>
      </c>
      <c r="AV52" s="226">
        <f t="shared" ref="AV52:BA52" si="337">SUM(AV44:AV51)</f>
        <v>-136.631</v>
      </c>
      <c r="AW52" s="226">
        <f t="shared" si="337"/>
        <v>-384.22300000000001</v>
      </c>
      <c r="AX52" s="226">
        <f t="shared" si="337"/>
        <v>-144.34600000000003</v>
      </c>
      <c r="AY52" s="228">
        <f t="shared" si="337"/>
        <v>357.83100000000002</v>
      </c>
      <c r="AZ52" s="226">
        <f t="shared" si="337"/>
        <v>-177.00899999999999</v>
      </c>
      <c r="BA52" s="226">
        <f t="shared" si="337"/>
        <v>-155.99600000000001</v>
      </c>
      <c r="BB52" s="226">
        <f t="shared" si="336"/>
        <v>-247.50899999999999</v>
      </c>
      <c r="BC52" s="228">
        <f t="shared" si="336"/>
        <v>-247.64401999999998</v>
      </c>
      <c r="BD52" s="226">
        <f t="shared" ref="BD52:BK52" si="338">SUM(BD44:BD51)</f>
        <v>-247.51801999999998</v>
      </c>
      <c r="BE52" s="226">
        <f t="shared" si="338"/>
        <v>-247.39201999999997</v>
      </c>
      <c r="BF52" s="226">
        <f t="shared" si="338"/>
        <v>-247.26601999999997</v>
      </c>
      <c r="BG52" s="226">
        <f t="shared" si="338"/>
        <v>-247.14001999999996</v>
      </c>
      <c r="BH52" s="227">
        <f t="shared" si="338"/>
        <v>-247.01401999999996</v>
      </c>
      <c r="BI52" s="226">
        <f t="shared" si="338"/>
        <v>-246.88801999999995</v>
      </c>
      <c r="BJ52" s="226">
        <f t="shared" si="338"/>
        <v>-246.76201999999995</v>
      </c>
      <c r="BK52" s="226">
        <f t="shared" si="338"/>
        <v>-246.63601999999995</v>
      </c>
      <c r="BL52" s="20"/>
      <c r="BM52" s="226">
        <f t="shared" ref="BM52:BW52" si="339">SUM(BM44:BM51)</f>
        <v>-539.93499999999995</v>
      </c>
      <c r="BN52" s="226">
        <f t="shared" si="339"/>
        <v>-258.89</v>
      </c>
      <c r="BO52" s="226">
        <f t="shared" si="339"/>
        <v>-348.46199999999999</v>
      </c>
      <c r="BP52" s="226">
        <f t="shared" si="339"/>
        <v>-557.84900000000005</v>
      </c>
      <c r="BQ52" s="226">
        <f t="shared" si="339"/>
        <v>-132.14100000000008</v>
      </c>
      <c r="BR52" s="226">
        <f t="shared" si="339"/>
        <v>-447.09100000000001</v>
      </c>
      <c r="BS52" s="226">
        <f t="shared" si="339"/>
        <v>-453.43799999999999</v>
      </c>
      <c r="BT52" s="226">
        <f t="shared" si="339"/>
        <v>-384.637</v>
      </c>
      <c r="BU52" s="226">
        <f t="shared" si="339"/>
        <v>-19.182000000000098</v>
      </c>
      <c r="BV52" s="226">
        <f t="shared" si="339"/>
        <v>-429.14</v>
      </c>
      <c r="BW52" s="226">
        <f t="shared" si="339"/>
        <v>-230.34300000000002</v>
      </c>
      <c r="BX52" s="226">
        <f>SUM(BX44:BX51)</f>
        <v>-307.36900000000003</v>
      </c>
      <c r="BY52" s="226">
        <f>SUM(BY44:BY51)</f>
        <v>-828.15801999999996</v>
      </c>
      <c r="BZ52" s="226">
        <f>SUM(BZ44:BZ51)</f>
        <v>-989.31607999999983</v>
      </c>
      <c r="CA52" s="228">
        <f>SUM(CA44:CA51)</f>
        <v>-987.30007999999975</v>
      </c>
      <c r="CB52" s="233"/>
      <c r="CC52" s="232"/>
      <c r="CD52" s="232"/>
      <c r="CE52" s="260"/>
      <c r="CF52" s="227">
        <f t="shared" ref="CF52:CO52" si="340">SUM(CF44:CF51)</f>
        <v>-298.80799999999994</v>
      </c>
      <c r="CG52" s="226">
        <f t="shared" si="340"/>
        <v>-326.65099999999995</v>
      </c>
      <c r="CH52" s="226">
        <f t="shared" si="340"/>
        <v>-569.42399999999998</v>
      </c>
      <c r="CI52" s="226">
        <f t="shared" si="340"/>
        <v>-314.84500000000003</v>
      </c>
      <c r="CJ52" s="226">
        <f t="shared" si="340"/>
        <v>-188.15199999999999</v>
      </c>
      <c r="CK52" s="226">
        <f t="shared" si="340"/>
        <v>-493.25899999999996</v>
      </c>
      <c r="CL52" s="226">
        <f t="shared" si="340"/>
        <v>-375.52299999999997</v>
      </c>
      <c r="CM52" s="226">
        <f t="shared" si="340"/>
        <v>-24.67000000000008</v>
      </c>
      <c r="CN52" s="226">
        <f t="shared" si="340"/>
        <v>-425.42</v>
      </c>
      <c r="CO52" s="226">
        <f t="shared" si="340"/>
        <v>-341.94400000000002</v>
      </c>
      <c r="CP52" s="226">
        <f>SUM(CP44:CP51)</f>
        <v>-582.67300000000012</v>
      </c>
      <c r="CQ52" s="226">
        <f>SUM(CQ44:CQ51)</f>
        <v>-119.52000000000005</v>
      </c>
      <c r="CR52" s="226">
        <f>SUM(CR44:CR51)</f>
        <v>-990.06305999999995</v>
      </c>
      <c r="CS52" s="228">
        <f>SUM(CS44:CS51)</f>
        <v>-988.30807999999979</v>
      </c>
      <c r="CT52" s="22"/>
    </row>
    <row r="53" spans="1:104" ht="14.25" customHeight="1" thickTop="1">
      <c r="A53" s="8"/>
      <c r="B53" s="47"/>
      <c r="C53" s="48"/>
      <c r="D53" s="233"/>
      <c r="E53" s="232"/>
      <c r="F53" s="232"/>
      <c r="G53" s="341"/>
      <c r="H53" s="233"/>
      <c r="I53" s="232"/>
      <c r="J53" s="232"/>
      <c r="K53" s="341"/>
      <c r="L53" s="233"/>
      <c r="M53" s="232"/>
      <c r="N53" s="232"/>
      <c r="O53" s="341"/>
      <c r="P53" s="233"/>
      <c r="Q53" s="232"/>
      <c r="R53" s="232"/>
      <c r="S53" s="341"/>
      <c r="T53" s="233"/>
      <c r="U53" s="232"/>
      <c r="V53" s="232"/>
      <c r="W53" s="341"/>
      <c r="X53" s="233"/>
      <c r="Y53" s="232"/>
      <c r="Z53" s="232"/>
      <c r="AA53" s="341"/>
      <c r="AB53" s="232"/>
      <c r="AC53" s="232"/>
      <c r="AD53" s="232"/>
      <c r="AE53" s="341"/>
      <c r="AF53" s="232"/>
      <c r="AG53" s="232"/>
      <c r="AH53" s="232"/>
      <c r="AI53" s="341"/>
      <c r="AJ53" s="232"/>
      <c r="AK53" s="232"/>
      <c r="AL53" s="232"/>
      <c r="AM53" s="341"/>
      <c r="AN53" s="232"/>
      <c r="AO53" s="232"/>
      <c r="AP53" s="232"/>
      <c r="AQ53" s="341"/>
      <c r="AR53" s="232"/>
      <c r="AS53" s="232"/>
      <c r="AT53" s="232"/>
      <c r="AU53" s="341"/>
      <c r="AV53" s="232"/>
      <c r="AW53" s="232"/>
      <c r="AX53" s="232"/>
      <c r="AY53" s="341"/>
      <c r="AZ53" s="232"/>
      <c r="BA53" s="232"/>
      <c r="BB53" s="232"/>
      <c r="BC53" s="234"/>
      <c r="BD53" s="232"/>
      <c r="BE53" s="232"/>
      <c r="BF53" s="232"/>
      <c r="BG53" s="232"/>
      <c r="BH53" s="233"/>
      <c r="BI53" s="232"/>
      <c r="BJ53" s="232"/>
      <c r="BK53" s="232"/>
      <c r="BL53" s="20"/>
      <c r="BM53" s="232"/>
      <c r="BN53" s="232"/>
      <c r="BO53" s="232"/>
      <c r="BP53" s="232"/>
      <c r="BQ53" s="232"/>
      <c r="BR53" s="232"/>
      <c r="BS53" s="232"/>
      <c r="BT53" s="232"/>
      <c r="BU53" s="232"/>
      <c r="BV53" s="232"/>
      <c r="BW53" s="232"/>
      <c r="BX53" s="232"/>
      <c r="BY53" s="232"/>
      <c r="BZ53" s="232"/>
      <c r="CA53" s="234"/>
      <c r="CB53" s="233"/>
      <c r="CC53" s="232"/>
      <c r="CD53" s="232"/>
      <c r="CE53" s="260"/>
      <c r="CF53" s="233"/>
      <c r="CG53" s="232"/>
      <c r="CH53" s="232"/>
      <c r="CI53" s="232"/>
      <c r="CJ53" s="232"/>
      <c r="CK53" s="232"/>
      <c r="CL53" s="232"/>
      <c r="CM53" s="232"/>
      <c r="CN53" s="232"/>
      <c r="CO53" s="232"/>
      <c r="CP53" s="232"/>
      <c r="CQ53" s="232"/>
      <c r="CR53" s="232"/>
      <c r="CS53" s="234"/>
      <c r="CT53" s="22"/>
    </row>
    <row r="54" spans="1:104" ht="14.25" customHeight="1">
      <c r="A54" s="8"/>
      <c r="B54" s="47" t="str">
        <f t="shared" si="333"/>
        <v>Effect of exchange rate changes on cash and cash equivalents</v>
      </c>
      <c r="C54" s="48"/>
      <c r="D54" s="220">
        <f>D153</f>
        <v>0</v>
      </c>
      <c r="E54" s="218">
        <f>E153-D54</f>
        <v>0</v>
      </c>
      <c r="F54" s="218">
        <f>F153-E54-D54</f>
        <v>0</v>
      </c>
      <c r="G54" s="219">
        <f>G153-F54-E54-D54</f>
        <v>0</v>
      </c>
      <c r="H54" s="220">
        <f>H153</f>
        <v>0</v>
      </c>
      <c r="I54" s="218">
        <f>I153-H54</f>
        <v>0</v>
      </c>
      <c r="J54" s="218">
        <f>J153-I54-H54</f>
        <v>0</v>
      </c>
      <c r="K54" s="219">
        <f>K153-J54-I54-H54</f>
        <v>0</v>
      </c>
      <c r="L54" s="220">
        <f>L153</f>
        <v>0</v>
      </c>
      <c r="M54" s="218">
        <f>M153-L54</f>
        <v>0</v>
      </c>
      <c r="N54" s="218">
        <f>N153-M54-L54</f>
        <v>0</v>
      </c>
      <c r="O54" s="219">
        <f>O153-N54-M54-L54</f>
        <v>0</v>
      </c>
      <c r="P54" s="220">
        <f>P153</f>
        <v>0</v>
      </c>
      <c r="Q54" s="218">
        <f>Q153-P54</f>
        <v>0</v>
      </c>
      <c r="R54" s="218">
        <f>R153-Q54-P54</f>
        <v>0</v>
      </c>
      <c r="S54" s="219">
        <f>S153-R54-Q54-P54</f>
        <v>0</v>
      </c>
      <c r="T54" s="220">
        <f>T153</f>
        <v>0</v>
      </c>
      <c r="U54" s="218">
        <f>U153-T54</f>
        <v>0</v>
      </c>
      <c r="V54" s="218">
        <f>V153-U54-T54</f>
        <v>0</v>
      </c>
      <c r="W54" s="219">
        <f>W153-V54-U54-T54</f>
        <v>0</v>
      </c>
      <c r="X54" s="220">
        <f>X153</f>
        <v>0</v>
      </c>
      <c r="Y54" s="218">
        <f>Y153-X54</f>
        <v>0</v>
      </c>
      <c r="Z54" s="218">
        <f>Z153-Y54-X54</f>
        <v>0</v>
      </c>
      <c r="AA54" s="219">
        <f>AA153-Z54-Y54-X54</f>
        <v>0</v>
      </c>
      <c r="AB54" s="218">
        <f>AB153</f>
        <v>0</v>
      </c>
      <c r="AC54" s="218">
        <f>AC153-AB54</f>
        <v>0</v>
      </c>
      <c r="AD54" s="218">
        <f>AD153-AC54-AB54</f>
        <v>0</v>
      </c>
      <c r="AE54" s="219">
        <f>AE153-AD54-AC54-AB54</f>
        <v>0</v>
      </c>
      <c r="AF54" s="218">
        <f>AF153</f>
        <v>0</v>
      </c>
      <c r="AG54" s="218">
        <f>AG153-AF54</f>
        <v>0</v>
      </c>
      <c r="AH54" s="218">
        <f>AH153-AG54-AF54</f>
        <v>0</v>
      </c>
      <c r="AI54" s="219">
        <f>AI153-AH54-AG54-AF54</f>
        <v>0</v>
      </c>
      <c r="AJ54" s="218">
        <f>AJ153</f>
        <v>0</v>
      </c>
      <c r="AK54" s="218">
        <f>AK153-AJ54</f>
        <v>0</v>
      </c>
      <c r="AL54" s="218">
        <f>AL153-AK54-AJ54</f>
        <v>0</v>
      </c>
      <c r="AM54" s="219">
        <f>AM153-AL54-AK54-AJ54</f>
        <v>0</v>
      </c>
      <c r="AN54" s="218">
        <f>AN153</f>
        <v>0</v>
      </c>
      <c r="AO54" s="218">
        <f>AO153-AN54</f>
        <v>0</v>
      </c>
      <c r="AP54" s="218">
        <f>AP153-AO54-AN54</f>
        <v>0</v>
      </c>
      <c r="AQ54" s="219">
        <f>AQ153-AP54-AO54-AN54</f>
        <v>0</v>
      </c>
      <c r="AR54" s="218">
        <f>AR153</f>
        <v>0</v>
      </c>
      <c r="AS54" s="218">
        <f>AS153-AR54</f>
        <v>0</v>
      </c>
      <c r="AT54" s="218">
        <f>AT153-AS54-AR54</f>
        <v>0</v>
      </c>
      <c r="AU54" s="219">
        <f>AU153-AT54-AS54-AR54</f>
        <v>0</v>
      </c>
      <c r="AV54" s="218">
        <f>AV153</f>
        <v>0</v>
      </c>
      <c r="AW54" s="218">
        <f>AW153-AV54</f>
        <v>0</v>
      </c>
      <c r="AX54" s="221">
        <f>AX153-AW54-AV54</f>
        <v>0</v>
      </c>
      <c r="AY54" s="219">
        <f>AY153-AX54-AW54-AV54</f>
        <v>0</v>
      </c>
      <c r="AZ54" s="218">
        <f>AZ153</f>
        <v>0</v>
      </c>
      <c r="BA54" s="218">
        <f>BA153-AZ54</f>
        <v>0</v>
      </c>
      <c r="BB54" s="221">
        <v>0</v>
      </c>
      <c r="BC54" s="222">
        <v>0</v>
      </c>
      <c r="BD54" s="221">
        <v>0</v>
      </c>
      <c r="BE54" s="221">
        <v>0</v>
      </c>
      <c r="BF54" s="221">
        <v>0</v>
      </c>
      <c r="BG54" s="221">
        <v>0</v>
      </c>
      <c r="BH54" s="223">
        <v>0</v>
      </c>
      <c r="BI54" s="221">
        <v>0</v>
      </c>
      <c r="BJ54" s="221">
        <v>0</v>
      </c>
      <c r="BK54" s="222">
        <v>0</v>
      </c>
      <c r="BL54" s="20"/>
      <c r="BM54" s="218">
        <f>SUM(D54:G54)</f>
        <v>0</v>
      </c>
      <c r="BN54" s="218">
        <f>SUM(H54:K54)</f>
        <v>0</v>
      </c>
      <c r="BO54" s="218">
        <f>SUM(L54:O54)</f>
        <v>0</v>
      </c>
      <c r="BP54" s="218">
        <f>SUM(P54:S54)</f>
        <v>0</v>
      </c>
      <c r="BQ54" s="218">
        <f>SUM(T54:W54)</f>
        <v>0</v>
      </c>
      <c r="BR54" s="218">
        <f>SUM(X54:AA54)</f>
        <v>0</v>
      </c>
      <c r="BS54" s="218">
        <f>SUM(AB54:AE54)</f>
        <v>0</v>
      </c>
      <c r="BT54" s="218">
        <f>SUM(AF54:AI54)</f>
        <v>0</v>
      </c>
      <c r="BU54" s="218">
        <f>SUM(AJ54:AM54)</f>
        <v>0</v>
      </c>
      <c r="BV54" s="218">
        <f>SUM(AN54:AQ54)</f>
        <v>0</v>
      </c>
      <c r="BW54" s="218">
        <f>SUM(AR54:AU54)</f>
        <v>0</v>
      </c>
      <c r="BX54" s="218">
        <f>SUM(AV54:AY54)</f>
        <v>0</v>
      </c>
      <c r="BY54" s="218">
        <f>SUM(AZ54:BC54)</f>
        <v>0</v>
      </c>
      <c r="BZ54" s="218">
        <f>SUM(BD54:BG54)</f>
        <v>0</v>
      </c>
      <c r="CA54" s="219">
        <f>SUM(BH54:BK54)</f>
        <v>0</v>
      </c>
      <c r="CB54" s="220"/>
      <c r="CC54" s="218"/>
      <c r="CD54" s="218"/>
      <c r="CE54" s="260"/>
      <c r="CF54" s="220">
        <f>SUM(F54:I54)</f>
        <v>0</v>
      </c>
      <c r="CG54" s="218">
        <f>SUM(J54:M54)</f>
        <v>0</v>
      </c>
      <c r="CH54" s="218">
        <f>SUM(N54:Q54)</f>
        <v>0</v>
      </c>
      <c r="CI54" s="218">
        <f>SUM(R54:U54)</f>
        <v>0</v>
      </c>
      <c r="CJ54" s="218">
        <f>SUM(V54:Y54)</f>
        <v>0</v>
      </c>
      <c r="CK54" s="218">
        <f>SUM(Z54:AC54)</f>
        <v>0</v>
      </c>
      <c r="CL54" s="218">
        <f>SUM(AD54:AG54)</f>
        <v>0</v>
      </c>
      <c r="CM54" s="218">
        <f>SUM(AH54:AK54)</f>
        <v>0</v>
      </c>
      <c r="CN54" s="218">
        <f>SUM(AL54:AO54)</f>
        <v>0</v>
      </c>
      <c r="CO54" s="218">
        <f>SUM(AP54:AS54)</f>
        <v>0</v>
      </c>
      <c r="CP54" s="218">
        <f>SUM(AT54:AW54)</f>
        <v>0</v>
      </c>
      <c r="CQ54" s="218">
        <f>SUM(AX54:BA54)</f>
        <v>0</v>
      </c>
      <c r="CR54" s="218">
        <f>SUM(BB54:BE54)</f>
        <v>0</v>
      </c>
      <c r="CS54" s="219">
        <f>SUM(BF54:BI54)</f>
        <v>0</v>
      </c>
      <c r="CT54" s="22"/>
    </row>
    <row r="55" spans="1:104" ht="14.25" customHeight="1">
      <c r="A55" s="8"/>
      <c r="B55" s="47"/>
      <c r="C55" s="48"/>
      <c r="D55" s="233"/>
      <c r="E55" s="232"/>
      <c r="F55" s="232"/>
      <c r="G55" s="234"/>
      <c r="H55" s="233"/>
      <c r="I55" s="232"/>
      <c r="J55" s="232"/>
      <c r="K55" s="234"/>
      <c r="L55" s="233"/>
      <c r="M55" s="232"/>
      <c r="N55" s="232"/>
      <c r="O55" s="234"/>
      <c r="P55" s="233"/>
      <c r="Q55" s="232"/>
      <c r="R55" s="232"/>
      <c r="S55" s="234"/>
      <c r="T55" s="233"/>
      <c r="U55" s="232"/>
      <c r="V55" s="232"/>
      <c r="W55" s="234"/>
      <c r="X55" s="233"/>
      <c r="Y55" s="232"/>
      <c r="Z55" s="232"/>
      <c r="AA55" s="234"/>
      <c r="AB55" s="232"/>
      <c r="AC55" s="232"/>
      <c r="AD55" s="232"/>
      <c r="AE55" s="234"/>
      <c r="AF55" s="232"/>
      <c r="AG55" s="232"/>
      <c r="AH55" s="232"/>
      <c r="AI55" s="234"/>
      <c r="AJ55" s="232"/>
      <c r="AK55" s="232"/>
      <c r="AL55" s="232"/>
      <c r="AM55" s="234"/>
      <c r="AN55" s="232"/>
      <c r="AO55" s="232"/>
      <c r="AP55" s="232"/>
      <c r="AQ55" s="234"/>
      <c r="AR55" s="232"/>
      <c r="AS55" s="232"/>
      <c r="AT55" s="232"/>
      <c r="AU55" s="234"/>
      <c r="AV55" s="232"/>
      <c r="AW55" s="232"/>
      <c r="AX55" s="235"/>
      <c r="AY55" s="234"/>
      <c r="AZ55" s="232"/>
      <c r="BA55" s="232"/>
      <c r="BB55" s="235"/>
      <c r="BC55" s="236"/>
      <c r="BD55" s="235"/>
      <c r="BE55" s="235"/>
      <c r="BF55" s="235"/>
      <c r="BG55" s="235"/>
      <c r="BH55" s="237"/>
      <c r="BI55" s="235"/>
      <c r="BJ55" s="235"/>
      <c r="BK55" s="235"/>
      <c r="BL55" s="20"/>
      <c r="BM55" s="235"/>
      <c r="BN55" s="235"/>
      <c r="BO55" s="235"/>
      <c r="BP55" s="235"/>
      <c r="BQ55" s="235"/>
      <c r="BR55" s="235"/>
      <c r="BS55" s="235"/>
      <c r="BT55" s="235"/>
      <c r="BU55" s="235"/>
      <c r="BV55" s="235"/>
      <c r="BW55" s="235"/>
      <c r="BX55" s="235"/>
      <c r="BY55" s="235"/>
      <c r="BZ55" s="235"/>
      <c r="CA55" s="236"/>
      <c r="CB55" s="237"/>
      <c r="CC55" s="235"/>
      <c r="CD55" s="235"/>
      <c r="CE55" s="260"/>
      <c r="CF55" s="237"/>
      <c r="CG55" s="235"/>
      <c r="CH55" s="235"/>
      <c r="CI55" s="235"/>
      <c r="CJ55" s="235"/>
      <c r="CK55" s="235"/>
      <c r="CL55" s="235"/>
      <c r="CM55" s="235"/>
      <c r="CN55" s="235"/>
      <c r="CO55" s="235"/>
      <c r="CP55" s="235"/>
      <c r="CQ55" s="235"/>
      <c r="CR55" s="235"/>
      <c r="CS55" s="236"/>
      <c r="CT55" s="22"/>
    </row>
    <row r="56" spans="1:104" ht="14.25" customHeight="1">
      <c r="A56" s="8"/>
      <c r="B56" s="47" t="str">
        <f t="shared" si="333"/>
        <v>Cash and cash equivalents, beginning of period</v>
      </c>
      <c r="C56" s="48"/>
      <c r="D56" s="233">
        <f>D155</f>
        <v>185.55099999999999</v>
      </c>
      <c r="E56" s="232">
        <f t="shared" ref="E56:BA56" si="341">D59</f>
        <v>202.8</v>
      </c>
      <c r="F56" s="232">
        <f t="shared" si="341"/>
        <v>148.46600000000004</v>
      </c>
      <c r="G56" s="234">
        <f t="shared" si="341"/>
        <v>243.31000000000006</v>
      </c>
      <c r="H56" s="233">
        <f t="shared" si="341"/>
        <v>422.33299999999997</v>
      </c>
      <c r="I56" s="232">
        <f t="shared" si="341"/>
        <v>466.81799999999998</v>
      </c>
      <c r="J56" s="232">
        <f t="shared" si="341"/>
        <v>370.71400000000006</v>
      </c>
      <c r="K56" s="234">
        <f t="shared" si="341"/>
        <v>383.06100000000004</v>
      </c>
      <c r="L56" s="233">
        <f t="shared" si="341"/>
        <v>577.06799999999987</v>
      </c>
      <c r="M56" s="232">
        <f t="shared" si="341"/>
        <v>813.67299999999989</v>
      </c>
      <c r="N56" s="232">
        <f t="shared" si="341"/>
        <v>1007.4259999999999</v>
      </c>
      <c r="O56" s="234">
        <f t="shared" si="341"/>
        <v>1189.0509999999999</v>
      </c>
      <c r="P56" s="233">
        <f t="shared" si="341"/>
        <v>1013.1189999999999</v>
      </c>
      <c r="Q56" s="232">
        <f t="shared" si="341"/>
        <v>1051.194</v>
      </c>
      <c r="R56" s="232">
        <f t="shared" si="341"/>
        <v>718.20000000000016</v>
      </c>
      <c r="S56" s="234">
        <f t="shared" si="341"/>
        <v>692.82500000000016</v>
      </c>
      <c r="T56" s="233">
        <f t="shared" si="341"/>
        <v>709.34800000000041</v>
      </c>
      <c r="U56" s="232">
        <f t="shared" si="341"/>
        <v>836.02900000000045</v>
      </c>
      <c r="V56" s="232">
        <f t="shared" si="341"/>
        <v>737.52200000000039</v>
      </c>
      <c r="W56" s="234">
        <f t="shared" si="341"/>
        <v>758.43600000000038</v>
      </c>
      <c r="X56" s="233">
        <f t="shared" si="341"/>
        <v>826.51200000000028</v>
      </c>
      <c r="Y56" s="232">
        <f t="shared" si="341"/>
        <v>718.28000000000043</v>
      </c>
      <c r="Z56" s="232">
        <f t="shared" si="341"/>
        <v>798.34400000000051</v>
      </c>
      <c r="AA56" s="234">
        <f t="shared" si="341"/>
        <v>868.92300000000046</v>
      </c>
      <c r="AB56" s="232">
        <f>AA59</f>
        <v>962.54100000000017</v>
      </c>
      <c r="AC56" s="232">
        <f t="shared" si="341"/>
        <v>710.04100000000005</v>
      </c>
      <c r="AD56" s="232">
        <f>AC59</f>
        <v>741.16000000000008</v>
      </c>
      <c r="AE56" s="234">
        <f t="shared" si="341"/>
        <v>860.55100000000004</v>
      </c>
      <c r="AF56" s="232">
        <f>AE59</f>
        <v>881.06000000000006</v>
      </c>
      <c r="AG56" s="232">
        <f t="shared" si="341"/>
        <v>849.85</v>
      </c>
      <c r="AH56" s="232">
        <f>AG59</f>
        <v>955.10699999999997</v>
      </c>
      <c r="AI56" s="234">
        <f t="shared" si="341"/>
        <v>1547.9799999999998</v>
      </c>
      <c r="AJ56" s="232">
        <f>AI59</f>
        <v>1174.9859999999999</v>
      </c>
      <c r="AK56" s="232">
        <f t="shared" si="341"/>
        <v>1009.547</v>
      </c>
      <c r="AL56" s="232">
        <f>AK59</f>
        <v>1149.9090000000001</v>
      </c>
      <c r="AM56" s="234">
        <f t="shared" si="341"/>
        <v>1231.248</v>
      </c>
      <c r="AN56" s="232">
        <f>AM59</f>
        <v>1322.472</v>
      </c>
      <c r="AO56" s="232">
        <f t="shared" si="341"/>
        <v>1243.883</v>
      </c>
      <c r="AP56" s="232">
        <f>AO59</f>
        <v>1305.8700000000001</v>
      </c>
      <c r="AQ56" s="234">
        <f t="shared" si="341"/>
        <v>1392.1970000000001</v>
      </c>
      <c r="AR56" s="232">
        <f>AQ59</f>
        <v>1550.9650000000001</v>
      </c>
      <c r="AS56" s="232">
        <f t="shared" si="341"/>
        <v>1508.3470000000002</v>
      </c>
      <c r="AT56" s="232">
        <f>AS59</f>
        <v>1648.518</v>
      </c>
      <c r="AU56" s="234">
        <f t="shared" si="341"/>
        <v>1710.34</v>
      </c>
      <c r="AV56" s="232">
        <f>AU59</f>
        <v>2105.2289999999998</v>
      </c>
      <c r="AW56" s="232">
        <f t="shared" si="341"/>
        <v>2092.0729999999999</v>
      </c>
      <c r="AX56" s="232">
        <f>AW59</f>
        <v>1687.4349999999999</v>
      </c>
      <c r="AY56" s="234">
        <f t="shared" si="341"/>
        <v>1656.7269999999999</v>
      </c>
      <c r="AZ56" s="232">
        <f>AY59</f>
        <v>2246.1210000000001</v>
      </c>
      <c r="BA56" s="232">
        <f t="shared" si="341"/>
        <v>1577.1600000000003</v>
      </c>
      <c r="BB56" s="232">
        <f t="shared" ref="BB56:BG56" si="342">BA59</f>
        <v>1631.5100000000007</v>
      </c>
      <c r="BC56" s="234">
        <f t="shared" si="342"/>
        <v>1629.5930000000005</v>
      </c>
      <c r="BD56" s="232">
        <f t="shared" si="342"/>
        <v>1591.703104884514</v>
      </c>
      <c r="BE56" s="232">
        <f t="shared" si="342"/>
        <v>1595.9487913989308</v>
      </c>
      <c r="BF56" s="232">
        <f t="shared" si="342"/>
        <v>1579.1497920038021</v>
      </c>
      <c r="BG56" s="232">
        <f t="shared" si="342"/>
        <v>1554.836954520566</v>
      </c>
      <c r="BH56" s="233">
        <f>BG59</f>
        <v>1557.0490596869331</v>
      </c>
      <c r="BI56" s="232">
        <f>BH59</f>
        <v>1565.660603656225</v>
      </c>
      <c r="BJ56" s="232">
        <f>BI59</f>
        <v>1566.6274372572525</v>
      </c>
      <c r="BK56" s="232">
        <f>BJ59</f>
        <v>1560.6585629371866</v>
      </c>
      <c r="BL56" s="20"/>
      <c r="BM56" s="232">
        <f>D56</f>
        <v>185.55099999999999</v>
      </c>
      <c r="BN56" s="232">
        <f t="shared" ref="BN56:CA56" si="343">BM59</f>
        <v>422.33299999999997</v>
      </c>
      <c r="BO56" s="232">
        <f t="shared" si="343"/>
        <v>577.06799999999976</v>
      </c>
      <c r="BP56" s="232">
        <f t="shared" si="343"/>
        <v>1013.1189999999998</v>
      </c>
      <c r="BQ56" s="232">
        <f t="shared" si="343"/>
        <v>709.34800000000018</v>
      </c>
      <c r="BR56" s="232">
        <f t="shared" si="343"/>
        <v>826.51200000000006</v>
      </c>
      <c r="BS56" s="232">
        <f t="shared" si="343"/>
        <v>962.54099999999994</v>
      </c>
      <c r="BT56" s="232">
        <f t="shared" si="343"/>
        <v>881.05999999999983</v>
      </c>
      <c r="BU56" s="232">
        <f t="shared" si="343"/>
        <v>1174.9859999999999</v>
      </c>
      <c r="BV56" s="232">
        <f t="shared" si="343"/>
        <v>1322.472</v>
      </c>
      <c r="BW56" s="232">
        <f t="shared" si="343"/>
        <v>1550.9650000000001</v>
      </c>
      <c r="BX56" s="232">
        <f t="shared" si="343"/>
        <v>2105.2290000000003</v>
      </c>
      <c r="BY56" s="232">
        <f t="shared" si="343"/>
        <v>2246.1210000000001</v>
      </c>
      <c r="BZ56" s="232">
        <f t="shared" si="343"/>
        <v>1591.7021048845136</v>
      </c>
      <c r="CA56" s="234">
        <f t="shared" si="343"/>
        <v>1557.0480596869327</v>
      </c>
      <c r="CB56" s="233"/>
      <c r="CC56" s="232"/>
      <c r="CD56" s="232"/>
      <c r="CE56" s="260"/>
      <c r="CF56" s="233">
        <f>F56</f>
        <v>148.46600000000004</v>
      </c>
      <c r="CG56" s="232">
        <f t="shared" ref="CG56:CL56" si="344">CF59</f>
        <v>370.71399999999994</v>
      </c>
      <c r="CH56" s="232">
        <f t="shared" si="344"/>
        <v>1007.4259999999997</v>
      </c>
      <c r="CI56" s="232">
        <f t="shared" si="344"/>
        <v>718.19999999999993</v>
      </c>
      <c r="CJ56" s="232">
        <f t="shared" si="344"/>
        <v>737.52200000000005</v>
      </c>
      <c r="CK56" s="232">
        <f t="shared" si="344"/>
        <v>798.34400000000016</v>
      </c>
      <c r="CL56" s="232">
        <f t="shared" si="344"/>
        <v>741.15999999999985</v>
      </c>
      <c r="CM56" s="232">
        <f t="shared" ref="CM56:CS56" si="345">CL59</f>
        <v>955.10699999999986</v>
      </c>
      <c r="CN56" s="232">
        <f t="shared" si="345"/>
        <v>1149.9089999999999</v>
      </c>
      <c r="CO56" s="232">
        <f t="shared" si="345"/>
        <v>1305.8699999999999</v>
      </c>
      <c r="CP56" s="232">
        <f t="shared" si="345"/>
        <v>1648.5179999999998</v>
      </c>
      <c r="CQ56" s="232">
        <f t="shared" si="345"/>
        <v>1687.4349999999997</v>
      </c>
      <c r="CR56" s="232">
        <f t="shared" si="345"/>
        <v>1631.5100000000002</v>
      </c>
      <c r="CS56" s="234">
        <f t="shared" si="345"/>
        <v>1579.1497920038018</v>
      </c>
      <c r="CT56" s="22"/>
    </row>
    <row r="57" spans="1:104" s="302" customFormat="1" ht="14.25" customHeight="1">
      <c r="A57" s="308"/>
      <c r="B57" s="365" t="str">
        <f t="shared" si="333"/>
        <v>Change in cash flow due to restatement</v>
      </c>
      <c r="C57" s="492"/>
      <c r="D57" s="498">
        <f>D156</f>
        <v>0</v>
      </c>
      <c r="E57" s="499">
        <f>E156-D57</f>
        <v>0</v>
      </c>
      <c r="F57" s="499">
        <f>F156-E57-D57</f>
        <v>0</v>
      </c>
      <c r="G57" s="500">
        <f>G156-F57-E57-D57</f>
        <v>0</v>
      </c>
      <c r="H57" s="498">
        <f>H156</f>
        <v>0</v>
      </c>
      <c r="I57" s="499">
        <f>I156-H57</f>
        <v>0</v>
      </c>
      <c r="J57" s="499">
        <f>J156-I57-H57</f>
        <v>0</v>
      </c>
      <c r="K57" s="500">
        <f>K156-J57-I57-H57</f>
        <v>0</v>
      </c>
      <c r="L57" s="498">
        <f>L156</f>
        <v>0</v>
      </c>
      <c r="M57" s="499">
        <f>M156-L57</f>
        <v>0</v>
      </c>
      <c r="N57" s="499">
        <f>N156-M57-L57</f>
        <v>0</v>
      </c>
      <c r="O57" s="500">
        <f>O156-N57-M57-L57</f>
        <v>0</v>
      </c>
      <c r="P57" s="498">
        <f>P156</f>
        <v>0</v>
      </c>
      <c r="Q57" s="499">
        <f>Q156-P57</f>
        <v>0</v>
      </c>
      <c r="R57" s="499">
        <f>R156-Q57-P57</f>
        <v>0</v>
      </c>
      <c r="S57" s="500">
        <f>S156-R57-Q57-P57</f>
        <v>0</v>
      </c>
      <c r="T57" s="498">
        <f>T156</f>
        <v>0</v>
      </c>
      <c r="U57" s="499">
        <f>U156-T57</f>
        <v>0</v>
      </c>
      <c r="V57" s="499">
        <f>V156-U57-T57</f>
        <v>0</v>
      </c>
      <c r="W57" s="500">
        <f>W156-V57-U57-T57</f>
        <v>0</v>
      </c>
      <c r="X57" s="498">
        <f>X156</f>
        <v>0</v>
      </c>
      <c r="Y57" s="499">
        <f>Y156-X57</f>
        <v>0</v>
      </c>
      <c r="Z57" s="499">
        <f>Z156-Y57-X57</f>
        <v>0</v>
      </c>
      <c r="AA57" s="500">
        <f>AA156-Z57-Y57-X57</f>
        <v>0</v>
      </c>
      <c r="AB57" s="499">
        <f>AB156</f>
        <v>0</v>
      </c>
      <c r="AC57" s="499">
        <f>AC156-AB57</f>
        <v>0</v>
      </c>
      <c r="AD57" s="499">
        <f>AD156-AC57-AB57</f>
        <v>0</v>
      </c>
      <c r="AE57" s="500">
        <f>AE156-AD57-AC57-AB57</f>
        <v>0</v>
      </c>
      <c r="AF57" s="499">
        <f>AF156</f>
        <v>0</v>
      </c>
      <c r="AG57" s="499">
        <f>AG156-AF57</f>
        <v>0</v>
      </c>
      <c r="AH57" s="499">
        <f>AH156-AG57-AF57</f>
        <v>0</v>
      </c>
      <c r="AI57" s="500">
        <f>AI156-AH57-AG57-AF57</f>
        <v>0</v>
      </c>
      <c r="AJ57" s="499">
        <f>AJ156</f>
        <v>0</v>
      </c>
      <c r="AK57" s="499">
        <f>AK156-AJ57</f>
        <v>0</v>
      </c>
      <c r="AL57" s="499">
        <f>AL156-AK57-AJ57</f>
        <v>0</v>
      </c>
      <c r="AM57" s="500">
        <f>AM156-AL57-AK57-AJ57</f>
        <v>0</v>
      </c>
      <c r="AN57" s="499">
        <f>AN156</f>
        <v>0</v>
      </c>
      <c r="AO57" s="499">
        <f>AO156-AN57</f>
        <v>0</v>
      </c>
      <c r="AP57" s="499">
        <f>AP156-AO57-AN57</f>
        <v>0</v>
      </c>
      <c r="AQ57" s="500">
        <f>AQ156-AP57-AO57-AN57</f>
        <v>0</v>
      </c>
      <c r="AR57" s="499">
        <f>AR156</f>
        <v>0</v>
      </c>
      <c r="AS57" s="499">
        <f>AS156-AR57</f>
        <v>0</v>
      </c>
      <c r="AT57" s="499">
        <f>AT156-AS57-AR57</f>
        <v>0</v>
      </c>
      <c r="AU57" s="500">
        <f>AU156-AT57-AS57-AR57</f>
        <v>0</v>
      </c>
      <c r="AV57" s="499">
        <f>AV156</f>
        <v>0</v>
      </c>
      <c r="AW57" s="499">
        <f>AW156-AV57</f>
        <v>0</v>
      </c>
      <c r="AX57" s="494">
        <f>AX156-AW57-AV57</f>
        <v>0</v>
      </c>
      <c r="AY57" s="500">
        <f>AY156-AX57-AW57-AV57</f>
        <v>0</v>
      </c>
      <c r="AZ57" s="499">
        <f>AZ156</f>
        <v>0</v>
      </c>
      <c r="BA57" s="499">
        <f>BA156-AZ57</f>
        <v>1.0000000004311005E-3</v>
      </c>
      <c r="BB57" s="494"/>
      <c r="BC57" s="495"/>
      <c r="BD57" s="494"/>
      <c r="BE57" s="494"/>
      <c r="BF57" s="494"/>
      <c r="BG57" s="494"/>
      <c r="BH57" s="493"/>
      <c r="BI57" s="494"/>
      <c r="BJ57" s="494"/>
      <c r="BK57" s="494"/>
      <c r="BL57" s="497"/>
      <c r="BM57" s="494">
        <f>SUM(D57:G57)</f>
        <v>0</v>
      </c>
      <c r="BN57" s="494">
        <f>SUM(H57:K57)</f>
        <v>0</v>
      </c>
      <c r="BO57" s="494">
        <f>SUM(L57:O57)</f>
        <v>0</v>
      </c>
      <c r="BP57" s="494">
        <f>SUM(P57:S57)</f>
        <v>0</v>
      </c>
      <c r="BQ57" s="494">
        <f>SUM(T57:W57)</f>
        <v>0</v>
      </c>
      <c r="BR57" s="494">
        <f>SUM(X57:AA57)</f>
        <v>0</v>
      </c>
      <c r="BS57" s="494">
        <f>SUM(AB57:AE57)</f>
        <v>0</v>
      </c>
      <c r="BT57" s="494"/>
      <c r="BU57" s="494"/>
      <c r="BV57" s="494">
        <f>BV156</f>
        <v>0</v>
      </c>
      <c r="BW57" s="494"/>
      <c r="BX57" s="494"/>
      <c r="BY57" s="494"/>
      <c r="BZ57" s="494"/>
      <c r="CA57" s="495"/>
      <c r="CB57" s="493"/>
      <c r="CC57" s="494"/>
      <c r="CD57" s="494"/>
      <c r="CE57" s="941"/>
      <c r="CF57" s="498">
        <f>SUM(F57:I57)</f>
        <v>0</v>
      </c>
      <c r="CG57" s="499">
        <f>SUM(J57:M57)</f>
        <v>0</v>
      </c>
      <c r="CH57" s="499">
        <f>SUM(N57:Q57)</f>
        <v>0</v>
      </c>
      <c r="CI57" s="499">
        <f>SUM(R57:U57)</f>
        <v>0</v>
      </c>
      <c r="CJ57" s="499">
        <f>SUM(V57:Y57)</f>
        <v>0</v>
      </c>
      <c r="CK57" s="499">
        <f>SUM(Z57:AC57)</f>
        <v>0</v>
      </c>
      <c r="CL57" s="499">
        <f>SUM(AD57:AG57)</f>
        <v>0</v>
      </c>
      <c r="CM57" s="499">
        <f>SUM(AH57:AK57)</f>
        <v>0</v>
      </c>
      <c r="CN57" s="499">
        <f>SUM(AL57:AO57)</f>
        <v>0</v>
      </c>
      <c r="CO57" s="499">
        <f>SUM(AP57:AS57)</f>
        <v>0</v>
      </c>
      <c r="CP57" s="499">
        <f>SUM(AT57:AW57)</f>
        <v>0</v>
      </c>
      <c r="CQ57" s="499">
        <f>SUM(AX57:BA57)</f>
        <v>1.0000000004311005E-3</v>
      </c>
      <c r="CR57" s="499">
        <f>SUM(BB57:BE57)</f>
        <v>0</v>
      </c>
      <c r="CS57" s="500">
        <f>SUM(BF57:BI57)</f>
        <v>0</v>
      </c>
      <c r="CT57" s="354"/>
      <c r="CU57"/>
      <c r="CV57"/>
      <c r="CW57"/>
      <c r="CX57"/>
      <c r="CY57"/>
      <c r="CZ57"/>
    </row>
    <row r="58" spans="1:104" ht="14.25" customHeight="1">
      <c r="A58" s="8"/>
      <c r="B58" s="229" t="str">
        <f t="shared" si="333"/>
        <v>Net increase (decrease) in cash and cash equivalents</v>
      </c>
      <c r="C58" s="230"/>
      <c r="D58" s="233">
        <f t="shared" ref="D58:AB58" si="346">D52+D41+D31+D54</f>
        <v>17.249000000000024</v>
      </c>
      <c r="E58" s="232">
        <f t="shared" si="346"/>
        <v>-54.333999999999975</v>
      </c>
      <c r="F58" s="232">
        <f t="shared" si="346"/>
        <v>94.844000000000023</v>
      </c>
      <c r="G58" s="234">
        <f t="shared" si="346"/>
        <v>179.02299999999988</v>
      </c>
      <c r="H58" s="233">
        <f t="shared" si="346"/>
        <v>44.484999999999985</v>
      </c>
      <c r="I58" s="232">
        <f t="shared" si="346"/>
        <v>-96.103999999999928</v>
      </c>
      <c r="J58" s="232">
        <f t="shared" si="346"/>
        <v>12.346999999999952</v>
      </c>
      <c r="K58" s="234">
        <f t="shared" si="346"/>
        <v>194.00699999999981</v>
      </c>
      <c r="L58" s="233">
        <f t="shared" si="346"/>
        <v>236.60500000000005</v>
      </c>
      <c r="M58" s="232">
        <f t="shared" si="346"/>
        <v>193.75299999999999</v>
      </c>
      <c r="N58" s="232">
        <f t="shared" si="346"/>
        <v>181.625</v>
      </c>
      <c r="O58" s="234">
        <f t="shared" si="346"/>
        <v>-175.93199999999999</v>
      </c>
      <c r="P58" s="233">
        <f t="shared" si="346"/>
        <v>38.075000000000045</v>
      </c>
      <c r="Q58" s="232">
        <f t="shared" si="346"/>
        <v>-332.9939999999998</v>
      </c>
      <c r="R58" s="232">
        <f t="shared" si="346"/>
        <v>-25.375000000000043</v>
      </c>
      <c r="S58" s="234">
        <f t="shared" si="346"/>
        <v>16.523000000000209</v>
      </c>
      <c r="T58" s="233">
        <f t="shared" si="346"/>
        <v>126.68099999999998</v>
      </c>
      <c r="U58" s="232">
        <f t="shared" si="346"/>
        <v>-98.507000000000019</v>
      </c>
      <c r="V58" s="232">
        <f t="shared" si="346"/>
        <v>20.914000000000016</v>
      </c>
      <c r="W58" s="234">
        <f t="shared" si="346"/>
        <v>68.075999999999908</v>
      </c>
      <c r="X58" s="233">
        <f t="shared" si="346"/>
        <v>-108.23199999999991</v>
      </c>
      <c r="Y58" s="232">
        <f t="shared" si="346"/>
        <v>80.064000000000078</v>
      </c>
      <c r="Z58" s="232">
        <f t="shared" si="346"/>
        <v>70.578999999999951</v>
      </c>
      <c r="AA58" s="234">
        <f t="shared" si="346"/>
        <v>93.617999999999739</v>
      </c>
      <c r="AB58" s="232">
        <f t="shared" si="346"/>
        <v>-252.50000000000011</v>
      </c>
      <c r="AC58" s="232">
        <f t="shared" ref="AC58:AH58" si="347">AC52+AC41+AC31+AC54</f>
        <v>31.119000000000057</v>
      </c>
      <c r="AD58" s="232">
        <f t="shared" si="347"/>
        <v>119.39099999999996</v>
      </c>
      <c r="AE58" s="234">
        <f t="shared" si="347"/>
        <v>20.509000000000015</v>
      </c>
      <c r="AF58" s="232">
        <f t="shared" si="347"/>
        <v>-31.210000000000008</v>
      </c>
      <c r="AG58" s="232">
        <f t="shared" si="347"/>
        <v>105.25700000000001</v>
      </c>
      <c r="AH58" s="232">
        <f t="shared" si="347"/>
        <v>592.87299999999982</v>
      </c>
      <c r="AI58" s="234">
        <f t="shared" ref="AI58:AN58" si="348">AI52+AI41+AI31+AI54</f>
        <v>-372.99399999999986</v>
      </c>
      <c r="AJ58" s="232">
        <f t="shared" si="348"/>
        <v>-165.43899999999991</v>
      </c>
      <c r="AK58" s="232">
        <f t="shared" si="348"/>
        <v>140.36200000000002</v>
      </c>
      <c r="AL58" s="232">
        <f t="shared" si="348"/>
        <v>81.339000000000055</v>
      </c>
      <c r="AM58" s="234">
        <f t="shared" si="348"/>
        <v>91.223999999999933</v>
      </c>
      <c r="AN58" s="232">
        <f t="shared" si="348"/>
        <v>-78.588999999999984</v>
      </c>
      <c r="AO58" s="232">
        <f t="shared" ref="AO58:AU58" si="349">AO52+AO41+AO31+AO54</f>
        <v>61.986999999999995</v>
      </c>
      <c r="AP58" s="232">
        <f t="shared" si="349"/>
        <v>86.326999999999984</v>
      </c>
      <c r="AQ58" s="234">
        <f t="shared" si="349"/>
        <v>158.76800000000006</v>
      </c>
      <c r="AR58" s="232">
        <f t="shared" si="349"/>
        <v>-42.617999999999981</v>
      </c>
      <c r="AS58" s="232">
        <f t="shared" si="349"/>
        <v>140.17099999999994</v>
      </c>
      <c r="AT58" s="232">
        <f t="shared" si="349"/>
        <v>61.821999999999946</v>
      </c>
      <c r="AU58" s="234">
        <f t="shared" si="349"/>
        <v>394.88900000000001</v>
      </c>
      <c r="AV58" s="232">
        <f t="shared" ref="AV58:BG58" si="350">AV52+AV41+AV31+AV54</f>
        <v>-13.156000000000077</v>
      </c>
      <c r="AW58" s="232">
        <f t="shared" si="350"/>
        <v>-404.63800000000003</v>
      </c>
      <c r="AX58" s="232">
        <f t="shared" si="350"/>
        <v>-30.707999999999998</v>
      </c>
      <c r="AY58" s="234">
        <f t="shared" si="350"/>
        <v>589.39400000000001</v>
      </c>
      <c r="AZ58" s="232">
        <f>AZ52+AZ41+AZ31+AZ54</f>
        <v>-668.9609999999999</v>
      </c>
      <c r="BA58" s="232">
        <f t="shared" ref="BA58" si="351">BA52+BA41+BA31+BA54</f>
        <v>54.348999999999876</v>
      </c>
      <c r="BB58" s="232">
        <f t="shared" si="350"/>
        <v>-1.9170000000000584</v>
      </c>
      <c r="BC58" s="234">
        <f t="shared" si="350"/>
        <v>-37.889895115486524</v>
      </c>
      <c r="BD58" s="232">
        <f t="shared" si="350"/>
        <v>4.2456865144168319</v>
      </c>
      <c r="BE58" s="232">
        <f t="shared" si="350"/>
        <v>-16.798999395128618</v>
      </c>
      <c r="BF58" s="232">
        <f t="shared" si="350"/>
        <v>-24.312837483236194</v>
      </c>
      <c r="BG58" s="232">
        <f t="shared" si="350"/>
        <v>2.2121051663669959</v>
      </c>
      <c r="BH58" s="233">
        <f>BH52+BH41+BH31+BH54</f>
        <v>8.6115439692919153</v>
      </c>
      <c r="BI58" s="232">
        <f>BI52+BI41+BI31+BI54</f>
        <v>0.96683360102741744</v>
      </c>
      <c r="BJ58" s="232">
        <f>BJ52+BJ41+BJ31+BJ54</f>
        <v>-5.9688743200657939</v>
      </c>
      <c r="BK58" s="232">
        <f>BK52+BK41+BK31+BK54</f>
        <v>10.821763076911168</v>
      </c>
      <c r="BL58" s="20"/>
      <c r="BM58" s="232">
        <f>SUM(D58:G58)</f>
        <v>236.78199999999995</v>
      </c>
      <c r="BN58" s="232">
        <f>SUM(H58:K58)</f>
        <v>154.73499999999981</v>
      </c>
      <c r="BO58" s="232">
        <f>SUM(L58:O58)</f>
        <v>436.05100000000004</v>
      </c>
      <c r="BP58" s="232">
        <f>SUM(P58:S58)</f>
        <v>-303.77099999999962</v>
      </c>
      <c r="BQ58" s="232">
        <f>SUM(T58:W58)</f>
        <v>117.16399999999989</v>
      </c>
      <c r="BR58" s="232">
        <f>SUM(X58:AA58)</f>
        <v>136.02899999999985</v>
      </c>
      <c r="BS58" s="232">
        <f>SUM(AB58:AE58)</f>
        <v>-81.48100000000008</v>
      </c>
      <c r="BT58" s="232">
        <f>SUM(AF58:AI58)</f>
        <v>293.92599999999999</v>
      </c>
      <c r="BU58" s="232">
        <f>SUM(AJ58:AM58)</f>
        <v>147.4860000000001</v>
      </c>
      <c r="BV58" s="232">
        <f>SUM(AN58:AQ58)</f>
        <v>228.49300000000005</v>
      </c>
      <c r="BW58" s="232">
        <f>SUM(AR58:AU58)</f>
        <v>554.2639999999999</v>
      </c>
      <c r="BX58" s="232">
        <f>SUM(AV58:AY58)</f>
        <v>140.89199999999994</v>
      </c>
      <c r="BY58" s="232">
        <f>SUM(AZ58:BC58)</f>
        <v>-654.41889511548663</v>
      </c>
      <c r="BZ58" s="232">
        <f>SUM(BD58:BG58)</f>
        <v>-34.654045197580984</v>
      </c>
      <c r="CA58" s="234">
        <f>SUM(BH58:BK58)</f>
        <v>14.431266327164707</v>
      </c>
      <c r="CB58" s="233"/>
      <c r="CC58" s="232"/>
      <c r="CD58" s="232"/>
      <c r="CE58" s="260"/>
      <c r="CF58" s="233">
        <f>SUM(F58:I58)</f>
        <v>222.24799999999993</v>
      </c>
      <c r="CG58" s="232">
        <f>SUM(J58:M58)</f>
        <v>636.71199999999976</v>
      </c>
      <c r="CH58" s="232">
        <f>SUM(N58:Q58)</f>
        <v>-289.22599999999977</v>
      </c>
      <c r="CI58" s="232">
        <f>SUM(R58:U58)</f>
        <v>19.322000000000131</v>
      </c>
      <c r="CJ58" s="232">
        <f>SUM(V58:Y58)</f>
        <v>60.822000000000088</v>
      </c>
      <c r="CK58" s="232">
        <f>SUM(Z58:AC58)</f>
        <v>-57.184000000000367</v>
      </c>
      <c r="CL58" s="232">
        <f>SUM(AD58:AG58)</f>
        <v>213.94699999999997</v>
      </c>
      <c r="CM58" s="232">
        <f>SUM(AH58:AK58)</f>
        <v>194.80200000000008</v>
      </c>
      <c r="CN58" s="232">
        <f>SUM(AL58:AO58)</f>
        <v>155.96100000000001</v>
      </c>
      <c r="CO58" s="232">
        <f>SUM(AP58:AS58)</f>
        <v>342.64799999999997</v>
      </c>
      <c r="CP58" s="232">
        <f>SUM(AT58:AW58)</f>
        <v>38.916999999999859</v>
      </c>
      <c r="CQ58" s="232">
        <f>SUM(AX58:BA58)</f>
        <v>-55.925999999999988</v>
      </c>
      <c r="CR58" s="232">
        <f>SUM(BB58:BE58)</f>
        <v>-52.360207996198369</v>
      </c>
      <c r="CS58" s="234">
        <f>SUM(BF58:BI58)</f>
        <v>-12.522354746549865</v>
      </c>
      <c r="CT58" s="22"/>
    </row>
    <row r="59" spans="1:104" ht="14.25" customHeight="1">
      <c r="A59" s="8"/>
      <c r="B59" s="407" t="str">
        <f t="shared" si="333"/>
        <v>Cash and cash equivalents, end of period</v>
      </c>
      <c r="C59" s="238"/>
      <c r="D59" s="240">
        <f t="shared" ref="D59:V59" si="352">D58+D56+D57</f>
        <v>202.8</v>
      </c>
      <c r="E59" s="239">
        <f t="shared" si="352"/>
        <v>148.46600000000004</v>
      </c>
      <c r="F59" s="239">
        <f t="shared" si="352"/>
        <v>243.31000000000006</v>
      </c>
      <c r="G59" s="241">
        <f t="shared" si="352"/>
        <v>422.33299999999997</v>
      </c>
      <c r="H59" s="240">
        <f t="shared" si="352"/>
        <v>466.81799999999998</v>
      </c>
      <c r="I59" s="239">
        <f t="shared" si="352"/>
        <v>370.71400000000006</v>
      </c>
      <c r="J59" s="239">
        <f t="shared" si="352"/>
        <v>383.06100000000004</v>
      </c>
      <c r="K59" s="241">
        <f t="shared" si="352"/>
        <v>577.06799999999987</v>
      </c>
      <c r="L59" s="240">
        <f t="shared" si="352"/>
        <v>813.67299999999989</v>
      </c>
      <c r="M59" s="239">
        <f t="shared" si="352"/>
        <v>1007.4259999999999</v>
      </c>
      <c r="N59" s="239">
        <f t="shared" si="352"/>
        <v>1189.0509999999999</v>
      </c>
      <c r="O59" s="241">
        <f t="shared" si="352"/>
        <v>1013.1189999999999</v>
      </c>
      <c r="P59" s="240">
        <f t="shared" si="352"/>
        <v>1051.194</v>
      </c>
      <c r="Q59" s="239">
        <f t="shared" si="352"/>
        <v>718.20000000000016</v>
      </c>
      <c r="R59" s="239">
        <f t="shared" si="352"/>
        <v>692.82500000000016</v>
      </c>
      <c r="S59" s="241">
        <f t="shared" si="352"/>
        <v>709.34800000000041</v>
      </c>
      <c r="T59" s="240">
        <f t="shared" si="352"/>
        <v>836.02900000000045</v>
      </c>
      <c r="U59" s="239">
        <f t="shared" si="352"/>
        <v>737.52200000000039</v>
      </c>
      <c r="V59" s="239">
        <f t="shared" si="352"/>
        <v>758.43600000000038</v>
      </c>
      <c r="W59" s="241">
        <f t="shared" ref="W59:AM59" si="353">W58+W56+W57</f>
        <v>826.51200000000028</v>
      </c>
      <c r="X59" s="240">
        <f t="shared" si="353"/>
        <v>718.28000000000043</v>
      </c>
      <c r="Y59" s="239">
        <f t="shared" si="353"/>
        <v>798.34400000000051</v>
      </c>
      <c r="Z59" s="239">
        <f t="shared" si="353"/>
        <v>868.92300000000046</v>
      </c>
      <c r="AA59" s="241">
        <f t="shared" si="353"/>
        <v>962.54100000000017</v>
      </c>
      <c r="AB59" s="239">
        <f t="shared" si="353"/>
        <v>710.04100000000005</v>
      </c>
      <c r="AC59" s="239">
        <f t="shared" si="353"/>
        <v>741.16000000000008</v>
      </c>
      <c r="AD59" s="239">
        <f t="shared" si="353"/>
        <v>860.55100000000004</v>
      </c>
      <c r="AE59" s="241">
        <f t="shared" si="353"/>
        <v>881.06000000000006</v>
      </c>
      <c r="AF59" s="239">
        <f t="shared" si="353"/>
        <v>849.85</v>
      </c>
      <c r="AG59" s="239">
        <f t="shared" si="353"/>
        <v>955.10699999999997</v>
      </c>
      <c r="AH59" s="239">
        <f t="shared" si="353"/>
        <v>1547.9799999999998</v>
      </c>
      <c r="AI59" s="241">
        <f t="shared" si="353"/>
        <v>1174.9859999999999</v>
      </c>
      <c r="AJ59" s="239">
        <f t="shared" si="353"/>
        <v>1009.547</v>
      </c>
      <c r="AK59" s="239">
        <f t="shared" si="353"/>
        <v>1149.9090000000001</v>
      </c>
      <c r="AL59" s="239">
        <f t="shared" si="353"/>
        <v>1231.248</v>
      </c>
      <c r="AM59" s="241">
        <f t="shared" si="353"/>
        <v>1322.472</v>
      </c>
      <c r="AN59" s="239">
        <f t="shared" ref="AN59:AS59" si="354">AN58+AN56+AN57</f>
        <v>1243.883</v>
      </c>
      <c r="AO59" s="239">
        <f t="shared" si="354"/>
        <v>1305.8700000000001</v>
      </c>
      <c r="AP59" s="239">
        <f t="shared" si="354"/>
        <v>1392.1970000000001</v>
      </c>
      <c r="AQ59" s="241">
        <f t="shared" si="354"/>
        <v>1550.9650000000001</v>
      </c>
      <c r="AR59" s="239">
        <f t="shared" si="354"/>
        <v>1508.3470000000002</v>
      </c>
      <c r="AS59" s="239">
        <f t="shared" si="354"/>
        <v>1648.518</v>
      </c>
      <c r="AT59" s="239">
        <f>AT58+AT56+AT57</f>
        <v>1710.34</v>
      </c>
      <c r="AU59" s="241">
        <f t="shared" ref="AU59:BC59" si="355">AU58+AU56+AU57</f>
        <v>2105.2289999999998</v>
      </c>
      <c r="AV59" s="239">
        <f t="shared" si="355"/>
        <v>2092.0729999999999</v>
      </c>
      <c r="AW59" s="239">
        <f t="shared" si="355"/>
        <v>1687.4349999999999</v>
      </c>
      <c r="AX59" s="239">
        <f>AX58+AX56+AX57</f>
        <v>1656.7269999999999</v>
      </c>
      <c r="AY59" s="241">
        <f>AY58+AY56+AY57</f>
        <v>2246.1210000000001</v>
      </c>
      <c r="AZ59" s="239">
        <f>AZ58+AZ56+AZ57</f>
        <v>1577.1600000000003</v>
      </c>
      <c r="BA59" s="239">
        <f t="shared" ref="BA59" si="356">BA58+BA56+BA57</f>
        <v>1631.5100000000007</v>
      </c>
      <c r="BB59" s="239">
        <f t="shared" si="355"/>
        <v>1629.5930000000005</v>
      </c>
      <c r="BC59" s="241">
        <f t="shared" si="355"/>
        <v>1591.703104884514</v>
      </c>
      <c r="BD59" s="239">
        <f t="shared" ref="BD59:BK59" si="357">BD58+BD56+BD57</f>
        <v>1595.9487913989308</v>
      </c>
      <c r="BE59" s="239">
        <f t="shared" si="357"/>
        <v>1579.1497920038021</v>
      </c>
      <c r="BF59" s="239">
        <f t="shared" si="357"/>
        <v>1554.836954520566</v>
      </c>
      <c r="BG59" s="239">
        <f t="shared" si="357"/>
        <v>1557.0490596869331</v>
      </c>
      <c r="BH59" s="240">
        <f t="shared" si="357"/>
        <v>1565.660603656225</v>
      </c>
      <c r="BI59" s="239">
        <f t="shared" si="357"/>
        <v>1566.6274372572525</v>
      </c>
      <c r="BJ59" s="239">
        <f t="shared" si="357"/>
        <v>1560.6585629371866</v>
      </c>
      <c r="BK59" s="239">
        <f t="shared" si="357"/>
        <v>1571.4803260140977</v>
      </c>
      <c r="BL59" s="20"/>
      <c r="BM59" s="239">
        <f t="shared" ref="BM59:BS59" si="358">BM58+BM56+BM57</f>
        <v>422.33299999999997</v>
      </c>
      <c r="BN59" s="239">
        <f t="shared" si="358"/>
        <v>577.06799999999976</v>
      </c>
      <c r="BO59" s="239">
        <f t="shared" si="358"/>
        <v>1013.1189999999998</v>
      </c>
      <c r="BP59" s="239">
        <f t="shared" si="358"/>
        <v>709.34800000000018</v>
      </c>
      <c r="BQ59" s="239">
        <f t="shared" si="358"/>
        <v>826.51200000000006</v>
      </c>
      <c r="BR59" s="239">
        <f t="shared" si="358"/>
        <v>962.54099999999994</v>
      </c>
      <c r="BS59" s="239">
        <f t="shared" si="358"/>
        <v>881.05999999999983</v>
      </c>
      <c r="BT59" s="239">
        <f t="shared" ref="BT59:CA59" si="359">BT58+BT56+BT57</f>
        <v>1174.9859999999999</v>
      </c>
      <c r="BU59" s="239">
        <f t="shared" si="359"/>
        <v>1322.472</v>
      </c>
      <c r="BV59" s="239">
        <f t="shared" si="359"/>
        <v>1550.9650000000001</v>
      </c>
      <c r="BW59" s="239">
        <f t="shared" si="359"/>
        <v>2105.2290000000003</v>
      </c>
      <c r="BX59" s="239">
        <f t="shared" si="359"/>
        <v>2246.1210000000001</v>
      </c>
      <c r="BY59" s="239">
        <f t="shared" si="359"/>
        <v>1591.7021048845136</v>
      </c>
      <c r="BZ59" s="239">
        <f t="shared" si="359"/>
        <v>1557.0480596869327</v>
      </c>
      <c r="CA59" s="241">
        <f t="shared" si="359"/>
        <v>1571.4793260140973</v>
      </c>
      <c r="CB59" s="233"/>
      <c r="CC59" s="232"/>
      <c r="CD59" s="232"/>
      <c r="CE59" s="260"/>
      <c r="CF59" s="240">
        <f t="shared" ref="CF59:CL59" si="360">CF58+CF56+CF57</f>
        <v>370.71399999999994</v>
      </c>
      <c r="CG59" s="239">
        <f t="shared" si="360"/>
        <v>1007.4259999999997</v>
      </c>
      <c r="CH59" s="239">
        <f t="shared" si="360"/>
        <v>718.19999999999993</v>
      </c>
      <c r="CI59" s="239">
        <f t="shared" si="360"/>
        <v>737.52200000000005</v>
      </c>
      <c r="CJ59" s="239">
        <f t="shared" si="360"/>
        <v>798.34400000000016</v>
      </c>
      <c r="CK59" s="239">
        <f t="shared" si="360"/>
        <v>741.15999999999985</v>
      </c>
      <c r="CL59" s="239">
        <f t="shared" si="360"/>
        <v>955.10699999999986</v>
      </c>
      <c r="CM59" s="239">
        <f t="shared" ref="CM59:CR59" si="361">CM58+CM56+CM57</f>
        <v>1149.9089999999999</v>
      </c>
      <c r="CN59" s="239">
        <f t="shared" si="361"/>
        <v>1305.8699999999999</v>
      </c>
      <c r="CO59" s="239">
        <f t="shared" si="361"/>
        <v>1648.5179999999998</v>
      </c>
      <c r="CP59" s="239">
        <f t="shared" si="361"/>
        <v>1687.4349999999997</v>
      </c>
      <c r="CQ59" s="239">
        <f t="shared" si="361"/>
        <v>1631.5100000000002</v>
      </c>
      <c r="CR59" s="239">
        <f t="shared" si="361"/>
        <v>1579.1497920038018</v>
      </c>
      <c r="CS59" s="241">
        <f>CS58+CS56+CS57</f>
        <v>1566.627437257252</v>
      </c>
      <c r="CT59" s="22"/>
    </row>
    <row r="60" spans="1:104" ht="14.25" customHeight="1">
      <c r="A60" s="8"/>
      <c r="B60" s="304"/>
      <c r="C60" s="24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32"/>
      <c r="S60" s="232"/>
      <c r="T60" s="232"/>
      <c r="U60" s="232"/>
      <c r="V60" s="232"/>
      <c r="W60" s="232"/>
      <c r="X60" s="232"/>
      <c r="Y60" s="232"/>
      <c r="Z60" s="232"/>
      <c r="AA60" s="232"/>
      <c r="AB60" s="232"/>
      <c r="AC60" s="232"/>
      <c r="AD60" s="232"/>
      <c r="AE60" s="232"/>
      <c r="AF60" s="232"/>
      <c r="AG60" s="232"/>
      <c r="AH60" s="232"/>
      <c r="AI60" s="232"/>
      <c r="AJ60" s="232"/>
      <c r="AK60" s="232"/>
      <c r="AL60" s="232"/>
      <c r="AM60" s="232"/>
      <c r="AN60" s="232"/>
      <c r="AO60" s="232"/>
      <c r="AP60" s="232"/>
      <c r="AQ60" s="232"/>
      <c r="AR60" s="232"/>
      <c r="AS60" s="232"/>
      <c r="AT60" s="232"/>
      <c r="AU60" s="232"/>
      <c r="AV60" s="232"/>
      <c r="AW60" s="232"/>
      <c r="AX60" s="232"/>
      <c r="AY60" s="232"/>
      <c r="AZ60" s="232"/>
      <c r="BA60" s="232"/>
      <c r="BB60" s="232"/>
      <c r="BC60" s="232"/>
      <c r="BD60" s="232"/>
      <c r="BE60" s="232"/>
      <c r="BF60" s="232"/>
      <c r="BG60" s="232"/>
      <c r="BH60" s="232"/>
      <c r="BI60" s="232"/>
      <c r="BJ60" s="232"/>
      <c r="BK60" s="232"/>
      <c r="BL60" s="14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32"/>
      <c r="CC60" s="232"/>
      <c r="CD60" s="232"/>
      <c r="CE60" s="8"/>
      <c r="CF60" s="243"/>
      <c r="CG60" s="243"/>
      <c r="CH60" s="243"/>
      <c r="CI60" s="243"/>
      <c r="CJ60" s="243"/>
      <c r="CK60" s="243"/>
      <c r="CL60" s="243"/>
      <c r="CM60" s="243"/>
      <c r="CN60" s="243"/>
      <c r="CO60" s="243"/>
      <c r="CP60" s="243"/>
      <c r="CQ60" s="243"/>
      <c r="CR60" s="243"/>
      <c r="CS60" s="243"/>
      <c r="CT60" s="8"/>
    </row>
    <row r="61" spans="1:104" ht="14.25" customHeight="1">
      <c r="A61" s="8"/>
      <c r="B61" s="79" t="str">
        <f t="shared" si="333"/>
        <v>vs. Balance Sheet</v>
      </c>
      <c r="C61" s="244"/>
      <c r="D61" s="183">
        <f>BS!D11</f>
        <v>202.8</v>
      </c>
      <c r="E61" s="181">
        <f>BS!E11</f>
        <v>148.46600000000001</v>
      </c>
      <c r="F61" s="181">
        <f>BS!F11</f>
        <v>243.31</v>
      </c>
      <c r="G61" s="184">
        <f>BS!G11</f>
        <v>422.33300000000003</v>
      </c>
      <c r="H61" s="183">
        <f>BS!H11</f>
        <v>466.81799999999998</v>
      </c>
      <c r="I61" s="181">
        <f>BS!I11</f>
        <v>370.714</v>
      </c>
      <c r="J61" s="181">
        <f>BS!J11</f>
        <v>383.06099999999998</v>
      </c>
      <c r="K61" s="184">
        <f>BS!K11</f>
        <v>577.06799999999998</v>
      </c>
      <c r="L61" s="183">
        <f>BS!L11</f>
        <v>813.673</v>
      </c>
      <c r="M61" s="181">
        <f>BS!M11</f>
        <v>1007.426</v>
      </c>
      <c r="N61" s="181">
        <f>BS!N11</f>
        <v>1189.0509999999999</v>
      </c>
      <c r="O61" s="184">
        <f>BS!O11</f>
        <v>1013.119</v>
      </c>
      <c r="P61" s="183">
        <f>BS!P11</f>
        <v>1051.194</v>
      </c>
      <c r="Q61" s="181">
        <f>BS!Q11</f>
        <v>718.2</v>
      </c>
      <c r="R61" s="181">
        <f>BS!R11</f>
        <v>692.82500000000005</v>
      </c>
      <c r="S61" s="184">
        <f>BS!S11</f>
        <v>709.34799999999996</v>
      </c>
      <c r="T61" s="183">
        <f>BS!T11</f>
        <v>836.029</v>
      </c>
      <c r="U61" s="181">
        <f>BS!U11</f>
        <v>737.52200000000005</v>
      </c>
      <c r="V61" s="181">
        <f>BS!V11</f>
        <v>758.43600000000004</v>
      </c>
      <c r="W61" s="184">
        <f>BS!W11</f>
        <v>826.51199999999994</v>
      </c>
      <c r="X61" s="183">
        <f>BS!X11</f>
        <v>718.28</v>
      </c>
      <c r="Y61" s="181">
        <f>BS!Y11</f>
        <v>798.34400000000005</v>
      </c>
      <c r="Z61" s="181">
        <f>BS!Z11</f>
        <v>868.923</v>
      </c>
      <c r="AA61" s="184">
        <f>BS!AA11</f>
        <v>962.54100000000005</v>
      </c>
      <c r="AB61" s="181">
        <f>BS!AB11</f>
        <v>710.04100000000005</v>
      </c>
      <c r="AC61" s="181">
        <f>BS!AC11</f>
        <v>741.16</v>
      </c>
      <c r="AD61" s="181">
        <f>BS!AD11</f>
        <v>860.55100000000004</v>
      </c>
      <c r="AE61" s="184">
        <f>BS!AE11</f>
        <v>881.06</v>
      </c>
      <c r="AF61" s="181">
        <f>BS!AF11</f>
        <v>849.85</v>
      </c>
      <c r="AG61" s="181">
        <f>BS!AG11</f>
        <v>955.10699999999997</v>
      </c>
      <c r="AH61" s="181">
        <f>BS!AH11</f>
        <v>1547.98</v>
      </c>
      <c r="AI61" s="184">
        <f>BS!AI11</f>
        <v>1174.9860000000001</v>
      </c>
      <c r="AJ61" s="181">
        <f>BS!AJ11</f>
        <v>1009.547</v>
      </c>
      <c r="AK61" s="181">
        <f>BS!AK11</f>
        <v>1149.9090000000001</v>
      </c>
      <c r="AL61" s="181">
        <f>BS!AL11</f>
        <v>1231.248</v>
      </c>
      <c r="AM61" s="184">
        <f>BS!AM11</f>
        <v>1322.472</v>
      </c>
      <c r="AN61" s="181">
        <f>BS!AN11</f>
        <v>1243.883</v>
      </c>
      <c r="AO61" s="181">
        <f>BS!AO11</f>
        <v>1305.8699999999999</v>
      </c>
      <c r="AP61" s="181">
        <f>BS!AP11</f>
        <v>1392.1969999999999</v>
      </c>
      <c r="AQ61" s="184">
        <f>BS!AQ11</f>
        <v>1550.9649999999999</v>
      </c>
      <c r="AR61" s="181">
        <f>BS!AR11</f>
        <v>1508.347</v>
      </c>
      <c r="AS61" s="181">
        <f>BS!AS11</f>
        <v>1648.518</v>
      </c>
      <c r="AT61" s="181">
        <f>BS!AT11</f>
        <v>1710.34</v>
      </c>
      <c r="AU61" s="184">
        <f>BS!AU11</f>
        <v>2105.2289999999998</v>
      </c>
      <c r="AV61" s="181">
        <f>BS!AV11</f>
        <v>2092.0729999999999</v>
      </c>
      <c r="AW61" s="181">
        <f>BS!AW11</f>
        <v>1687.4349999999999</v>
      </c>
      <c r="AX61" s="181">
        <f>BS!AX11</f>
        <v>1656.7270000000001</v>
      </c>
      <c r="AY61" s="184">
        <f>BS!AY11</f>
        <v>2246.1210000000001</v>
      </c>
      <c r="AZ61" s="181">
        <f>BS!AZ11</f>
        <v>1577.16</v>
      </c>
      <c r="BA61" s="181">
        <f>BS!BA11</f>
        <v>1631.51</v>
      </c>
      <c r="BB61" s="181">
        <f>BS!BB11</f>
        <v>1629.5930000000001</v>
      </c>
      <c r="BC61" s="182">
        <f>BS!BC11</f>
        <v>1591.7031048845136</v>
      </c>
      <c r="BD61" s="181">
        <f>BS!BD11</f>
        <v>1595.9487913989303</v>
      </c>
      <c r="BE61" s="181">
        <f>BS!BE11</f>
        <v>1579.1497920038016</v>
      </c>
      <c r="BF61" s="181">
        <f>BS!BF11</f>
        <v>1554.8369545205655</v>
      </c>
      <c r="BG61" s="182">
        <f>BS!BG11</f>
        <v>1557.0490596869327</v>
      </c>
      <c r="BH61" s="181">
        <f>BS!BH11</f>
        <v>1565.6606036562246</v>
      </c>
      <c r="BI61" s="181">
        <f>BS!BI11</f>
        <v>1566.627437257252</v>
      </c>
      <c r="BJ61" s="181">
        <f>BS!BJ11</f>
        <v>1560.6585629371862</v>
      </c>
      <c r="BK61" s="182">
        <f>BS!BK11</f>
        <v>1571.4803260140973</v>
      </c>
      <c r="BL61" s="20"/>
      <c r="BM61" s="245">
        <f>BS!BM11</f>
        <v>422.33300000000003</v>
      </c>
      <c r="BN61" s="245">
        <f>BS!BN11</f>
        <v>577.06799999999998</v>
      </c>
      <c r="BO61" s="245">
        <f>BS!BO11</f>
        <v>1013.119</v>
      </c>
      <c r="BP61" s="245">
        <f>BS!BP11</f>
        <v>709.34799999999996</v>
      </c>
      <c r="BQ61" s="245">
        <f>BS!BQ11</f>
        <v>826.51199999999994</v>
      </c>
      <c r="BR61" s="245">
        <f>BS!BR11</f>
        <v>962.54100000000005</v>
      </c>
      <c r="BS61" s="245">
        <f>BS!BS11</f>
        <v>881.06</v>
      </c>
      <c r="BT61" s="245">
        <f>BS!BT11</f>
        <v>1174.9860000000001</v>
      </c>
      <c r="BU61" s="245">
        <f>BS!BU11</f>
        <v>1322.472</v>
      </c>
      <c r="BV61" s="245">
        <f>BS!BV11</f>
        <v>1550.9649999999999</v>
      </c>
      <c r="BW61" s="245">
        <f>BS!BW11</f>
        <v>2105.2289999999998</v>
      </c>
      <c r="BX61" s="245">
        <f>BS!BX11</f>
        <v>2246.1210000000001</v>
      </c>
      <c r="BY61" s="245">
        <f>BS!BY11</f>
        <v>1591.7031048845136</v>
      </c>
      <c r="BZ61" s="245">
        <f>BS!BZ11</f>
        <v>1557.0490596869327</v>
      </c>
      <c r="CA61" s="182">
        <f>BS!CA11</f>
        <v>1571.4803260140973</v>
      </c>
      <c r="CB61" s="278"/>
      <c r="CC61" s="277"/>
      <c r="CD61" s="277"/>
      <c r="CE61" s="260"/>
      <c r="CF61" s="336">
        <f>BS!CF11</f>
        <v>370.714</v>
      </c>
      <c r="CG61" s="245">
        <f>BS!CG11</f>
        <v>1007.426</v>
      </c>
      <c r="CH61" s="245">
        <f>BS!CH11</f>
        <v>718.2</v>
      </c>
      <c r="CI61" s="245">
        <f>BS!CI11</f>
        <v>737.52200000000005</v>
      </c>
      <c r="CJ61" s="245">
        <f>BS!CJ11</f>
        <v>798.34400000000005</v>
      </c>
      <c r="CK61" s="245">
        <f>BS!CK11</f>
        <v>741.16</v>
      </c>
      <c r="CL61" s="245">
        <f>BS!CL11</f>
        <v>955.10699999999997</v>
      </c>
      <c r="CM61" s="245">
        <f>BS!CM11</f>
        <v>1149.9090000000001</v>
      </c>
      <c r="CN61" s="245">
        <f>BS!CN11</f>
        <v>1305.8699999999999</v>
      </c>
      <c r="CO61" s="245">
        <f>BS!CO11</f>
        <v>1648.518</v>
      </c>
      <c r="CP61" s="245">
        <f>BS!CP11</f>
        <v>1687.4349999999999</v>
      </c>
      <c r="CQ61" s="245">
        <f>BS!CQ11</f>
        <v>1631.51</v>
      </c>
      <c r="CR61" s="245">
        <f>BS!CR11</f>
        <v>1579.1497920038016</v>
      </c>
      <c r="CS61" s="182">
        <f>BS!CS11</f>
        <v>1566.627437257252</v>
      </c>
      <c r="CT61" s="22"/>
    </row>
    <row r="62" spans="1:104" ht="14.25" customHeight="1">
      <c r="A62" s="8"/>
      <c r="B62" s="152" t="str">
        <f t="shared" si="333"/>
        <v>Check</v>
      </c>
      <c r="C62" s="153"/>
      <c r="D62" s="156">
        <f t="shared" ref="D62:AE62" si="362">IF(ROUND(D61,4)=ROUND(D59,4),0,(D61-D59))</f>
        <v>0</v>
      </c>
      <c r="E62" s="154">
        <f t="shared" si="362"/>
        <v>0</v>
      </c>
      <c r="F62" s="154">
        <f t="shared" si="362"/>
        <v>0</v>
      </c>
      <c r="G62" s="155">
        <f t="shared" si="362"/>
        <v>0</v>
      </c>
      <c r="H62" s="156">
        <f t="shared" si="362"/>
        <v>0</v>
      </c>
      <c r="I62" s="154">
        <f t="shared" si="362"/>
        <v>0</v>
      </c>
      <c r="J62" s="154">
        <f t="shared" si="362"/>
        <v>0</v>
      </c>
      <c r="K62" s="155">
        <f t="shared" si="362"/>
        <v>0</v>
      </c>
      <c r="L62" s="156">
        <f t="shared" si="362"/>
        <v>0</v>
      </c>
      <c r="M62" s="154">
        <f t="shared" si="362"/>
        <v>0</v>
      </c>
      <c r="N62" s="154">
        <f t="shared" si="362"/>
        <v>0</v>
      </c>
      <c r="O62" s="155">
        <f t="shared" si="362"/>
        <v>0</v>
      </c>
      <c r="P62" s="156">
        <f t="shared" si="362"/>
        <v>0</v>
      </c>
      <c r="Q62" s="154">
        <f t="shared" si="362"/>
        <v>0</v>
      </c>
      <c r="R62" s="154">
        <f t="shared" si="362"/>
        <v>0</v>
      </c>
      <c r="S62" s="155">
        <f t="shared" si="362"/>
        <v>0</v>
      </c>
      <c r="T62" s="156">
        <f t="shared" si="362"/>
        <v>0</v>
      </c>
      <c r="U62" s="154">
        <f t="shared" si="362"/>
        <v>0</v>
      </c>
      <c r="V62" s="154">
        <f t="shared" si="362"/>
        <v>0</v>
      </c>
      <c r="W62" s="155">
        <f t="shared" si="362"/>
        <v>0</v>
      </c>
      <c r="X62" s="156">
        <f t="shared" si="362"/>
        <v>0</v>
      </c>
      <c r="Y62" s="154">
        <f t="shared" si="362"/>
        <v>0</v>
      </c>
      <c r="Z62" s="154">
        <f t="shared" si="362"/>
        <v>0</v>
      </c>
      <c r="AA62" s="155">
        <f t="shared" si="362"/>
        <v>0</v>
      </c>
      <c r="AB62" s="156">
        <f>IF(ROUND(AB61,4)=ROUND(AB59,4),0,(AB61-AB59))</f>
        <v>0</v>
      </c>
      <c r="AC62" s="154">
        <f t="shared" si="362"/>
        <v>0</v>
      </c>
      <c r="AD62" s="736">
        <f t="shared" si="362"/>
        <v>0</v>
      </c>
      <c r="AE62" s="155">
        <f t="shared" si="362"/>
        <v>0</v>
      </c>
      <c r="AF62" s="156">
        <f t="shared" ref="AF62:AO62" si="363">IF(ROUND(AF61,4)=ROUND(AF59,4),0,(AF61-AF59))</f>
        <v>0</v>
      </c>
      <c r="AG62" s="154">
        <f t="shared" si="363"/>
        <v>0</v>
      </c>
      <c r="AH62" s="736">
        <f t="shared" si="363"/>
        <v>0</v>
      </c>
      <c r="AI62" s="155">
        <f t="shared" si="363"/>
        <v>0</v>
      </c>
      <c r="AJ62" s="156">
        <f t="shared" si="363"/>
        <v>0</v>
      </c>
      <c r="AK62" s="154">
        <f t="shared" si="363"/>
        <v>0</v>
      </c>
      <c r="AL62" s="736">
        <f t="shared" si="363"/>
        <v>0</v>
      </c>
      <c r="AM62" s="155">
        <f t="shared" si="363"/>
        <v>0</v>
      </c>
      <c r="AN62" s="156">
        <f t="shared" si="363"/>
        <v>0</v>
      </c>
      <c r="AO62" s="154">
        <f t="shared" si="363"/>
        <v>0</v>
      </c>
      <c r="AP62" s="736">
        <f t="shared" ref="AP62:BC62" si="364">IF(ROUND(AP61,4)=ROUND(AP59,4),0,(AP61-AP59))</f>
        <v>0</v>
      </c>
      <c r="AQ62" s="155">
        <f t="shared" si="364"/>
        <v>0</v>
      </c>
      <c r="AR62" s="156">
        <f t="shared" si="364"/>
        <v>0</v>
      </c>
      <c r="AS62" s="154">
        <f t="shared" si="364"/>
        <v>0</v>
      </c>
      <c r="AT62" s="736">
        <f t="shared" ref="AT62:AY62" si="365">IF(ROUND(AT61,4)=ROUND(AT59,4),0,(AT61-AT59))</f>
        <v>0</v>
      </c>
      <c r="AU62" s="155">
        <f t="shared" si="365"/>
        <v>0</v>
      </c>
      <c r="AV62" s="156">
        <f t="shared" si="365"/>
        <v>0</v>
      </c>
      <c r="AW62" s="154">
        <f t="shared" si="365"/>
        <v>0</v>
      </c>
      <c r="AX62" s="154">
        <f t="shared" si="365"/>
        <v>0</v>
      </c>
      <c r="AY62" s="155">
        <f t="shared" si="365"/>
        <v>0</v>
      </c>
      <c r="AZ62" s="156">
        <f t="shared" si="364"/>
        <v>0</v>
      </c>
      <c r="BA62" s="154">
        <f t="shared" si="364"/>
        <v>0</v>
      </c>
      <c r="BB62" s="154">
        <f t="shared" si="364"/>
        <v>0</v>
      </c>
      <c r="BC62" s="155">
        <f t="shared" si="364"/>
        <v>0</v>
      </c>
      <c r="BD62" s="156">
        <f t="shared" ref="BD62:BK62" si="366">IF(ROUND(BD61,4)=ROUND(BD59,4),0,(BD61-BD59))</f>
        <v>0</v>
      </c>
      <c r="BE62" s="154">
        <f t="shared" si="366"/>
        <v>0</v>
      </c>
      <c r="BF62" s="154">
        <f t="shared" si="366"/>
        <v>0</v>
      </c>
      <c r="BG62" s="155">
        <f t="shared" si="366"/>
        <v>0</v>
      </c>
      <c r="BH62" s="156">
        <f t="shared" si="366"/>
        <v>0</v>
      </c>
      <c r="BI62" s="154">
        <f t="shared" si="366"/>
        <v>0</v>
      </c>
      <c r="BJ62" s="154">
        <f t="shared" si="366"/>
        <v>0</v>
      </c>
      <c r="BK62" s="155">
        <f t="shared" si="366"/>
        <v>0</v>
      </c>
      <c r="BL62" s="20"/>
      <c r="BM62" s="246">
        <f t="shared" ref="BM62:BS62" si="367">IF(ROUND(BM61,4)=ROUND(BM59,4),0,(BM61-BM59))</f>
        <v>0</v>
      </c>
      <c r="BN62" s="246">
        <f t="shared" si="367"/>
        <v>0</v>
      </c>
      <c r="BO62" s="246">
        <f t="shared" si="367"/>
        <v>0</v>
      </c>
      <c r="BP62" s="246">
        <f t="shared" si="367"/>
        <v>0</v>
      </c>
      <c r="BQ62" s="246">
        <f t="shared" si="367"/>
        <v>0</v>
      </c>
      <c r="BR62" s="246">
        <f t="shared" si="367"/>
        <v>0</v>
      </c>
      <c r="BS62" s="246">
        <f t="shared" si="367"/>
        <v>0</v>
      </c>
      <c r="BT62" s="246">
        <f t="shared" ref="BT62:CA62" si="368">IF(ROUND(BT61,4)=ROUND(BT59,4),0,(BT61-BT59))</f>
        <v>0</v>
      </c>
      <c r="BU62" s="246">
        <f t="shared" si="368"/>
        <v>0</v>
      </c>
      <c r="BV62" s="246">
        <f t="shared" si="368"/>
        <v>0</v>
      </c>
      <c r="BW62" s="246">
        <f t="shared" si="368"/>
        <v>0</v>
      </c>
      <c r="BX62" s="246">
        <f t="shared" si="368"/>
        <v>0</v>
      </c>
      <c r="BY62" s="246">
        <f t="shared" si="368"/>
        <v>9.9999999997635314E-4</v>
      </c>
      <c r="BZ62" s="246">
        <f t="shared" si="368"/>
        <v>9.9999999997635314E-4</v>
      </c>
      <c r="CA62" s="247">
        <f t="shared" si="368"/>
        <v>9.9999999997635314E-4</v>
      </c>
      <c r="CB62" s="1481"/>
      <c r="CC62" s="1433"/>
      <c r="CD62" s="1433"/>
      <c r="CE62" s="260"/>
      <c r="CF62" s="337">
        <f t="shared" ref="CF62:CL62" si="369">IF(ROUND(CF61,4)=ROUND(CF59,4),0,(CF61-CF59))</f>
        <v>0</v>
      </c>
      <c r="CG62" s="246">
        <f t="shared" si="369"/>
        <v>0</v>
      </c>
      <c r="CH62" s="246">
        <f t="shared" si="369"/>
        <v>0</v>
      </c>
      <c r="CI62" s="246">
        <f t="shared" si="369"/>
        <v>0</v>
      </c>
      <c r="CJ62" s="246">
        <f t="shared" si="369"/>
        <v>0</v>
      </c>
      <c r="CK62" s="246">
        <f t="shared" si="369"/>
        <v>0</v>
      </c>
      <c r="CL62" s="246">
        <f t="shared" si="369"/>
        <v>0</v>
      </c>
      <c r="CM62" s="246">
        <f t="shared" ref="CM62:CR62" si="370">IF(ROUND(CM61,4)=ROUND(CM59,4),0,(CM61-CM59))</f>
        <v>0</v>
      </c>
      <c r="CN62" s="246">
        <f t="shared" si="370"/>
        <v>0</v>
      </c>
      <c r="CO62" s="246">
        <f t="shared" si="370"/>
        <v>0</v>
      </c>
      <c r="CP62" s="246">
        <f t="shared" si="370"/>
        <v>0</v>
      </c>
      <c r="CQ62" s="246">
        <f t="shared" si="370"/>
        <v>0</v>
      </c>
      <c r="CR62" s="246">
        <f t="shared" si="370"/>
        <v>0</v>
      </c>
      <c r="CS62" s="247">
        <f>IF(ROUND(CS61,4)=ROUND(CS59,4),0,(CS61-CS59))</f>
        <v>0</v>
      </c>
      <c r="CT62" s="22"/>
    </row>
    <row r="63" spans="1:104" ht="14.25" customHeight="1">
      <c r="A63" s="8"/>
      <c r="B63" s="248"/>
      <c r="C63" s="248"/>
      <c r="D63" s="249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49"/>
      <c r="AC63" s="249"/>
      <c r="AD63" s="249"/>
      <c r="AE63" s="249"/>
      <c r="AF63" s="249"/>
      <c r="AG63" s="249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  <c r="AR63" s="249"/>
      <c r="AS63" s="249"/>
      <c r="AT63" s="249"/>
      <c r="AU63" s="249"/>
      <c r="AV63" s="249"/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14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49"/>
      <c r="CB63" s="249"/>
      <c r="CC63" s="249"/>
      <c r="CD63" s="249"/>
      <c r="CE63" s="8"/>
      <c r="CF63" s="249"/>
      <c r="CG63" s="249"/>
      <c r="CH63" s="249"/>
      <c r="CI63" s="249"/>
      <c r="CJ63" s="249"/>
      <c r="CK63" s="249"/>
      <c r="CL63" s="249"/>
      <c r="CM63" s="249"/>
      <c r="CN63" s="249"/>
      <c r="CO63" s="249"/>
      <c r="CP63" s="249"/>
      <c r="CQ63" s="249"/>
      <c r="CR63" s="249"/>
      <c r="CS63" s="249"/>
      <c r="CT63" s="8"/>
    </row>
    <row r="64" spans="1:104" ht="14.25" customHeight="1">
      <c r="A64" s="8"/>
      <c r="B64" s="14"/>
      <c r="C64" s="251"/>
      <c r="D64" s="250"/>
      <c r="E64" s="250"/>
      <c r="F64" s="250"/>
      <c r="G64" s="250"/>
      <c r="H64" s="250"/>
      <c r="I64" s="250"/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  <c r="U64" s="250"/>
      <c r="V64" s="250"/>
      <c r="W64" s="250"/>
      <c r="X64" s="250"/>
      <c r="Y64" s="250"/>
      <c r="Z64" s="250"/>
      <c r="AA64" s="250"/>
      <c r="AB64" s="250"/>
      <c r="AC64" s="250"/>
      <c r="AD64" s="250"/>
      <c r="AE64" s="250"/>
      <c r="AF64" s="250"/>
      <c r="AG64" s="250"/>
      <c r="AH64" s="250"/>
      <c r="AI64" s="250"/>
      <c r="AJ64" s="250"/>
      <c r="AK64" s="250"/>
      <c r="AL64" s="250"/>
      <c r="AM64" s="250"/>
      <c r="AN64" s="250"/>
      <c r="AO64" s="250"/>
      <c r="AP64" s="250"/>
      <c r="AQ64" s="250"/>
      <c r="AR64" s="250"/>
      <c r="AS64" s="250"/>
      <c r="AT64" s="250"/>
      <c r="AU64" s="250"/>
      <c r="AV64" s="250"/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14"/>
      <c r="BM64" s="250"/>
      <c r="BN64" s="250"/>
      <c r="BO64" s="250"/>
      <c r="BP64" s="250"/>
      <c r="BQ64" s="250"/>
      <c r="BR64" s="250"/>
      <c r="BS64" s="250"/>
      <c r="BT64" s="250"/>
      <c r="BU64" s="250"/>
      <c r="BV64" s="250"/>
      <c r="BW64" s="250"/>
      <c r="BX64" s="250"/>
      <c r="BY64" s="250"/>
      <c r="BZ64" s="250"/>
      <c r="CA64" s="250"/>
      <c r="CB64" s="124"/>
      <c r="CC64" s="124"/>
      <c r="CD64" s="124"/>
      <c r="CE64" s="8"/>
      <c r="CF64" s="250"/>
      <c r="CG64" s="250"/>
      <c r="CH64" s="250"/>
      <c r="CI64" s="250"/>
      <c r="CJ64" s="250"/>
      <c r="CK64" s="250"/>
      <c r="CL64" s="250"/>
      <c r="CM64" s="250"/>
      <c r="CN64" s="250"/>
      <c r="CO64" s="250"/>
      <c r="CP64" s="250"/>
      <c r="CQ64" s="250"/>
      <c r="CR64" s="250">
        <v>984.11075690036864</v>
      </c>
      <c r="CS64" s="250">
        <v>1038.2408010262147</v>
      </c>
      <c r="CT64" s="8"/>
    </row>
    <row r="65" spans="1:98" ht="14.25" customHeight="1">
      <c r="A65" s="8"/>
      <c r="B65" s="162" t="s">
        <v>500</v>
      </c>
      <c r="C65" s="163"/>
      <c r="D65" s="252" t="str">
        <f t="shared" ref="D65:W65" si="371">D9</f>
        <v>F1Q06A</v>
      </c>
      <c r="E65" s="252" t="str">
        <f t="shared" si="371"/>
        <v>F2Q06A</v>
      </c>
      <c r="F65" s="252" t="str">
        <f t="shared" si="371"/>
        <v>F3Q06A</v>
      </c>
      <c r="G65" s="253" t="str">
        <f t="shared" si="371"/>
        <v>F4Q06A</v>
      </c>
      <c r="H65" s="252" t="str">
        <f t="shared" si="371"/>
        <v>F1Q07A</v>
      </c>
      <c r="I65" s="252" t="str">
        <f t="shared" si="371"/>
        <v>F2Q07A</v>
      </c>
      <c r="J65" s="252" t="str">
        <f t="shared" si="371"/>
        <v>F3Q07A</v>
      </c>
      <c r="K65" s="253" t="str">
        <f t="shared" si="371"/>
        <v>F4Q07A</v>
      </c>
      <c r="L65" s="252" t="str">
        <f t="shared" si="371"/>
        <v>F1Q08A</v>
      </c>
      <c r="M65" s="252" t="str">
        <f t="shared" si="371"/>
        <v>F2Q08A</v>
      </c>
      <c r="N65" s="252" t="str">
        <f t="shared" si="371"/>
        <v>F3Q08A</v>
      </c>
      <c r="O65" s="253" t="str">
        <f t="shared" si="371"/>
        <v>F4Q08A</v>
      </c>
      <c r="P65" s="252" t="str">
        <f t="shared" si="371"/>
        <v>F1Q09A</v>
      </c>
      <c r="Q65" s="252" t="str">
        <f t="shared" si="371"/>
        <v>F2Q09A</v>
      </c>
      <c r="R65" s="252" t="str">
        <f t="shared" si="371"/>
        <v>F3Q09A</v>
      </c>
      <c r="S65" s="253" t="str">
        <f t="shared" si="371"/>
        <v>F4Q09A</v>
      </c>
      <c r="T65" s="252" t="str">
        <f t="shared" si="371"/>
        <v>F1Q10A</v>
      </c>
      <c r="U65" s="252" t="str">
        <f t="shared" si="371"/>
        <v>F2Q10A</v>
      </c>
      <c r="V65" s="252" t="str">
        <f t="shared" si="371"/>
        <v>F3Q10A</v>
      </c>
      <c r="W65" s="253" t="str">
        <f t="shared" si="371"/>
        <v>F4Q10A</v>
      </c>
      <c r="X65" s="252" t="str">
        <f t="shared" ref="X65:AQ65" si="372">X9</f>
        <v>F1Q11A</v>
      </c>
      <c r="Y65" s="252" t="str">
        <f t="shared" si="372"/>
        <v>F2Q11A</v>
      </c>
      <c r="Z65" s="252" t="str">
        <f t="shared" si="372"/>
        <v>F3Q11A</v>
      </c>
      <c r="AA65" s="253" t="str">
        <f t="shared" si="372"/>
        <v>F4Q11A</v>
      </c>
      <c r="AB65" s="252" t="str">
        <f>AB9</f>
        <v>F1Q12A</v>
      </c>
      <c r="AC65" s="252" t="str">
        <f>AC9</f>
        <v>F2Q12A</v>
      </c>
      <c r="AD65" s="252" t="str">
        <f>AD9</f>
        <v>F3Q12A</v>
      </c>
      <c r="AE65" s="253" t="str">
        <f>AE9</f>
        <v>F4Q12A</v>
      </c>
      <c r="AF65" s="252" t="str">
        <f>AF9</f>
        <v>F1Q13A</v>
      </c>
      <c r="AG65" s="252" t="str">
        <f t="shared" si="372"/>
        <v>F2Q13A</v>
      </c>
      <c r="AH65" s="252" t="str">
        <f t="shared" si="372"/>
        <v>F3Q13A</v>
      </c>
      <c r="AI65" s="253" t="str">
        <f t="shared" si="372"/>
        <v>F4Q13A</v>
      </c>
      <c r="AJ65" s="252" t="str">
        <f t="shared" si="372"/>
        <v>F1Q14A</v>
      </c>
      <c r="AK65" s="252" t="str">
        <f t="shared" si="372"/>
        <v>F2Q14</v>
      </c>
      <c r="AL65" s="252" t="str">
        <f t="shared" si="372"/>
        <v>F3Q14A</v>
      </c>
      <c r="AM65" s="253" t="str">
        <f t="shared" si="372"/>
        <v>F4Q14A</v>
      </c>
      <c r="AN65" s="252" t="str">
        <f t="shared" si="372"/>
        <v>F1Q15A</v>
      </c>
      <c r="AO65" s="252" t="str">
        <f t="shared" si="372"/>
        <v>F2Q15A</v>
      </c>
      <c r="AP65" s="252" t="str">
        <f t="shared" si="372"/>
        <v>F3Q15A</v>
      </c>
      <c r="AQ65" s="253" t="str">
        <f t="shared" si="372"/>
        <v>F4Q15A</v>
      </c>
      <c r="AR65" s="252" t="str">
        <f t="shared" ref="AR65:BC65" si="373">AR9</f>
        <v>F1Q16A</v>
      </c>
      <c r="AS65" s="252" t="str">
        <f t="shared" si="373"/>
        <v>F2Q16A</v>
      </c>
      <c r="AT65" s="252" t="str">
        <f t="shared" si="373"/>
        <v>F3Q16A</v>
      </c>
      <c r="AU65" s="253" t="str">
        <f t="shared" si="373"/>
        <v>F4Q16A</v>
      </c>
      <c r="AV65" s="252" t="str">
        <f>AV9</f>
        <v>F1Q17A</v>
      </c>
      <c r="AW65" s="252" t="str">
        <f>AW9</f>
        <v>F2Q17A</v>
      </c>
      <c r="AX65" s="252" t="str">
        <f>AX9</f>
        <v>F3Q17A</v>
      </c>
      <c r="AY65" s="253" t="str">
        <f t="shared" si="373"/>
        <v>F4Q17A</v>
      </c>
      <c r="AZ65" s="252" t="str">
        <f t="shared" si="373"/>
        <v>F1Q18A</v>
      </c>
      <c r="BA65" s="252" t="str">
        <f t="shared" si="373"/>
        <v>F2Q18A</v>
      </c>
      <c r="BB65" s="252" t="str">
        <f t="shared" si="373"/>
        <v>F3Q18A</v>
      </c>
      <c r="BC65" s="253" t="str">
        <f t="shared" si="373"/>
        <v>F4Q18E</v>
      </c>
      <c r="BD65" s="252" t="str">
        <f t="shared" ref="BD65:BK65" si="374">BD9</f>
        <v>F1Q19E</v>
      </c>
      <c r="BE65" s="252" t="str">
        <f t="shared" si="374"/>
        <v>F2Q19E</v>
      </c>
      <c r="BF65" s="252" t="str">
        <f t="shared" si="374"/>
        <v>F3Q19E</v>
      </c>
      <c r="BG65" s="253" t="str">
        <f t="shared" si="374"/>
        <v>F4Q19E</v>
      </c>
      <c r="BH65" s="252" t="str">
        <f t="shared" si="374"/>
        <v>F1Q20E</v>
      </c>
      <c r="BI65" s="252" t="str">
        <f t="shared" si="374"/>
        <v>F2Q20E</v>
      </c>
      <c r="BJ65" s="252" t="str">
        <f t="shared" si="374"/>
        <v>F3Q20E</v>
      </c>
      <c r="BK65" s="253" t="str">
        <f t="shared" si="374"/>
        <v>F4Q20E</v>
      </c>
      <c r="BL65" s="20"/>
      <c r="BM65" s="17" t="str">
        <f t="shared" ref="BM65:BS65" si="375">BM9</f>
        <v>FY2006A</v>
      </c>
      <c r="BN65" s="18" t="str">
        <f t="shared" si="375"/>
        <v>FY2007A</v>
      </c>
      <c r="BO65" s="18" t="str">
        <f t="shared" si="375"/>
        <v>FY2008A</v>
      </c>
      <c r="BP65" s="18" t="str">
        <f t="shared" si="375"/>
        <v>FY2009A</v>
      </c>
      <c r="BQ65" s="18" t="str">
        <f t="shared" si="375"/>
        <v>FY2010A</v>
      </c>
      <c r="BR65" s="18" t="str">
        <f t="shared" si="375"/>
        <v>FY2011A</v>
      </c>
      <c r="BS65" s="18" t="str">
        <f t="shared" si="375"/>
        <v>FY2012A</v>
      </c>
      <c r="BT65" s="18" t="str">
        <f t="shared" ref="BT65:CA65" si="376">BT9</f>
        <v>FY2013A</v>
      </c>
      <c r="BU65" s="18" t="str">
        <f t="shared" si="376"/>
        <v>FY2014A</v>
      </c>
      <c r="BV65" s="18" t="str">
        <f t="shared" si="376"/>
        <v>FY2015A</v>
      </c>
      <c r="BW65" s="18" t="str">
        <f t="shared" si="376"/>
        <v>FY2016A</v>
      </c>
      <c r="BX65" s="18" t="str">
        <f t="shared" si="376"/>
        <v>FY2017A</v>
      </c>
      <c r="BY65" s="18" t="str">
        <f t="shared" si="376"/>
        <v>FY2018E</v>
      </c>
      <c r="BZ65" s="18" t="str">
        <f t="shared" si="376"/>
        <v>FY2019E</v>
      </c>
      <c r="CA65" s="19" t="str">
        <f t="shared" si="376"/>
        <v>FY2020E</v>
      </c>
      <c r="CB65" s="1470"/>
      <c r="CC65" s="1418"/>
      <c r="CD65" s="1418"/>
      <c r="CE65" s="260"/>
      <c r="CF65" s="17" t="str">
        <f t="shared" ref="CF65:CL65" si="377">CF7</f>
        <v>CY2006</v>
      </c>
      <c r="CG65" s="18" t="str">
        <f t="shared" si="377"/>
        <v>CY2007</v>
      </c>
      <c r="CH65" s="18" t="str">
        <f t="shared" si="377"/>
        <v>CY2008</v>
      </c>
      <c r="CI65" s="18" t="str">
        <f t="shared" si="377"/>
        <v>CY2009</v>
      </c>
      <c r="CJ65" s="18" t="str">
        <f t="shared" si="377"/>
        <v>CY2010</v>
      </c>
      <c r="CK65" s="18" t="str">
        <f t="shared" si="377"/>
        <v>CY2011</v>
      </c>
      <c r="CL65" s="18" t="str">
        <f t="shared" si="377"/>
        <v>CY2012</v>
      </c>
      <c r="CM65" s="18" t="str">
        <f t="shared" ref="CM65:CR65" si="378">CM7</f>
        <v>CY2013</v>
      </c>
      <c r="CN65" s="18" t="str">
        <f t="shared" si="378"/>
        <v>CY2014A</v>
      </c>
      <c r="CO65" s="18" t="str">
        <f t="shared" si="378"/>
        <v>CY2015A</v>
      </c>
      <c r="CP65" s="18" t="str">
        <f t="shared" si="378"/>
        <v>CY2016A</v>
      </c>
      <c r="CQ65" s="18" t="str">
        <f t="shared" si="378"/>
        <v>CY2017E</v>
      </c>
      <c r="CR65" s="18" t="str">
        <f t="shared" si="378"/>
        <v>CY2018E</v>
      </c>
      <c r="CS65" s="19" t="str">
        <f>CS7</f>
        <v>CY2019E</v>
      </c>
      <c r="CT65" s="22"/>
    </row>
    <row r="66" spans="1:98" ht="14.25" customHeight="1">
      <c r="A66" s="8"/>
      <c r="B66" s="22" t="s">
        <v>501</v>
      </c>
      <c r="C66" s="254"/>
      <c r="D66" s="393">
        <f t="shared" ref="D66:AB66" si="379">-D34</f>
        <v>18.632999999999999</v>
      </c>
      <c r="E66" s="394">
        <f t="shared" si="379"/>
        <v>33.221999999999994</v>
      </c>
      <c r="F66" s="394">
        <f t="shared" si="379"/>
        <v>48.38600000000001</v>
      </c>
      <c r="G66" s="184">
        <f t="shared" si="379"/>
        <v>100.96200000000002</v>
      </c>
      <c r="H66" s="393">
        <f t="shared" si="379"/>
        <v>94.909000000000006</v>
      </c>
      <c r="I66" s="394">
        <f t="shared" si="379"/>
        <v>99.463999999999984</v>
      </c>
      <c r="J66" s="394">
        <f t="shared" si="379"/>
        <v>64.049000000000021</v>
      </c>
      <c r="K66" s="184">
        <f t="shared" si="379"/>
        <v>143.31799999999998</v>
      </c>
      <c r="L66" s="393">
        <f t="shared" si="379"/>
        <v>56.953000000000003</v>
      </c>
      <c r="M66" s="394">
        <f t="shared" si="379"/>
        <v>76.72999999999999</v>
      </c>
      <c r="N66" s="394">
        <f t="shared" si="379"/>
        <v>45.94</v>
      </c>
      <c r="O66" s="184">
        <f t="shared" si="379"/>
        <v>36.247000000000014</v>
      </c>
      <c r="P66" s="393">
        <f t="shared" si="379"/>
        <v>37.994999999999997</v>
      </c>
      <c r="Q66" s="394">
        <f t="shared" si="379"/>
        <v>29.54</v>
      </c>
      <c r="R66" s="394">
        <f t="shared" si="379"/>
        <v>35.996999999999993</v>
      </c>
      <c r="S66" s="184">
        <f t="shared" si="379"/>
        <v>31.897000000000027</v>
      </c>
      <c r="T66" s="393">
        <f t="shared" si="379"/>
        <v>26.463000000000001</v>
      </c>
      <c r="U66" s="394">
        <f t="shared" si="379"/>
        <v>28.289000000000001</v>
      </c>
      <c r="V66" s="394">
        <f t="shared" si="379"/>
        <v>25.481999999999992</v>
      </c>
      <c r="W66" s="184">
        <f t="shared" si="379"/>
        <v>43.667000000000009</v>
      </c>
      <c r="X66" s="393">
        <f t="shared" si="379"/>
        <v>38.529000000000003</v>
      </c>
      <c r="Y66" s="394">
        <f t="shared" si="379"/>
        <v>59.067999999999991</v>
      </c>
      <c r="Z66" s="394">
        <f t="shared" si="379"/>
        <v>29.593000000000011</v>
      </c>
      <c r="AA66" s="184">
        <f t="shared" si="379"/>
        <v>48.062999999999981</v>
      </c>
      <c r="AB66" s="257">
        <f t="shared" si="379"/>
        <v>49.323999999999998</v>
      </c>
      <c r="AC66" s="394">
        <f t="shared" ref="AC66:AH66" si="380">-AC34</f>
        <v>68.361000000000004</v>
      </c>
      <c r="AD66" s="257">
        <f t="shared" si="380"/>
        <v>70.052999999999997</v>
      </c>
      <c r="AE66" s="184">
        <f t="shared" si="380"/>
        <v>76.610000000000014</v>
      </c>
      <c r="AF66" s="257">
        <f t="shared" si="380"/>
        <v>50.703000000000003</v>
      </c>
      <c r="AG66" s="394">
        <f t="shared" si="380"/>
        <v>62.102000000000004</v>
      </c>
      <c r="AH66" s="257">
        <f t="shared" si="380"/>
        <v>54.944999999999993</v>
      </c>
      <c r="AI66" s="184">
        <f t="shared" ref="AI66:AN66" si="381">-AI34</f>
        <v>48.921999999999997</v>
      </c>
      <c r="AJ66" s="257">
        <f t="shared" si="381"/>
        <v>36.329000000000001</v>
      </c>
      <c r="AK66" s="394">
        <f t="shared" si="381"/>
        <v>46.133000000000003</v>
      </c>
      <c r="AL66" s="257">
        <f t="shared" si="381"/>
        <v>26.406999999999996</v>
      </c>
      <c r="AM66" s="1264">
        <f t="shared" si="381"/>
        <v>23.653999999999996</v>
      </c>
      <c r="AN66" s="257">
        <f t="shared" si="381"/>
        <v>31.686</v>
      </c>
      <c r="AO66" s="394">
        <f t="shared" ref="AO66:AT66" si="382">-AO34</f>
        <v>18.585000000000001</v>
      </c>
      <c r="AP66" s="394">
        <f t="shared" si="382"/>
        <v>10.185000000000002</v>
      </c>
      <c r="AQ66" s="1264">
        <f t="shared" si="382"/>
        <v>15.36</v>
      </c>
      <c r="AR66" s="257">
        <f t="shared" si="382"/>
        <v>15.821</v>
      </c>
      <c r="AS66" s="394">
        <f t="shared" si="382"/>
        <v>13.53</v>
      </c>
      <c r="AT66" s="394">
        <f t="shared" si="382"/>
        <v>17.53</v>
      </c>
      <c r="AU66" s="1264">
        <f>-AU34</f>
        <v>22.488</v>
      </c>
      <c r="AV66" s="257">
        <f>-AV34</f>
        <v>14.31</v>
      </c>
      <c r="AW66" s="394">
        <f>-AW34</f>
        <v>15.775</v>
      </c>
      <c r="AX66" s="394">
        <f>-AX34</f>
        <v>8.2860000000000031</v>
      </c>
      <c r="AY66" s="1264">
        <f>IS!AY10*AY68</f>
        <v>12.040100000000001</v>
      </c>
      <c r="AZ66" s="257">
        <f>-AZ34</f>
        <v>14.321</v>
      </c>
      <c r="BA66" s="394">
        <f>-BA34</f>
        <v>22.413000000000004</v>
      </c>
      <c r="BB66" s="1314">
        <f>IS!BB10*BB68</f>
        <v>23.347551441690751</v>
      </c>
      <c r="BC66" s="1318">
        <f>IS!BC10*BC68</f>
        <v>12.597738377000001</v>
      </c>
      <c r="BD66" s="1313">
        <f>IS!BD10*BD68</f>
        <v>12.288045326480001</v>
      </c>
      <c r="BE66" s="1314">
        <f>IS!BE10*BE68</f>
        <v>12.311059435077203</v>
      </c>
      <c r="BF66" s="1314">
        <f>IS!BF10*BF68</f>
        <v>12.954674735269794</v>
      </c>
      <c r="BG66" s="1318">
        <f>IS!BG10*BG68</f>
        <v>13.091675640448937</v>
      </c>
      <c r="BH66" s="1313">
        <f>IS!BH10*BH68</f>
        <v>12.881601942065368</v>
      </c>
      <c r="BI66" s="1314">
        <f>IS!BI10*BI68</f>
        <v>12.871707493206937</v>
      </c>
      <c r="BJ66" s="1314">
        <f>IS!BJ10*BJ68</f>
        <v>13.395294339247243</v>
      </c>
      <c r="BK66" s="1318">
        <f>IS!BK10*BK68</f>
        <v>13.751427892934341</v>
      </c>
      <c r="BL66" s="20"/>
      <c r="BM66" s="259">
        <f t="shared" ref="BM66:BS66" si="383">-BM34</f>
        <v>201.20300000000003</v>
      </c>
      <c r="BN66" s="769">
        <f t="shared" si="383"/>
        <v>401.74</v>
      </c>
      <c r="BO66" s="769">
        <f t="shared" si="383"/>
        <v>215.87</v>
      </c>
      <c r="BP66" s="769">
        <f t="shared" si="383"/>
        <v>135.429</v>
      </c>
      <c r="BQ66" s="769">
        <f t="shared" si="383"/>
        <v>123.90100000000001</v>
      </c>
      <c r="BR66" s="769">
        <f t="shared" si="383"/>
        <v>175.25299999999999</v>
      </c>
      <c r="BS66" s="769">
        <f t="shared" si="383"/>
        <v>264.34800000000001</v>
      </c>
      <c r="BT66" s="769">
        <f t="shared" ref="BT66:BY66" si="384">-BT34</f>
        <v>216.672</v>
      </c>
      <c r="BU66" s="769">
        <f t="shared" si="384"/>
        <v>132.523</v>
      </c>
      <c r="BV66" s="769">
        <f t="shared" si="384"/>
        <v>75.816000000000003</v>
      </c>
      <c r="BW66" s="769">
        <f t="shared" si="384"/>
        <v>69.369</v>
      </c>
      <c r="BX66" s="769">
        <f t="shared" si="384"/>
        <v>51.420999999999999</v>
      </c>
      <c r="BY66" s="769">
        <f t="shared" si="384"/>
        <v>66.261738377</v>
      </c>
      <c r="BZ66" s="769">
        <f>-BZ34</f>
        <v>50.645455137275931</v>
      </c>
      <c r="CA66" s="256">
        <f>-CA34</f>
        <v>52.900031667453888</v>
      </c>
      <c r="CB66" s="1313"/>
      <c r="CC66" s="1314"/>
      <c r="CD66" s="1314"/>
      <c r="CE66" s="260"/>
      <c r="CF66" s="338">
        <f t="shared" ref="CF66:CL66" si="385">-CF34</f>
        <v>343.721</v>
      </c>
      <c r="CG66" s="259">
        <f t="shared" si="385"/>
        <v>341.05000000000007</v>
      </c>
      <c r="CH66" s="259">
        <f t="shared" si="385"/>
        <v>149.72200000000001</v>
      </c>
      <c r="CI66" s="259">
        <f t="shared" si="385"/>
        <v>122.64600000000003</v>
      </c>
      <c r="CJ66" s="259">
        <f t="shared" si="385"/>
        <v>166.74599999999998</v>
      </c>
      <c r="CK66" s="259">
        <f t="shared" si="385"/>
        <v>195.34100000000001</v>
      </c>
      <c r="CL66" s="259">
        <f t="shared" si="385"/>
        <v>259.46800000000002</v>
      </c>
      <c r="CM66" s="259">
        <f t="shared" ref="CM66:CR66" si="386">-CM34</f>
        <v>186.32900000000001</v>
      </c>
      <c r="CN66" s="259">
        <f t="shared" si="386"/>
        <v>100.33199999999999</v>
      </c>
      <c r="CO66" s="259">
        <f t="shared" si="386"/>
        <v>54.896000000000001</v>
      </c>
      <c r="CP66" s="259">
        <f t="shared" si="386"/>
        <v>70.103000000000009</v>
      </c>
      <c r="CQ66" s="277">
        <f t="shared" si="386"/>
        <v>58.070000000000007</v>
      </c>
      <c r="CR66" s="277">
        <f t="shared" si="386"/>
        <v>54.126843138557206</v>
      </c>
      <c r="CS66" s="184">
        <f>-CS34</f>
        <v>51.799659810991031</v>
      </c>
      <c r="CT66" s="22"/>
    </row>
    <row r="67" spans="1:98" ht="14.25" customHeight="1">
      <c r="A67" s="8"/>
      <c r="B67" s="22" t="s">
        <v>502</v>
      </c>
      <c r="C67" s="260"/>
      <c r="D67" s="395">
        <v>0</v>
      </c>
      <c r="E67" s="263">
        <v>0</v>
      </c>
      <c r="F67" s="263">
        <v>0</v>
      </c>
      <c r="G67" s="262">
        <v>0</v>
      </c>
      <c r="H67" s="395">
        <v>0</v>
      </c>
      <c r="I67" s="263">
        <v>0</v>
      </c>
      <c r="J67" s="263">
        <v>0</v>
      </c>
      <c r="K67" s="262">
        <v>0</v>
      </c>
      <c r="L67" s="395">
        <v>0</v>
      </c>
      <c r="M67" s="263">
        <v>0</v>
      </c>
      <c r="N67" s="263">
        <v>0</v>
      </c>
      <c r="O67" s="262">
        <v>0</v>
      </c>
      <c r="P67" s="395">
        <v>0</v>
      </c>
      <c r="Q67" s="263">
        <v>0</v>
      </c>
      <c r="R67" s="263">
        <v>0</v>
      </c>
      <c r="S67" s="262">
        <v>0</v>
      </c>
      <c r="T67" s="395">
        <v>0</v>
      </c>
      <c r="U67" s="263">
        <v>0</v>
      </c>
      <c r="V67" s="263">
        <v>0</v>
      </c>
      <c r="W67" s="262">
        <v>0</v>
      </c>
      <c r="X67" s="395">
        <v>0</v>
      </c>
      <c r="Y67" s="263">
        <v>0</v>
      </c>
      <c r="Z67" s="263">
        <v>0</v>
      </c>
      <c r="AA67" s="262">
        <v>0</v>
      </c>
      <c r="AB67" s="263">
        <v>0</v>
      </c>
      <c r="AC67" s="263">
        <v>0</v>
      </c>
      <c r="AD67" s="263">
        <v>0</v>
      </c>
      <c r="AE67" s="262">
        <v>0</v>
      </c>
      <c r="AF67" s="263">
        <v>0</v>
      </c>
      <c r="AG67" s="263">
        <v>0</v>
      </c>
      <c r="AH67" s="263">
        <v>0</v>
      </c>
      <c r="AI67" s="262">
        <v>0</v>
      </c>
      <c r="AJ67" s="263">
        <v>0</v>
      </c>
      <c r="AK67" s="263">
        <v>0</v>
      </c>
      <c r="AL67" s="263">
        <v>0</v>
      </c>
      <c r="AM67" s="1265"/>
      <c r="AN67" s="263">
        <v>0</v>
      </c>
      <c r="AO67" s="263">
        <v>0</v>
      </c>
      <c r="AP67" s="263">
        <v>0</v>
      </c>
      <c r="AQ67" s="1265"/>
      <c r="AR67" s="263">
        <v>0</v>
      </c>
      <c r="AS67" s="263">
        <v>0</v>
      </c>
      <c r="AT67" s="263">
        <v>0</v>
      </c>
      <c r="AU67" s="1265"/>
      <c r="AV67" s="263">
        <v>0</v>
      </c>
      <c r="AW67" s="263">
        <v>0</v>
      </c>
      <c r="AX67" s="263">
        <v>0</v>
      </c>
      <c r="AY67" s="1383">
        <v>0</v>
      </c>
      <c r="AZ67" s="263">
        <v>0</v>
      </c>
      <c r="BA67" s="263">
        <v>0</v>
      </c>
      <c r="BB67" s="1503">
        <v>9.2164485583092528</v>
      </c>
      <c r="BC67" s="264">
        <v>0</v>
      </c>
      <c r="BD67" s="263">
        <v>0</v>
      </c>
      <c r="BE67" s="263">
        <v>0</v>
      </c>
      <c r="BF67" s="263">
        <v>0</v>
      </c>
      <c r="BG67" s="264">
        <v>0</v>
      </c>
      <c r="BH67" s="263">
        <v>0</v>
      </c>
      <c r="BI67" s="263">
        <v>0</v>
      </c>
      <c r="BJ67" s="263">
        <v>0</v>
      </c>
      <c r="BK67" s="264">
        <v>0</v>
      </c>
      <c r="BL67" s="20"/>
      <c r="BM67" s="277">
        <f>G67</f>
        <v>0</v>
      </c>
      <c r="BN67" s="277">
        <f>K67</f>
        <v>0</v>
      </c>
      <c r="BO67" s="277">
        <f>O67</f>
        <v>0</v>
      </c>
      <c r="BP67" s="277">
        <f>S67</f>
        <v>0</v>
      </c>
      <c r="BQ67" s="277">
        <f>W67</f>
        <v>0</v>
      </c>
      <c r="BR67" s="277">
        <f>AA67</f>
        <v>0</v>
      </c>
      <c r="BS67" s="277">
        <f>AE67</f>
        <v>0</v>
      </c>
      <c r="BT67" s="277">
        <f>AI67</f>
        <v>0</v>
      </c>
      <c r="BU67" s="277">
        <f>AM67</f>
        <v>0</v>
      </c>
      <c r="BV67" s="277">
        <f>AQ67</f>
        <v>0</v>
      </c>
      <c r="BW67" s="277">
        <f>AU67</f>
        <v>0</v>
      </c>
      <c r="BX67" s="277">
        <f>AY67</f>
        <v>0</v>
      </c>
      <c r="BY67" s="277">
        <f>BC67</f>
        <v>0</v>
      </c>
      <c r="BZ67" s="277">
        <f>BG67</f>
        <v>0</v>
      </c>
      <c r="CA67" s="256">
        <f>BK67</f>
        <v>0</v>
      </c>
      <c r="CB67" s="265"/>
      <c r="CC67" s="266"/>
      <c r="CD67" s="266"/>
      <c r="CE67" s="260"/>
      <c r="CF67" s="265">
        <v>0</v>
      </c>
      <c r="CG67" s="266">
        <v>0</v>
      </c>
      <c r="CH67" s="266">
        <v>0</v>
      </c>
      <c r="CI67" s="266">
        <v>0</v>
      </c>
      <c r="CJ67" s="266">
        <v>0</v>
      </c>
      <c r="CK67" s="266">
        <v>0</v>
      </c>
      <c r="CL67" s="266">
        <v>0</v>
      </c>
      <c r="CM67" s="266">
        <v>0</v>
      </c>
      <c r="CN67" s="266">
        <v>0</v>
      </c>
      <c r="CO67" s="266">
        <v>0</v>
      </c>
      <c r="CP67" s="266">
        <v>0</v>
      </c>
      <c r="CQ67" s="266">
        <v>0</v>
      </c>
      <c r="CR67" s="266">
        <v>0</v>
      </c>
      <c r="CS67" s="262">
        <v>0</v>
      </c>
      <c r="CT67" s="22"/>
    </row>
    <row r="68" spans="1:98" ht="14.25" customHeight="1">
      <c r="A68" s="8"/>
      <c r="B68" s="267" t="s">
        <v>503</v>
      </c>
      <c r="C68" s="268"/>
      <c r="D68" s="1310">
        <f>D66/IS!D10</f>
        <v>4.3935910586071512E-2</v>
      </c>
      <c r="E68" s="1311">
        <f>E66/IS!E10</f>
        <v>7.4569042916142927E-2</v>
      </c>
      <c r="F68" s="1311">
        <f>F66/IS!F10</f>
        <v>0.10118995336386642</v>
      </c>
      <c r="G68" s="1312">
        <f>G66/IS!G10</f>
        <v>0.19829130332312053</v>
      </c>
      <c r="H68" s="1310">
        <f>H66/IS!H10</f>
        <v>0.18878158907597292</v>
      </c>
      <c r="I68" s="1311">
        <f>I66/IS!I10</f>
        <v>0.19994652761165374</v>
      </c>
      <c r="J68" s="1311">
        <f>J66/IS!J10</f>
        <v>0.13439973476359551</v>
      </c>
      <c r="K68" s="1312">
        <f>K66/IS!K10</f>
        <v>0.2692075060578169</v>
      </c>
      <c r="L68" s="1310">
        <f>L66/IS!L10</f>
        <v>0.10867213274283938</v>
      </c>
      <c r="M68" s="1311">
        <f>M66/IS!M10</f>
        <v>0.14208601453636405</v>
      </c>
      <c r="N68" s="1311">
        <f>N66/IS!N10</f>
        <v>9.4253298044767231E-2</v>
      </c>
      <c r="O68" s="1312">
        <f>O66/IS!O10</f>
        <v>7.2310764522699522E-2</v>
      </c>
      <c r="P68" s="1310">
        <f>P66/IS!P10</f>
        <v>7.5807455646802496E-2</v>
      </c>
      <c r="Q68" s="1311">
        <f>Q66/IS!Q10</f>
        <v>7.1930358556035787E-2</v>
      </c>
      <c r="R68" s="1311">
        <f>R66/IS!R10</f>
        <v>0.1059779488613781</v>
      </c>
      <c r="S68" s="1312">
        <f>S66/IS!S10</f>
        <v>8.0860189975942492E-2</v>
      </c>
      <c r="T68" s="1310">
        <f>T66/IS!T10</f>
        <v>5.8905365879718466E-2</v>
      </c>
      <c r="U68" s="1311">
        <f>U66/IS!U10</f>
        <v>5.9742563593550367E-2</v>
      </c>
      <c r="V68" s="1311">
        <f>V66/IS!V10</f>
        <v>5.0074673793428691E-2</v>
      </c>
      <c r="W68" s="1312">
        <f>W66/IS!W10</f>
        <v>7.715535672006249E-2</v>
      </c>
      <c r="X68" s="1310">
        <f>X66/IS!X10</f>
        <v>6.1534259964640445E-2</v>
      </c>
      <c r="Y68" s="1311">
        <f>Y66/IS!Y10</f>
        <v>9.6368952060247703E-2</v>
      </c>
      <c r="Z68" s="1311">
        <f>Z66/IS!Z10</f>
        <v>4.8770961229450807E-2</v>
      </c>
      <c r="AA68" s="1312">
        <f>AA66/IS!AA10</f>
        <v>7.6717782059119777E-2</v>
      </c>
      <c r="AB68" s="1310">
        <f>AB66/IS!AB10</f>
        <v>7.7553215241461512E-2</v>
      </c>
      <c r="AC68" s="1311">
        <f>AC66/IS!AC10</f>
        <v>0.11559983022157437</v>
      </c>
      <c r="AD68" s="1311">
        <f>AD66/IS!AD10</f>
        <v>0.12263923026827167</v>
      </c>
      <c r="AE68" s="1312">
        <f>AE66/IS!AE10</f>
        <v>0.12663730915967444</v>
      </c>
      <c r="AF68" s="1310">
        <f>AF66/IS!AF10</f>
        <v>8.1375436343939331E-2</v>
      </c>
      <c r="AG68" s="1311">
        <f>AG66/IS!AG10</f>
        <v>0.10259604233230796</v>
      </c>
      <c r="AH68" s="1311">
        <f>AH66/IS!AH10</f>
        <v>9.0835598230404491E-2</v>
      </c>
      <c r="AI68" s="1312">
        <f>AI66/IS!AI10</f>
        <v>8.0438149669348924E-2</v>
      </c>
      <c r="AJ68" s="1310">
        <f>AJ66/IS!AJ10</f>
        <v>6.2075281806982081E-2</v>
      </c>
      <c r="AK68" s="1311">
        <f>AK66/IS!AK10</f>
        <v>7.4375195478127418E-2</v>
      </c>
      <c r="AL68" s="1311">
        <v>4.359885814479899E-2</v>
      </c>
      <c r="AM68" s="1312">
        <f>AM66/IS!AM10</f>
        <v>3.6817455215598614E-2</v>
      </c>
      <c r="AN68" s="1310">
        <f>AN66/IS!AN10</f>
        <v>5.4605144112705187E-2</v>
      </c>
      <c r="AO68" s="1311">
        <f>AO66/IS!AO10</f>
        <v>3.278882304268281E-2</v>
      </c>
      <c r="AP68" s="1311">
        <f>AP66/IS!AP10</f>
        <v>1.7643604388294421E-2</v>
      </c>
      <c r="AQ68" s="1312">
        <f>AQ66/IS!AQ10</f>
        <v>2.6368329164642403E-2</v>
      </c>
      <c r="AR68" s="1310">
        <f>AR66/IS!AR10</f>
        <v>2.8125722209382944E-2</v>
      </c>
      <c r="AS68" s="1311">
        <f>AS66/IS!AS10</f>
        <v>2.6486254749613861E-2</v>
      </c>
      <c r="AT68" s="1311">
        <f>AT66/IS!AT10</f>
        <v>3.1571250531290299E-2</v>
      </c>
      <c r="AU68" s="1312">
        <f>AU66/IS!AU10</f>
        <v>3.9722605921649952E-2</v>
      </c>
      <c r="AV68" s="1310">
        <f>AV66/IS!AV10</f>
        <v>2.5490028429130243E-2</v>
      </c>
      <c r="AW68" s="1311">
        <f>AW66/IS!AW10</f>
        <v>2.8629867985001757E-2</v>
      </c>
      <c r="AX68" s="1311">
        <f>AX66/IS!AX10</f>
        <v>1.4256317788911529E-2</v>
      </c>
      <c r="AY68" s="1312">
        <v>0.02</v>
      </c>
      <c r="AZ68" s="1310">
        <f>AZ66/IS!AZ10</f>
        <v>2.4876840444972518E-2</v>
      </c>
      <c r="BA68" s="1311">
        <f>BA66/IS!BA10</f>
        <v>3.5996897068436354E-2</v>
      </c>
      <c r="BB68" s="1434">
        <f>BA68</f>
        <v>3.5996897068436354E-2</v>
      </c>
      <c r="BC68" s="1317">
        <v>0.02</v>
      </c>
      <c r="BD68" s="1316">
        <v>0.02</v>
      </c>
      <c r="BE68" s="1316">
        <f>BD68</f>
        <v>0.02</v>
      </c>
      <c r="BF68" s="1316">
        <f>BE68</f>
        <v>0.02</v>
      </c>
      <c r="BG68" s="1317">
        <f>BF68</f>
        <v>0.02</v>
      </c>
      <c r="BH68" s="1316">
        <v>0.02</v>
      </c>
      <c r="BI68" s="1316">
        <f>BH68</f>
        <v>0.02</v>
      </c>
      <c r="BJ68" s="1316">
        <f>BI68</f>
        <v>0.02</v>
      </c>
      <c r="BK68" s="1317">
        <f>BJ68</f>
        <v>0.02</v>
      </c>
      <c r="BL68" s="20"/>
      <c r="BM68" s="1311">
        <f>BM66/IS!BM10</f>
        <v>0.10835162053803427</v>
      </c>
      <c r="BN68" s="1311">
        <f>BN66/IS!BN10</f>
        <v>0.19995779255038518</v>
      </c>
      <c r="BO68" s="1311">
        <f>BO66/IS!BO10</f>
        <v>0.10515967834885617</v>
      </c>
      <c r="BP68" s="1311">
        <f>BP66/IS!BP10</f>
        <v>8.227689298092665E-2</v>
      </c>
      <c r="BQ68" s="1311">
        <f>BQ66/IS!BQ10</f>
        <v>6.2024836766865092E-2</v>
      </c>
      <c r="BR68" s="1311">
        <f>BR66/IS!BR10</f>
        <v>7.0885448245205665E-2</v>
      </c>
      <c r="BS68" s="1311">
        <f>BS66/IS!BS10</f>
        <v>0.10998327875386568</v>
      </c>
      <c r="BT68" s="1311">
        <f>BT66/IS!BT10</f>
        <v>8.8746933698251748E-2</v>
      </c>
      <c r="BU68" s="1311">
        <f>BU66/IS!BU10</f>
        <v>5.4010269543943078E-2</v>
      </c>
      <c r="BV68" s="1311">
        <f>BV66/IS!BV10</f>
        <v>3.2865396486312162E-2</v>
      </c>
      <c r="BW68" s="1311">
        <f>BW66/IS!BW10</f>
        <v>3.1607235368172414E-2</v>
      </c>
      <c r="BX68" s="1311">
        <f>BX66/IS!BX10</f>
        <v>2.2399661964223092E-2</v>
      </c>
      <c r="BY68" s="1311">
        <f>BY66/IS!BY10</f>
        <v>2.6752974523973835E-2</v>
      </c>
      <c r="BZ68" s="1311">
        <f>BZ66/IS!BZ10</f>
        <v>0.02</v>
      </c>
      <c r="CA68" s="1312">
        <f>CA66/IS!CA10</f>
        <v>0.02</v>
      </c>
      <c r="CB68" s="1482"/>
      <c r="CC68" s="1434"/>
      <c r="CD68" s="1434"/>
      <c r="CE68" s="260"/>
      <c r="CF68" s="1315">
        <f>CF66/IS!CF10</f>
        <v>0.17293894727520823</v>
      </c>
      <c r="CG68" s="1315">
        <f>CG66/IS!CG10</f>
        <v>0.1645174797108776</v>
      </c>
      <c r="CH68" s="1315">
        <f>CH66/IS!CH10</f>
        <v>7.8777999701140106E-2</v>
      </c>
      <c r="CI68" s="1315">
        <f>CI66/IS!CI10</f>
        <v>7.402149922415216E-2</v>
      </c>
      <c r="CJ68" s="1315">
        <f>CJ66/IS!CJ10</f>
        <v>7.2062221765084894E-2</v>
      </c>
      <c r="CK68" s="1315">
        <f>CK66/IS!CK10</f>
        <v>7.9386676647862531E-2</v>
      </c>
      <c r="CL68" s="1315">
        <f>CL66/IS!CL10</f>
        <v>0.10790713767945674</v>
      </c>
      <c r="CM68" s="1315">
        <f>CM66/IS!CM10</f>
        <v>7.7040246126570289E-2</v>
      </c>
      <c r="CN68" s="1315">
        <f>CN66/IS!CN10</f>
        <v>4.1888217926280211E-2</v>
      </c>
      <c r="CO68" s="1315">
        <f>CO66/IS!CO10</f>
        <v>2.4582635692378514E-2</v>
      </c>
      <c r="CP68" s="1315">
        <f>CP66/IS!CP10</f>
        <v>3.1383238754895314E-2</v>
      </c>
      <c r="CQ68" s="1315">
        <f>CQ66/IS!CQ10</f>
        <v>2.4383443612394372E-2</v>
      </c>
      <c r="CR68" s="1315">
        <f>CR66/IS!CR10</f>
        <v>2.1577880345755241E-2</v>
      </c>
      <c r="CS68" s="1315">
        <f>CS66/IS!CS10</f>
        <v>0.02</v>
      </c>
      <c r="CT68" s="22"/>
    </row>
    <row r="69" spans="1:98" ht="14.25" customHeight="1">
      <c r="A69" s="8"/>
      <c r="B69" s="15" t="s">
        <v>504</v>
      </c>
      <c r="C69" s="16"/>
      <c r="D69" s="276">
        <f t="shared" ref="D69:AD69" si="387">D17+D35</f>
        <v>0</v>
      </c>
      <c r="E69" s="275">
        <f t="shared" si="387"/>
        <v>1.544</v>
      </c>
      <c r="F69" s="275">
        <f t="shared" si="387"/>
        <v>0</v>
      </c>
      <c r="G69" s="274">
        <f t="shared" si="387"/>
        <v>0</v>
      </c>
      <c r="H69" s="276">
        <f t="shared" si="387"/>
        <v>0</v>
      </c>
      <c r="I69" s="275">
        <f t="shared" si="387"/>
        <v>0</v>
      </c>
      <c r="J69" s="275">
        <f t="shared" si="387"/>
        <v>0</v>
      </c>
      <c r="K69" s="274">
        <f t="shared" si="387"/>
        <v>1.137</v>
      </c>
      <c r="L69" s="276">
        <f t="shared" si="387"/>
        <v>0</v>
      </c>
      <c r="M69" s="275">
        <f t="shared" si="387"/>
        <v>4.5999999999999996</v>
      </c>
      <c r="N69" s="275">
        <f t="shared" si="387"/>
        <v>1.2080000000000002</v>
      </c>
      <c r="O69" s="274">
        <f t="shared" si="387"/>
        <v>0.98300000000000054</v>
      </c>
      <c r="P69" s="276">
        <f t="shared" si="387"/>
        <v>1.022</v>
      </c>
      <c r="Q69" s="275">
        <f t="shared" si="387"/>
        <v>1.8120000000000001</v>
      </c>
      <c r="R69" s="275">
        <f t="shared" si="387"/>
        <v>0.48399999999999999</v>
      </c>
      <c r="S69" s="274">
        <f t="shared" si="387"/>
        <v>-219.876</v>
      </c>
      <c r="T69" s="276">
        <f t="shared" si="387"/>
        <v>1.0389999999999999</v>
      </c>
      <c r="U69" s="275">
        <f t="shared" si="387"/>
        <v>1.79</v>
      </c>
      <c r="V69" s="275">
        <f t="shared" si="387"/>
        <v>-1.0590000000000002</v>
      </c>
      <c r="W69" s="274">
        <f t="shared" si="387"/>
        <v>-21.721000000000004</v>
      </c>
      <c r="X69" s="276">
        <f t="shared" si="387"/>
        <v>1.0720000000000001</v>
      </c>
      <c r="Y69" s="275">
        <f t="shared" si="387"/>
        <v>38.970999999999997</v>
      </c>
      <c r="Z69" s="275">
        <f t="shared" si="387"/>
        <v>2.9000000000002579E-2</v>
      </c>
      <c r="AA69" s="274">
        <f t="shared" si="387"/>
        <v>5.2289999999999965</v>
      </c>
      <c r="AB69" s="275">
        <f t="shared" si="387"/>
        <v>0.127</v>
      </c>
      <c r="AC69" s="275">
        <f>AC17+AC35</f>
        <v>1.8330000000000002</v>
      </c>
      <c r="AD69" s="275">
        <f t="shared" si="387"/>
        <v>7.2870000000000017</v>
      </c>
      <c r="AE69" s="274">
        <f t="shared" ref="AE69:AJ69" si="388">AE17+AE35</f>
        <v>-1.2000000000002453E-2</v>
      </c>
      <c r="AF69" s="275">
        <f t="shared" si="388"/>
        <v>0.29299999999999998</v>
      </c>
      <c r="AG69" s="275">
        <f t="shared" si="388"/>
        <v>4.0270000000000001</v>
      </c>
      <c r="AH69" s="275">
        <f t="shared" si="388"/>
        <v>7.8019999999999996</v>
      </c>
      <c r="AI69" s="274">
        <f t="shared" si="388"/>
        <v>16.704000000000001</v>
      </c>
      <c r="AJ69" s="275">
        <f t="shared" si="388"/>
        <v>3.0840000000000001</v>
      </c>
      <c r="AK69" s="275">
        <f t="shared" ref="AK69:AP69" si="389">AK17+AK35</f>
        <v>0.26500000000000001</v>
      </c>
      <c r="AL69" s="275">
        <f t="shared" si="389"/>
        <v>1.4359999999999999</v>
      </c>
      <c r="AM69" s="274">
        <f t="shared" si="389"/>
        <v>2.6950000000000003</v>
      </c>
      <c r="AN69" s="275">
        <f t="shared" si="389"/>
        <v>0.45599999999999996</v>
      </c>
      <c r="AO69" s="275">
        <f t="shared" si="389"/>
        <v>26.311</v>
      </c>
      <c r="AP69" s="275">
        <f t="shared" si="389"/>
        <v>1.1740000000000017</v>
      </c>
      <c r="AQ69" s="274">
        <f t="shared" ref="AQ69:BC69" si="390">AQ17+AQ35</f>
        <v>1.5129999999999992</v>
      </c>
      <c r="AR69" s="275">
        <f t="shared" si="390"/>
        <v>-0.7400000000000001</v>
      </c>
      <c r="AS69" s="275">
        <f t="shared" si="390"/>
        <v>45.191999999999993</v>
      </c>
      <c r="AT69" s="275">
        <f t="shared" si="390"/>
        <v>3.2340000000000044</v>
      </c>
      <c r="AU69" s="274">
        <f t="shared" ref="AU69:AZ69" si="391">AU17+AU35</f>
        <v>39.73899999999999</v>
      </c>
      <c r="AV69" s="275">
        <f t="shared" si="391"/>
        <v>0.85699999999999998</v>
      </c>
      <c r="AW69" s="275">
        <f t="shared" si="391"/>
        <v>6.1219999999999999</v>
      </c>
      <c r="AX69" s="275">
        <f t="shared" si="391"/>
        <v>5.596000000000001</v>
      </c>
      <c r="AY69" s="274">
        <f t="shared" si="391"/>
        <v>14.581999999999997</v>
      </c>
      <c r="AZ69" s="275">
        <f t="shared" si="391"/>
        <v>1.534</v>
      </c>
      <c r="BA69" s="275">
        <f t="shared" ref="BA69" si="392">BA17+BA35</f>
        <v>0.79499999999999971</v>
      </c>
      <c r="BB69" s="275">
        <f t="shared" si="390"/>
        <v>4.0039999999999996</v>
      </c>
      <c r="BC69" s="274">
        <f t="shared" si="390"/>
        <v>0</v>
      </c>
      <c r="BD69" s="275">
        <f t="shared" ref="BD69:BK69" si="393">BD17+BD35</f>
        <v>0</v>
      </c>
      <c r="BE69" s="275">
        <f t="shared" si="393"/>
        <v>0</v>
      </c>
      <c r="BF69" s="275">
        <f t="shared" si="393"/>
        <v>0</v>
      </c>
      <c r="BG69" s="274">
        <f t="shared" si="393"/>
        <v>0</v>
      </c>
      <c r="BH69" s="275">
        <f t="shared" si="393"/>
        <v>0</v>
      </c>
      <c r="BI69" s="275">
        <f t="shared" si="393"/>
        <v>0</v>
      </c>
      <c r="BJ69" s="275">
        <f t="shared" si="393"/>
        <v>0</v>
      </c>
      <c r="BK69" s="274">
        <f t="shared" si="393"/>
        <v>0</v>
      </c>
      <c r="BL69" s="20"/>
      <c r="BM69" s="273">
        <f t="shared" ref="BM69:BV69" si="394">BM17+BM35</f>
        <v>1.544</v>
      </c>
      <c r="BN69" s="273">
        <f t="shared" si="394"/>
        <v>1.137</v>
      </c>
      <c r="BO69" s="273">
        <f t="shared" si="394"/>
        <v>6.7910000000000004</v>
      </c>
      <c r="BP69" s="273">
        <f t="shared" si="394"/>
        <v>-216.55799999999999</v>
      </c>
      <c r="BQ69" s="273">
        <f t="shared" si="394"/>
        <v>-19.951000000000004</v>
      </c>
      <c r="BR69" s="273">
        <f t="shared" si="394"/>
        <v>45.301000000000002</v>
      </c>
      <c r="BS69" s="273">
        <f t="shared" si="394"/>
        <v>9.2349999999999994</v>
      </c>
      <c r="BT69" s="273">
        <f t="shared" si="394"/>
        <v>28.826000000000004</v>
      </c>
      <c r="BU69" s="273">
        <f t="shared" si="394"/>
        <v>7.48</v>
      </c>
      <c r="BV69" s="273">
        <f t="shared" si="394"/>
        <v>29.454000000000001</v>
      </c>
      <c r="BW69" s="273">
        <f>BW17+BW35</f>
        <v>87.424999999999997</v>
      </c>
      <c r="BX69" s="273">
        <f>BX17+BX35</f>
        <v>27.156999999999996</v>
      </c>
      <c r="BY69" s="273">
        <f>BY17+BY35</f>
        <v>6.3329999999999993</v>
      </c>
      <c r="BZ69" s="273">
        <f>BZ17+BZ35</f>
        <v>0</v>
      </c>
      <c r="CA69" s="274">
        <f>CA17+CA35</f>
        <v>0</v>
      </c>
      <c r="CB69" s="278"/>
      <c r="CC69" s="277"/>
      <c r="CD69" s="277"/>
      <c r="CE69" s="260"/>
      <c r="CF69" s="339">
        <f t="shared" ref="CF69:CN69" si="395">CF17+CF35</f>
        <v>0</v>
      </c>
      <c r="CG69" s="273">
        <f t="shared" si="395"/>
        <v>5.7370000000000019</v>
      </c>
      <c r="CH69" s="273">
        <f t="shared" si="395"/>
        <v>5.0250000000000004</v>
      </c>
      <c r="CI69" s="273">
        <f t="shared" si="395"/>
        <v>-216.56299999999999</v>
      </c>
      <c r="CJ69" s="273">
        <f t="shared" si="395"/>
        <v>17.262999999999998</v>
      </c>
      <c r="CK69" s="273">
        <f t="shared" si="395"/>
        <v>7.2179999999999982</v>
      </c>
      <c r="CL69" s="273">
        <f t="shared" si="395"/>
        <v>11.594999999999999</v>
      </c>
      <c r="CM69" s="273">
        <f t="shared" si="395"/>
        <v>27.855000000000004</v>
      </c>
      <c r="CN69" s="273">
        <f t="shared" si="395"/>
        <v>30.898</v>
      </c>
      <c r="CO69" s="273">
        <f>CO17+CO35</f>
        <v>47.138999999999996</v>
      </c>
      <c r="CP69" s="273">
        <f>CP17+CP35</f>
        <v>49.951999999999984</v>
      </c>
      <c r="CQ69" s="275">
        <f>CQ17+CQ35</f>
        <v>22.506999999999998</v>
      </c>
      <c r="CR69" s="275">
        <f>CR17+CR35</f>
        <v>4.0039999999999996</v>
      </c>
      <c r="CS69" s="274">
        <f>CS17+CS35</f>
        <v>0</v>
      </c>
      <c r="CT69" s="22"/>
    </row>
    <row r="70" spans="1:98" ht="14.25" customHeight="1">
      <c r="A70" s="8"/>
      <c r="B70" s="23" t="s">
        <v>505</v>
      </c>
      <c r="C70" s="260"/>
      <c r="D70" s="391">
        <f>E70-D66</f>
        <v>1975.7840000000001</v>
      </c>
      <c r="E70" s="257">
        <f>F70-E66</f>
        <v>1994.4170000000001</v>
      </c>
      <c r="F70" s="257">
        <f>G70-F66</f>
        <v>2027.6390000000001</v>
      </c>
      <c r="G70" s="508">
        <v>2076.0250000000001</v>
      </c>
      <c r="H70" s="391">
        <f>I70-H66</f>
        <v>2169.1840000000002</v>
      </c>
      <c r="I70" s="257">
        <f>J70-I66</f>
        <v>2264.0930000000003</v>
      </c>
      <c r="J70" s="257">
        <f>K70-J66</f>
        <v>2363.5570000000002</v>
      </c>
      <c r="K70" s="508">
        <v>2427.6060000000002</v>
      </c>
      <c r="L70" s="391">
        <f>M70-L66</f>
        <v>2324.393</v>
      </c>
      <c r="M70" s="257">
        <f>N70-M66</f>
        <v>2381.346</v>
      </c>
      <c r="N70" s="257">
        <f>O70-N66</f>
        <v>2458.076</v>
      </c>
      <c r="O70" s="508">
        <v>2504.0160000000001</v>
      </c>
      <c r="P70" s="391">
        <f>Q70-P66</f>
        <v>2209.3140000000003</v>
      </c>
      <c r="Q70" s="257">
        <f>R70-Q66</f>
        <v>2247.3090000000002</v>
      </c>
      <c r="R70" s="257">
        <f>S70-R66</f>
        <v>2276.8490000000002</v>
      </c>
      <c r="S70" s="508">
        <v>2312.846</v>
      </c>
      <c r="T70" s="391">
        <f>U70-T66</f>
        <v>2221.0859999999998</v>
      </c>
      <c r="U70" s="257">
        <f>V70-U66</f>
        <v>2247.549</v>
      </c>
      <c r="V70" s="257">
        <f>W70-V66</f>
        <v>2275.8380000000002</v>
      </c>
      <c r="W70" s="508">
        <v>2301.3200000000002</v>
      </c>
      <c r="X70" s="395">
        <v>2337.431</v>
      </c>
      <c r="Y70" s="263">
        <v>2301.0250000000001</v>
      </c>
      <c r="Z70" s="263">
        <v>2323.415</v>
      </c>
      <c r="AA70" s="508">
        <v>2378.7260000000001</v>
      </c>
      <c r="AB70" s="263">
        <v>2427.444</v>
      </c>
      <c r="AC70" s="263">
        <v>2495.8180000000002</v>
      </c>
      <c r="AD70" s="263">
        <v>2511.6030000000001</v>
      </c>
      <c r="AE70" s="508">
        <v>2519.6390000000001</v>
      </c>
      <c r="AF70" s="263">
        <v>2556.674</v>
      </c>
      <c r="AG70" s="263">
        <v>2459.924</v>
      </c>
      <c r="AH70" s="263">
        <v>2494.8229999999999</v>
      </c>
      <c r="AI70" s="508">
        <v>2525.431</v>
      </c>
      <c r="AJ70" s="263">
        <v>2555.71</v>
      </c>
      <c r="AK70" s="263">
        <v>2566.7559999999999</v>
      </c>
      <c r="AL70" s="263">
        <v>2584.616</v>
      </c>
      <c r="AM70" s="508">
        <v>2575.3829999999998</v>
      </c>
      <c r="AN70" s="263">
        <v>2591.1469999999999</v>
      </c>
      <c r="AO70" s="263">
        <v>2494.3090000000002</v>
      </c>
      <c r="AP70" s="263">
        <v>2475.4050000000002</v>
      </c>
      <c r="AQ70" s="508">
        <v>2354.2530000000002</v>
      </c>
      <c r="AR70" s="263">
        <v>1750.069</v>
      </c>
      <c r="AS70" s="263">
        <v>1732.24</v>
      </c>
      <c r="AT70" s="263">
        <f>+AS70-AT34</f>
        <v>1749.77</v>
      </c>
      <c r="AU70" s="508">
        <v>1629.7809999999999</v>
      </c>
      <c r="AV70" s="263">
        <v>1635.0329999999999</v>
      </c>
      <c r="AW70" s="263">
        <v>1638.62</v>
      </c>
      <c r="AX70" s="263">
        <v>1622.703</v>
      </c>
      <c r="AY70" s="508">
        <v>1559.4960000000001</v>
      </c>
      <c r="AZ70" s="263">
        <v>1568.451</v>
      </c>
      <c r="BA70" s="263">
        <v>1590.848</v>
      </c>
      <c r="BB70" s="257">
        <f t="shared" ref="BB70:BG70" si="396">BA70+BB66+BB67-BB69</f>
        <v>1619.4079999999999</v>
      </c>
      <c r="BC70" s="258">
        <f t="shared" si="396"/>
        <v>1632.0057383769999</v>
      </c>
      <c r="BD70" s="257">
        <f t="shared" si="396"/>
        <v>1644.2937837034799</v>
      </c>
      <c r="BE70" s="257">
        <f t="shared" si="396"/>
        <v>1656.604843138557</v>
      </c>
      <c r="BF70" s="257">
        <f t="shared" si="396"/>
        <v>1669.5595178738267</v>
      </c>
      <c r="BG70" s="258">
        <f t="shared" si="396"/>
        <v>1682.6511935142757</v>
      </c>
      <c r="BH70" s="257">
        <f>BG70+BH66+BH67-BH69</f>
        <v>1695.5327954563411</v>
      </c>
      <c r="BI70" s="257">
        <f>BH70+BI66+BI67-BI69</f>
        <v>1708.404502949548</v>
      </c>
      <c r="BJ70" s="257">
        <f>BI70+BJ66+BJ67-BJ69</f>
        <v>1721.7997972887952</v>
      </c>
      <c r="BK70" s="258">
        <f>BJ70+BK66+BK67-BK69</f>
        <v>1735.5512251817295</v>
      </c>
      <c r="BL70" s="20"/>
      <c r="BM70" s="277">
        <f>G70</f>
        <v>2076.0250000000001</v>
      </c>
      <c r="BN70" s="277">
        <f>K70</f>
        <v>2427.6060000000002</v>
      </c>
      <c r="BO70" s="277">
        <f>O70</f>
        <v>2504.0160000000001</v>
      </c>
      <c r="BP70" s="277">
        <f>S70</f>
        <v>2312.846</v>
      </c>
      <c r="BQ70" s="277">
        <f>W70</f>
        <v>2301.3200000000002</v>
      </c>
      <c r="BR70" s="277">
        <f>AA70</f>
        <v>2378.7260000000001</v>
      </c>
      <c r="BS70" s="277">
        <f>AE70</f>
        <v>2519.6390000000001</v>
      </c>
      <c r="BT70" s="277">
        <f>AI70</f>
        <v>2525.431</v>
      </c>
      <c r="BU70" s="277">
        <f>AM70</f>
        <v>2575.3829999999998</v>
      </c>
      <c r="BV70" s="277">
        <f>AQ70</f>
        <v>2354.2530000000002</v>
      </c>
      <c r="BW70" s="277">
        <f>AU70</f>
        <v>1629.7809999999999</v>
      </c>
      <c r="BX70" s="277">
        <f>AY70</f>
        <v>1559.4960000000001</v>
      </c>
      <c r="BY70" s="277">
        <f>BC70</f>
        <v>1632.0057383769999</v>
      </c>
      <c r="BZ70" s="277">
        <f>BG70</f>
        <v>1682.6511935142757</v>
      </c>
      <c r="CA70" s="256">
        <f>BK70</f>
        <v>1735.5512251817295</v>
      </c>
      <c r="CB70" s="278"/>
      <c r="CC70" s="277"/>
      <c r="CD70" s="277"/>
      <c r="CE70" s="260"/>
      <c r="CF70" s="278">
        <f>I70</f>
        <v>2264.0930000000003</v>
      </c>
      <c r="CG70" s="277">
        <f>M70</f>
        <v>2381.346</v>
      </c>
      <c r="CH70" s="277">
        <f>Q70</f>
        <v>2247.3090000000002</v>
      </c>
      <c r="CI70" s="277">
        <f>U70</f>
        <v>2247.549</v>
      </c>
      <c r="CJ70" s="277">
        <f>Y70</f>
        <v>2301.0250000000001</v>
      </c>
      <c r="CK70" s="277">
        <f>AC70</f>
        <v>2495.8180000000002</v>
      </c>
      <c r="CL70" s="277">
        <f>AG70</f>
        <v>2459.924</v>
      </c>
      <c r="CM70" s="277">
        <f>AK70</f>
        <v>2566.7559999999999</v>
      </c>
      <c r="CN70" s="277">
        <f>AO70</f>
        <v>2494.3090000000002</v>
      </c>
      <c r="CO70" s="277">
        <f>AS70</f>
        <v>1732.24</v>
      </c>
      <c r="CP70" s="277">
        <f>AW70</f>
        <v>1638.62</v>
      </c>
      <c r="CQ70" s="277">
        <f>BA70</f>
        <v>1590.848</v>
      </c>
      <c r="CR70" s="277">
        <f>BE70</f>
        <v>1656.604843138557</v>
      </c>
      <c r="CS70" s="256">
        <f>BI70</f>
        <v>1708.404502949548</v>
      </c>
      <c r="CT70" s="22"/>
    </row>
    <row r="71" spans="1:98" ht="14.25" customHeight="1">
      <c r="A71" s="8"/>
      <c r="B71" s="35" t="s">
        <v>506</v>
      </c>
      <c r="C71" s="268"/>
      <c r="D71" s="1310">
        <f>D70/BS!D27</f>
        <v>0.62639305261769618</v>
      </c>
      <c r="E71" s="1311">
        <f>E70/BS!E27</f>
        <v>0.67446558763463249</v>
      </c>
      <c r="F71" s="1311">
        <f>F70/BS!F27</f>
        <v>0.666645296026113</v>
      </c>
      <c r="G71" s="1312">
        <f>G70/BS!G27</f>
        <v>0.6316755295923947</v>
      </c>
      <c r="H71" s="1310">
        <f>H70/BS!H27</f>
        <v>0.62328628768672945</v>
      </c>
      <c r="I71" s="1311">
        <f>I70/BS!I27</f>
        <v>0.64995726936148635</v>
      </c>
      <c r="J71" s="1311">
        <f>J70/BS!J27</f>
        <v>0.6708826087351436</v>
      </c>
      <c r="K71" s="1312">
        <f>K70/BS!K27</f>
        <v>0.67306664330328636</v>
      </c>
      <c r="L71" s="1310">
        <f>L70/BS!L27</f>
        <v>0.62115182803951496</v>
      </c>
      <c r="M71" s="1311">
        <f>M70/BS!M27</f>
        <v>0.65446855173494167</v>
      </c>
      <c r="N71" s="1311">
        <f>N70/BS!N27</f>
        <v>0.66904299325697369</v>
      </c>
      <c r="O71" s="1312">
        <f>O70/BS!O27</f>
        <v>0.67522995154231347</v>
      </c>
      <c r="P71" s="1310">
        <f>P70/BS!P27</f>
        <v>0.59698878312391268</v>
      </c>
      <c r="Q71" s="1311">
        <f>Q70/BS!Q27</f>
        <v>0.70010018747768687</v>
      </c>
      <c r="R71" s="1311">
        <f>R70/BS!R27</f>
        <v>0.72744452907542934</v>
      </c>
      <c r="S71" s="1312">
        <f>S70/BS!S27</f>
        <v>0.75049151868647124</v>
      </c>
      <c r="T71" s="1310">
        <f>T70/BS!T27</f>
        <v>0.72553520440779051</v>
      </c>
      <c r="U71" s="1311">
        <f>U70/BS!U27</f>
        <v>0.74956977800545077</v>
      </c>
      <c r="V71" s="1311">
        <f>V70/BS!V27</f>
        <v>0.73922693316243726</v>
      </c>
      <c r="W71" s="1312">
        <f>W70/BS!W27</f>
        <v>0.66085732951404597</v>
      </c>
      <c r="X71" s="1310">
        <f>X70/BS!X27</f>
        <v>0.7072188067966414</v>
      </c>
      <c r="Y71" s="1311">
        <f>Y70/BS!Y27</f>
        <v>0.68367049519965128</v>
      </c>
      <c r="Z71" s="1311">
        <f>Z70/BS!Z27</f>
        <v>0.67298214555194225</v>
      </c>
      <c r="AA71" s="1312">
        <f>AA70/BS!AA27</f>
        <v>0.67429118277606948</v>
      </c>
      <c r="AB71" s="1310">
        <f>AB70/BS!AB27</f>
        <v>0.68930478140086437</v>
      </c>
      <c r="AC71" s="1311">
        <f>AC70/BS!AC27</f>
        <v>0.70890729139890174</v>
      </c>
      <c r="AD71" s="1311">
        <f>AD70/BS!AD27</f>
        <v>0.68431629892020596</v>
      </c>
      <c r="AE71" s="1312">
        <f>AE70/BS!AE27</f>
        <v>0.67407046543743543</v>
      </c>
      <c r="AF71" s="1310">
        <f>AF70/BS!AF27</f>
        <v>0.69013981094722354</v>
      </c>
      <c r="AG71" s="1311">
        <f>AG70/BS!AG27</f>
        <v>0.65798826444348923</v>
      </c>
      <c r="AH71" s="1311">
        <f>AH70/BS!AH27</f>
        <v>0.57562415236502551</v>
      </c>
      <c r="AI71" s="1312">
        <f>AI70/BS!AI27</f>
        <v>0.64163840128458227</v>
      </c>
      <c r="AJ71" s="1310">
        <f>AJ70/BS!AJ27</f>
        <v>0.67898832012884169</v>
      </c>
      <c r="AK71" s="1311">
        <f>AK70/BS!AK27</f>
        <v>0.59596617692335185</v>
      </c>
      <c r="AL71" s="1311">
        <v>0.59354172001106886</v>
      </c>
      <c r="AM71" s="1312">
        <f>AM70/BS!AM27</f>
        <v>0.5845679312187303</v>
      </c>
      <c r="AN71" s="1310">
        <f>AN70/BS!AN27</f>
        <v>0.60187497459423356</v>
      </c>
      <c r="AO71" s="1311">
        <f>AO70/BS!AO27</f>
        <v>0.60475031439968752</v>
      </c>
      <c r="AP71" s="1311">
        <f>AP70/BS!AP27</f>
        <v>0.59394747771981637</v>
      </c>
      <c r="AQ71" s="1312">
        <f>AQ70/BS!AQ27</f>
        <v>0.5567736988882751</v>
      </c>
      <c r="AR71" s="1310">
        <f>AR70/BS!AR27</f>
        <v>0.44362980324399742</v>
      </c>
      <c r="AS71" s="1311">
        <f>AS70/BS!AS27</f>
        <v>0.43993609112018572</v>
      </c>
      <c r="AT71" s="1311">
        <f>AT70/BS!AT27</f>
        <v>0.43947860437406505</v>
      </c>
      <c r="AU71" s="1312">
        <f>AU70/BS!AU27</f>
        <v>0.3848710249052098</v>
      </c>
      <c r="AV71" s="1310">
        <f>AV70/BS!AV27</f>
        <v>0.38997919198896341</v>
      </c>
      <c r="AW71" s="1311">
        <f>AW70/BS!AW27</f>
        <v>0.41505339194229746</v>
      </c>
      <c r="AX71" s="1311">
        <f>AX70/BS!AX27</f>
        <v>0.40388019960261662</v>
      </c>
      <c r="AY71" s="1312">
        <f>AY70/BS!AY27</f>
        <v>0.34122899204482571</v>
      </c>
      <c r="AZ71" s="1310">
        <f>AZ70/BS!AZ27</f>
        <v>0.34577798177515634</v>
      </c>
      <c r="BA71" s="1311">
        <f>BA70/BS!BA27</f>
        <v>0.34852531880735554</v>
      </c>
      <c r="BB71" s="1311">
        <f>BB70/BS!BB27</f>
        <v>0.35027897374002176</v>
      </c>
      <c r="BC71" s="1312">
        <f>BC70/BS!BC27</f>
        <v>0.35792752147161067</v>
      </c>
      <c r="BD71" s="1310">
        <f>BD70/BS!BD27</f>
        <v>0.36603007082786571</v>
      </c>
      <c r="BE71" s="1311">
        <f>BE70/BS!BE27</f>
        <v>0.37377622146349493</v>
      </c>
      <c r="BF71" s="1311">
        <f>BF70/BS!BF27</f>
        <v>0.38002996933952216</v>
      </c>
      <c r="BG71" s="1312">
        <f>BG70/BS!BG27</f>
        <v>0.38623641952452609</v>
      </c>
      <c r="BH71" s="1310">
        <f>BH70/BS!BH27</f>
        <v>0.39311672606489168</v>
      </c>
      <c r="BI71" s="1311">
        <f>BI70/BS!BI27</f>
        <v>0.40005443149392528</v>
      </c>
      <c r="BJ71" s="1311">
        <f>BJ70/BS!BJ27</f>
        <v>0.40564701728049252</v>
      </c>
      <c r="BK71" s="1312">
        <f>BK70/BS!BK27</f>
        <v>0.41049038575392749</v>
      </c>
      <c r="BL71" s="20"/>
      <c r="BM71" s="1311">
        <f>BM70/BS!BM27</f>
        <v>0.6316755295923947</v>
      </c>
      <c r="BN71" s="1311">
        <f>BN70/BS!BN27</f>
        <v>0.67306664330328636</v>
      </c>
      <c r="BO71" s="1311">
        <f>BO70/BS!BO27</f>
        <v>0.67522995154231347</v>
      </c>
      <c r="BP71" s="1311">
        <f>BP70/BS!BP27</f>
        <v>0.75049151868647124</v>
      </c>
      <c r="BQ71" s="1311">
        <f>BQ70/BS!BQ27</f>
        <v>0.66085732951404597</v>
      </c>
      <c r="BR71" s="1311">
        <f>BR70/BS!BR27</f>
        <v>0.67429118277606948</v>
      </c>
      <c r="BS71" s="1311">
        <f>BS70/BS!BS27</f>
        <v>0.67407046543743543</v>
      </c>
      <c r="BT71" s="1311">
        <f>BT70/BS!BT27</f>
        <v>0.64163840128458227</v>
      </c>
      <c r="BU71" s="1311">
        <f>BU70/BS!BU27</f>
        <v>0.5845679312187303</v>
      </c>
      <c r="BV71" s="1311">
        <f>BV70/BS!BV27</f>
        <v>0.5567736988882751</v>
      </c>
      <c r="BW71" s="1311">
        <f>BW70/BS!BW27</f>
        <v>0.3848710249052098</v>
      </c>
      <c r="BX71" s="1311">
        <f>BX70/BS!BX27</f>
        <v>0.34122899204482571</v>
      </c>
      <c r="BY71" s="1311">
        <f>BY70/BS!BY27</f>
        <v>0.35792752147161067</v>
      </c>
      <c r="BZ71" s="1311">
        <f>BZ70/BS!BZ27</f>
        <v>0.38623641952452609</v>
      </c>
      <c r="CA71" s="1312">
        <f>CA70/BS!CA27</f>
        <v>0.41049038575392749</v>
      </c>
      <c r="CB71" s="1310"/>
      <c r="CC71" s="1311"/>
      <c r="CD71" s="1311"/>
      <c r="CE71" s="260"/>
      <c r="CF71" s="1311">
        <f>CF70/BS!CF27</f>
        <v>0.64995726936148635</v>
      </c>
      <c r="CG71" s="1311">
        <f>CG70/BS!CG27</f>
        <v>0.65446855173494167</v>
      </c>
      <c r="CH71" s="1311">
        <f>CH70/BS!CH27</f>
        <v>0.70010018747768687</v>
      </c>
      <c r="CI71" s="1311">
        <f>CI70/BS!CI27</f>
        <v>0.74956977800545077</v>
      </c>
      <c r="CJ71" s="1311">
        <f>CJ70/BS!CJ27</f>
        <v>0.68367049519965128</v>
      </c>
      <c r="CK71" s="1311">
        <f>CK70/BS!CK27</f>
        <v>0.70890729139890174</v>
      </c>
      <c r="CL71" s="1311">
        <f>CL70/BS!CL27</f>
        <v>0.65798826444348923</v>
      </c>
      <c r="CM71" s="1311">
        <f>CM70/BS!CM27</f>
        <v>0.59596617692335185</v>
      </c>
      <c r="CN71" s="1311">
        <f>CN70/BS!CN27</f>
        <v>0.60475031439968752</v>
      </c>
      <c r="CO71" s="1311">
        <f>CO70/BS!CO27</f>
        <v>0.43993609112018572</v>
      </c>
      <c r="CP71" s="1311">
        <f>CP70/BS!CP27</f>
        <v>0.41505339194229746</v>
      </c>
      <c r="CQ71" s="1311">
        <f>CQ70/BS!CQ27</f>
        <v>0.34852531880735554</v>
      </c>
      <c r="CR71" s="1311">
        <f>CR70/BS!CR27</f>
        <v>0.37377622146349493</v>
      </c>
      <c r="CS71" s="1311">
        <f>CS70/BS!CS27</f>
        <v>0.40005443149392528</v>
      </c>
      <c r="CT71" s="22"/>
    </row>
    <row r="72" spans="1:98" ht="14.25" customHeight="1">
      <c r="A72" s="8"/>
      <c r="B72" s="71" t="s">
        <v>507</v>
      </c>
      <c r="C72" s="16"/>
      <c r="D72" s="1313">
        <f>D70-BS!D19</f>
        <v>975.99600000000009</v>
      </c>
      <c r="E72" s="1314">
        <f>E70-BS!E19</f>
        <v>976.80500000000018</v>
      </c>
      <c r="F72" s="1314">
        <f>F70-BS!F19</f>
        <v>966.78500000000008</v>
      </c>
      <c r="G72" s="507">
        <v>911.54100000000005</v>
      </c>
      <c r="H72" s="1313">
        <f>H70-BS!H19</f>
        <v>914.69100000000026</v>
      </c>
      <c r="I72" s="1314">
        <f>I70-BS!I19</f>
        <v>960.0890000000004</v>
      </c>
      <c r="J72" s="1314">
        <f>J70-BS!J19</f>
        <v>1014.3720000000003</v>
      </c>
      <c r="K72" s="507">
        <v>996.33299999999997</v>
      </c>
      <c r="L72" s="1313">
        <f>L70-BS!L19</f>
        <v>854.64900000000011</v>
      </c>
      <c r="M72" s="1314">
        <f>M70-BS!M19</f>
        <v>880.52700000000004</v>
      </c>
      <c r="N72" s="1314">
        <f>N70-BS!N19</f>
        <v>960.61500000000001</v>
      </c>
      <c r="O72" s="507">
        <v>1018.816</v>
      </c>
      <c r="P72" s="1313">
        <f>P70-BS!P19</f>
        <v>747.5450000000003</v>
      </c>
      <c r="Q72" s="1314">
        <f>Q70-BS!Q19</f>
        <v>843.07600000000025</v>
      </c>
      <c r="R72" s="1314">
        <f>R70-BS!R19</f>
        <v>895.37500000000023</v>
      </c>
      <c r="S72" s="507">
        <v>946.79399999999998</v>
      </c>
      <c r="T72" s="1313">
        <f>T70-BS!T19</f>
        <v>868.22899999999981</v>
      </c>
      <c r="U72" s="1314">
        <f>U70-BS!U19</f>
        <v>905.71699999999987</v>
      </c>
      <c r="V72" s="1314">
        <f>V70-BS!V19</f>
        <v>950.49000000000024</v>
      </c>
      <c r="W72" s="507">
        <v>976.88400000000001</v>
      </c>
      <c r="X72" s="265">
        <v>1014.239</v>
      </c>
      <c r="Y72" s="266">
        <v>1002.87</v>
      </c>
      <c r="Z72" s="266">
        <v>1037.354</v>
      </c>
      <c r="AA72" s="507">
        <v>1069.876</v>
      </c>
      <c r="AB72" s="261">
        <v>1098.6120000000001</v>
      </c>
      <c r="AC72" s="266">
        <v>1130.0029999999999</v>
      </c>
      <c r="AD72" s="261">
        <v>1150.3030000000001</v>
      </c>
      <c r="AE72" s="507">
        <v>1166.0329999999999</v>
      </c>
      <c r="AF72" s="261">
        <v>1196.7919999999999</v>
      </c>
      <c r="AG72" s="266">
        <v>1100.9100000000001</v>
      </c>
      <c r="AH72" s="261">
        <v>1125.9179999999999</v>
      </c>
      <c r="AI72" s="507">
        <v>1152.307</v>
      </c>
      <c r="AJ72" s="261">
        <v>1181.1659999999999</v>
      </c>
      <c r="AK72" s="266">
        <v>1194.3630000000001</v>
      </c>
      <c r="AL72" s="261">
        <v>1229.348</v>
      </c>
      <c r="AM72" s="507">
        <v>1243.864</v>
      </c>
      <c r="AN72" s="261">
        <v>1287.2860000000001</v>
      </c>
      <c r="AO72" s="266">
        <v>1298.9860000000001</v>
      </c>
      <c r="AP72" s="266">
        <v>1319.816</v>
      </c>
      <c r="AQ72" s="507">
        <v>1263.5139999999999</v>
      </c>
      <c r="AR72" s="261">
        <v>944.48900000000003</v>
      </c>
      <c r="AS72" s="266">
        <v>961.69200000000001</v>
      </c>
      <c r="AT72" s="266">
        <f>+AS72+39.297</f>
        <v>1000.989</v>
      </c>
      <c r="AU72" s="507">
        <v>937.23</v>
      </c>
      <c r="AV72" s="261">
        <v>956.58600000000001</v>
      </c>
      <c r="AW72" s="266">
        <v>977.96</v>
      </c>
      <c r="AX72" s="266">
        <v>985.86800000000005</v>
      </c>
      <c r="AY72" s="507">
        <v>952.91499999999996</v>
      </c>
      <c r="AZ72" s="261">
        <v>972.82899999999995</v>
      </c>
      <c r="BA72" s="266">
        <v>993.03</v>
      </c>
      <c r="BB72" s="255">
        <f t="shared" ref="BB72:BG72" si="397">BA72+BB80</f>
        <v>1030.231</v>
      </c>
      <c r="BC72" s="256">
        <f t="shared" si="397"/>
        <v>1055.231</v>
      </c>
      <c r="BD72" s="255">
        <f t="shared" si="397"/>
        <v>1111.231</v>
      </c>
      <c r="BE72" s="255">
        <f t="shared" si="397"/>
        <v>1167.231</v>
      </c>
      <c r="BF72" s="255">
        <f t="shared" si="397"/>
        <v>1223.231</v>
      </c>
      <c r="BG72" s="256">
        <f t="shared" si="397"/>
        <v>1279.231</v>
      </c>
      <c r="BH72" s="255">
        <f>BG72+BH80</f>
        <v>1335.231</v>
      </c>
      <c r="BI72" s="255">
        <f>BH72+BI80</f>
        <v>1391.231</v>
      </c>
      <c r="BJ72" s="255">
        <f>BI72+BJ80</f>
        <v>1447.231</v>
      </c>
      <c r="BK72" s="256">
        <f>BJ72+BK80</f>
        <v>1503.231</v>
      </c>
      <c r="BL72" s="20"/>
      <c r="BM72" s="275">
        <f>G72</f>
        <v>911.54100000000005</v>
      </c>
      <c r="BN72" s="275">
        <f>K72</f>
        <v>996.33299999999997</v>
      </c>
      <c r="BO72" s="275">
        <f>O72</f>
        <v>1018.816</v>
      </c>
      <c r="BP72" s="275">
        <f>S72</f>
        <v>946.79399999999998</v>
      </c>
      <c r="BQ72" s="275">
        <f>W72</f>
        <v>976.88400000000001</v>
      </c>
      <c r="BR72" s="275">
        <f>AA72</f>
        <v>1069.876</v>
      </c>
      <c r="BS72" s="275">
        <f>AE72</f>
        <v>1166.0329999999999</v>
      </c>
      <c r="BT72" s="275">
        <f>AI72</f>
        <v>1152.307</v>
      </c>
      <c r="BU72" s="275">
        <f>AM72</f>
        <v>1243.864</v>
      </c>
      <c r="BV72" s="275">
        <f>AQ72</f>
        <v>1263.5139999999999</v>
      </c>
      <c r="BW72" s="275">
        <f>AU72</f>
        <v>937.23</v>
      </c>
      <c r="BX72" s="275">
        <f>AY72</f>
        <v>952.91499999999996</v>
      </c>
      <c r="BY72" s="275">
        <f>BC72</f>
        <v>1055.231</v>
      </c>
      <c r="BZ72" s="275">
        <f>BG72</f>
        <v>1279.231</v>
      </c>
      <c r="CA72" s="274">
        <f>BK72</f>
        <v>1503.231</v>
      </c>
      <c r="CB72" s="278"/>
      <c r="CC72" s="277"/>
      <c r="CD72" s="277"/>
      <c r="CE72" s="260"/>
      <c r="CF72" s="276">
        <f>I72</f>
        <v>960.0890000000004</v>
      </c>
      <c r="CG72" s="275">
        <f>M72</f>
        <v>880.52700000000004</v>
      </c>
      <c r="CH72" s="275">
        <f>Q72</f>
        <v>843.07600000000025</v>
      </c>
      <c r="CI72" s="275">
        <f>U72</f>
        <v>905.71699999999987</v>
      </c>
      <c r="CJ72" s="275">
        <f>Y72</f>
        <v>1002.87</v>
      </c>
      <c r="CK72" s="275">
        <f>AC72</f>
        <v>1130.0029999999999</v>
      </c>
      <c r="CL72" s="275">
        <f>AG72</f>
        <v>1100.9100000000001</v>
      </c>
      <c r="CM72" s="275">
        <f>AK72</f>
        <v>1194.3630000000001</v>
      </c>
      <c r="CN72" s="275">
        <f>AO72</f>
        <v>1298.9860000000001</v>
      </c>
      <c r="CO72" s="275">
        <f>AS72</f>
        <v>961.69200000000001</v>
      </c>
      <c r="CP72" s="275">
        <f>AW72</f>
        <v>977.96</v>
      </c>
      <c r="CQ72" s="275">
        <f>BA72</f>
        <v>993.03</v>
      </c>
      <c r="CR72" s="275">
        <f>BE72</f>
        <v>1167.231</v>
      </c>
      <c r="CS72" s="256">
        <f>BI72</f>
        <v>1391.231</v>
      </c>
      <c r="CT72" s="22"/>
    </row>
    <row r="73" spans="1:98" ht="14.25" customHeight="1">
      <c r="A73" s="8"/>
      <c r="B73" s="279" t="s">
        <v>508</v>
      </c>
      <c r="C73" s="280"/>
      <c r="D73" s="283">
        <f t="shared" ref="D73:Z73" si="398">D70-D72</f>
        <v>999.78800000000001</v>
      </c>
      <c r="E73" s="281">
        <f t="shared" si="398"/>
        <v>1017.612</v>
      </c>
      <c r="F73" s="281">
        <f t="shared" si="398"/>
        <v>1060.854</v>
      </c>
      <c r="G73" s="282">
        <f t="shared" si="398"/>
        <v>1164.4839999999999</v>
      </c>
      <c r="H73" s="283">
        <f t="shared" si="398"/>
        <v>1254.4929999999999</v>
      </c>
      <c r="I73" s="281">
        <f t="shared" si="398"/>
        <v>1304.0039999999999</v>
      </c>
      <c r="J73" s="281">
        <f t="shared" si="398"/>
        <v>1349.1849999999999</v>
      </c>
      <c r="K73" s="282">
        <f t="shared" si="398"/>
        <v>1431.2730000000001</v>
      </c>
      <c r="L73" s="283">
        <f t="shared" si="398"/>
        <v>1469.7439999999999</v>
      </c>
      <c r="M73" s="281">
        <f t="shared" si="398"/>
        <v>1500.819</v>
      </c>
      <c r="N73" s="281">
        <f t="shared" si="398"/>
        <v>1497.461</v>
      </c>
      <c r="O73" s="282">
        <f t="shared" si="398"/>
        <v>1485.2</v>
      </c>
      <c r="P73" s="283">
        <f t="shared" si="398"/>
        <v>1461.769</v>
      </c>
      <c r="Q73" s="281">
        <f t="shared" si="398"/>
        <v>1404.2329999999999</v>
      </c>
      <c r="R73" s="281">
        <f t="shared" si="398"/>
        <v>1381.4739999999999</v>
      </c>
      <c r="S73" s="282">
        <f t="shared" si="398"/>
        <v>1366.0520000000001</v>
      </c>
      <c r="T73" s="283">
        <f t="shared" si="398"/>
        <v>1352.857</v>
      </c>
      <c r="U73" s="281">
        <f t="shared" si="398"/>
        <v>1341.8320000000001</v>
      </c>
      <c r="V73" s="281">
        <f t="shared" si="398"/>
        <v>1325.348</v>
      </c>
      <c r="W73" s="282">
        <f t="shared" si="398"/>
        <v>1324.4360000000001</v>
      </c>
      <c r="X73" s="283">
        <f t="shared" si="398"/>
        <v>1323.192</v>
      </c>
      <c r="Y73" s="281">
        <f t="shared" si="398"/>
        <v>1298.1550000000002</v>
      </c>
      <c r="Z73" s="281">
        <f t="shared" si="398"/>
        <v>1286.0609999999999</v>
      </c>
      <c r="AA73" s="282">
        <f t="shared" ref="AA73:AQ73" si="399">AA70-AA72</f>
        <v>1308.8500000000001</v>
      </c>
      <c r="AB73" s="281">
        <f t="shared" si="399"/>
        <v>1328.8319999999999</v>
      </c>
      <c r="AC73" s="281">
        <f t="shared" si="399"/>
        <v>1365.8150000000003</v>
      </c>
      <c r="AD73" s="281">
        <f t="shared" si="399"/>
        <v>1361.3</v>
      </c>
      <c r="AE73" s="282">
        <f t="shared" si="399"/>
        <v>1353.6060000000002</v>
      </c>
      <c r="AF73" s="281">
        <f t="shared" si="399"/>
        <v>1359.8820000000001</v>
      </c>
      <c r="AG73" s="281">
        <f t="shared" si="399"/>
        <v>1359.0139999999999</v>
      </c>
      <c r="AH73" s="281">
        <f t="shared" si="399"/>
        <v>1368.905</v>
      </c>
      <c r="AI73" s="282">
        <f t="shared" si="399"/>
        <v>1373.124</v>
      </c>
      <c r="AJ73" s="281">
        <f t="shared" si="399"/>
        <v>1374.5440000000001</v>
      </c>
      <c r="AK73" s="281">
        <f t="shared" si="399"/>
        <v>1372.3929999999998</v>
      </c>
      <c r="AL73" s="281">
        <f t="shared" si="399"/>
        <v>1355.268</v>
      </c>
      <c r="AM73" s="282">
        <f t="shared" si="399"/>
        <v>1331.5189999999998</v>
      </c>
      <c r="AN73" s="281">
        <f t="shared" si="399"/>
        <v>1303.8609999999999</v>
      </c>
      <c r="AO73" s="281">
        <f>AO70-AO72</f>
        <v>1195.3230000000001</v>
      </c>
      <c r="AP73" s="281">
        <f>AP70-AP72</f>
        <v>1155.5890000000002</v>
      </c>
      <c r="AQ73" s="282">
        <f t="shared" si="399"/>
        <v>1090.7390000000003</v>
      </c>
      <c r="AR73" s="281">
        <f t="shared" ref="AR73:BC73" si="400">AR70-AR72</f>
        <v>805.57999999999993</v>
      </c>
      <c r="AS73" s="281">
        <f t="shared" si="400"/>
        <v>770.548</v>
      </c>
      <c r="AT73" s="281">
        <f t="shared" si="400"/>
        <v>748.78099999999995</v>
      </c>
      <c r="AU73" s="282">
        <f t="shared" si="400"/>
        <v>692.55099999999993</v>
      </c>
      <c r="AV73" s="281">
        <f>AV70-AV72</f>
        <v>678.44699999999989</v>
      </c>
      <c r="AW73" s="281">
        <f>AW70-AW72</f>
        <v>660.65999999999985</v>
      </c>
      <c r="AX73" s="281">
        <f>AX70-AX72+AX67</f>
        <v>636.83499999999992</v>
      </c>
      <c r="AY73" s="282">
        <f>AY70-AY72</f>
        <v>606.58100000000013</v>
      </c>
      <c r="AZ73" s="281">
        <f>AZ70-AZ72</f>
        <v>595.62200000000007</v>
      </c>
      <c r="BA73" s="281">
        <f>BA70-BA72</f>
        <v>597.81799999999998</v>
      </c>
      <c r="BB73" s="281">
        <f t="shared" si="400"/>
        <v>589.17699999999991</v>
      </c>
      <c r="BC73" s="282">
        <f t="shared" si="400"/>
        <v>576.77473837699995</v>
      </c>
      <c r="BD73" s="281">
        <f t="shared" ref="BD73:BK73" si="401">BD70-BD72</f>
        <v>533.06278370347991</v>
      </c>
      <c r="BE73" s="281">
        <f t="shared" si="401"/>
        <v>489.37384313855705</v>
      </c>
      <c r="BF73" s="281">
        <f t="shared" si="401"/>
        <v>446.32851787382674</v>
      </c>
      <c r="BG73" s="282">
        <f t="shared" si="401"/>
        <v>403.42019351427575</v>
      </c>
      <c r="BH73" s="281">
        <f t="shared" si="401"/>
        <v>360.3017954563411</v>
      </c>
      <c r="BI73" s="281">
        <f t="shared" si="401"/>
        <v>317.17350294954804</v>
      </c>
      <c r="BJ73" s="281">
        <f t="shared" si="401"/>
        <v>274.56879728879517</v>
      </c>
      <c r="BK73" s="282">
        <f t="shared" si="401"/>
        <v>232.32022518172948</v>
      </c>
      <c r="BL73" s="20"/>
      <c r="BM73" s="281">
        <f t="shared" ref="BM73:BS73" si="402">BM70-BM72</f>
        <v>1164.4839999999999</v>
      </c>
      <c r="BN73" s="281">
        <f t="shared" si="402"/>
        <v>1431.2730000000001</v>
      </c>
      <c r="BO73" s="281">
        <f t="shared" si="402"/>
        <v>1485.2</v>
      </c>
      <c r="BP73" s="281">
        <f t="shared" si="402"/>
        <v>1366.0520000000001</v>
      </c>
      <c r="BQ73" s="281">
        <f t="shared" si="402"/>
        <v>1324.4360000000001</v>
      </c>
      <c r="BR73" s="281">
        <f t="shared" si="402"/>
        <v>1308.8500000000001</v>
      </c>
      <c r="BS73" s="281">
        <f t="shared" si="402"/>
        <v>1353.6060000000002</v>
      </c>
      <c r="BT73" s="281">
        <f t="shared" ref="BT73:CA73" si="403">BT70-BT72</f>
        <v>1373.124</v>
      </c>
      <c r="BU73" s="281">
        <f t="shared" si="403"/>
        <v>1331.5189999999998</v>
      </c>
      <c r="BV73" s="281">
        <f t="shared" si="403"/>
        <v>1090.7390000000003</v>
      </c>
      <c r="BW73" s="281">
        <f t="shared" si="403"/>
        <v>692.55099999999993</v>
      </c>
      <c r="BX73" s="281">
        <f t="shared" si="403"/>
        <v>606.58100000000013</v>
      </c>
      <c r="BY73" s="281">
        <f t="shared" si="403"/>
        <v>576.77473837699995</v>
      </c>
      <c r="BZ73" s="281">
        <f t="shared" si="403"/>
        <v>403.42019351427575</v>
      </c>
      <c r="CA73" s="282">
        <f t="shared" si="403"/>
        <v>232.32022518172948</v>
      </c>
      <c r="CB73" s="1492"/>
      <c r="CC73" s="1443"/>
      <c r="CD73" s="1443"/>
      <c r="CE73" s="260"/>
      <c r="CF73" s="283">
        <f t="shared" ref="CF73:CL73" si="404">CF70-CF72</f>
        <v>1304.0039999999999</v>
      </c>
      <c r="CG73" s="281">
        <f t="shared" si="404"/>
        <v>1500.819</v>
      </c>
      <c r="CH73" s="281">
        <f t="shared" si="404"/>
        <v>1404.2329999999999</v>
      </c>
      <c r="CI73" s="281">
        <f t="shared" si="404"/>
        <v>1341.8320000000001</v>
      </c>
      <c r="CJ73" s="281">
        <f t="shared" si="404"/>
        <v>1298.1550000000002</v>
      </c>
      <c r="CK73" s="281">
        <f t="shared" si="404"/>
        <v>1365.8150000000003</v>
      </c>
      <c r="CL73" s="281">
        <f t="shared" si="404"/>
        <v>1359.0139999999999</v>
      </c>
      <c r="CM73" s="281">
        <f t="shared" ref="CM73:CR73" si="405">CM70-CM72</f>
        <v>1372.3929999999998</v>
      </c>
      <c r="CN73" s="281">
        <f t="shared" si="405"/>
        <v>1195.3230000000001</v>
      </c>
      <c r="CO73" s="281">
        <f t="shared" si="405"/>
        <v>770.548</v>
      </c>
      <c r="CP73" s="281">
        <f t="shared" si="405"/>
        <v>660.65999999999985</v>
      </c>
      <c r="CQ73" s="281">
        <f t="shared" si="405"/>
        <v>597.81799999999998</v>
      </c>
      <c r="CR73" s="281">
        <f t="shared" si="405"/>
        <v>489.37384313855705</v>
      </c>
      <c r="CS73" s="282">
        <f>CS70-CS72</f>
        <v>317.17350294954804</v>
      </c>
      <c r="CT73" s="22"/>
    </row>
    <row r="74" spans="1:98" ht="14.25" customHeight="1">
      <c r="A74" s="8"/>
      <c r="B74" s="1239"/>
      <c r="C74" s="1239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  <c r="AB74" s="257"/>
      <c r="AC74" s="257"/>
      <c r="AD74" s="257"/>
      <c r="AE74" s="257"/>
      <c r="AF74" s="257"/>
      <c r="AG74" s="257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  <c r="AR74" s="257"/>
      <c r="AS74" s="257"/>
      <c r="AT74" s="257"/>
      <c r="AU74" s="257"/>
      <c r="AV74" s="257"/>
      <c r="AW74" s="257"/>
      <c r="AX74" s="257"/>
      <c r="AY74" s="257"/>
      <c r="AZ74" s="257"/>
      <c r="BA74" s="257"/>
      <c r="BB74" s="257"/>
      <c r="BC74" s="257"/>
      <c r="BD74" s="257"/>
      <c r="BE74" s="257"/>
      <c r="BF74" s="257"/>
      <c r="BG74" s="257"/>
      <c r="BH74" s="257"/>
      <c r="BI74" s="257"/>
      <c r="BJ74" s="257"/>
      <c r="BK74" s="257"/>
      <c r="BL74" s="14"/>
      <c r="BM74" s="257"/>
      <c r="BN74" s="257"/>
      <c r="BO74" s="257"/>
      <c r="BP74" s="257"/>
      <c r="BQ74" s="257"/>
      <c r="BR74" s="257"/>
      <c r="BS74" s="257"/>
      <c r="BT74" s="257"/>
      <c r="BU74" s="257"/>
      <c r="BV74" s="257"/>
      <c r="BW74" s="257"/>
      <c r="BX74" s="257"/>
      <c r="BY74" s="257"/>
      <c r="BZ74" s="257"/>
      <c r="CA74" s="257"/>
      <c r="CB74" s="277"/>
      <c r="CC74" s="277"/>
      <c r="CD74" s="277"/>
      <c r="CE74" s="8"/>
      <c r="CF74" s="284"/>
      <c r="CG74" s="257"/>
      <c r="CH74" s="257"/>
      <c r="CI74" s="257"/>
      <c r="CJ74" s="257"/>
      <c r="CK74" s="257"/>
      <c r="CL74" s="257"/>
      <c r="CM74" s="257"/>
      <c r="CN74" s="257"/>
      <c r="CO74" s="257"/>
      <c r="CP74" s="257"/>
      <c r="CQ74" s="257"/>
      <c r="CR74" s="257"/>
      <c r="CS74" s="257"/>
      <c r="CT74" s="8"/>
    </row>
    <row r="75" spans="1:98" ht="14.25" customHeight="1">
      <c r="A75" s="8"/>
      <c r="B75" s="79" t="s">
        <v>472</v>
      </c>
      <c r="C75" s="244"/>
      <c r="D75" s="183">
        <f>BS!D19</f>
        <v>999.78800000000001</v>
      </c>
      <c r="E75" s="181">
        <f>BS!E19</f>
        <v>1017.612</v>
      </c>
      <c r="F75" s="181">
        <f>BS!F19</f>
        <v>1060.854</v>
      </c>
      <c r="G75" s="184">
        <f>BS!G19</f>
        <v>1164.4839999999999</v>
      </c>
      <c r="H75" s="183">
        <f>BS!H19</f>
        <v>1254.4929999999999</v>
      </c>
      <c r="I75" s="181">
        <f>BS!I19</f>
        <v>1304.0039999999999</v>
      </c>
      <c r="J75" s="181">
        <f>BS!J19</f>
        <v>1349.1849999999999</v>
      </c>
      <c r="K75" s="184">
        <f>BS!K19</f>
        <v>1431.2729999999999</v>
      </c>
      <c r="L75" s="183">
        <f>BS!L19</f>
        <v>1469.7439999999999</v>
      </c>
      <c r="M75" s="181">
        <f>BS!M19</f>
        <v>1500.819</v>
      </c>
      <c r="N75" s="181">
        <f>BS!N19</f>
        <v>1497.461</v>
      </c>
      <c r="O75" s="184">
        <f>BS!O19</f>
        <v>1485.2</v>
      </c>
      <c r="P75" s="183">
        <f>BS!P19</f>
        <v>1461.769</v>
      </c>
      <c r="Q75" s="181">
        <f>BS!Q19</f>
        <v>1404.2329999999999</v>
      </c>
      <c r="R75" s="181">
        <f>BS!R19</f>
        <v>1381.4739999999999</v>
      </c>
      <c r="S75" s="184">
        <f>BS!S19</f>
        <v>1366.0519999999999</v>
      </c>
      <c r="T75" s="183">
        <f>BS!T19</f>
        <v>1352.857</v>
      </c>
      <c r="U75" s="181">
        <f>BS!U19</f>
        <v>1341.8320000000001</v>
      </c>
      <c r="V75" s="181">
        <f>BS!V19</f>
        <v>1325.348</v>
      </c>
      <c r="W75" s="184">
        <f>BS!W19</f>
        <v>1324.4359999999999</v>
      </c>
      <c r="X75" s="183">
        <f>BS!X19</f>
        <v>1323.192</v>
      </c>
      <c r="Y75" s="181">
        <f>BS!Y19</f>
        <v>1298.155</v>
      </c>
      <c r="Z75" s="181">
        <f>BS!Z19</f>
        <v>1286.0609999999999</v>
      </c>
      <c r="AA75" s="184">
        <f>BS!AA19</f>
        <v>1308.8499999999999</v>
      </c>
      <c r="AB75" s="181">
        <f>BS!AB19</f>
        <v>1328.8320000000001</v>
      </c>
      <c r="AC75" s="181">
        <f>BS!AC19</f>
        <v>1365.8150000000001</v>
      </c>
      <c r="AD75" s="181">
        <f>BS!AD19</f>
        <v>1361.3</v>
      </c>
      <c r="AE75" s="184">
        <f>BS!AE19</f>
        <v>1353.606</v>
      </c>
      <c r="AF75" s="181">
        <f>BS!AF19</f>
        <v>1359.8820000000001</v>
      </c>
      <c r="AG75" s="181">
        <f>BS!AG19</f>
        <v>1359.0139999999999</v>
      </c>
      <c r="AH75" s="181">
        <f>BS!AH19</f>
        <v>1368.905</v>
      </c>
      <c r="AI75" s="184">
        <f>BS!AI19</f>
        <v>1373.124</v>
      </c>
      <c r="AJ75" s="181">
        <f>BS!AJ19</f>
        <v>1374.5440000000001</v>
      </c>
      <c r="AK75" s="181">
        <f>BS!AK19</f>
        <v>1372.393</v>
      </c>
      <c r="AL75" s="181">
        <v>1355.268</v>
      </c>
      <c r="AM75" s="182">
        <f>BS!AM19</f>
        <v>1331.519</v>
      </c>
      <c r="AN75" s="181">
        <f>BS!AN19</f>
        <v>1303.8610000000001</v>
      </c>
      <c r="AO75" s="181">
        <f>BS!AO19</f>
        <v>1195.3230000000001</v>
      </c>
      <c r="AP75" s="181">
        <f>BS!AP19</f>
        <v>1155.5889999999999</v>
      </c>
      <c r="AQ75" s="182">
        <f>BS!AQ19</f>
        <v>1090.739</v>
      </c>
      <c r="AR75" s="181">
        <f>BS!AR19</f>
        <v>805.58</v>
      </c>
      <c r="AS75" s="181">
        <f>BS!AS19</f>
        <v>770.548</v>
      </c>
      <c r="AT75" s="181">
        <f>BS!AT19</f>
        <v>748.78099999999995</v>
      </c>
      <c r="AU75" s="182">
        <f>BS!AU19</f>
        <v>692.55100000000004</v>
      </c>
      <c r="AV75" s="181">
        <f>BS!AV19</f>
        <v>678.447</v>
      </c>
      <c r="AW75" s="181">
        <f>BS!AW19</f>
        <v>660.66</v>
      </c>
      <c r="AX75" s="181">
        <f>BS!AX19</f>
        <v>636.83500000000004</v>
      </c>
      <c r="AY75" s="182">
        <f>BS!AY19</f>
        <v>606.58100000000002</v>
      </c>
      <c r="AZ75" s="181">
        <f>BS!AZ19</f>
        <v>595.62199999999996</v>
      </c>
      <c r="BA75" s="181">
        <f>BS!BA19</f>
        <v>597.81799999999998</v>
      </c>
      <c r="BB75" s="181">
        <f>BS!BB19</f>
        <v>589.17700000000002</v>
      </c>
      <c r="BC75" s="182">
        <f>BS!BC19</f>
        <v>576.77473837699995</v>
      </c>
      <c r="BD75" s="181">
        <f>BS!BD19</f>
        <v>533.06278370347991</v>
      </c>
      <c r="BE75" s="181">
        <f>BS!BE19</f>
        <v>489.37384313855705</v>
      </c>
      <c r="BF75" s="181">
        <f>BS!BF19</f>
        <v>446.32851787382674</v>
      </c>
      <c r="BG75" s="182">
        <f>BS!BG19</f>
        <v>403.42019351427575</v>
      </c>
      <c r="BH75" s="181">
        <f>BS!BH19</f>
        <v>360.3017954563411</v>
      </c>
      <c r="BI75" s="181">
        <f>BS!BI19</f>
        <v>317.17350294954804</v>
      </c>
      <c r="BJ75" s="181">
        <f>BS!BJ19</f>
        <v>274.56879728879517</v>
      </c>
      <c r="BK75" s="182">
        <f>BS!BK19</f>
        <v>232.32022518172948</v>
      </c>
      <c r="BL75" s="185"/>
      <c r="BM75" s="181">
        <f>BS!BM19</f>
        <v>1164.4839999999999</v>
      </c>
      <c r="BN75" s="181">
        <f>BS!BN19</f>
        <v>1431.2729999999999</v>
      </c>
      <c r="BO75" s="181">
        <f>BS!BO19</f>
        <v>1485.2</v>
      </c>
      <c r="BP75" s="181">
        <f>BS!BP19</f>
        <v>1366.0519999999999</v>
      </c>
      <c r="BQ75" s="181">
        <f>BS!BQ19</f>
        <v>1324.4359999999999</v>
      </c>
      <c r="BR75" s="181">
        <f>BS!BR19</f>
        <v>1308.8499999999999</v>
      </c>
      <c r="BS75" s="181">
        <f>BS!BS19</f>
        <v>1353.606</v>
      </c>
      <c r="BT75" s="181">
        <f>BS!BT19</f>
        <v>1373.124</v>
      </c>
      <c r="BU75" s="181">
        <f>BS!BU19</f>
        <v>1331.519</v>
      </c>
      <c r="BV75" s="181">
        <f>BS!BV19</f>
        <v>1090.739</v>
      </c>
      <c r="BW75" s="181">
        <f>BS!BW19</f>
        <v>692.55100000000004</v>
      </c>
      <c r="BX75" s="181">
        <f>BS!BX19</f>
        <v>606.58100000000002</v>
      </c>
      <c r="BY75" s="181">
        <f>BS!BY19</f>
        <v>576.77473837699995</v>
      </c>
      <c r="BZ75" s="181">
        <f>BS!BZ19</f>
        <v>403.42019351427575</v>
      </c>
      <c r="CA75" s="184">
        <f>BS!CA19</f>
        <v>232.32022518172948</v>
      </c>
      <c r="CB75" s="278"/>
      <c r="CC75" s="277"/>
      <c r="CD75" s="277"/>
      <c r="CE75" s="260"/>
      <c r="CF75" s="183">
        <f>BS!CF19</f>
        <v>1304.0039999999999</v>
      </c>
      <c r="CG75" s="181">
        <f>BS!CG19</f>
        <v>1500.819</v>
      </c>
      <c r="CH75" s="181">
        <f>BS!CH19</f>
        <v>1404.2329999999999</v>
      </c>
      <c r="CI75" s="181">
        <f>BS!CI19</f>
        <v>1341.8320000000001</v>
      </c>
      <c r="CJ75" s="181">
        <f>BS!CJ19</f>
        <v>1298.155</v>
      </c>
      <c r="CK75" s="181">
        <f>BS!CK19</f>
        <v>1365.8150000000001</v>
      </c>
      <c r="CL75" s="181">
        <f>BS!CL19</f>
        <v>1359.0139999999999</v>
      </c>
      <c r="CM75" s="181">
        <f>BS!CM19</f>
        <v>1372.393</v>
      </c>
      <c r="CN75" s="181">
        <f>BS!CN19</f>
        <v>1195.3230000000001</v>
      </c>
      <c r="CO75" s="181">
        <f>BS!CO19</f>
        <v>770.548</v>
      </c>
      <c r="CP75" s="181">
        <f>BS!CP19</f>
        <v>660.66</v>
      </c>
      <c r="CQ75" s="181">
        <f>BS!CQ19</f>
        <v>597.81799999999998</v>
      </c>
      <c r="CR75" s="181">
        <f>BS!CR19</f>
        <v>489.37384313855705</v>
      </c>
      <c r="CS75" s="184">
        <f>BS!CS19</f>
        <v>317.17350294954804</v>
      </c>
      <c r="CT75" s="22"/>
    </row>
    <row r="76" spans="1:98" ht="14.25" customHeight="1">
      <c r="A76" s="8"/>
      <c r="B76" s="152" t="s">
        <v>454</v>
      </c>
      <c r="C76" s="153"/>
      <c r="D76" s="156">
        <f t="shared" ref="D76:Z76" si="406">IF(ROUND(D75,4)=ROUND(D73,4),0,(D75-D73))</f>
        <v>0</v>
      </c>
      <c r="E76" s="154">
        <f t="shared" si="406"/>
        <v>0</v>
      </c>
      <c r="F76" s="154">
        <f t="shared" si="406"/>
        <v>0</v>
      </c>
      <c r="G76" s="155">
        <f t="shared" si="406"/>
        <v>0</v>
      </c>
      <c r="H76" s="156">
        <f t="shared" si="406"/>
        <v>0</v>
      </c>
      <c r="I76" s="154">
        <f t="shared" si="406"/>
        <v>0</v>
      </c>
      <c r="J76" s="154">
        <f t="shared" si="406"/>
        <v>0</v>
      </c>
      <c r="K76" s="155">
        <f t="shared" si="406"/>
        <v>0</v>
      </c>
      <c r="L76" s="156">
        <f t="shared" si="406"/>
        <v>0</v>
      </c>
      <c r="M76" s="154">
        <f t="shared" si="406"/>
        <v>0</v>
      </c>
      <c r="N76" s="154">
        <f t="shared" si="406"/>
        <v>0</v>
      </c>
      <c r="O76" s="155">
        <f t="shared" si="406"/>
        <v>0</v>
      </c>
      <c r="P76" s="156">
        <f t="shared" si="406"/>
        <v>0</v>
      </c>
      <c r="Q76" s="154">
        <f t="shared" si="406"/>
        <v>0</v>
      </c>
      <c r="R76" s="154">
        <f t="shared" si="406"/>
        <v>0</v>
      </c>
      <c r="S76" s="155">
        <f t="shared" si="406"/>
        <v>0</v>
      </c>
      <c r="T76" s="156">
        <f t="shared" si="406"/>
        <v>0</v>
      </c>
      <c r="U76" s="154">
        <f t="shared" si="406"/>
        <v>0</v>
      </c>
      <c r="V76" s="154">
        <f t="shared" si="406"/>
        <v>0</v>
      </c>
      <c r="W76" s="155">
        <f t="shared" si="406"/>
        <v>0</v>
      </c>
      <c r="X76" s="156">
        <f t="shared" si="406"/>
        <v>0</v>
      </c>
      <c r="Y76" s="154">
        <f t="shared" si="406"/>
        <v>0</v>
      </c>
      <c r="Z76" s="154">
        <f t="shared" si="406"/>
        <v>0</v>
      </c>
      <c r="AA76" s="155">
        <f t="shared" ref="AA76:AQ76" si="407">IF(ROUND(AA75,4)=ROUND(AA73,4),0,(AA75-AA73))</f>
        <v>0</v>
      </c>
      <c r="AB76" s="156">
        <f t="shared" si="407"/>
        <v>0</v>
      </c>
      <c r="AC76" s="154">
        <f t="shared" si="407"/>
        <v>0</v>
      </c>
      <c r="AD76" s="154">
        <f t="shared" si="407"/>
        <v>0</v>
      </c>
      <c r="AE76" s="155">
        <f t="shared" si="407"/>
        <v>0</v>
      </c>
      <c r="AF76" s="156">
        <f t="shared" si="407"/>
        <v>0</v>
      </c>
      <c r="AG76" s="154">
        <f t="shared" si="407"/>
        <v>0</v>
      </c>
      <c r="AH76" s="154">
        <f t="shared" si="407"/>
        <v>0</v>
      </c>
      <c r="AI76" s="155">
        <f t="shared" si="407"/>
        <v>0</v>
      </c>
      <c r="AJ76" s="156">
        <f t="shared" si="407"/>
        <v>0</v>
      </c>
      <c r="AK76" s="154">
        <f t="shared" si="407"/>
        <v>0</v>
      </c>
      <c r="AL76" s="154">
        <f t="shared" si="407"/>
        <v>0</v>
      </c>
      <c r="AM76" s="155">
        <f t="shared" si="407"/>
        <v>0</v>
      </c>
      <c r="AN76" s="156">
        <f t="shared" si="407"/>
        <v>0</v>
      </c>
      <c r="AO76" s="154">
        <f t="shared" si="407"/>
        <v>0</v>
      </c>
      <c r="AP76" s="154">
        <f t="shared" si="407"/>
        <v>0</v>
      </c>
      <c r="AQ76" s="155">
        <f t="shared" si="407"/>
        <v>0</v>
      </c>
      <c r="AR76" s="156">
        <f t="shared" ref="AR76:BC76" si="408">IF(ROUND(AR75,4)=ROUND(AR73,4),0,(AR75-AR73))</f>
        <v>0</v>
      </c>
      <c r="AS76" s="154">
        <f t="shared" si="408"/>
        <v>0</v>
      </c>
      <c r="AT76" s="736">
        <f t="shared" si="408"/>
        <v>0</v>
      </c>
      <c r="AU76" s="155">
        <f t="shared" si="408"/>
        <v>0</v>
      </c>
      <c r="AV76" s="156">
        <f t="shared" ref="AV76:BA76" si="409">IF(ROUND(AV75,4)=ROUND(AV73,4),0,(AV75-AV73))</f>
        <v>0</v>
      </c>
      <c r="AW76" s="154">
        <f t="shared" si="409"/>
        <v>0</v>
      </c>
      <c r="AX76" s="736">
        <f t="shared" si="409"/>
        <v>0</v>
      </c>
      <c r="AY76" s="155">
        <f t="shared" si="409"/>
        <v>0</v>
      </c>
      <c r="AZ76" s="156">
        <f t="shared" si="409"/>
        <v>0</v>
      </c>
      <c r="BA76" s="154">
        <f t="shared" si="409"/>
        <v>0</v>
      </c>
      <c r="BB76" s="154">
        <f t="shared" si="408"/>
        <v>0</v>
      </c>
      <c r="BC76" s="155">
        <f t="shared" si="408"/>
        <v>0</v>
      </c>
      <c r="BD76" s="156">
        <f t="shared" ref="BD76:BK76" si="410">IF(ROUND(BD75,4)=ROUND(BD73,4),0,(BD75-BD73))</f>
        <v>0</v>
      </c>
      <c r="BE76" s="154">
        <f t="shared" si="410"/>
        <v>0</v>
      </c>
      <c r="BF76" s="154">
        <f t="shared" si="410"/>
        <v>0</v>
      </c>
      <c r="BG76" s="155">
        <f t="shared" si="410"/>
        <v>0</v>
      </c>
      <c r="BH76" s="156">
        <f t="shared" si="410"/>
        <v>0</v>
      </c>
      <c r="BI76" s="154">
        <f t="shared" si="410"/>
        <v>0</v>
      </c>
      <c r="BJ76" s="154">
        <f t="shared" si="410"/>
        <v>0</v>
      </c>
      <c r="BK76" s="155">
        <f t="shared" si="410"/>
        <v>0</v>
      </c>
      <c r="BL76" s="185"/>
      <c r="BM76" s="154">
        <f t="shared" ref="BM76:BS76" si="411">IF(ROUND(BM75,4)=ROUND(BM73,4),0,(BM75-BM73))</f>
        <v>0</v>
      </c>
      <c r="BN76" s="154">
        <f t="shared" si="411"/>
        <v>0</v>
      </c>
      <c r="BO76" s="154">
        <f t="shared" si="411"/>
        <v>0</v>
      </c>
      <c r="BP76" s="154">
        <f t="shared" si="411"/>
        <v>0</v>
      </c>
      <c r="BQ76" s="154">
        <f t="shared" si="411"/>
        <v>0</v>
      </c>
      <c r="BR76" s="154">
        <f t="shared" si="411"/>
        <v>0</v>
      </c>
      <c r="BS76" s="154">
        <f t="shared" si="411"/>
        <v>0</v>
      </c>
      <c r="BT76" s="154">
        <f t="shared" ref="BT76:CA76" si="412">IF(ROUND(BT75,4)=ROUND(BT73,4),0,(BT75-BT73))</f>
        <v>0</v>
      </c>
      <c r="BU76" s="154">
        <f t="shared" si="412"/>
        <v>0</v>
      </c>
      <c r="BV76" s="154">
        <f t="shared" si="412"/>
        <v>0</v>
      </c>
      <c r="BW76" s="154">
        <f t="shared" si="412"/>
        <v>0</v>
      </c>
      <c r="BX76" s="154">
        <f t="shared" si="412"/>
        <v>0</v>
      </c>
      <c r="BY76" s="154">
        <f t="shared" si="412"/>
        <v>0</v>
      </c>
      <c r="BZ76" s="154">
        <f t="shared" si="412"/>
        <v>0</v>
      </c>
      <c r="CA76" s="155">
        <f t="shared" si="412"/>
        <v>0</v>
      </c>
      <c r="CB76" s="1481"/>
      <c r="CC76" s="1433"/>
      <c r="CD76" s="1433"/>
      <c r="CE76" s="260"/>
      <c r="CF76" s="156">
        <f t="shared" ref="CF76:CL76" si="413">IF(ROUND(CF75,4)=ROUND(CF73,4),0,(CF75-CF73))</f>
        <v>0</v>
      </c>
      <c r="CG76" s="154">
        <f t="shared" si="413"/>
        <v>0</v>
      </c>
      <c r="CH76" s="154">
        <f t="shared" si="413"/>
        <v>0</v>
      </c>
      <c r="CI76" s="154">
        <f t="shared" si="413"/>
        <v>0</v>
      </c>
      <c r="CJ76" s="154">
        <f t="shared" si="413"/>
        <v>0</v>
      </c>
      <c r="CK76" s="154">
        <f t="shared" si="413"/>
        <v>0</v>
      </c>
      <c r="CL76" s="154">
        <f t="shared" si="413"/>
        <v>0</v>
      </c>
      <c r="CM76" s="154">
        <f t="shared" ref="CM76:CR76" si="414">IF(ROUND(CM75,4)=ROUND(CM73,4),0,(CM75-CM73))</f>
        <v>0</v>
      </c>
      <c r="CN76" s="154">
        <f t="shared" si="414"/>
        <v>0</v>
      </c>
      <c r="CO76" s="154">
        <f t="shared" si="414"/>
        <v>0</v>
      </c>
      <c r="CP76" s="154">
        <f t="shared" si="414"/>
        <v>0</v>
      </c>
      <c r="CQ76" s="154">
        <f t="shared" si="414"/>
        <v>0</v>
      </c>
      <c r="CR76" s="154">
        <f t="shared" si="414"/>
        <v>0</v>
      </c>
      <c r="CS76" s="155">
        <f>IF(ROUND(CS75,4)=ROUND(CS73,4),0,(CS75-CS73))</f>
        <v>0</v>
      </c>
      <c r="CT76" s="22"/>
    </row>
    <row r="77" spans="1:98" ht="14.25" customHeight="1">
      <c r="A77" s="8"/>
      <c r="B77" s="14"/>
      <c r="C77" s="14"/>
      <c r="D77" s="286"/>
      <c r="E77" s="286"/>
      <c r="F77" s="286"/>
      <c r="G77" s="285"/>
      <c r="H77" s="286"/>
      <c r="I77" s="286"/>
      <c r="J77" s="286"/>
      <c r="K77" s="285"/>
      <c r="L77" s="286"/>
      <c r="M77" s="286"/>
      <c r="N77" s="286"/>
      <c r="O77" s="285"/>
      <c r="P77" s="286"/>
      <c r="Q77" s="286"/>
      <c r="R77" s="286"/>
      <c r="S77" s="285"/>
      <c r="T77" s="286"/>
      <c r="U77" s="286"/>
      <c r="V77" s="286"/>
      <c r="W77" s="285"/>
      <c r="X77" s="286"/>
      <c r="Y77" s="286"/>
      <c r="Z77" s="286"/>
      <c r="AA77" s="285"/>
      <c r="AB77" s="286"/>
      <c r="AC77" s="286"/>
      <c r="AD77" s="286"/>
      <c r="AE77" s="285"/>
      <c r="AF77" s="286"/>
      <c r="AG77" s="286"/>
      <c r="AH77" s="286"/>
      <c r="AI77" s="286"/>
      <c r="AJ77" s="286"/>
      <c r="AK77" s="286"/>
      <c r="AL77" s="286"/>
      <c r="AM77" s="286"/>
      <c r="AN77" s="286"/>
      <c r="AO77" s="286"/>
      <c r="AP77" s="286"/>
      <c r="AQ77" s="286"/>
      <c r="AR77" s="286"/>
      <c r="AS77" s="286"/>
      <c r="AT77" s="286"/>
      <c r="AU77" s="286"/>
      <c r="AV77" s="286"/>
      <c r="AW77" s="286"/>
      <c r="AX77" s="1382"/>
      <c r="AY77" s="286"/>
      <c r="AZ77" s="286"/>
      <c r="BA77" s="286"/>
      <c r="BB77" s="286"/>
      <c r="BC77" s="286"/>
      <c r="BD77" s="286"/>
      <c r="BE77" s="286"/>
      <c r="BF77" s="286"/>
      <c r="BG77" s="286"/>
      <c r="BH77" s="286"/>
      <c r="BI77" s="286"/>
      <c r="BJ77" s="286"/>
      <c r="BK77" s="286"/>
      <c r="BL77" s="8"/>
      <c r="BM77" s="250"/>
      <c r="BN77" s="250"/>
      <c r="BO77" s="250"/>
      <c r="BP77" s="250"/>
      <c r="BQ77" s="250"/>
      <c r="BR77" s="250"/>
      <c r="BS77" s="250"/>
      <c r="BT77" s="250"/>
      <c r="BU77" s="250"/>
      <c r="BV77" s="250"/>
      <c r="BW77" s="250"/>
      <c r="BX77" s="250"/>
      <c r="BY77" s="250"/>
      <c r="BZ77" s="250"/>
      <c r="CA77" s="250"/>
      <c r="CB77" s="124"/>
      <c r="CC77" s="124"/>
      <c r="CD77" s="124"/>
      <c r="CE77" s="8"/>
      <c r="CF77" s="250"/>
      <c r="CG77" s="250"/>
      <c r="CH77" s="250"/>
      <c r="CI77" s="250"/>
      <c r="CJ77" s="250"/>
      <c r="CK77" s="250"/>
      <c r="CL77" s="250"/>
      <c r="CM77" s="250"/>
      <c r="CN77" s="250"/>
      <c r="CO77" s="250"/>
      <c r="CP77" s="250"/>
      <c r="CQ77" s="250"/>
      <c r="CR77" s="250"/>
      <c r="CS77" s="250"/>
      <c r="CT77" s="8"/>
    </row>
    <row r="78" spans="1:98" ht="14.25" customHeight="1">
      <c r="A78" s="8"/>
      <c r="B78" s="14"/>
      <c r="C78" s="14"/>
      <c r="D78" s="250"/>
      <c r="E78" s="250"/>
      <c r="F78" s="250"/>
      <c r="G78" s="287"/>
      <c r="H78" s="250"/>
      <c r="I78" s="250"/>
      <c r="J78" s="250"/>
      <c r="K78" s="287"/>
      <c r="L78" s="250"/>
      <c r="M78" s="250"/>
      <c r="N78" s="250"/>
      <c r="O78" s="287"/>
      <c r="P78" s="250"/>
      <c r="Q78" s="250"/>
      <c r="R78" s="250"/>
      <c r="S78" s="287"/>
      <c r="T78" s="250"/>
      <c r="U78" s="250"/>
      <c r="V78" s="250"/>
      <c r="W78" s="287"/>
      <c r="X78" s="250"/>
      <c r="Y78" s="250"/>
      <c r="Z78" s="250"/>
      <c r="AA78" s="287"/>
      <c r="AB78" s="250"/>
      <c r="AC78" s="250"/>
      <c r="AD78" s="250"/>
      <c r="AE78" s="250"/>
      <c r="AF78" s="250"/>
      <c r="AG78" s="250"/>
      <c r="AH78" s="250"/>
      <c r="AI78" s="250"/>
      <c r="AJ78" s="343"/>
      <c r="AK78" s="250"/>
      <c r="AL78" s="250"/>
      <c r="AM78" s="250"/>
      <c r="AN78" s="343"/>
      <c r="AO78" s="250"/>
      <c r="AP78" s="250"/>
      <c r="AQ78" s="250"/>
      <c r="AR78" s="343"/>
      <c r="AS78" s="250"/>
      <c r="AT78" s="250"/>
      <c r="AU78" s="250"/>
      <c r="AV78" s="343"/>
      <c r="AW78" s="250"/>
      <c r="AX78" s="250"/>
      <c r="AY78" s="250"/>
      <c r="AZ78" s="343"/>
      <c r="BA78" s="250"/>
      <c r="BB78" s="250"/>
      <c r="BC78" s="250"/>
      <c r="BD78" s="343"/>
      <c r="BE78" s="250"/>
      <c r="BF78" s="250"/>
      <c r="BG78" s="250"/>
      <c r="BH78" s="343"/>
      <c r="BI78" s="250"/>
      <c r="BJ78" s="250"/>
      <c r="BK78" s="250"/>
      <c r="BL78" s="8"/>
      <c r="BM78" s="250"/>
      <c r="BN78" s="250"/>
      <c r="BO78" s="250"/>
      <c r="BP78" s="250"/>
      <c r="BQ78" s="250"/>
      <c r="BR78" s="250"/>
      <c r="BS78" s="250"/>
      <c r="BT78" s="250"/>
      <c r="BU78" s="250"/>
      <c r="BV78" s="250"/>
      <c r="BW78" s="250"/>
      <c r="BX78" s="250"/>
      <c r="BY78" s="250"/>
      <c r="BZ78" s="250"/>
      <c r="CA78" s="250"/>
      <c r="CB78" s="124"/>
      <c r="CC78" s="124"/>
      <c r="CD78" s="124"/>
      <c r="CE78" s="8"/>
      <c r="CF78" s="250"/>
      <c r="CG78" s="250"/>
      <c r="CH78" s="250"/>
      <c r="CI78" s="250"/>
      <c r="CJ78" s="250"/>
      <c r="CK78" s="250"/>
      <c r="CL78" s="250"/>
      <c r="CM78" s="250"/>
      <c r="CN78" s="250"/>
      <c r="CO78" s="250"/>
      <c r="CP78" s="250"/>
      <c r="CQ78" s="250"/>
      <c r="CR78" s="250"/>
      <c r="CS78" s="250"/>
      <c r="CT78" s="8"/>
    </row>
    <row r="79" spans="1:98" ht="14.25" customHeight="1">
      <c r="A79" s="8"/>
      <c r="B79" s="162" t="s">
        <v>509</v>
      </c>
      <c r="C79" s="163"/>
      <c r="D79" s="288" t="str">
        <f t="shared" ref="D79:Z79" si="415">D65</f>
        <v>F1Q06A</v>
      </c>
      <c r="E79" s="252" t="str">
        <f t="shared" si="415"/>
        <v>F2Q06A</v>
      </c>
      <c r="F79" s="252" t="str">
        <f t="shared" si="415"/>
        <v>F3Q06A</v>
      </c>
      <c r="G79" s="253" t="str">
        <f t="shared" si="415"/>
        <v>F4Q06A</v>
      </c>
      <c r="H79" s="288" t="str">
        <f t="shared" si="415"/>
        <v>F1Q07A</v>
      </c>
      <c r="I79" s="252" t="str">
        <f t="shared" si="415"/>
        <v>F2Q07A</v>
      </c>
      <c r="J79" s="252" t="str">
        <f t="shared" si="415"/>
        <v>F3Q07A</v>
      </c>
      <c r="K79" s="253" t="str">
        <f t="shared" si="415"/>
        <v>F4Q07A</v>
      </c>
      <c r="L79" s="288" t="str">
        <f t="shared" si="415"/>
        <v>F1Q08A</v>
      </c>
      <c r="M79" s="252" t="str">
        <f t="shared" si="415"/>
        <v>F2Q08A</v>
      </c>
      <c r="N79" s="252" t="str">
        <f t="shared" si="415"/>
        <v>F3Q08A</v>
      </c>
      <c r="O79" s="253" t="str">
        <f t="shared" si="415"/>
        <v>F4Q08A</v>
      </c>
      <c r="P79" s="288" t="str">
        <f t="shared" si="415"/>
        <v>F1Q09A</v>
      </c>
      <c r="Q79" s="252" t="str">
        <f t="shared" si="415"/>
        <v>F2Q09A</v>
      </c>
      <c r="R79" s="252" t="str">
        <f t="shared" si="415"/>
        <v>F3Q09A</v>
      </c>
      <c r="S79" s="253" t="str">
        <f t="shared" si="415"/>
        <v>F4Q09A</v>
      </c>
      <c r="T79" s="288" t="str">
        <f t="shared" si="415"/>
        <v>F1Q10A</v>
      </c>
      <c r="U79" s="252" t="str">
        <f t="shared" si="415"/>
        <v>F2Q10A</v>
      </c>
      <c r="V79" s="252" t="str">
        <f t="shared" si="415"/>
        <v>F3Q10A</v>
      </c>
      <c r="W79" s="253" t="str">
        <f t="shared" si="415"/>
        <v>F4Q10A</v>
      </c>
      <c r="X79" s="288" t="str">
        <f t="shared" si="415"/>
        <v>F1Q11A</v>
      </c>
      <c r="Y79" s="252" t="str">
        <f t="shared" si="415"/>
        <v>F2Q11A</v>
      </c>
      <c r="Z79" s="252" t="str">
        <f t="shared" si="415"/>
        <v>F3Q11A</v>
      </c>
      <c r="AA79" s="253" t="str">
        <f t="shared" ref="AA79:AQ79" si="416">AA65</f>
        <v>F4Q11A</v>
      </c>
      <c r="AB79" s="288" t="str">
        <f>AB65</f>
        <v>F1Q12A</v>
      </c>
      <c r="AC79" s="252" t="str">
        <f>AC65</f>
        <v>F2Q12A</v>
      </c>
      <c r="AD79" s="252" t="str">
        <f>AD65</f>
        <v>F3Q12A</v>
      </c>
      <c r="AE79" s="253" t="str">
        <f>AE65</f>
        <v>F4Q12A</v>
      </c>
      <c r="AF79" s="288" t="str">
        <f>AF65</f>
        <v>F1Q13A</v>
      </c>
      <c r="AG79" s="252" t="str">
        <f t="shared" si="416"/>
        <v>F2Q13A</v>
      </c>
      <c r="AH79" s="252" t="str">
        <f t="shared" si="416"/>
        <v>F3Q13A</v>
      </c>
      <c r="AI79" s="253" t="str">
        <f>AI65</f>
        <v>F4Q13A</v>
      </c>
      <c r="AJ79" s="288" t="str">
        <f>AJ65</f>
        <v>F1Q14A</v>
      </c>
      <c r="AK79" s="252" t="str">
        <f t="shared" si="416"/>
        <v>F2Q14</v>
      </c>
      <c r="AL79" s="252" t="str">
        <f t="shared" si="416"/>
        <v>F3Q14A</v>
      </c>
      <c r="AM79" s="253" t="str">
        <f t="shared" si="416"/>
        <v>F4Q14A</v>
      </c>
      <c r="AN79" s="288" t="str">
        <f t="shared" si="416"/>
        <v>F1Q15A</v>
      </c>
      <c r="AO79" s="252" t="str">
        <f t="shared" si="416"/>
        <v>F2Q15A</v>
      </c>
      <c r="AP79" s="252" t="str">
        <f t="shared" si="416"/>
        <v>F3Q15A</v>
      </c>
      <c r="AQ79" s="253" t="str">
        <f t="shared" si="416"/>
        <v>F4Q15A</v>
      </c>
      <c r="AR79" s="288" t="str">
        <f t="shared" ref="AR79:BC79" si="417">AR65</f>
        <v>F1Q16A</v>
      </c>
      <c r="AS79" s="252" t="str">
        <f t="shared" si="417"/>
        <v>F2Q16A</v>
      </c>
      <c r="AT79" s="252" t="str">
        <f t="shared" si="417"/>
        <v>F3Q16A</v>
      </c>
      <c r="AU79" s="253" t="str">
        <f t="shared" si="417"/>
        <v>F4Q16A</v>
      </c>
      <c r="AV79" s="288" t="str">
        <f>AV65</f>
        <v>F1Q17A</v>
      </c>
      <c r="AW79" s="252" t="str">
        <f>AW65</f>
        <v>F2Q17A</v>
      </c>
      <c r="AX79" s="252" t="str">
        <f t="shared" si="417"/>
        <v>F3Q17A</v>
      </c>
      <c r="AY79" s="253" t="str">
        <f t="shared" si="417"/>
        <v>F4Q17A</v>
      </c>
      <c r="AZ79" s="288" t="str">
        <f t="shared" si="417"/>
        <v>F1Q18A</v>
      </c>
      <c r="BA79" s="252" t="str">
        <f t="shared" si="417"/>
        <v>F2Q18A</v>
      </c>
      <c r="BB79" s="252" t="str">
        <f t="shared" si="417"/>
        <v>F3Q18A</v>
      </c>
      <c r="BC79" s="253" t="str">
        <f t="shared" si="417"/>
        <v>F4Q18E</v>
      </c>
      <c r="BD79" s="288" t="str">
        <f t="shared" ref="BD79:BK79" si="418">BD65</f>
        <v>F1Q19E</v>
      </c>
      <c r="BE79" s="252" t="str">
        <f t="shared" si="418"/>
        <v>F2Q19E</v>
      </c>
      <c r="BF79" s="252" t="str">
        <f t="shared" si="418"/>
        <v>F3Q19E</v>
      </c>
      <c r="BG79" s="253" t="str">
        <f t="shared" si="418"/>
        <v>F4Q19E</v>
      </c>
      <c r="BH79" s="288" t="str">
        <f t="shared" si="418"/>
        <v>F1Q20E</v>
      </c>
      <c r="BI79" s="252" t="str">
        <f t="shared" si="418"/>
        <v>F2Q20E</v>
      </c>
      <c r="BJ79" s="252" t="str">
        <f t="shared" si="418"/>
        <v>F3Q20E</v>
      </c>
      <c r="BK79" s="253" t="str">
        <f t="shared" si="418"/>
        <v>F4Q20E</v>
      </c>
      <c r="BL79" s="20"/>
      <c r="BM79" s="17" t="str">
        <f t="shared" ref="BM79:BS79" si="419">BM65</f>
        <v>FY2006A</v>
      </c>
      <c r="BN79" s="18" t="str">
        <f t="shared" si="419"/>
        <v>FY2007A</v>
      </c>
      <c r="BO79" s="18" t="str">
        <f t="shared" si="419"/>
        <v>FY2008A</v>
      </c>
      <c r="BP79" s="18" t="str">
        <f t="shared" si="419"/>
        <v>FY2009A</v>
      </c>
      <c r="BQ79" s="18" t="str">
        <f t="shared" si="419"/>
        <v>FY2010A</v>
      </c>
      <c r="BR79" s="18" t="str">
        <f t="shared" si="419"/>
        <v>FY2011A</v>
      </c>
      <c r="BS79" s="18" t="str">
        <f t="shared" si="419"/>
        <v>FY2012A</v>
      </c>
      <c r="BT79" s="18" t="str">
        <f t="shared" ref="BT79:CA79" si="420">BT65</f>
        <v>FY2013A</v>
      </c>
      <c r="BU79" s="18" t="str">
        <f t="shared" si="420"/>
        <v>FY2014A</v>
      </c>
      <c r="BV79" s="18" t="str">
        <f t="shared" si="420"/>
        <v>FY2015A</v>
      </c>
      <c r="BW79" s="18" t="str">
        <f t="shared" si="420"/>
        <v>FY2016A</v>
      </c>
      <c r="BX79" s="18" t="str">
        <f t="shared" si="420"/>
        <v>FY2017A</v>
      </c>
      <c r="BY79" s="18" t="str">
        <f t="shared" si="420"/>
        <v>FY2018E</v>
      </c>
      <c r="BZ79" s="18" t="str">
        <f t="shared" si="420"/>
        <v>FY2019E</v>
      </c>
      <c r="CA79" s="19" t="str">
        <f t="shared" si="420"/>
        <v>FY2020E</v>
      </c>
      <c r="CB79" s="1470"/>
      <c r="CC79" s="1418"/>
      <c r="CD79" s="1418"/>
      <c r="CE79" s="260"/>
      <c r="CF79" s="17" t="str">
        <f t="shared" ref="CF79:CL79" si="421">CF65</f>
        <v>CY2006</v>
      </c>
      <c r="CG79" s="18" t="str">
        <f t="shared" si="421"/>
        <v>CY2007</v>
      </c>
      <c r="CH79" s="18" t="str">
        <f t="shared" si="421"/>
        <v>CY2008</v>
      </c>
      <c r="CI79" s="18" t="str">
        <f t="shared" si="421"/>
        <v>CY2009</v>
      </c>
      <c r="CJ79" s="18" t="str">
        <f t="shared" si="421"/>
        <v>CY2010</v>
      </c>
      <c r="CK79" s="18" t="str">
        <f t="shared" si="421"/>
        <v>CY2011</v>
      </c>
      <c r="CL79" s="18" t="str">
        <f t="shared" si="421"/>
        <v>CY2012</v>
      </c>
      <c r="CM79" s="18" t="str">
        <f t="shared" ref="CM79:CR79" si="422">CM65</f>
        <v>CY2013</v>
      </c>
      <c r="CN79" s="18" t="str">
        <f t="shared" si="422"/>
        <v>CY2014A</v>
      </c>
      <c r="CO79" s="18" t="str">
        <f t="shared" si="422"/>
        <v>CY2015A</v>
      </c>
      <c r="CP79" s="18" t="str">
        <f t="shared" si="422"/>
        <v>CY2016A</v>
      </c>
      <c r="CQ79" s="18" t="str">
        <f t="shared" si="422"/>
        <v>CY2017E</v>
      </c>
      <c r="CR79" s="18" t="str">
        <f t="shared" si="422"/>
        <v>CY2018E</v>
      </c>
      <c r="CS79" s="19" t="str">
        <f>CS65</f>
        <v>CY2019E</v>
      </c>
      <c r="CT79" s="22"/>
    </row>
    <row r="80" spans="1:98" ht="14.25" customHeight="1">
      <c r="A80" s="8"/>
      <c r="B80" s="289" t="s">
        <v>510</v>
      </c>
      <c r="C80" s="10"/>
      <c r="D80" s="391">
        <f t="shared" ref="D80:AB80" si="423">D14</f>
        <v>21.018000000000001</v>
      </c>
      <c r="E80" s="277">
        <f t="shared" si="423"/>
        <v>21.253999999999998</v>
      </c>
      <c r="F80" s="277">
        <f t="shared" si="423"/>
        <v>21.994000000000007</v>
      </c>
      <c r="G80" s="258">
        <f t="shared" si="423"/>
        <v>26.057999999999986</v>
      </c>
      <c r="H80" s="391">
        <f t="shared" si="423"/>
        <v>24.347000000000001</v>
      </c>
      <c r="I80" s="277">
        <f t="shared" si="423"/>
        <v>25.888999999999996</v>
      </c>
      <c r="J80" s="277">
        <f t="shared" si="423"/>
        <v>27.265000000000008</v>
      </c>
      <c r="K80" s="258">
        <f t="shared" si="423"/>
        <v>27.141999999999989</v>
      </c>
      <c r="L80" s="391">
        <f t="shared" si="423"/>
        <v>30.344999999999999</v>
      </c>
      <c r="M80" s="277">
        <f t="shared" si="423"/>
        <v>34.478999999999999</v>
      </c>
      <c r="N80" s="277">
        <f t="shared" si="423"/>
        <v>46.352000000000004</v>
      </c>
      <c r="O80" s="258">
        <f t="shared" si="423"/>
        <v>50.731000000000009</v>
      </c>
      <c r="P80" s="391">
        <f t="shared" si="423"/>
        <v>46.780999999999999</v>
      </c>
      <c r="Q80" s="277">
        <f t="shared" si="423"/>
        <v>50.893000000000008</v>
      </c>
      <c r="R80" s="277">
        <f t="shared" si="423"/>
        <v>51.235999999999997</v>
      </c>
      <c r="S80" s="258">
        <f t="shared" si="423"/>
        <v>56.513000000000012</v>
      </c>
      <c r="T80" s="391">
        <f t="shared" si="423"/>
        <v>36.496000000000002</v>
      </c>
      <c r="U80" s="277">
        <f t="shared" si="423"/>
        <v>39.832000000000001</v>
      </c>
      <c r="V80" s="277">
        <f t="shared" si="423"/>
        <v>40.810000000000009</v>
      </c>
      <c r="W80" s="258">
        <f t="shared" si="423"/>
        <v>50.384999999999998</v>
      </c>
      <c r="X80" s="391">
        <f t="shared" si="423"/>
        <v>52.134</v>
      </c>
      <c r="Y80" s="277">
        <f t="shared" si="423"/>
        <v>52.227999999999994</v>
      </c>
      <c r="Z80" s="277">
        <f t="shared" si="423"/>
        <v>50.683999999999997</v>
      </c>
      <c r="AA80" s="258">
        <f t="shared" si="423"/>
        <v>50.01600000000002</v>
      </c>
      <c r="AB80" s="257">
        <f t="shared" si="423"/>
        <v>52.070999999999998</v>
      </c>
      <c r="AC80" s="277">
        <f t="shared" ref="AC80:AH80" si="424">AC14</f>
        <v>51.995000000000005</v>
      </c>
      <c r="AD80" s="277">
        <f t="shared" si="424"/>
        <v>53.475999999999999</v>
      </c>
      <c r="AE80" s="184">
        <f t="shared" si="424"/>
        <v>53.554000000000002</v>
      </c>
      <c r="AF80" s="257">
        <f t="shared" si="424"/>
        <v>53.673999999999999</v>
      </c>
      <c r="AG80" s="277">
        <f t="shared" si="424"/>
        <v>51.88</v>
      </c>
      <c r="AH80" s="277">
        <f t="shared" si="424"/>
        <v>50.390999999999998</v>
      </c>
      <c r="AI80" s="184">
        <f t="shared" ref="AI80:AN80" si="425">AI14</f>
        <v>51.19100000000001</v>
      </c>
      <c r="AJ80" s="257">
        <f t="shared" si="425"/>
        <v>51.133000000000003</v>
      </c>
      <c r="AK80" s="277">
        <f t="shared" si="425"/>
        <v>64.403999999999996</v>
      </c>
      <c r="AL80" s="277">
        <f t="shared" si="425"/>
        <v>64.664999999999992</v>
      </c>
      <c r="AM80" s="184">
        <f t="shared" si="425"/>
        <v>64.390999999999991</v>
      </c>
      <c r="AN80" s="257">
        <f t="shared" si="425"/>
        <v>63.692999999999998</v>
      </c>
      <c r="AO80" s="277">
        <f t="shared" ref="AO80:AT80" si="426">AO14</f>
        <v>71.625000000000014</v>
      </c>
      <c r="AP80" s="277">
        <f t="shared" si="426"/>
        <v>71.439000000000007</v>
      </c>
      <c r="AQ80" s="258">
        <f t="shared" si="426"/>
        <v>92.638999999999996</v>
      </c>
      <c r="AR80" s="257">
        <f t="shared" si="426"/>
        <v>102.053</v>
      </c>
      <c r="AS80" s="277">
        <f t="shared" si="426"/>
        <v>49.081999999999994</v>
      </c>
      <c r="AT80" s="277">
        <f t="shared" si="426"/>
        <v>47.087999999999994</v>
      </c>
      <c r="AU80" s="258">
        <f t="shared" ref="AU80:AZ80" si="427">AU14</f>
        <v>46.414000000000016</v>
      </c>
      <c r="AV80" s="257">
        <f t="shared" si="427"/>
        <v>43.484999999999999</v>
      </c>
      <c r="AW80" s="277">
        <f t="shared" si="427"/>
        <v>42.14</v>
      </c>
      <c r="AX80" s="257">
        <f t="shared" si="427"/>
        <v>40.472999999999999</v>
      </c>
      <c r="AY80" s="258">
        <f t="shared" si="427"/>
        <v>38.194000000000003</v>
      </c>
      <c r="AZ80" s="257">
        <f t="shared" si="427"/>
        <v>36.753999999999998</v>
      </c>
      <c r="BA80" s="257">
        <f>BA14</f>
        <v>35.812999999999995</v>
      </c>
      <c r="BB80" s="257">
        <f t="shared" ref="BB80" si="428">BB14</f>
        <v>37.201000000000001</v>
      </c>
      <c r="BC80" s="258">
        <v>25</v>
      </c>
      <c r="BD80" s="257">
        <v>56</v>
      </c>
      <c r="BE80" s="257">
        <v>56</v>
      </c>
      <c r="BF80" s="257">
        <v>56</v>
      </c>
      <c r="BG80" s="258">
        <v>56</v>
      </c>
      <c r="BH80" s="257">
        <v>56</v>
      </c>
      <c r="BI80" s="257">
        <v>56</v>
      </c>
      <c r="BJ80" s="257">
        <v>56</v>
      </c>
      <c r="BK80" s="258">
        <v>56</v>
      </c>
      <c r="BL80" s="20"/>
      <c r="BM80" s="259">
        <f t="shared" ref="BM80:BV80" si="429">BM70*BM81</f>
        <v>90.323999999999984</v>
      </c>
      <c r="BN80" s="769">
        <f t="shared" si="429"/>
        <v>104.643</v>
      </c>
      <c r="BO80" s="769">
        <f t="shared" si="429"/>
        <v>161.90700000000001</v>
      </c>
      <c r="BP80" s="769">
        <f t="shared" si="429"/>
        <v>205.423</v>
      </c>
      <c r="BQ80" s="769">
        <f t="shared" si="429"/>
        <v>167.523</v>
      </c>
      <c r="BR80" s="769">
        <f t="shared" si="429"/>
        <v>205.06200000000001</v>
      </c>
      <c r="BS80" s="769">
        <f t="shared" si="429"/>
        <v>211.096</v>
      </c>
      <c r="BT80" s="769">
        <f t="shared" si="429"/>
        <v>207.136</v>
      </c>
      <c r="BU80" s="769">
        <f t="shared" si="429"/>
        <v>244.59299999999999</v>
      </c>
      <c r="BV80" s="769">
        <f t="shared" si="429"/>
        <v>299.39600000000002</v>
      </c>
      <c r="BW80" s="769">
        <f>BW70*BW81</f>
        <v>244.63699999999997</v>
      </c>
      <c r="BX80" s="769">
        <f>BX70*BX81</f>
        <v>164.292</v>
      </c>
      <c r="BY80" s="769">
        <f>BY70*BY81</f>
        <v>134.768</v>
      </c>
      <c r="BZ80" s="769">
        <f>BZ70*BZ81</f>
        <v>224</v>
      </c>
      <c r="CA80" s="256">
        <f>CA70*CA81</f>
        <v>224</v>
      </c>
      <c r="CB80" s="278"/>
      <c r="CC80" s="277"/>
      <c r="CD80" s="277"/>
      <c r="CE80" s="260"/>
      <c r="CF80" s="338">
        <f t="shared" ref="CF80:CN80" si="430">CF70*CF81</f>
        <v>98.287999999999997</v>
      </c>
      <c r="CG80" s="259">
        <f t="shared" si="430"/>
        <v>119.23099999999999</v>
      </c>
      <c r="CH80" s="259">
        <f t="shared" si="430"/>
        <v>194.75700000000001</v>
      </c>
      <c r="CI80" s="259">
        <f t="shared" si="430"/>
        <v>184.077</v>
      </c>
      <c r="CJ80" s="259">
        <f t="shared" si="430"/>
        <v>195.55700000000002</v>
      </c>
      <c r="CK80" s="259">
        <f t="shared" si="430"/>
        <v>204.76600000000002</v>
      </c>
      <c r="CL80" s="259">
        <f t="shared" si="430"/>
        <v>212.584</v>
      </c>
      <c r="CM80" s="259">
        <f t="shared" si="430"/>
        <v>217.119</v>
      </c>
      <c r="CN80" s="259">
        <f t="shared" si="430"/>
        <v>264.37399999999997</v>
      </c>
      <c r="CO80" s="259">
        <f>CO70*CO81</f>
        <v>315.21299999999997</v>
      </c>
      <c r="CP80" s="259">
        <f>CP70*CP81</f>
        <v>179.12700000000001</v>
      </c>
      <c r="CQ80" s="277">
        <f>CQ70*CQ81</f>
        <v>151.23399999999998</v>
      </c>
      <c r="CR80" s="277">
        <f>CR70*CR81</f>
        <v>174.20099999999999</v>
      </c>
      <c r="CS80" s="184">
        <f>CS70*CS81</f>
        <v>224</v>
      </c>
      <c r="CT80" s="22"/>
    </row>
    <row r="81" spans="1:104" ht="14.25" customHeight="1">
      <c r="A81" s="8"/>
      <c r="B81" s="290" t="s">
        <v>511</v>
      </c>
      <c r="C81" s="291"/>
      <c r="D81" s="392">
        <f t="shared" ref="D81:AK81" si="431">D80/D70</f>
        <v>1.0637802512825289E-2</v>
      </c>
      <c r="E81" s="271">
        <f t="shared" si="431"/>
        <v>1.0656748312915501E-2</v>
      </c>
      <c r="F81" s="271">
        <f t="shared" si="431"/>
        <v>1.0847098521975561E-2</v>
      </c>
      <c r="G81" s="293">
        <f t="shared" si="431"/>
        <v>1.2551871966859737E-2</v>
      </c>
      <c r="H81" s="392">
        <f t="shared" si="431"/>
        <v>1.1224036319648309E-2</v>
      </c>
      <c r="I81" s="271">
        <f t="shared" si="431"/>
        <v>1.1434600963829663E-2</v>
      </c>
      <c r="J81" s="271">
        <f t="shared" si="431"/>
        <v>1.1535579636962428E-2</v>
      </c>
      <c r="K81" s="293">
        <f t="shared" si="431"/>
        <v>1.1180562249393018E-2</v>
      </c>
      <c r="L81" s="392">
        <f t="shared" si="431"/>
        <v>1.3055021246407126E-2</v>
      </c>
      <c r="M81" s="271">
        <f t="shared" si="431"/>
        <v>1.4478786367037802E-2</v>
      </c>
      <c r="N81" s="271">
        <f t="shared" si="431"/>
        <v>1.885702476245649E-2</v>
      </c>
      <c r="O81" s="293">
        <f t="shared" si="431"/>
        <v>2.0259854569619366E-2</v>
      </c>
      <c r="P81" s="392">
        <f t="shared" si="431"/>
        <v>2.1174446004506374E-2</v>
      </c>
      <c r="Q81" s="271">
        <f t="shared" si="431"/>
        <v>2.2646195961481045E-2</v>
      </c>
      <c r="R81" s="271">
        <f t="shared" si="431"/>
        <v>2.2503029405990468E-2</v>
      </c>
      <c r="S81" s="293">
        <f t="shared" si="431"/>
        <v>2.4434398139781037E-2</v>
      </c>
      <c r="T81" s="392">
        <f t="shared" si="431"/>
        <v>1.6431601477835619E-2</v>
      </c>
      <c r="U81" s="271">
        <f t="shared" si="431"/>
        <v>1.7722416730402764E-2</v>
      </c>
      <c r="V81" s="271">
        <f t="shared" si="431"/>
        <v>1.7931856309631882E-2</v>
      </c>
      <c r="W81" s="293">
        <f t="shared" si="431"/>
        <v>2.1893956511914898E-2</v>
      </c>
      <c r="X81" s="392">
        <f t="shared" si="431"/>
        <v>2.2303973892705282E-2</v>
      </c>
      <c r="Y81" s="271">
        <f t="shared" si="431"/>
        <v>2.2697710802794403E-2</v>
      </c>
      <c r="Z81" s="271">
        <f t="shared" si="431"/>
        <v>2.1814441242739672E-2</v>
      </c>
      <c r="AA81" s="293">
        <f t="shared" si="431"/>
        <v>2.1026381348671522E-2</v>
      </c>
      <c r="AB81" s="271">
        <f t="shared" si="431"/>
        <v>2.1450958291931759E-2</v>
      </c>
      <c r="AC81" s="271">
        <f t="shared" si="431"/>
        <v>2.0832849190125242E-2</v>
      </c>
      <c r="AD81" s="271">
        <f t="shared" si="431"/>
        <v>2.129158151188703E-2</v>
      </c>
      <c r="AE81" s="272">
        <f t="shared" si="431"/>
        <v>2.1254632111981121E-2</v>
      </c>
      <c r="AF81" s="271">
        <f t="shared" si="431"/>
        <v>2.0993681634811478E-2</v>
      </c>
      <c r="AG81" s="271">
        <f t="shared" si="431"/>
        <v>2.1090082457832032E-2</v>
      </c>
      <c r="AH81" s="271">
        <f t="shared" si="431"/>
        <v>2.0198226487410129E-2</v>
      </c>
      <c r="AI81" s="272">
        <f t="shared" si="431"/>
        <v>2.02702033831057E-2</v>
      </c>
      <c r="AJ81" s="271">
        <f t="shared" si="431"/>
        <v>2.0007356077176207E-2</v>
      </c>
      <c r="AK81" s="271">
        <f t="shared" si="431"/>
        <v>2.509159421464292E-2</v>
      </c>
      <c r="AL81" s="271">
        <f t="shared" ref="AL81:AQ81" si="432">AL80/AL70</f>
        <v>2.5019190471621312E-2</v>
      </c>
      <c r="AM81" s="272">
        <f t="shared" si="432"/>
        <v>2.5002494774563625E-2</v>
      </c>
      <c r="AN81" s="271">
        <f t="shared" si="432"/>
        <v>2.4581006017798297E-2</v>
      </c>
      <c r="AO81" s="271">
        <f t="shared" si="432"/>
        <v>2.8715367662947938E-2</v>
      </c>
      <c r="AP81" s="271">
        <f t="shared" si="432"/>
        <v>2.8859519957340315E-2</v>
      </c>
      <c r="AQ81" s="272">
        <f t="shared" si="432"/>
        <v>3.9349636593858005E-2</v>
      </c>
      <c r="AR81" s="271">
        <f t="shared" ref="AR81:BC81" si="433">AR80/AR70</f>
        <v>5.8313700774083765E-2</v>
      </c>
      <c r="AS81" s="271">
        <f t="shared" si="433"/>
        <v>2.8334410936128939E-2</v>
      </c>
      <c r="AT81" s="271">
        <f t="shared" si="433"/>
        <v>2.6910965441172264E-2</v>
      </c>
      <c r="AU81" s="272">
        <f t="shared" si="433"/>
        <v>2.8478672901451188E-2</v>
      </c>
      <c r="AV81" s="271">
        <f t="shared" ref="AV81:BA81" si="434">AV80/AV70</f>
        <v>2.6595793479397663E-2</v>
      </c>
      <c r="AW81" s="271">
        <f t="shared" si="434"/>
        <v>2.5716761665303733E-2</v>
      </c>
      <c r="AX81" s="271">
        <f t="shared" si="434"/>
        <v>2.4941717615608032E-2</v>
      </c>
      <c r="AY81" s="272">
        <f t="shared" si="434"/>
        <v>2.4491245889697696E-2</v>
      </c>
      <c r="AZ81" s="271">
        <f t="shared" si="434"/>
        <v>2.3433310954566001E-2</v>
      </c>
      <c r="BA81" s="271">
        <f t="shared" si="434"/>
        <v>2.2511893028120847E-2</v>
      </c>
      <c r="BB81" s="271">
        <f t="shared" ref="BB81" si="435">BB80/BB70</f>
        <v>2.2971974943930128E-2</v>
      </c>
      <c r="BC81" s="272">
        <f t="shared" si="433"/>
        <v>1.5318573588388265E-2</v>
      </c>
      <c r="BD81" s="271">
        <f t="shared" ref="BD81:BK81" si="436">BD80/BD70</f>
        <v>3.4057174304867793E-2</v>
      </c>
      <c r="BE81" s="271">
        <f t="shared" si="436"/>
        <v>3.3804078402851927E-2</v>
      </c>
      <c r="BF81" s="271">
        <f t="shared" si="436"/>
        <v>3.3541781170710008E-2</v>
      </c>
      <c r="BG81" s="272">
        <f t="shared" si="436"/>
        <v>3.3280813169033592E-2</v>
      </c>
      <c r="BH81" s="271">
        <f t="shared" si="436"/>
        <v>3.3027966282968876E-2</v>
      </c>
      <c r="BI81" s="271">
        <f t="shared" si="436"/>
        <v>3.2779122218020616E-2</v>
      </c>
      <c r="BJ81" s="271">
        <f t="shared" si="436"/>
        <v>3.2524106512371247E-2</v>
      </c>
      <c r="BK81" s="272">
        <f t="shared" si="436"/>
        <v>3.2266405731779101E-2</v>
      </c>
      <c r="BL81" s="20"/>
      <c r="BM81" s="292">
        <f t="shared" ref="BM81:BV81" si="437">BM83/BM70</f>
        <v>4.3508146578196301E-2</v>
      </c>
      <c r="BN81" s="292">
        <f t="shared" si="437"/>
        <v>4.3105429793796848E-2</v>
      </c>
      <c r="BO81" s="292">
        <f t="shared" si="437"/>
        <v>6.4658931891809004E-2</v>
      </c>
      <c r="BP81" s="292">
        <f t="shared" si="437"/>
        <v>8.881827843271882E-2</v>
      </c>
      <c r="BQ81" s="292">
        <f t="shared" si="437"/>
        <v>7.2794309352893119E-2</v>
      </c>
      <c r="BR81" s="292">
        <f t="shared" si="437"/>
        <v>8.6206650114388966E-2</v>
      </c>
      <c r="BS81" s="292">
        <f t="shared" si="437"/>
        <v>8.3780255822361857E-2</v>
      </c>
      <c r="BT81" s="292">
        <f t="shared" si="437"/>
        <v>8.2020059150299487E-2</v>
      </c>
      <c r="BU81" s="292">
        <f t="shared" si="437"/>
        <v>9.4973446667932504E-2</v>
      </c>
      <c r="BV81" s="292">
        <f t="shared" si="437"/>
        <v>0.1271723982086887</v>
      </c>
      <c r="BW81" s="292">
        <f>BW83/BW70</f>
        <v>0.150104216456076</v>
      </c>
      <c r="BX81" s="292">
        <f>BX83/BX70</f>
        <v>0.10534942058203418</v>
      </c>
      <c r="BY81" s="292">
        <f>BY83/BY70</f>
        <v>8.2578141014396395E-2</v>
      </c>
      <c r="BZ81" s="292">
        <f>BZ83/BZ70</f>
        <v>0.13312325267613437</v>
      </c>
      <c r="CA81" s="272">
        <f>CA83/CA70</f>
        <v>0.1290656229271164</v>
      </c>
      <c r="CB81" s="1482"/>
      <c r="CC81" s="1434"/>
      <c r="CD81" s="1434"/>
      <c r="CE81" s="260"/>
      <c r="CF81" s="294">
        <f t="shared" ref="CF81:CN81" si="438">CF83/CF70</f>
        <v>4.3411644309663953E-2</v>
      </c>
      <c r="CG81" s="292">
        <f t="shared" si="438"/>
        <v>5.0068742635467504E-2</v>
      </c>
      <c r="CH81" s="292">
        <f t="shared" si="438"/>
        <v>8.6662314795161677E-2</v>
      </c>
      <c r="CI81" s="292">
        <f t="shared" si="438"/>
        <v>8.1901217726510073E-2</v>
      </c>
      <c r="CJ81" s="292">
        <f t="shared" si="438"/>
        <v>8.4986908008387568E-2</v>
      </c>
      <c r="CK81" s="292">
        <f t="shared" si="438"/>
        <v>8.2043642605350228E-2</v>
      </c>
      <c r="CL81" s="292">
        <f t="shared" si="438"/>
        <v>8.6418930015724066E-2</v>
      </c>
      <c r="CM81" s="292">
        <f t="shared" si="438"/>
        <v>8.4588874049578544E-2</v>
      </c>
      <c r="CN81" s="292">
        <f t="shared" si="438"/>
        <v>0.10599087763384567</v>
      </c>
      <c r="CO81" s="292">
        <f>CO83/CO70</f>
        <v>0.18196843393525144</v>
      </c>
      <c r="CP81" s="292">
        <f>CP83/CP70</f>
        <v>0.10931576570528861</v>
      </c>
      <c r="CQ81" s="271">
        <f>CQ83/CQ70</f>
        <v>9.5065021925413357E-2</v>
      </c>
      <c r="CR81" s="271">
        <f>CR83/CR70</f>
        <v>0.10515543324741443</v>
      </c>
      <c r="CS81" s="272">
        <f>CS83/CS70</f>
        <v>0.13111648887208247</v>
      </c>
      <c r="CT81" s="22"/>
    </row>
    <row r="82" spans="1:104" ht="14.25" customHeight="1">
      <c r="A82" s="8"/>
      <c r="B82" s="14"/>
      <c r="C82" s="14"/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57"/>
      <c r="R82" s="257"/>
      <c r="S82" s="257"/>
      <c r="T82" s="257"/>
      <c r="U82" s="257"/>
      <c r="V82" s="257"/>
      <c r="W82" s="257"/>
      <c r="X82" s="257"/>
      <c r="Y82" s="257"/>
      <c r="Z82" s="257"/>
      <c r="AA82" s="257"/>
      <c r="AB82" s="257"/>
      <c r="AC82" s="257"/>
      <c r="AD82" s="257"/>
      <c r="AE82" s="257"/>
      <c r="AF82" s="257"/>
      <c r="AG82" s="257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  <c r="AR82" s="257"/>
      <c r="AS82" s="257"/>
      <c r="AT82" s="257"/>
      <c r="AU82" s="257"/>
      <c r="AV82" s="257"/>
      <c r="AW82" s="257"/>
      <c r="AX82" s="257"/>
      <c r="AY82" s="257"/>
      <c r="AZ82" s="257"/>
      <c r="BA82" s="257"/>
      <c r="BB82" s="257"/>
      <c r="BC82" s="257"/>
      <c r="BD82" s="257"/>
      <c r="BE82" s="257"/>
      <c r="BF82" s="257"/>
      <c r="BG82" s="257"/>
      <c r="BH82" s="257"/>
      <c r="BI82" s="257"/>
      <c r="BJ82" s="257"/>
      <c r="BK82" s="257"/>
      <c r="BL82" s="8"/>
      <c r="BM82" s="257"/>
      <c r="BN82" s="257"/>
      <c r="BO82" s="257"/>
      <c r="BP82" s="257"/>
      <c r="BQ82" s="257"/>
      <c r="BR82" s="257"/>
      <c r="BS82" s="257"/>
      <c r="BT82" s="257"/>
      <c r="BU82" s="257"/>
      <c r="BV82" s="257"/>
      <c r="BW82" s="257"/>
      <c r="BX82" s="257"/>
      <c r="BY82" s="257"/>
      <c r="BZ82" s="257"/>
      <c r="CA82" s="257"/>
      <c r="CB82" s="277"/>
      <c r="CC82" s="277"/>
      <c r="CD82" s="277"/>
      <c r="CE82" s="8"/>
      <c r="CF82" s="257"/>
      <c r="CG82" s="257"/>
      <c r="CH82" s="257"/>
      <c r="CI82" s="257"/>
      <c r="CJ82" s="257"/>
      <c r="CK82" s="257"/>
      <c r="CL82" s="257"/>
      <c r="CM82" s="257"/>
      <c r="CN82" s="257"/>
      <c r="CO82" s="257"/>
      <c r="CP82" s="257"/>
      <c r="CQ82" s="257"/>
      <c r="CR82" s="257"/>
      <c r="CS82" s="257"/>
      <c r="CT82" s="8"/>
    </row>
    <row r="83" spans="1:104" ht="14.25" customHeight="1">
      <c r="A83" s="8"/>
      <c r="B83" s="79" t="s">
        <v>512</v>
      </c>
      <c r="C83" s="244"/>
      <c r="D83" s="183">
        <f t="shared" ref="D83:AH83" si="439">D14</f>
        <v>21.018000000000001</v>
      </c>
      <c r="E83" s="181">
        <f t="shared" si="439"/>
        <v>21.253999999999998</v>
      </c>
      <c r="F83" s="181">
        <f t="shared" si="439"/>
        <v>21.994000000000007</v>
      </c>
      <c r="G83" s="184">
        <f t="shared" si="439"/>
        <v>26.057999999999986</v>
      </c>
      <c r="H83" s="183">
        <f t="shared" si="439"/>
        <v>24.347000000000001</v>
      </c>
      <c r="I83" s="181">
        <f t="shared" si="439"/>
        <v>25.888999999999996</v>
      </c>
      <c r="J83" s="181">
        <f t="shared" si="439"/>
        <v>27.265000000000008</v>
      </c>
      <c r="K83" s="184">
        <f t="shared" si="439"/>
        <v>27.141999999999989</v>
      </c>
      <c r="L83" s="183">
        <f t="shared" si="439"/>
        <v>30.344999999999999</v>
      </c>
      <c r="M83" s="181">
        <f t="shared" si="439"/>
        <v>34.478999999999999</v>
      </c>
      <c r="N83" s="181">
        <f t="shared" si="439"/>
        <v>46.352000000000004</v>
      </c>
      <c r="O83" s="184">
        <f t="shared" si="439"/>
        <v>50.731000000000009</v>
      </c>
      <c r="P83" s="183">
        <f t="shared" si="439"/>
        <v>46.780999999999999</v>
      </c>
      <c r="Q83" s="181">
        <f t="shared" si="439"/>
        <v>50.893000000000008</v>
      </c>
      <c r="R83" s="181">
        <f t="shared" si="439"/>
        <v>51.235999999999997</v>
      </c>
      <c r="S83" s="184">
        <f t="shared" si="439"/>
        <v>56.513000000000012</v>
      </c>
      <c r="T83" s="183">
        <f t="shared" si="439"/>
        <v>36.496000000000002</v>
      </c>
      <c r="U83" s="181">
        <f t="shared" si="439"/>
        <v>39.832000000000001</v>
      </c>
      <c r="V83" s="181">
        <f t="shared" si="439"/>
        <v>40.810000000000009</v>
      </c>
      <c r="W83" s="184">
        <f t="shared" si="439"/>
        <v>50.384999999999998</v>
      </c>
      <c r="X83" s="183">
        <f t="shared" si="439"/>
        <v>52.134</v>
      </c>
      <c r="Y83" s="181">
        <f t="shared" si="439"/>
        <v>52.227999999999994</v>
      </c>
      <c r="Z83" s="181">
        <f t="shared" si="439"/>
        <v>50.683999999999997</v>
      </c>
      <c r="AA83" s="184">
        <f t="shared" si="439"/>
        <v>50.01600000000002</v>
      </c>
      <c r="AB83" s="181">
        <f t="shared" si="439"/>
        <v>52.070999999999998</v>
      </c>
      <c r="AC83" s="181">
        <f>AC14</f>
        <v>51.995000000000005</v>
      </c>
      <c r="AD83" s="181">
        <f>AD14</f>
        <v>53.475999999999999</v>
      </c>
      <c r="AE83" s="182">
        <f t="shared" si="439"/>
        <v>53.554000000000002</v>
      </c>
      <c r="AF83" s="181">
        <f t="shared" si="439"/>
        <v>53.673999999999999</v>
      </c>
      <c r="AG83" s="181">
        <f t="shared" si="439"/>
        <v>51.88</v>
      </c>
      <c r="AH83" s="181">
        <f t="shared" si="439"/>
        <v>50.390999999999998</v>
      </c>
      <c r="AI83" s="182">
        <f t="shared" ref="AI83:AN83" si="440">AI14</f>
        <v>51.19100000000001</v>
      </c>
      <c r="AJ83" s="181">
        <f t="shared" si="440"/>
        <v>51.133000000000003</v>
      </c>
      <c r="AK83" s="181">
        <f t="shared" si="440"/>
        <v>64.403999999999996</v>
      </c>
      <c r="AL83" s="181">
        <f t="shared" si="440"/>
        <v>64.664999999999992</v>
      </c>
      <c r="AM83" s="182">
        <f t="shared" si="440"/>
        <v>64.390999999999991</v>
      </c>
      <c r="AN83" s="181">
        <f t="shared" si="440"/>
        <v>63.692999999999998</v>
      </c>
      <c r="AO83" s="181">
        <f t="shared" ref="AO83:AT83" si="441">AO14</f>
        <v>71.625000000000014</v>
      </c>
      <c r="AP83" s="181">
        <f t="shared" si="441"/>
        <v>71.439000000000007</v>
      </c>
      <c r="AQ83" s="182">
        <f t="shared" si="441"/>
        <v>92.638999999999996</v>
      </c>
      <c r="AR83" s="181">
        <f t="shared" si="441"/>
        <v>102.053</v>
      </c>
      <c r="AS83" s="181">
        <f t="shared" si="441"/>
        <v>49.081999999999994</v>
      </c>
      <c r="AT83" s="181">
        <f t="shared" si="441"/>
        <v>47.087999999999994</v>
      </c>
      <c r="AU83" s="182">
        <f t="shared" ref="AU83:BG83" si="442">AU14</f>
        <v>46.414000000000016</v>
      </c>
      <c r="AV83" s="181">
        <f t="shared" si="442"/>
        <v>43.484999999999999</v>
      </c>
      <c r="AW83" s="181">
        <f t="shared" si="442"/>
        <v>42.14</v>
      </c>
      <c r="AX83" s="181">
        <f t="shared" si="442"/>
        <v>40.472999999999999</v>
      </c>
      <c r="AY83" s="182">
        <f>AY14</f>
        <v>38.194000000000003</v>
      </c>
      <c r="AZ83" s="181">
        <f>AZ14</f>
        <v>36.753999999999998</v>
      </c>
      <c r="BA83" s="181">
        <f>BA14</f>
        <v>35.812999999999995</v>
      </c>
      <c r="BB83" s="181">
        <f t="shared" ref="BB83" si="443">BB14</f>
        <v>37.201000000000001</v>
      </c>
      <c r="BC83" s="182">
        <f t="shared" si="442"/>
        <v>25</v>
      </c>
      <c r="BD83" s="181">
        <f t="shared" si="442"/>
        <v>56</v>
      </c>
      <c r="BE83" s="181">
        <f t="shared" si="442"/>
        <v>56</v>
      </c>
      <c r="BF83" s="181">
        <f t="shared" si="442"/>
        <v>56</v>
      </c>
      <c r="BG83" s="182">
        <f t="shared" si="442"/>
        <v>56</v>
      </c>
      <c r="BH83" s="181">
        <f>BH14</f>
        <v>56</v>
      </c>
      <c r="BI83" s="181">
        <f>BI14</f>
        <v>56</v>
      </c>
      <c r="BJ83" s="181">
        <f>BJ14</f>
        <v>56</v>
      </c>
      <c r="BK83" s="182">
        <f>BK14</f>
        <v>56</v>
      </c>
      <c r="BL83" s="185"/>
      <c r="BM83" s="181">
        <f t="shared" ref="BM83:BV83" si="444">BM14</f>
        <v>90.323999999999984</v>
      </c>
      <c r="BN83" s="181">
        <f t="shared" si="444"/>
        <v>104.643</v>
      </c>
      <c r="BO83" s="181">
        <f t="shared" si="444"/>
        <v>161.90700000000001</v>
      </c>
      <c r="BP83" s="181">
        <f t="shared" si="444"/>
        <v>205.423</v>
      </c>
      <c r="BQ83" s="181">
        <f t="shared" si="444"/>
        <v>167.523</v>
      </c>
      <c r="BR83" s="181">
        <f t="shared" si="444"/>
        <v>205.06200000000001</v>
      </c>
      <c r="BS83" s="181">
        <f t="shared" si="444"/>
        <v>211.096</v>
      </c>
      <c r="BT83" s="181">
        <f t="shared" si="444"/>
        <v>207.136</v>
      </c>
      <c r="BU83" s="181">
        <f t="shared" si="444"/>
        <v>244.59299999999999</v>
      </c>
      <c r="BV83" s="181">
        <f t="shared" si="444"/>
        <v>299.39600000000002</v>
      </c>
      <c r="BW83" s="181">
        <f>BW14</f>
        <v>244.637</v>
      </c>
      <c r="BX83" s="181">
        <f>BX14</f>
        <v>164.292</v>
      </c>
      <c r="BY83" s="181">
        <f>BY14</f>
        <v>134.768</v>
      </c>
      <c r="BZ83" s="181">
        <f>BZ14</f>
        <v>224</v>
      </c>
      <c r="CA83" s="184">
        <f>CA14</f>
        <v>224</v>
      </c>
      <c r="CB83" s="278"/>
      <c r="CC83" s="277"/>
      <c r="CD83" s="277"/>
      <c r="CE83" s="260"/>
      <c r="CF83" s="183">
        <f t="shared" ref="CF83:CN83" si="445">CF14</f>
        <v>98.287999999999997</v>
      </c>
      <c r="CG83" s="181">
        <f t="shared" si="445"/>
        <v>119.23099999999999</v>
      </c>
      <c r="CH83" s="181">
        <f t="shared" si="445"/>
        <v>194.75700000000001</v>
      </c>
      <c r="CI83" s="181">
        <f t="shared" si="445"/>
        <v>184.077</v>
      </c>
      <c r="CJ83" s="181">
        <f t="shared" si="445"/>
        <v>195.55700000000002</v>
      </c>
      <c r="CK83" s="181">
        <f t="shared" si="445"/>
        <v>204.76600000000002</v>
      </c>
      <c r="CL83" s="181">
        <f t="shared" si="445"/>
        <v>212.584</v>
      </c>
      <c r="CM83" s="181">
        <f t="shared" si="445"/>
        <v>217.119</v>
      </c>
      <c r="CN83" s="181">
        <f t="shared" si="445"/>
        <v>264.37399999999997</v>
      </c>
      <c r="CO83" s="181">
        <f>CO14</f>
        <v>315.21299999999997</v>
      </c>
      <c r="CP83" s="181">
        <f>CP14</f>
        <v>179.12700000000001</v>
      </c>
      <c r="CQ83" s="181">
        <f>CQ14</f>
        <v>151.23399999999998</v>
      </c>
      <c r="CR83" s="181">
        <f>CR14</f>
        <v>174.20099999999999</v>
      </c>
      <c r="CS83" s="184">
        <f>CS14</f>
        <v>224</v>
      </c>
      <c r="CT83" s="22"/>
    </row>
    <row r="84" spans="1:104" ht="14.25" customHeight="1">
      <c r="A84" s="8"/>
      <c r="B84" s="152" t="s">
        <v>454</v>
      </c>
      <c r="C84" s="153"/>
      <c r="D84" s="156">
        <f t="shared" ref="D84:AD84" si="446">IF(ROUND(D83,4)=ROUND(D80,4),0,(D83-D80))</f>
        <v>0</v>
      </c>
      <c r="E84" s="154">
        <f t="shared" si="446"/>
        <v>0</v>
      </c>
      <c r="F84" s="154">
        <f t="shared" si="446"/>
        <v>0</v>
      </c>
      <c r="G84" s="155">
        <f t="shared" si="446"/>
        <v>0</v>
      </c>
      <c r="H84" s="156">
        <f t="shared" si="446"/>
        <v>0</v>
      </c>
      <c r="I84" s="154">
        <f t="shared" si="446"/>
        <v>0</v>
      </c>
      <c r="J84" s="154">
        <f t="shared" si="446"/>
        <v>0</v>
      </c>
      <c r="K84" s="155">
        <f t="shared" si="446"/>
        <v>0</v>
      </c>
      <c r="L84" s="156">
        <f t="shared" si="446"/>
        <v>0</v>
      </c>
      <c r="M84" s="154">
        <f t="shared" si="446"/>
        <v>0</v>
      </c>
      <c r="N84" s="154">
        <f t="shared" si="446"/>
        <v>0</v>
      </c>
      <c r="O84" s="155">
        <f t="shared" si="446"/>
        <v>0</v>
      </c>
      <c r="P84" s="156">
        <f t="shared" si="446"/>
        <v>0</v>
      </c>
      <c r="Q84" s="154">
        <f t="shared" si="446"/>
        <v>0</v>
      </c>
      <c r="R84" s="154">
        <f t="shared" si="446"/>
        <v>0</v>
      </c>
      <c r="S84" s="155">
        <f t="shared" si="446"/>
        <v>0</v>
      </c>
      <c r="T84" s="156">
        <f t="shared" si="446"/>
        <v>0</v>
      </c>
      <c r="U84" s="154">
        <f t="shared" si="446"/>
        <v>0</v>
      </c>
      <c r="V84" s="154">
        <f t="shared" si="446"/>
        <v>0</v>
      </c>
      <c r="W84" s="155">
        <f t="shared" si="446"/>
        <v>0</v>
      </c>
      <c r="X84" s="156">
        <f t="shared" si="446"/>
        <v>0</v>
      </c>
      <c r="Y84" s="154">
        <f t="shared" si="446"/>
        <v>0</v>
      </c>
      <c r="Z84" s="154">
        <f t="shared" si="446"/>
        <v>0</v>
      </c>
      <c r="AA84" s="155">
        <f t="shared" si="446"/>
        <v>0</v>
      </c>
      <c r="AB84" s="156">
        <f>IF(ROUND(AB83,4)=ROUND(AB80,4),0,(AB83-AB80))</f>
        <v>0</v>
      </c>
      <c r="AC84" s="154">
        <f t="shared" si="446"/>
        <v>0</v>
      </c>
      <c r="AD84" s="154">
        <f t="shared" si="446"/>
        <v>0</v>
      </c>
      <c r="AE84" s="155">
        <f t="shared" ref="AE84:AQ84" si="447">IF(ROUND(AE83,4)=ROUND(AE80,4),0,(AE83-AE80))</f>
        <v>0</v>
      </c>
      <c r="AF84" s="156">
        <f t="shared" si="447"/>
        <v>0</v>
      </c>
      <c r="AG84" s="154">
        <f t="shared" si="447"/>
        <v>0</v>
      </c>
      <c r="AH84" s="154">
        <f t="shared" si="447"/>
        <v>0</v>
      </c>
      <c r="AI84" s="155">
        <f t="shared" si="447"/>
        <v>0</v>
      </c>
      <c r="AJ84" s="156">
        <f t="shared" si="447"/>
        <v>0</v>
      </c>
      <c r="AK84" s="154">
        <f t="shared" si="447"/>
        <v>0</v>
      </c>
      <c r="AL84" s="154">
        <f>IF(ROUND(AL83,4)=ROUND(AL80,4),0,(AL83-AL80))</f>
        <v>0</v>
      </c>
      <c r="AM84" s="155">
        <f>IF(ROUND(AM83,4)=ROUND(AM80,4),0,(AM83-AM80))</f>
        <v>0</v>
      </c>
      <c r="AN84" s="156">
        <f>IF(ROUND(AN83,4)=ROUND(AN80,4),0,(AN83-AN80))</f>
        <v>0</v>
      </c>
      <c r="AO84" s="154">
        <f>IF(ROUND(AO83,4)=ROUND(AO80,4),0,(AO83-AO80))</f>
        <v>0</v>
      </c>
      <c r="AP84" s="154">
        <f>IF(ROUND(AP83,4)=ROUND(AP80,4),0,(AP83-AP80))</f>
        <v>0</v>
      </c>
      <c r="AQ84" s="155">
        <f t="shared" si="447"/>
        <v>0</v>
      </c>
      <c r="AR84" s="156">
        <f t="shared" ref="AR84:AW84" si="448">IF(ROUND(AR83,4)=ROUND(AR80,4),0,(AR83-AR80))</f>
        <v>0</v>
      </c>
      <c r="AS84" s="154">
        <f t="shared" si="448"/>
        <v>0</v>
      </c>
      <c r="AT84" s="154">
        <f t="shared" si="448"/>
        <v>0</v>
      </c>
      <c r="AU84" s="155">
        <f t="shared" si="448"/>
        <v>0</v>
      </c>
      <c r="AV84" s="156">
        <f t="shared" si="448"/>
        <v>0</v>
      </c>
      <c r="AW84" s="154">
        <f t="shared" si="448"/>
        <v>0</v>
      </c>
      <c r="AX84" s="154">
        <f t="shared" ref="AX84:BG84" si="449">IF(ROUND(AX83,4)=ROUND(AX80,4),0,(AX83-AX80))</f>
        <v>0</v>
      </c>
      <c r="AY84" s="155">
        <f t="shared" si="449"/>
        <v>0</v>
      </c>
      <c r="AZ84" s="156">
        <f t="shared" si="449"/>
        <v>0</v>
      </c>
      <c r="BA84" s="154">
        <f t="shared" si="449"/>
        <v>0</v>
      </c>
      <c r="BB84" s="154">
        <f t="shared" ref="BB84" si="450">IF(ROUND(BB83,4)=ROUND(BB80,4),0,(BB83-BB80))</f>
        <v>0</v>
      </c>
      <c r="BC84" s="155">
        <f t="shared" si="449"/>
        <v>0</v>
      </c>
      <c r="BD84" s="156">
        <f t="shared" si="449"/>
        <v>0</v>
      </c>
      <c r="BE84" s="154">
        <f t="shared" si="449"/>
        <v>0</v>
      </c>
      <c r="BF84" s="154">
        <f t="shared" si="449"/>
        <v>0</v>
      </c>
      <c r="BG84" s="155">
        <f t="shared" si="449"/>
        <v>0</v>
      </c>
      <c r="BH84" s="156">
        <f>IF(ROUND(BH83,4)=ROUND(BH80,4),0,(BH83-BH80))</f>
        <v>0</v>
      </c>
      <c r="BI84" s="154">
        <f>IF(ROUND(BI83,4)=ROUND(BI80,4),0,(BI83-BI80))</f>
        <v>0</v>
      </c>
      <c r="BJ84" s="154">
        <f>IF(ROUND(BJ83,4)=ROUND(BJ80,4),0,(BJ83-BJ80))</f>
        <v>0</v>
      </c>
      <c r="BK84" s="155">
        <f>IF(ROUND(BK83,4)=ROUND(BK80,4),0,(BK83-BK80))</f>
        <v>0</v>
      </c>
      <c r="BL84" s="185"/>
      <c r="BM84" s="154">
        <f t="shared" ref="BM84:BS84" si="451">IF(ROUND(BM83,4)=ROUND(BM80,4),0,(BM83-BM80))</f>
        <v>0</v>
      </c>
      <c r="BN84" s="154">
        <f t="shared" si="451"/>
        <v>0</v>
      </c>
      <c r="BO84" s="154">
        <f t="shared" si="451"/>
        <v>0</v>
      </c>
      <c r="BP84" s="154">
        <f t="shared" si="451"/>
        <v>0</v>
      </c>
      <c r="BQ84" s="154">
        <f t="shared" si="451"/>
        <v>0</v>
      </c>
      <c r="BR84" s="154">
        <f t="shared" si="451"/>
        <v>0</v>
      </c>
      <c r="BS84" s="154">
        <f t="shared" si="451"/>
        <v>0</v>
      </c>
      <c r="BT84" s="154">
        <f t="shared" ref="BT84:CA84" si="452">IF(ROUND(BT83,4)=ROUND(BT80,4),0,(BT83-BT80))</f>
        <v>0</v>
      </c>
      <c r="BU84" s="154">
        <f t="shared" si="452"/>
        <v>0</v>
      </c>
      <c r="BV84" s="154">
        <f t="shared" si="452"/>
        <v>0</v>
      </c>
      <c r="BW84" s="154">
        <f t="shared" si="452"/>
        <v>0</v>
      </c>
      <c r="BX84" s="154">
        <f t="shared" si="452"/>
        <v>0</v>
      </c>
      <c r="BY84" s="154">
        <f t="shared" si="452"/>
        <v>0</v>
      </c>
      <c r="BZ84" s="154">
        <f t="shared" si="452"/>
        <v>0</v>
      </c>
      <c r="CA84" s="155">
        <f t="shared" si="452"/>
        <v>0</v>
      </c>
      <c r="CB84" s="1481"/>
      <c r="CC84" s="1433"/>
      <c r="CD84" s="1433"/>
      <c r="CE84" s="260"/>
      <c r="CF84" s="156">
        <f t="shared" ref="CF84:CL84" si="453">IF(ROUND(CF83,4)=ROUND(CF80,4),0,(CF83-CF80))</f>
        <v>0</v>
      </c>
      <c r="CG84" s="154">
        <f t="shared" si="453"/>
        <v>0</v>
      </c>
      <c r="CH84" s="154">
        <f t="shared" si="453"/>
        <v>0</v>
      </c>
      <c r="CI84" s="154">
        <f t="shared" si="453"/>
        <v>0</v>
      </c>
      <c r="CJ84" s="154">
        <f t="shared" si="453"/>
        <v>0</v>
      </c>
      <c r="CK84" s="154">
        <f t="shared" si="453"/>
        <v>0</v>
      </c>
      <c r="CL84" s="154">
        <f t="shared" si="453"/>
        <v>0</v>
      </c>
      <c r="CM84" s="154">
        <f t="shared" ref="CM84:CR84" si="454">IF(ROUND(CM83,4)=ROUND(CM80,4),0,(CM83-CM80))</f>
        <v>0</v>
      </c>
      <c r="CN84" s="154">
        <f t="shared" si="454"/>
        <v>0</v>
      </c>
      <c r="CO84" s="154">
        <f t="shared" si="454"/>
        <v>0</v>
      </c>
      <c r="CP84" s="154">
        <f t="shared" si="454"/>
        <v>0</v>
      </c>
      <c r="CQ84" s="154">
        <f t="shared" si="454"/>
        <v>0</v>
      </c>
      <c r="CR84" s="154">
        <f t="shared" si="454"/>
        <v>0</v>
      </c>
      <c r="CS84" s="155">
        <f>IF(ROUND(CS83,4)=ROUND(CS80,4),0,(CS83-CS80))</f>
        <v>0</v>
      </c>
      <c r="CT84" s="22"/>
    </row>
    <row r="85" spans="1:104" ht="14.25" customHeight="1">
      <c r="A85" s="8"/>
      <c r="B85" s="14"/>
      <c r="C85" s="14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74"/>
      <c r="CC85" s="74"/>
      <c r="CD85" s="74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</row>
    <row r="86" spans="1:104" ht="14.25" customHeight="1">
      <c r="A86" s="8"/>
      <c r="B86" s="14"/>
      <c r="C86" s="14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74"/>
      <c r="CC86" s="74"/>
      <c r="CD86" s="74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</row>
    <row r="87" spans="1:104" ht="14.25" customHeight="1">
      <c r="A87" s="8"/>
      <c r="B87" s="162" t="s">
        <v>513</v>
      </c>
      <c r="C87" s="163"/>
      <c r="D87" s="288" t="str">
        <f t="shared" ref="D87:W87" si="455">D79</f>
        <v>F1Q06A</v>
      </c>
      <c r="E87" s="252" t="str">
        <f t="shared" si="455"/>
        <v>F2Q06A</v>
      </c>
      <c r="F87" s="252" t="str">
        <f t="shared" si="455"/>
        <v>F3Q06A</v>
      </c>
      <c r="G87" s="253" t="str">
        <f t="shared" si="455"/>
        <v>F4Q06A</v>
      </c>
      <c r="H87" s="288" t="str">
        <f t="shared" si="455"/>
        <v>F1Q07A</v>
      </c>
      <c r="I87" s="252" t="str">
        <f t="shared" si="455"/>
        <v>F2Q07A</v>
      </c>
      <c r="J87" s="252" t="str">
        <f t="shared" si="455"/>
        <v>F3Q07A</v>
      </c>
      <c r="K87" s="253" t="str">
        <f t="shared" si="455"/>
        <v>F4Q07A</v>
      </c>
      <c r="L87" s="288" t="str">
        <f t="shared" si="455"/>
        <v>F1Q08A</v>
      </c>
      <c r="M87" s="252" t="str">
        <f t="shared" si="455"/>
        <v>F2Q08A</v>
      </c>
      <c r="N87" s="252" t="str">
        <f t="shared" si="455"/>
        <v>F3Q08A</v>
      </c>
      <c r="O87" s="253" t="str">
        <f t="shared" si="455"/>
        <v>F4Q08A</v>
      </c>
      <c r="P87" s="288" t="str">
        <f t="shared" si="455"/>
        <v>F1Q09A</v>
      </c>
      <c r="Q87" s="252" t="str">
        <f t="shared" si="455"/>
        <v>F2Q09A</v>
      </c>
      <c r="R87" s="252" t="str">
        <f t="shared" si="455"/>
        <v>F3Q09A</v>
      </c>
      <c r="S87" s="253" t="str">
        <f t="shared" si="455"/>
        <v>F4Q09A</v>
      </c>
      <c r="T87" s="288" t="str">
        <f t="shared" si="455"/>
        <v>F1Q10A</v>
      </c>
      <c r="U87" s="252" t="str">
        <f t="shared" si="455"/>
        <v>F2Q10A</v>
      </c>
      <c r="V87" s="252" t="str">
        <f t="shared" si="455"/>
        <v>F3Q10A</v>
      </c>
      <c r="W87" s="253" t="str">
        <f t="shared" si="455"/>
        <v>F4Q10A</v>
      </c>
      <c r="X87" s="288" t="str">
        <f t="shared" ref="X87:AQ87" si="456">X79</f>
        <v>F1Q11A</v>
      </c>
      <c r="Y87" s="252" t="str">
        <f t="shared" si="456"/>
        <v>F2Q11A</v>
      </c>
      <c r="Z87" s="252" t="str">
        <f t="shared" si="456"/>
        <v>F3Q11A</v>
      </c>
      <c r="AA87" s="253" t="str">
        <f t="shared" si="456"/>
        <v>F4Q11A</v>
      </c>
      <c r="AB87" s="288" t="str">
        <f>AB79</f>
        <v>F1Q12A</v>
      </c>
      <c r="AC87" s="252" t="str">
        <f>AC79</f>
        <v>F2Q12A</v>
      </c>
      <c r="AD87" s="252" t="str">
        <f>AD79</f>
        <v>F3Q12A</v>
      </c>
      <c r="AE87" s="253" t="str">
        <f>AE79</f>
        <v>F4Q12A</v>
      </c>
      <c r="AF87" s="288" t="str">
        <f>AF79</f>
        <v>F1Q13A</v>
      </c>
      <c r="AG87" s="252" t="str">
        <f t="shared" si="456"/>
        <v>F2Q13A</v>
      </c>
      <c r="AH87" s="252" t="str">
        <f t="shared" si="456"/>
        <v>F3Q13A</v>
      </c>
      <c r="AI87" s="253" t="str">
        <f t="shared" si="456"/>
        <v>F4Q13A</v>
      </c>
      <c r="AJ87" s="288" t="str">
        <f t="shared" si="456"/>
        <v>F1Q14A</v>
      </c>
      <c r="AK87" s="252" t="str">
        <f t="shared" si="456"/>
        <v>F2Q14</v>
      </c>
      <c r="AL87" s="252" t="str">
        <f t="shared" si="456"/>
        <v>F3Q14A</v>
      </c>
      <c r="AM87" s="253" t="str">
        <f t="shared" si="456"/>
        <v>F4Q14A</v>
      </c>
      <c r="AN87" s="288" t="str">
        <f t="shared" si="456"/>
        <v>F1Q15A</v>
      </c>
      <c r="AO87" s="252" t="str">
        <f t="shared" si="456"/>
        <v>F2Q15A</v>
      </c>
      <c r="AP87" s="252" t="str">
        <f t="shared" si="456"/>
        <v>F3Q15A</v>
      </c>
      <c r="AQ87" s="253" t="str">
        <f t="shared" si="456"/>
        <v>F4Q15A</v>
      </c>
      <c r="AR87" s="288" t="str">
        <f t="shared" ref="AR87:BC87" si="457">AR79</f>
        <v>F1Q16A</v>
      </c>
      <c r="AS87" s="252" t="str">
        <f t="shared" si="457"/>
        <v>F2Q16A</v>
      </c>
      <c r="AT87" s="252" t="str">
        <f t="shared" si="457"/>
        <v>F3Q16A</v>
      </c>
      <c r="AU87" s="253" t="str">
        <f t="shared" si="457"/>
        <v>F4Q16A</v>
      </c>
      <c r="AV87" s="288" t="str">
        <f>AV79</f>
        <v>F1Q17A</v>
      </c>
      <c r="AW87" s="252" t="str">
        <f>AW79</f>
        <v>F2Q17A</v>
      </c>
      <c r="AX87" s="252" t="str">
        <f t="shared" si="457"/>
        <v>F3Q17A</v>
      </c>
      <c r="AY87" s="253" t="str">
        <f t="shared" si="457"/>
        <v>F4Q17A</v>
      </c>
      <c r="AZ87" s="288" t="str">
        <f t="shared" si="457"/>
        <v>F1Q18A</v>
      </c>
      <c r="BA87" s="252" t="str">
        <f t="shared" si="457"/>
        <v>F2Q18A</v>
      </c>
      <c r="BB87" s="252" t="str">
        <f t="shared" si="457"/>
        <v>F3Q18A</v>
      </c>
      <c r="BC87" s="253" t="str">
        <f t="shared" si="457"/>
        <v>F4Q18E</v>
      </c>
      <c r="BD87" s="288" t="str">
        <f t="shared" ref="BD87:BK87" si="458">BD79</f>
        <v>F1Q19E</v>
      </c>
      <c r="BE87" s="252" t="str">
        <f t="shared" si="458"/>
        <v>F2Q19E</v>
      </c>
      <c r="BF87" s="252" t="str">
        <f t="shared" si="458"/>
        <v>F3Q19E</v>
      </c>
      <c r="BG87" s="253" t="str">
        <f t="shared" si="458"/>
        <v>F4Q19E</v>
      </c>
      <c r="BH87" s="288" t="str">
        <f t="shared" si="458"/>
        <v>F1Q20E</v>
      </c>
      <c r="BI87" s="252" t="str">
        <f t="shared" si="458"/>
        <v>F2Q20E</v>
      </c>
      <c r="BJ87" s="252" t="str">
        <f t="shared" si="458"/>
        <v>F3Q20E</v>
      </c>
      <c r="BK87" s="253" t="str">
        <f t="shared" si="458"/>
        <v>F4Q20E</v>
      </c>
      <c r="BL87" s="20"/>
      <c r="BM87" s="17" t="str">
        <f t="shared" ref="BM87:BS87" si="459">BM79</f>
        <v>FY2006A</v>
      </c>
      <c r="BN87" s="18" t="str">
        <f t="shared" si="459"/>
        <v>FY2007A</v>
      </c>
      <c r="BO87" s="18" t="str">
        <f t="shared" si="459"/>
        <v>FY2008A</v>
      </c>
      <c r="BP87" s="18" t="str">
        <f t="shared" si="459"/>
        <v>FY2009A</v>
      </c>
      <c r="BQ87" s="18" t="str">
        <f t="shared" si="459"/>
        <v>FY2010A</v>
      </c>
      <c r="BR87" s="18" t="str">
        <f t="shared" si="459"/>
        <v>FY2011A</v>
      </c>
      <c r="BS87" s="18" t="str">
        <f t="shared" si="459"/>
        <v>FY2012A</v>
      </c>
      <c r="BT87" s="18" t="str">
        <f t="shared" ref="BT87:CA87" si="460">BT79</f>
        <v>FY2013A</v>
      </c>
      <c r="BU87" s="18" t="str">
        <f t="shared" si="460"/>
        <v>FY2014A</v>
      </c>
      <c r="BV87" s="18" t="str">
        <f t="shared" si="460"/>
        <v>FY2015A</v>
      </c>
      <c r="BW87" s="18" t="str">
        <f t="shared" si="460"/>
        <v>FY2016A</v>
      </c>
      <c r="BX87" s="18" t="str">
        <f t="shared" si="460"/>
        <v>FY2017A</v>
      </c>
      <c r="BY87" s="18" t="str">
        <f t="shared" si="460"/>
        <v>FY2018E</v>
      </c>
      <c r="BZ87" s="18" t="str">
        <f t="shared" si="460"/>
        <v>FY2019E</v>
      </c>
      <c r="CA87" s="19" t="str">
        <f t="shared" si="460"/>
        <v>FY2020E</v>
      </c>
      <c r="CB87" s="1470"/>
      <c r="CC87" s="1418"/>
      <c r="CD87" s="1418"/>
      <c r="CE87" s="260"/>
      <c r="CF87" s="17" t="str">
        <f t="shared" ref="CF87:CL87" si="461">CF79</f>
        <v>CY2006</v>
      </c>
      <c r="CG87" s="18" t="str">
        <f t="shared" si="461"/>
        <v>CY2007</v>
      </c>
      <c r="CH87" s="18" t="str">
        <f t="shared" si="461"/>
        <v>CY2008</v>
      </c>
      <c r="CI87" s="18" t="str">
        <f t="shared" si="461"/>
        <v>CY2009</v>
      </c>
      <c r="CJ87" s="18" t="str">
        <f t="shared" si="461"/>
        <v>CY2010</v>
      </c>
      <c r="CK87" s="18" t="str">
        <f t="shared" si="461"/>
        <v>CY2011</v>
      </c>
      <c r="CL87" s="18" t="str">
        <f t="shared" si="461"/>
        <v>CY2012</v>
      </c>
      <c r="CM87" s="18" t="str">
        <f t="shared" ref="CM87:CR87" si="462">CM79</f>
        <v>CY2013</v>
      </c>
      <c r="CN87" s="18" t="str">
        <f t="shared" si="462"/>
        <v>CY2014A</v>
      </c>
      <c r="CO87" s="18" t="str">
        <f t="shared" si="462"/>
        <v>CY2015A</v>
      </c>
      <c r="CP87" s="18" t="str">
        <f t="shared" si="462"/>
        <v>CY2016A</v>
      </c>
      <c r="CQ87" s="18" t="str">
        <f t="shared" si="462"/>
        <v>CY2017E</v>
      </c>
      <c r="CR87" s="18" t="str">
        <f t="shared" si="462"/>
        <v>CY2018E</v>
      </c>
      <c r="CS87" s="19" t="str">
        <f>CS79</f>
        <v>CY2019E</v>
      </c>
      <c r="CT87" s="22"/>
    </row>
    <row r="88" spans="1:104" ht="14.25" customHeight="1">
      <c r="A88" s="8"/>
      <c r="B88" s="22" t="s">
        <v>514</v>
      </c>
      <c r="C88" s="254"/>
      <c r="D88" s="389">
        <f t="shared" ref="D88:AF88" si="463">D31+D34</f>
        <v>155.11800000000002</v>
      </c>
      <c r="E88" s="390">
        <f t="shared" si="463"/>
        <v>95.60599999999998</v>
      </c>
      <c r="F88" s="390">
        <f t="shared" si="463"/>
        <v>76.867000000000033</v>
      </c>
      <c r="G88" s="296">
        <f t="shared" si="463"/>
        <v>90.315999999999775</v>
      </c>
      <c r="H88" s="389">
        <f t="shared" si="463"/>
        <v>118.98299999999999</v>
      </c>
      <c r="I88" s="390">
        <f t="shared" si="463"/>
        <v>-12.23899999999999</v>
      </c>
      <c r="J88" s="390">
        <f t="shared" si="463"/>
        <v>84.075000000000003</v>
      </c>
      <c r="K88" s="296">
        <f t="shared" si="463"/>
        <v>23.999999999999858</v>
      </c>
      <c r="L88" s="389">
        <f t="shared" si="463"/>
        <v>118.44900000000004</v>
      </c>
      <c r="M88" s="390">
        <f t="shared" si="463"/>
        <v>-11.413000000000039</v>
      </c>
      <c r="N88" s="390">
        <f t="shared" si="463"/>
        <v>110.203</v>
      </c>
      <c r="O88" s="296">
        <f t="shared" si="463"/>
        <v>86.314999999999969</v>
      </c>
      <c r="P88" s="389">
        <f t="shared" si="463"/>
        <v>119.06900000000005</v>
      </c>
      <c r="Q88" s="390">
        <f t="shared" si="463"/>
        <v>42.875000000000135</v>
      </c>
      <c r="R88" s="390">
        <f t="shared" si="463"/>
        <v>69.967999999999932</v>
      </c>
      <c r="S88" s="296">
        <f t="shared" si="463"/>
        <v>78.454000000000235</v>
      </c>
      <c r="T88" s="389">
        <f t="shared" si="463"/>
        <v>112.05199999999999</v>
      </c>
      <c r="U88" s="390">
        <f t="shared" si="463"/>
        <v>2.6719999999999686</v>
      </c>
      <c r="V88" s="390">
        <f t="shared" si="463"/>
        <v>138.995</v>
      </c>
      <c r="W88" s="296">
        <f t="shared" si="463"/>
        <v>113.33299999999997</v>
      </c>
      <c r="X88" s="389">
        <f t="shared" si="463"/>
        <v>119.97000000000008</v>
      </c>
      <c r="Y88" s="390">
        <f t="shared" si="463"/>
        <v>140.91600000000008</v>
      </c>
      <c r="Z88" s="390">
        <f t="shared" si="463"/>
        <v>227.10399999999993</v>
      </c>
      <c r="AA88" s="296">
        <f t="shared" si="463"/>
        <v>198.21099999999976</v>
      </c>
      <c r="AB88" s="295">
        <f t="shared" si="463"/>
        <v>71.484999999999971</v>
      </c>
      <c r="AC88" s="390">
        <f>AC31+AC34</f>
        <v>180.95900000000006</v>
      </c>
      <c r="AD88" s="390">
        <f>AD31+AD34</f>
        <v>126.45299999999997</v>
      </c>
      <c r="AE88" s="296">
        <f t="shared" si="463"/>
        <v>113.47699999999998</v>
      </c>
      <c r="AF88" s="295">
        <f t="shared" si="463"/>
        <v>86.042000000000002</v>
      </c>
      <c r="AG88" s="295">
        <f t="shared" ref="AG88:AQ88" si="464">AG31+AG34</f>
        <v>192.995</v>
      </c>
      <c r="AH88" s="295">
        <f t="shared" si="464"/>
        <v>156.74799999999993</v>
      </c>
      <c r="AI88" s="296">
        <f t="shared" si="464"/>
        <v>165.47800000000004</v>
      </c>
      <c r="AJ88" s="295">
        <f t="shared" si="464"/>
        <v>59.565000000000062</v>
      </c>
      <c r="AK88" s="295">
        <f t="shared" si="464"/>
        <v>188.29799999999997</v>
      </c>
      <c r="AL88" s="295">
        <f t="shared" si="464"/>
        <v>185.29100000000005</v>
      </c>
      <c r="AM88" s="296">
        <f t="shared" si="464"/>
        <v>210.42999999999995</v>
      </c>
      <c r="AN88" s="295">
        <f t="shared" si="464"/>
        <v>85.311000000000035</v>
      </c>
      <c r="AO88" s="295">
        <f t="shared" si="464"/>
        <v>154.26999999999998</v>
      </c>
      <c r="AP88" s="295">
        <f t="shared" si="464"/>
        <v>171.87899999999999</v>
      </c>
      <c r="AQ88" s="296">
        <f t="shared" si="464"/>
        <v>206.43000000000006</v>
      </c>
      <c r="AR88" s="295">
        <f t="shared" ref="AR88:BC88" si="465">AR31+AR34</f>
        <v>101.51800000000001</v>
      </c>
      <c r="AS88" s="295">
        <f t="shared" si="465"/>
        <v>168.95899999999992</v>
      </c>
      <c r="AT88" s="295">
        <f t="shared" si="465"/>
        <v>150.45599999999993</v>
      </c>
      <c r="AU88" s="296">
        <f t="shared" si="465"/>
        <v>231.583</v>
      </c>
      <c r="AV88" s="295">
        <f>AV31+AV34</f>
        <v>109.09199999999994</v>
      </c>
      <c r="AW88" s="295">
        <f>AW31+AW34</f>
        <v>176.85500000000002</v>
      </c>
      <c r="AX88" s="295">
        <f t="shared" si="465"/>
        <v>212.41100000000003</v>
      </c>
      <c r="AY88" s="296">
        <f t="shared" si="465"/>
        <v>223.87800000000004</v>
      </c>
      <c r="AZ88" s="295">
        <f>AZ31+AZ34</f>
        <v>205.38400000000004</v>
      </c>
      <c r="BA88" s="295">
        <f t="shared" si="465"/>
        <v>207.46099999999993</v>
      </c>
      <c r="BB88" s="295">
        <f t="shared" si="465"/>
        <v>206.29500000000002</v>
      </c>
      <c r="BC88" s="296">
        <f t="shared" si="465"/>
        <v>209.75412488451346</v>
      </c>
      <c r="BD88" s="295">
        <f t="shared" ref="BD88:BK88" si="466">BD31+BD34</f>
        <v>251.76370651441684</v>
      </c>
      <c r="BE88" s="295">
        <f t="shared" si="466"/>
        <v>230.59302060487138</v>
      </c>
      <c r="BF88" s="295">
        <f t="shared" si="466"/>
        <v>222.95318251676377</v>
      </c>
      <c r="BG88" s="296">
        <f t="shared" si="466"/>
        <v>249.35212516636696</v>
      </c>
      <c r="BH88" s="295">
        <f t="shared" si="466"/>
        <v>255.62556396929185</v>
      </c>
      <c r="BI88" s="295">
        <f t="shared" si="466"/>
        <v>247.85485360102734</v>
      </c>
      <c r="BJ88" s="295">
        <f t="shared" si="466"/>
        <v>240.79314567993416</v>
      </c>
      <c r="BK88" s="296">
        <f t="shared" si="466"/>
        <v>257.45778307691114</v>
      </c>
      <c r="BL88" s="20"/>
      <c r="BM88" s="298">
        <f t="shared" ref="BM88:BS88" si="467">BM31+BM34</f>
        <v>417.90699999999987</v>
      </c>
      <c r="BN88" s="390">
        <f t="shared" si="467"/>
        <v>214.81899999999973</v>
      </c>
      <c r="BO88" s="390">
        <f t="shared" si="467"/>
        <v>303.55399999999997</v>
      </c>
      <c r="BP88" s="390">
        <f t="shared" si="467"/>
        <v>310.36600000000033</v>
      </c>
      <c r="BQ88" s="390">
        <f>BQ31+BQ34</f>
        <v>367.05199999999996</v>
      </c>
      <c r="BR88" s="390">
        <f t="shared" si="467"/>
        <v>686.20099999999979</v>
      </c>
      <c r="BS88" s="390">
        <f t="shared" si="467"/>
        <v>492.37399999999997</v>
      </c>
      <c r="BT88" s="390">
        <f t="shared" ref="BT88:CA88" si="468">BT31+BT34</f>
        <v>601.26300000000003</v>
      </c>
      <c r="BU88" s="390">
        <f t="shared" si="468"/>
        <v>643.58399999999995</v>
      </c>
      <c r="BV88" s="390">
        <f t="shared" si="468"/>
        <v>617.8900000000001</v>
      </c>
      <c r="BW88" s="390">
        <f t="shared" si="468"/>
        <v>652.51599999999985</v>
      </c>
      <c r="BX88" s="390">
        <f t="shared" si="468"/>
        <v>722.23599999999999</v>
      </c>
      <c r="BY88" s="390">
        <f t="shared" si="468"/>
        <v>828.8941248845133</v>
      </c>
      <c r="BZ88" s="390">
        <f t="shared" si="468"/>
        <v>954.66203480241893</v>
      </c>
      <c r="CA88" s="880">
        <f t="shared" si="468"/>
        <v>1001.7313463271647</v>
      </c>
      <c r="CB88" s="220"/>
      <c r="CC88" s="218"/>
      <c r="CD88" s="218"/>
      <c r="CE88" s="260"/>
      <c r="CF88" s="297">
        <f t="shared" ref="CF88:CL88" si="469">CF31+CF34</f>
        <v>273.92699999999968</v>
      </c>
      <c r="CG88" s="298">
        <f t="shared" si="469"/>
        <v>215.11099999999976</v>
      </c>
      <c r="CH88" s="298">
        <f t="shared" si="469"/>
        <v>358.46200000000022</v>
      </c>
      <c r="CI88" s="298">
        <f t="shared" si="469"/>
        <v>263.14600000000019</v>
      </c>
      <c r="CJ88" s="298">
        <f t="shared" si="469"/>
        <v>513.21400000000006</v>
      </c>
      <c r="CK88" s="298">
        <f t="shared" si="469"/>
        <v>677.75899999999979</v>
      </c>
      <c r="CL88" s="298">
        <f t="shared" si="469"/>
        <v>518.9670000000001</v>
      </c>
      <c r="CM88" s="298">
        <f t="shared" ref="CM88:CR88" si="470">CM31+CM34</f>
        <v>570.08900000000017</v>
      </c>
      <c r="CN88" s="298">
        <f t="shared" si="470"/>
        <v>635.30199999999991</v>
      </c>
      <c r="CO88" s="298">
        <f t="shared" si="470"/>
        <v>648.78600000000017</v>
      </c>
      <c r="CP88" s="298">
        <f t="shared" si="470"/>
        <v>667.98599999999988</v>
      </c>
      <c r="CQ88" s="390">
        <f t="shared" si="470"/>
        <v>849.1339999999999</v>
      </c>
      <c r="CR88" s="390">
        <f t="shared" si="470"/>
        <v>898.4058520038019</v>
      </c>
      <c r="CS88" s="296">
        <f>CS31+CS34</f>
        <v>975.78572525344998</v>
      </c>
      <c r="CT88" s="22"/>
    </row>
    <row r="89" spans="1:104" ht="14.25" customHeight="1">
      <c r="A89" s="8"/>
      <c r="B89" s="22"/>
      <c r="C89" s="260"/>
      <c r="D89" s="389"/>
      <c r="E89" s="390"/>
      <c r="F89" s="390"/>
      <c r="G89" s="880"/>
      <c r="H89" s="389"/>
      <c r="I89" s="390"/>
      <c r="J89" s="390"/>
      <c r="K89" s="880"/>
      <c r="L89" s="389"/>
      <c r="M89" s="390"/>
      <c r="N89" s="390"/>
      <c r="O89" s="880"/>
      <c r="P89" s="389"/>
      <c r="Q89" s="390"/>
      <c r="R89" s="390"/>
      <c r="S89" s="880"/>
      <c r="T89" s="389"/>
      <c r="U89" s="390"/>
      <c r="V89" s="390"/>
      <c r="W89" s="880"/>
      <c r="X89" s="389"/>
      <c r="Y89" s="390"/>
      <c r="Z89" s="390"/>
      <c r="AA89" s="880"/>
      <c r="AB89" s="295"/>
      <c r="AC89" s="390"/>
      <c r="AD89" s="390"/>
      <c r="AE89" s="880"/>
      <c r="AF89" s="295"/>
      <c r="AG89" s="295"/>
      <c r="AH89" s="295"/>
      <c r="AI89" s="880"/>
      <c r="AJ89" s="295"/>
      <c r="AK89" s="295"/>
      <c r="AL89" s="295"/>
      <c r="AM89" s="880"/>
      <c r="AN89" s="295"/>
      <c r="AO89" s="295"/>
      <c r="AP89" s="295"/>
      <c r="AQ89" s="880"/>
      <c r="AR89" s="295"/>
      <c r="AS89" s="295"/>
      <c r="AT89" s="295"/>
      <c r="AU89" s="880"/>
      <c r="AV89" s="295"/>
      <c r="AW89" s="295"/>
      <c r="AX89" s="295"/>
      <c r="AY89" s="880"/>
      <c r="AZ89" s="295"/>
      <c r="BA89" s="295"/>
      <c r="BB89" s="295"/>
      <c r="BC89" s="880"/>
      <c r="BD89" s="295"/>
      <c r="BE89" s="295"/>
      <c r="BF89" s="295"/>
      <c r="BG89" s="880"/>
      <c r="BH89" s="295"/>
      <c r="BI89" s="295"/>
      <c r="BJ89" s="295"/>
      <c r="BK89" s="880"/>
      <c r="BL89" s="20"/>
      <c r="BM89" s="390"/>
      <c r="BN89" s="390"/>
      <c r="BO89" s="390"/>
      <c r="BP89" s="390"/>
      <c r="BQ89" s="390"/>
      <c r="BR89" s="390"/>
      <c r="BS89" s="390"/>
      <c r="BT89" s="390"/>
      <c r="BU89" s="390"/>
      <c r="BV89" s="390"/>
      <c r="BW89" s="390"/>
      <c r="BX89" s="390"/>
      <c r="BY89" s="390"/>
      <c r="BZ89" s="390"/>
      <c r="CA89" s="880"/>
      <c r="CB89" s="220"/>
      <c r="CC89" s="218"/>
      <c r="CD89" s="218"/>
      <c r="CE89" s="260"/>
      <c r="CF89" s="389"/>
      <c r="CG89" s="390"/>
      <c r="CH89" s="390"/>
      <c r="CI89" s="390"/>
      <c r="CJ89" s="390"/>
      <c r="CK89" s="390"/>
      <c r="CL89" s="390"/>
      <c r="CM89" s="390"/>
      <c r="CN89" s="390"/>
      <c r="CO89" s="390"/>
      <c r="CP89" s="390"/>
      <c r="CQ89" s="390"/>
      <c r="CR89" s="390"/>
      <c r="CS89" s="880"/>
      <c r="CT89" s="22"/>
    </row>
    <row r="90" spans="1:104" ht="14.25" customHeight="1">
      <c r="A90" s="8"/>
      <c r="B90" s="354" t="s">
        <v>526</v>
      </c>
      <c r="C90" s="260"/>
      <c r="D90" s="389"/>
      <c r="E90" s="390"/>
      <c r="F90" s="390"/>
      <c r="G90" s="880"/>
      <c r="H90" s="389"/>
      <c r="I90" s="390"/>
      <c r="J90" s="390"/>
      <c r="K90" s="880"/>
      <c r="L90" s="389"/>
      <c r="M90" s="390"/>
      <c r="N90" s="390"/>
      <c r="O90" s="880"/>
      <c r="P90" s="389"/>
      <c r="Q90" s="390"/>
      <c r="R90" s="390"/>
      <c r="S90" s="880"/>
      <c r="T90" s="389"/>
      <c r="U90" s="390"/>
      <c r="V90" s="390"/>
      <c r="W90" s="880"/>
      <c r="X90" s="389"/>
      <c r="Y90" s="390"/>
      <c r="Z90" s="390"/>
      <c r="AA90" s="880"/>
      <c r="AB90" s="295"/>
      <c r="AC90" s="390"/>
      <c r="AD90" s="390"/>
      <c r="AE90" s="880"/>
      <c r="AF90" s="295">
        <f>+CFS!AF11</f>
        <v>127.88800000000003</v>
      </c>
      <c r="AG90" s="295">
        <f>+CFS!AG11</f>
        <v>76.622</v>
      </c>
      <c r="AH90" s="295">
        <f>+CFS!AH11</f>
        <v>131.38799999999998</v>
      </c>
      <c r="AI90" s="880">
        <f>+CFS!AI11</f>
        <v>119.014</v>
      </c>
      <c r="AJ90" s="1313">
        <f>+CFS!AJ11</f>
        <v>103.12000000000005</v>
      </c>
      <c r="AK90" s="1314">
        <f>+CFS!AK11</f>
        <v>44.353000000000009</v>
      </c>
      <c r="AL90" s="1314">
        <f>+CFS!AL11</f>
        <v>122.54400000000001</v>
      </c>
      <c r="AM90" s="1318">
        <f>+CFS!AM11</f>
        <v>84.792999999999978</v>
      </c>
      <c r="AN90" s="1313">
        <f>+CFS!AN11</f>
        <v>99.980000000000018</v>
      </c>
      <c r="AO90" s="1314">
        <f>+CFS!AO11</f>
        <v>-72.03400000000002</v>
      </c>
      <c r="AP90" s="1314">
        <f>+CFS!AP11</f>
        <v>79.433000000000007</v>
      </c>
      <c r="AQ90" s="1318">
        <f>+CFS!AQ11</f>
        <v>98.659000000000063</v>
      </c>
      <c r="AR90" s="1313">
        <f>+CFS!AR11</f>
        <v>-72.142999999999986</v>
      </c>
      <c r="AS90" s="1314">
        <f>+CFS!AS11</f>
        <v>67.46899999999998</v>
      </c>
      <c r="AT90" s="1314">
        <f>+CFS!AT11</f>
        <v>139.80999999999995</v>
      </c>
      <c r="AU90" s="1318">
        <f>+CFS!AU11</f>
        <v>92.338999999999999</v>
      </c>
      <c r="AV90" s="1313">
        <f>+CFS!AV11</f>
        <v>137.61399999999995</v>
      </c>
      <c r="AW90" s="1314">
        <f>+CFS!AW11</f>
        <v>130.47700000000003</v>
      </c>
      <c r="AX90" s="1314">
        <f>+CFS!AX11</f>
        <v>140.21300000000002</v>
      </c>
      <c r="AY90" s="1318">
        <f>+CFS!AY11</f>
        <v>163.30900000000003</v>
      </c>
      <c r="AZ90" s="1313">
        <f>+CFS!AZ11</f>
        <v>154.53300000000002</v>
      </c>
      <c r="BA90" s="1314">
        <f>+CFS!BA11</f>
        <v>-75.015000000000072</v>
      </c>
      <c r="BB90" s="1314">
        <f>+CFS!BB11</f>
        <v>193.62700000000004</v>
      </c>
      <c r="BC90" s="1318">
        <f>+CFS!BC11</f>
        <v>186.22292322436002</v>
      </c>
      <c r="BD90" s="1313">
        <f>+CFS!BD11</f>
        <v>186.20939697383241</v>
      </c>
      <c r="BE90" s="1314">
        <f>+CFS!BE11</f>
        <v>187.3203374141163</v>
      </c>
      <c r="BF90" s="1314">
        <f>+CFS!BF11</f>
        <v>204.92941612000061</v>
      </c>
      <c r="BG90" s="1318">
        <f>+CFS!BG11</f>
        <v>210.33671092537398</v>
      </c>
      <c r="BH90" s="1313">
        <f>+CFS!BH11</f>
        <v>204.57079040010345</v>
      </c>
      <c r="BI90" s="1314">
        <f>+CFS!BI11</f>
        <v>204.32679207252673</v>
      </c>
      <c r="BJ90" s="1314">
        <f>+CFS!BJ11</f>
        <v>218.21492118235179</v>
      </c>
      <c r="BK90" s="1318">
        <f>+CFS!BK11</f>
        <v>228.41002664470759</v>
      </c>
      <c r="BL90" s="20"/>
      <c r="BM90" s="390"/>
      <c r="BN90" s="390"/>
      <c r="BO90" s="390"/>
      <c r="BP90" s="390"/>
      <c r="BQ90" s="390"/>
      <c r="BR90" s="390"/>
      <c r="BS90" s="390">
        <f>+CFS!BS11</f>
        <v>386.72699999999998</v>
      </c>
      <c r="BT90" s="390">
        <f>+CFS!BT11</f>
        <v>454.91200000000003</v>
      </c>
      <c r="BU90" s="390">
        <f>+CFS!BU11</f>
        <v>354.81000000000006</v>
      </c>
      <c r="BV90" s="390">
        <f>+CFS!BV11</f>
        <v>206.03800000000007</v>
      </c>
      <c r="BW90" s="390">
        <f>+CFS!BW11</f>
        <v>227.47499999999994</v>
      </c>
      <c r="BX90" s="390">
        <f>+CFS!BX11</f>
        <v>571.61300000000006</v>
      </c>
      <c r="BY90" s="390">
        <f>+CFS!BY11</f>
        <v>459.36792322435997</v>
      </c>
      <c r="BZ90" s="390">
        <f>+CFS!BZ11</f>
        <v>788.79586143332324</v>
      </c>
      <c r="CA90" s="1318">
        <f>+CFS!CA11</f>
        <v>855.52253029968961</v>
      </c>
      <c r="CB90" s="1313"/>
      <c r="CC90" s="1314"/>
      <c r="CD90" s="1314"/>
      <c r="CE90" s="260"/>
      <c r="CF90" s="389"/>
      <c r="CG90" s="390"/>
      <c r="CH90" s="390"/>
      <c r="CI90" s="390"/>
      <c r="CJ90" s="390"/>
      <c r="CK90" s="390"/>
      <c r="CL90" s="390">
        <f>+CFS!CL11</f>
        <v>369.661</v>
      </c>
      <c r="CM90" s="390">
        <f>+CFS!CM11</f>
        <v>397.87500000000006</v>
      </c>
      <c r="CN90" s="390">
        <f>+CFS!CN11</f>
        <v>235.28299999999999</v>
      </c>
      <c r="CO90" s="390">
        <f>+CFS!CO11</f>
        <v>173.41800000000006</v>
      </c>
      <c r="CP90" s="390">
        <f>+CFS!CP11</f>
        <v>500.23999999999995</v>
      </c>
      <c r="CQ90" s="1314">
        <f>+CFS!CQ11</f>
        <v>383.03999999999996</v>
      </c>
      <c r="CR90" s="1314">
        <f>+CFS!CR11</f>
        <v>753.37965761230885</v>
      </c>
      <c r="CS90" s="1318">
        <f>+CFS!CS11</f>
        <v>824.16370951800468</v>
      </c>
      <c r="CT90" s="22"/>
    </row>
    <row r="91" spans="1:104" ht="14.25" customHeight="1">
      <c r="A91" s="8"/>
      <c r="B91" s="22" t="s">
        <v>236</v>
      </c>
      <c r="C91" s="260"/>
      <c r="D91" s="389"/>
      <c r="E91" s="390"/>
      <c r="F91" s="390"/>
      <c r="G91" s="880"/>
      <c r="H91" s="389"/>
      <c r="I91" s="390"/>
      <c r="J91" s="390"/>
      <c r="K91" s="880"/>
      <c r="L91" s="389"/>
      <c r="M91" s="390"/>
      <c r="N91" s="390"/>
      <c r="O91" s="880"/>
      <c r="P91" s="389"/>
      <c r="Q91" s="390"/>
      <c r="R91" s="390"/>
      <c r="S91" s="880"/>
      <c r="T91" s="389"/>
      <c r="U91" s="390"/>
      <c r="V91" s="390"/>
      <c r="W91" s="880"/>
      <c r="X91" s="389"/>
      <c r="Y91" s="390"/>
      <c r="Z91" s="390"/>
      <c r="AA91" s="880"/>
      <c r="AB91" s="295"/>
      <c r="AC91" s="390"/>
      <c r="AD91" s="390"/>
      <c r="AE91" s="880"/>
      <c r="AF91" s="295">
        <f>+AF14</f>
        <v>53.673999999999999</v>
      </c>
      <c r="AG91" s="295">
        <f t="shared" ref="AG91:AQ91" si="471">+AG14</f>
        <v>51.88</v>
      </c>
      <c r="AH91" s="295">
        <f t="shared" si="471"/>
        <v>50.390999999999998</v>
      </c>
      <c r="AI91" s="880">
        <f t="shared" si="471"/>
        <v>51.19100000000001</v>
      </c>
      <c r="AJ91" s="295">
        <f t="shared" si="471"/>
        <v>51.133000000000003</v>
      </c>
      <c r="AK91" s="295">
        <f t="shared" si="471"/>
        <v>64.403999999999996</v>
      </c>
      <c r="AL91" s="295">
        <f t="shared" si="471"/>
        <v>64.664999999999992</v>
      </c>
      <c r="AM91" s="880">
        <f t="shared" si="471"/>
        <v>64.390999999999991</v>
      </c>
      <c r="AN91" s="295">
        <f t="shared" si="471"/>
        <v>63.692999999999998</v>
      </c>
      <c r="AO91" s="295">
        <f t="shared" si="471"/>
        <v>71.625000000000014</v>
      </c>
      <c r="AP91" s="295">
        <f t="shared" si="471"/>
        <v>71.439000000000007</v>
      </c>
      <c r="AQ91" s="880">
        <f t="shared" si="471"/>
        <v>92.638999999999996</v>
      </c>
      <c r="AR91" s="295">
        <f t="shared" ref="AR91:BC91" si="472">+AR14</f>
        <v>102.053</v>
      </c>
      <c r="AS91" s="295">
        <f t="shared" si="472"/>
        <v>49.081999999999994</v>
      </c>
      <c r="AT91" s="295">
        <f t="shared" si="472"/>
        <v>47.087999999999994</v>
      </c>
      <c r="AU91" s="880">
        <f t="shared" si="472"/>
        <v>46.414000000000016</v>
      </c>
      <c r="AV91" s="295">
        <f>+AV14</f>
        <v>43.484999999999999</v>
      </c>
      <c r="AW91" s="295">
        <f>+AW14</f>
        <v>42.14</v>
      </c>
      <c r="AX91" s="295">
        <f t="shared" si="472"/>
        <v>40.472999999999999</v>
      </c>
      <c r="AY91" s="880">
        <f t="shared" si="472"/>
        <v>38.194000000000003</v>
      </c>
      <c r="AZ91" s="295">
        <f>+AZ14</f>
        <v>36.753999999999998</v>
      </c>
      <c r="BA91" s="295">
        <f t="shared" si="472"/>
        <v>35.812999999999995</v>
      </c>
      <c r="BB91" s="295">
        <f t="shared" si="472"/>
        <v>37.201000000000001</v>
      </c>
      <c r="BC91" s="880">
        <f t="shared" si="472"/>
        <v>25</v>
      </c>
      <c r="BD91" s="295">
        <f t="shared" ref="BD91:BK91" si="473">+BD14</f>
        <v>56</v>
      </c>
      <c r="BE91" s="295">
        <f t="shared" si="473"/>
        <v>56</v>
      </c>
      <c r="BF91" s="295">
        <f t="shared" si="473"/>
        <v>56</v>
      </c>
      <c r="BG91" s="880">
        <f t="shared" si="473"/>
        <v>56</v>
      </c>
      <c r="BH91" s="295">
        <f t="shared" si="473"/>
        <v>56</v>
      </c>
      <c r="BI91" s="295">
        <f t="shared" si="473"/>
        <v>56</v>
      </c>
      <c r="BJ91" s="295">
        <f t="shared" si="473"/>
        <v>56</v>
      </c>
      <c r="BK91" s="880">
        <f t="shared" si="473"/>
        <v>56</v>
      </c>
      <c r="BL91" s="20"/>
      <c r="BM91" s="390"/>
      <c r="BN91" s="390"/>
      <c r="BO91" s="390"/>
      <c r="BP91" s="390"/>
      <c r="BQ91" s="390"/>
      <c r="BR91" s="390"/>
      <c r="BS91" s="390">
        <f t="shared" ref="BS91:CA91" si="474">+BS14</f>
        <v>211.096</v>
      </c>
      <c r="BT91" s="390">
        <f t="shared" si="474"/>
        <v>207.136</v>
      </c>
      <c r="BU91" s="390">
        <f t="shared" si="474"/>
        <v>244.59299999999999</v>
      </c>
      <c r="BV91" s="390">
        <f t="shared" si="474"/>
        <v>299.39600000000002</v>
      </c>
      <c r="BW91" s="390">
        <f t="shared" si="474"/>
        <v>244.637</v>
      </c>
      <c r="BX91" s="390">
        <f t="shared" si="474"/>
        <v>164.292</v>
      </c>
      <c r="BY91" s="390">
        <f t="shared" si="474"/>
        <v>134.768</v>
      </c>
      <c r="BZ91" s="390">
        <f t="shared" si="474"/>
        <v>224</v>
      </c>
      <c r="CA91" s="880">
        <f t="shared" si="474"/>
        <v>224</v>
      </c>
      <c r="CB91" s="220"/>
      <c r="CC91" s="218"/>
      <c r="CD91" s="218"/>
      <c r="CE91" s="260"/>
      <c r="CF91" s="389"/>
      <c r="CG91" s="390"/>
      <c r="CH91" s="390"/>
      <c r="CI91" s="390"/>
      <c r="CJ91" s="390"/>
      <c r="CK91" s="390"/>
      <c r="CL91" s="390">
        <f t="shared" ref="CL91:CQ91" si="475">+CL14</f>
        <v>212.584</v>
      </c>
      <c r="CM91" s="390">
        <f t="shared" si="475"/>
        <v>217.119</v>
      </c>
      <c r="CN91" s="390">
        <f t="shared" si="475"/>
        <v>264.37399999999997</v>
      </c>
      <c r="CO91" s="390">
        <f t="shared" si="475"/>
        <v>315.21299999999997</v>
      </c>
      <c r="CP91" s="390">
        <f t="shared" si="475"/>
        <v>179.12700000000001</v>
      </c>
      <c r="CQ91" s="390">
        <f t="shared" si="475"/>
        <v>151.23399999999998</v>
      </c>
      <c r="CR91" s="390">
        <f>+CR14</f>
        <v>174.20099999999999</v>
      </c>
      <c r="CS91" s="880">
        <f>+CS14</f>
        <v>224</v>
      </c>
      <c r="CT91" s="22"/>
    </row>
    <row r="92" spans="1:104" s="735" customFormat="1" ht="14.25" customHeight="1">
      <c r="A92" s="731"/>
      <c r="B92" s="734" t="s">
        <v>233</v>
      </c>
      <c r="C92" s="881"/>
      <c r="D92" s="882"/>
      <c r="E92" s="883"/>
      <c r="F92" s="883"/>
      <c r="G92" s="884"/>
      <c r="H92" s="882"/>
      <c r="I92" s="883"/>
      <c r="J92" s="883"/>
      <c r="K92" s="884"/>
      <c r="L92" s="882"/>
      <c r="M92" s="883"/>
      <c r="N92" s="883"/>
      <c r="O92" s="884"/>
      <c r="P92" s="882"/>
      <c r="Q92" s="883"/>
      <c r="R92" s="883"/>
      <c r="S92" s="884"/>
      <c r="T92" s="882"/>
      <c r="U92" s="883"/>
      <c r="V92" s="883"/>
      <c r="W92" s="884"/>
      <c r="X92" s="882"/>
      <c r="Y92" s="883"/>
      <c r="Z92" s="883"/>
      <c r="AA92" s="884"/>
      <c r="AB92" s="885"/>
      <c r="AC92" s="883"/>
      <c r="AD92" s="883"/>
      <c r="AE92" s="884"/>
      <c r="AF92" s="885">
        <f>-AF66</f>
        <v>-50.703000000000003</v>
      </c>
      <c r="AG92" s="885">
        <f t="shared" ref="AG92:AQ92" si="476">-AG66</f>
        <v>-62.102000000000004</v>
      </c>
      <c r="AH92" s="885">
        <f t="shared" si="476"/>
        <v>-54.944999999999993</v>
      </c>
      <c r="AI92" s="884">
        <f t="shared" si="476"/>
        <v>-48.921999999999997</v>
      </c>
      <c r="AJ92" s="885">
        <f t="shared" si="476"/>
        <v>-36.329000000000001</v>
      </c>
      <c r="AK92" s="885">
        <f t="shared" si="476"/>
        <v>-46.133000000000003</v>
      </c>
      <c r="AL92" s="885">
        <f t="shared" si="476"/>
        <v>-26.406999999999996</v>
      </c>
      <c r="AM92" s="884">
        <f t="shared" si="476"/>
        <v>-23.653999999999996</v>
      </c>
      <c r="AN92" s="885">
        <f t="shared" si="476"/>
        <v>-31.686</v>
      </c>
      <c r="AO92" s="885">
        <f t="shared" si="476"/>
        <v>-18.585000000000001</v>
      </c>
      <c r="AP92" s="885">
        <f t="shared" si="476"/>
        <v>-10.185000000000002</v>
      </c>
      <c r="AQ92" s="884">
        <f t="shared" si="476"/>
        <v>-15.36</v>
      </c>
      <c r="AR92" s="885">
        <f t="shared" ref="AR92:BC92" si="477">-AR66</f>
        <v>-15.821</v>
      </c>
      <c r="AS92" s="885">
        <f t="shared" si="477"/>
        <v>-13.53</v>
      </c>
      <c r="AT92" s="885">
        <f t="shared" si="477"/>
        <v>-17.53</v>
      </c>
      <c r="AU92" s="884">
        <f t="shared" si="477"/>
        <v>-22.488</v>
      </c>
      <c r="AV92" s="885">
        <f>-AV66</f>
        <v>-14.31</v>
      </c>
      <c r="AW92" s="885">
        <f>-AW66</f>
        <v>-15.775</v>
      </c>
      <c r="AX92" s="885">
        <f t="shared" si="477"/>
        <v>-8.2860000000000031</v>
      </c>
      <c r="AY92" s="884">
        <f t="shared" si="477"/>
        <v>-12.040100000000001</v>
      </c>
      <c r="AZ92" s="885">
        <f>-AZ66</f>
        <v>-14.321</v>
      </c>
      <c r="BA92" s="885">
        <f t="shared" si="477"/>
        <v>-22.413000000000004</v>
      </c>
      <c r="BB92" s="885">
        <f t="shared" si="477"/>
        <v>-23.347551441690751</v>
      </c>
      <c r="BC92" s="884">
        <f t="shared" si="477"/>
        <v>-12.597738377000001</v>
      </c>
      <c r="BD92" s="885">
        <f t="shared" ref="BD92:BK92" si="478">-BD66</f>
        <v>-12.288045326480001</v>
      </c>
      <c r="BE92" s="885">
        <f t="shared" si="478"/>
        <v>-12.311059435077203</v>
      </c>
      <c r="BF92" s="885">
        <f t="shared" si="478"/>
        <v>-12.954674735269794</v>
      </c>
      <c r="BG92" s="884">
        <f t="shared" si="478"/>
        <v>-13.091675640448937</v>
      </c>
      <c r="BH92" s="885">
        <f t="shared" si="478"/>
        <v>-12.881601942065368</v>
      </c>
      <c r="BI92" s="885">
        <f t="shared" si="478"/>
        <v>-12.871707493206937</v>
      </c>
      <c r="BJ92" s="885">
        <f t="shared" si="478"/>
        <v>-13.395294339247243</v>
      </c>
      <c r="BK92" s="884">
        <f t="shared" si="478"/>
        <v>-13.751427892934341</v>
      </c>
      <c r="BL92" s="720"/>
      <c r="BM92" s="883"/>
      <c r="BN92" s="883"/>
      <c r="BO92" s="883"/>
      <c r="BP92" s="883"/>
      <c r="BQ92" s="883"/>
      <c r="BR92" s="883"/>
      <c r="BS92" s="883">
        <f t="shared" ref="BS92:CA92" si="479">-BS66</f>
        <v>-264.34800000000001</v>
      </c>
      <c r="BT92" s="883">
        <f t="shared" si="479"/>
        <v>-216.672</v>
      </c>
      <c r="BU92" s="883">
        <f t="shared" si="479"/>
        <v>-132.523</v>
      </c>
      <c r="BV92" s="883">
        <f t="shared" si="479"/>
        <v>-75.816000000000003</v>
      </c>
      <c r="BW92" s="883">
        <f t="shared" si="479"/>
        <v>-69.369</v>
      </c>
      <c r="BX92" s="883">
        <f t="shared" si="479"/>
        <v>-51.420999999999999</v>
      </c>
      <c r="BY92" s="883">
        <f t="shared" si="479"/>
        <v>-66.261738377</v>
      </c>
      <c r="BZ92" s="883">
        <f t="shared" si="479"/>
        <v>-50.645455137275931</v>
      </c>
      <c r="CA92" s="884">
        <f t="shared" si="479"/>
        <v>-52.900031667453888</v>
      </c>
      <c r="CB92" s="1488"/>
      <c r="CC92" s="857"/>
      <c r="CD92" s="857"/>
      <c r="CE92" s="881"/>
      <c r="CF92" s="882"/>
      <c r="CG92" s="883"/>
      <c r="CH92" s="883"/>
      <c r="CI92" s="883"/>
      <c r="CJ92" s="883"/>
      <c r="CK92" s="883"/>
      <c r="CL92" s="883">
        <f t="shared" ref="CL92:CQ92" si="480">-CL66</f>
        <v>-259.46800000000002</v>
      </c>
      <c r="CM92" s="883">
        <f t="shared" si="480"/>
        <v>-186.32900000000001</v>
      </c>
      <c r="CN92" s="883">
        <f t="shared" si="480"/>
        <v>-100.33199999999999</v>
      </c>
      <c r="CO92" s="883">
        <f t="shared" si="480"/>
        <v>-54.896000000000001</v>
      </c>
      <c r="CP92" s="883">
        <f t="shared" si="480"/>
        <v>-70.103000000000009</v>
      </c>
      <c r="CQ92" s="883">
        <f t="shared" si="480"/>
        <v>-58.070000000000007</v>
      </c>
      <c r="CR92" s="883">
        <f>-CR66</f>
        <v>-54.126843138557206</v>
      </c>
      <c r="CS92" s="884">
        <f>-CS66</f>
        <v>-51.799659810991031</v>
      </c>
      <c r="CT92" s="734"/>
      <c r="CU92"/>
      <c r="CV92"/>
      <c r="CW92"/>
      <c r="CX92"/>
      <c r="CY92"/>
      <c r="CZ92"/>
    </row>
    <row r="93" spans="1:104" s="121" customFormat="1" ht="14.25" customHeight="1">
      <c r="A93" s="122"/>
      <c r="B93" s="527" t="s">
        <v>514</v>
      </c>
      <c r="C93" s="531"/>
      <c r="D93" s="886"/>
      <c r="E93" s="887"/>
      <c r="F93" s="887"/>
      <c r="G93" s="888"/>
      <c r="H93" s="886"/>
      <c r="I93" s="887"/>
      <c r="J93" s="887"/>
      <c r="K93" s="888"/>
      <c r="L93" s="886"/>
      <c r="M93" s="887"/>
      <c r="N93" s="887"/>
      <c r="O93" s="888"/>
      <c r="P93" s="886"/>
      <c r="Q93" s="887"/>
      <c r="R93" s="887"/>
      <c r="S93" s="888"/>
      <c r="T93" s="886"/>
      <c r="U93" s="887"/>
      <c r="V93" s="887"/>
      <c r="W93" s="888"/>
      <c r="X93" s="886"/>
      <c r="Y93" s="887"/>
      <c r="Z93" s="887"/>
      <c r="AA93" s="888"/>
      <c r="AB93" s="889"/>
      <c r="AC93" s="887"/>
      <c r="AD93" s="887"/>
      <c r="AE93" s="888"/>
      <c r="AF93" s="889">
        <f>+SUM(AF90:AF92)</f>
        <v>130.85900000000004</v>
      </c>
      <c r="AG93" s="889">
        <f t="shared" ref="AG93:AQ93" si="481">+SUM(AG90:AG92)</f>
        <v>66.400000000000006</v>
      </c>
      <c r="AH93" s="889">
        <f t="shared" si="481"/>
        <v>126.83399999999997</v>
      </c>
      <c r="AI93" s="888">
        <f t="shared" si="481"/>
        <v>121.28300000000002</v>
      </c>
      <c r="AJ93" s="889">
        <f t="shared" si="481"/>
        <v>117.92400000000004</v>
      </c>
      <c r="AK93" s="889">
        <f t="shared" si="481"/>
        <v>62.624000000000002</v>
      </c>
      <c r="AL93" s="889">
        <f t="shared" si="481"/>
        <v>160.80200000000002</v>
      </c>
      <c r="AM93" s="888">
        <f t="shared" si="481"/>
        <v>125.52999999999997</v>
      </c>
      <c r="AN93" s="889">
        <f t="shared" si="481"/>
        <v>131.98699999999999</v>
      </c>
      <c r="AO93" s="889">
        <f t="shared" si="481"/>
        <v>-18.994000000000007</v>
      </c>
      <c r="AP93" s="889">
        <f t="shared" si="481"/>
        <v>140.68700000000001</v>
      </c>
      <c r="AQ93" s="888">
        <f t="shared" si="481"/>
        <v>175.93800000000005</v>
      </c>
      <c r="AR93" s="889">
        <f t="shared" ref="AR93:BC93" si="482">+SUM(AR90:AR92)</f>
        <v>14.089000000000011</v>
      </c>
      <c r="AS93" s="889">
        <f t="shared" si="482"/>
        <v>103.02099999999997</v>
      </c>
      <c r="AT93" s="889">
        <f t="shared" si="482"/>
        <v>169.36799999999994</v>
      </c>
      <c r="AU93" s="888">
        <f t="shared" si="482"/>
        <v>116.26500000000001</v>
      </c>
      <c r="AV93" s="889">
        <f>+SUM(AV90:AV92)</f>
        <v>166.78899999999993</v>
      </c>
      <c r="AW93" s="889">
        <f>+SUM(AW90:AW92)</f>
        <v>156.84200000000001</v>
      </c>
      <c r="AX93" s="889">
        <f t="shared" si="482"/>
        <v>172.40000000000003</v>
      </c>
      <c r="AY93" s="888">
        <f t="shared" si="482"/>
        <v>189.46290000000005</v>
      </c>
      <c r="AZ93" s="889">
        <f>+SUM(AZ90:AZ92)</f>
        <v>176.96600000000001</v>
      </c>
      <c r="BA93" s="889">
        <f t="shared" si="482"/>
        <v>-61.61500000000008</v>
      </c>
      <c r="BB93" s="889">
        <f t="shared" si="482"/>
        <v>207.48044855830929</v>
      </c>
      <c r="BC93" s="888">
        <f t="shared" si="482"/>
        <v>198.62518484736</v>
      </c>
      <c r="BD93" s="889">
        <f t="shared" ref="BD93:BK93" si="483">+SUM(BD90:BD92)</f>
        <v>229.92135164735242</v>
      </c>
      <c r="BE93" s="889">
        <f t="shared" si="483"/>
        <v>231.0092779790391</v>
      </c>
      <c r="BF93" s="889">
        <f t="shared" si="483"/>
        <v>247.97474138473081</v>
      </c>
      <c r="BG93" s="888">
        <f t="shared" si="483"/>
        <v>253.24503528492502</v>
      </c>
      <c r="BH93" s="889">
        <f t="shared" si="483"/>
        <v>247.68918845803805</v>
      </c>
      <c r="BI93" s="889">
        <f t="shared" si="483"/>
        <v>247.45508457931976</v>
      </c>
      <c r="BJ93" s="889">
        <f t="shared" si="483"/>
        <v>260.81962684310452</v>
      </c>
      <c r="BK93" s="888">
        <f t="shared" si="483"/>
        <v>270.6585987517733</v>
      </c>
      <c r="BL93" s="353"/>
      <c r="BM93" s="887"/>
      <c r="BN93" s="887"/>
      <c r="BO93" s="887"/>
      <c r="BP93" s="887"/>
      <c r="BQ93" s="887"/>
      <c r="BR93" s="887"/>
      <c r="BS93" s="887">
        <f t="shared" ref="BS93:CA93" si="484">+SUM(BS90:BS92)</f>
        <v>333.47499999999997</v>
      </c>
      <c r="BT93" s="887">
        <f t="shared" si="484"/>
        <v>445.37599999999998</v>
      </c>
      <c r="BU93" s="887">
        <f t="shared" si="484"/>
        <v>466.88</v>
      </c>
      <c r="BV93" s="887">
        <f t="shared" si="484"/>
        <v>429.61800000000005</v>
      </c>
      <c r="BW93" s="887">
        <f t="shared" si="484"/>
        <v>402.74299999999994</v>
      </c>
      <c r="BX93" s="887">
        <f t="shared" si="484"/>
        <v>684.48400000000004</v>
      </c>
      <c r="BY93" s="887">
        <f t="shared" si="484"/>
        <v>527.87418484735997</v>
      </c>
      <c r="BZ93" s="887">
        <f t="shared" si="484"/>
        <v>962.15040629604732</v>
      </c>
      <c r="CA93" s="888">
        <f t="shared" si="484"/>
        <v>1026.6224986322356</v>
      </c>
      <c r="CB93" s="1489"/>
      <c r="CC93" s="859"/>
      <c r="CD93" s="859"/>
      <c r="CE93" s="531"/>
      <c r="CF93" s="886"/>
      <c r="CG93" s="887"/>
      <c r="CH93" s="887"/>
      <c r="CI93" s="887"/>
      <c r="CJ93" s="887"/>
      <c r="CK93" s="887"/>
      <c r="CL93" s="887">
        <f t="shared" ref="CL93:CQ93" si="485">+SUM(CL90:CL92)</f>
        <v>322.77699999999999</v>
      </c>
      <c r="CM93" s="887">
        <f t="shared" si="485"/>
        <v>428.66500000000002</v>
      </c>
      <c r="CN93" s="887">
        <f t="shared" si="485"/>
        <v>399.32499999999993</v>
      </c>
      <c r="CO93" s="887">
        <f t="shared" si="485"/>
        <v>433.73500000000001</v>
      </c>
      <c r="CP93" s="887">
        <f t="shared" si="485"/>
        <v>609.2639999999999</v>
      </c>
      <c r="CQ93" s="887">
        <f t="shared" si="485"/>
        <v>476.20399999999989</v>
      </c>
      <c r="CR93" s="887">
        <f>+SUM(CR90:CR92)</f>
        <v>873.45381447375166</v>
      </c>
      <c r="CS93" s="888">
        <f>+SUM(CS90:CS92)</f>
        <v>996.36404970701369</v>
      </c>
      <c r="CT93" s="527"/>
      <c r="CU93"/>
      <c r="CV93"/>
      <c r="CW93"/>
      <c r="CX93"/>
      <c r="CY93"/>
      <c r="CZ93"/>
    </row>
    <row r="94" spans="1:104" s="735" customFormat="1" ht="14.25" customHeight="1">
      <c r="A94" s="731"/>
      <c r="B94" s="734" t="s">
        <v>234</v>
      </c>
      <c r="C94" s="881"/>
      <c r="D94" s="882"/>
      <c r="E94" s="883"/>
      <c r="F94" s="883"/>
      <c r="G94" s="884"/>
      <c r="H94" s="882"/>
      <c r="I94" s="883"/>
      <c r="J94" s="883"/>
      <c r="K94" s="884"/>
      <c r="L94" s="882"/>
      <c r="M94" s="883"/>
      <c r="N94" s="883"/>
      <c r="O94" s="884"/>
      <c r="P94" s="882"/>
      <c r="Q94" s="883"/>
      <c r="R94" s="883"/>
      <c r="S94" s="884"/>
      <c r="T94" s="882"/>
      <c r="U94" s="883"/>
      <c r="V94" s="883"/>
      <c r="W94" s="884"/>
      <c r="X94" s="882"/>
      <c r="Y94" s="883"/>
      <c r="Z94" s="883"/>
      <c r="AA94" s="884"/>
      <c r="AB94" s="885"/>
      <c r="AC94" s="883"/>
      <c r="AD94" s="883"/>
      <c r="AE94" s="884"/>
      <c r="AF94" s="885">
        <f>-IS!AF93</f>
        <v>5.742</v>
      </c>
      <c r="AG94" s="885">
        <f>-IS!AG93</f>
        <v>2.798</v>
      </c>
      <c r="AH94" s="885">
        <f>-IS!AH93</f>
        <v>2.669</v>
      </c>
      <c r="AI94" s="884">
        <f>-IS!AI93</f>
        <v>6.13</v>
      </c>
      <c r="AJ94" s="1321">
        <f>-IS!AJ93</f>
        <v>3.4630000000000001</v>
      </c>
      <c r="AK94" s="1319">
        <f>-IS!AK93</f>
        <v>5.8330000000000002</v>
      </c>
      <c r="AL94" s="1319">
        <f>-IS!AL93</f>
        <v>-8.8970000000000002</v>
      </c>
      <c r="AM94" s="1320">
        <f>-IS!AM93</f>
        <v>6.5109999999999992</v>
      </c>
      <c r="AN94" s="1321">
        <f>-IS!AN93</f>
        <v>6.4770000000000003</v>
      </c>
      <c r="AO94" s="1319">
        <f>-IS!AO93</f>
        <v>7.8159999999999998</v>
      </c>
      <c r="AP94" s="1319">
        <f>-IS!AP93</f>
        <v>5.5339999999999998</v>
      </c>
      <c r="AQ94" s="1320">
        <f>-IS!AQ93</f>
        <v>7.3489999999999966</v>
      </c>
      <c r="AR94" s="1321">
        <f>-IS!AR93</f>
        <v>6.5110000000000001</v>
      </c>
      <c r="AS94" s="1319">
        <f>-IS!AS93</f>
        <v>8.9979999999999993</v>
      </c>
      <c r="AT94" s="1319">
        <f>-IS!AT93</f>
        <v>6.4180000000000001</v>
      </c>
      <c r="AU94" s="1320">
        <f>-IS!AU93</f>
        <v>6.6739999999999995</v>
      </c>
      <c r="AV94" s="1321">
        <f>-IS!AV93</f>
        <v>7.3410000000000002</v>
      </c>
      <c r="AW94" s="1319">
        <f>-IS!AW93</f>
        <v>5.6879999999999997</v>
      </c>
      <c r="AX94" s="1319">
        <f>-IS!AX93</f>
        <v>3.9319999999999999</v>
      </c>
      <c r="AY94" s="1320">
        <f>-IS!AY93</f>
        <v>3.8879999999999999</v>
      </c>
      <c r="AZ94" s="1321">
        <f>-IS!AZ93</f>
        <v>4.298</v>
      </c>
      <c r="BA94" s="1319">
        <f>-IS!BA93</f>
        <v>3.24</v>
      </c>
      <c r="BB94" s="1319">
        <f>-IS!BB93</f>
        <v>2.6309999999999998</v>
      </c>
      <c r="BC94" s="1320">
        <f>-IS!BC93</f>
        <v>6.6065529999999999</v>
      </c>
      <c r="BD94" s="1321">
        <f>-IS!BD93</f>
        <v>6.6254979475577436</v>
      </c>
      <c r="BE94" s="1319">
        <f>-IS!BE93</f>
        <v>6.6233751043005347</v>
      </c>
      <c r="BF94" s="1319">
        <f>-IS!BF93</f>
        <v>6.6317746039980996</v>
      </c>
      <c r="BG94" s="1320">
        <f>-IS!BG93</f>
        <v>6.643931022739717</v>
      </c>
      <c r="BH94" s="1321">
        <f>-IS!BH93</f>
        <v>6.6428249701565338</v>
      </c>
      <c r="BI94" s="1319">
        <f>-IS!BI93</f>
        <v>6.6385191981718874</v>
      </c>
      <c r="BJ94" s="1319">
        <f>-IS!BJ93</f>
        <v>6.6380357813713742</v>
      </c>
      <c r="BK94" s="1320">
        <f>-IS!BK93</f>
        <v>6.6410202185314073</v>
      </c>
      <c r="BL94" s="720"/>
      <c r="BM94" s="883"/>
      <c r="BN94" s="883"/>
      <c r="BO94" s="883"/>
      <c r="BP94" s="883"/>
      <c r="BQ94" s="883"/>
      <c r="BR94" s="883"/>
      <c r="BS94" s="883">
        <f>-IS!BS93</f>
        <v>3.2899999999999996</v>
      </c>
      <c r="BT94" s="883">
        <f>-IS!BT93</f>
        <v>17.339000000000002</v>
      </c>
      <c r="BU94" s="883">
        <f>-IS!BU93</f>
        <v>6.9099999999999984</v>
      </c>
      <c r="BV94" s="883">
        <f>-IS!BV93</f>
        <v>27.175999999999995</v>
      </c>
      <c r="BW94" s="883">
        <f>-IS!BW93</f>
        <v>28.601000000000003</v>
      </c>
      <c r="BX94" s="883">
        <f>-IS!BX93</f>
        <v>20.849</v>
      </c>
      <c r="BY94" s="883">
        <f>-IS!BY93</f>
        <v>16.775552999999999</v>
      </c>
      <c r="BZ94" s="883">
        <f>-IS!BZ93</f>
        <v>26.524578678596097</v>
      </c>
      <c r="CA94" s="1320">
        <f>-IS!CA93</f>
        <v>26.560400168231205</v>
      </c>
      <c r="CB94" s="1321"/>
      <c r="CC94" s="1319"/>
      <c r="CD94" s="1319"/>
      <c r="CE94" s="881"/>
      <c r="CF94" s="882"/>
      <c r="CG94" s="883"/>
      <c r="CH94" s="883"/>
      <c r="CI94" s="883"/>
      <c r="CJ94" s="883"/>
      <c r="CK94" s="883"/>
      <c r="CL94" s="883">
        <f>-IS!CL93</f>
        <v>8.3279999999999994</v>
      </c>
      <c r="CM94" s="883">
        <f>-IS!CM93</f>
        <v>18.095000000000002</v>
      </c>
      <c r="CN94" s="883">
        <f>-IS!CN93</f>
        <v>11.907</v>
      </c>
      <c r="CO94" s="883">
        <f>-IS!CO93</f>
        <v>28.391999999999999</v>
      </c>
      <c r="CP94" s="883">
        <f>-IS!CP93</f>
        <v>26.121000000000002</v>
      </c>
      <c r="CQ94" s="1319">
        <f>-IS!CQ93</f>
        <v>15.358000000000001</v>
      </c>
      <c r="CR94" s="1319">
        <f>-IS!CR93</f>
        <v>22.486426051858281</v>
      </c>
      <c r="CS94" s="1320">
        <f>-IS!CS93</f>
        <v>26.557049795066238</v>
      </c>
      <c r="CT94" s="734"/>
      <c r="CU94"/>
      <c r="CV94"/>
      <c r="CW94"/>
      <c r="CX94"/>
      <c r="CY94"/>
      <c r="CZ94"/>
    </row>
    <row r="95" spans="1:104" s="121" customFormat="1" ht="14.25" customHeight="1">
      <c r="A95" s="122"/>
      <c r="B95" s="527" t="s">
        <v>235</v>
      </c>
      <c r="C95" s="531"/>
      <c r="D95" s="886"/>
      <c r="E95" s="887"/>
      <c r="F95" s="887"/>
      <c r="G95" s="888"/>
      <c r="H95" s="886"/>
      <c r="I95" s="887"/>
      <c r="J95" s="887"/>
      <c r="K95" s="888"/>
      <c r="L95" s="886"/>
      <c r="M95" s="887"/>
      <c r="N95" s="887"/>
      <c r="O95" s="888"/>
      <c r="P95" s="886"/>
      <c r="Q95" s="887"/>
      <c r="R95" s="887"/>
      <c r="S95" s="888"/>
      <c r="T95" s="886"/>
      <c r="U95" s="887"/>
      <c r="V95" s="887"/>
      <c r="W95" s="888"/>
      <c r="X95" s="886"/>
      <c r="Y95" s="887"/>
      <c r="Z95" s="887"/>
      <c r="AA95" s="888"/>
      <c r="AB95" s="889"/>
      <c r="AC95" s="887"/>
      <c r="AD95" s="887"/>
      <c r="AE95" s="888"/>
      <c r="AF95" s="889">
        <f>+SUM(AF93:AF94)</f>
        <v>136.60100000000003</v>
      </c>
      <c r="AG95" s="889">
        <f t="shared" ref="AG95:AQ95" si="486">+SUM(AG93:AG94)</f>
        <v>69.198000000000008</v>
      </c>
      <c r="AH95" s="889">
        <f t="shared" si="486"/>
        <v>129.50299999999999</v>
      </c>
      <c r="AI95" s="888">
        <f t="shared" si="486"/>
        <v>127.41300000000001</v>
      </c>
      <c r="AJ95" s="889">
        <f t="shared" si="486"/>
        <v>121.38700000000003</v>
      </c>
      <c r="AK95" s="889">
        <f t="shared" si="486"/>
        <v>68.457000000000008</v>
      </c>
      <c r="AL95" s="889">
        <f t="shared" si="486"/>
        <v>151.90500000000003</v>
      </c>
      <c r="AM95" s="888">
        <f t="shared" si="486"/>
        <v>132.04099999999997</v>
      </c>
      <c r="AN95" s="889">
        <f t="shared" si="486"/>
        <v>138.464</v>
      </c>
      <c r="AO95" s="889">
        <f t="shared" si="486"/>
        <v>-11.178000000000008</v>
      </c>
      <c r="AP95" s="889">
        <f t="shared" si="486"/>
        <v>146.221</v>
      </c>
      <c r="AQ95" s="888">
        <f t="shared" si="486"/>
        <v>183.28700000000003</v>
      </c>
      <c r="AR95" s="889">
        <f t="shared" ref="AR95:BC95" si="487">+SUM(AR93:AR94)</f>
        <v>20.600000000000012</v>
      </c>
      <c r="AS95" s="889">
        <f t="shared" si="487"/>
        <v>112.01899999999998</v>
      </c>
      <c r="AT95" s="889">
        <f t="shared" si="487"/>
        <v>175.78599999999994</v>
      </c>
      <c r="AU95" s="888">
        <f t="shared" si="487"/>
        <v>122.93900000000002</v>
      </c>
      <c r="AV95" s="889">
        <f>+SUM(AV93:AV94)</f>
        <v>174.12999999999994</v>
      </c>
      <c r="AW95" s="889">
        <f>+SUM(AW93:AW94)</f>
        <v>162.53</v>
      </c>
      <c r="AX95" s="889">
        <f t="shared" si="487"/>
        <v>176.33200000000002</v>
      </c>
      <c r="AY95" s="888">
        <f t="shared" si="487"/>
        <v>193.35090000000005</v>
      </c>
      <c r="AZ95" s="889">
        <f>+SUM(AZ93:AZ94)</f>
        <v>181.26400000000001</v>
      </c>
      <c r="BA95" s="889">
        <f t="shared" si="487"/>
        <v>-58.375000000000078</v>
      </c>
      <c r="BB95" s="889">
        <f t="shared" si="487"/>
        <v>210.11144855830929</v>
      </c>
      <c r="BC95" s="888">
        <f t="shared" si="487"/>
        <v>205.23173784735999</v>
      </c>
      <c r="BD95" s="889">
        <f t="shared" ref="BD95:BK95" si="488">+SUM(BD93:BD94)</f>
        <v>236.54684959491016</v>
      </c>
      <c r="BE95" s="889">
        <f t="shared" si="488"/>
        <v>237.63265308333962</v>
      </c>
      <c r="BF95" s="889">
        <f t="shared" si="488"/>
        <v>254.60651598872892</v>
      </c>
      <c r="BG95" s="888">
        <f t="shared" si="488"/>
        <v>259.88896630766476</v>
      </c>
      <c r="BH95" s="889">
        <f t="shared" si="488"/>
        <v>254.33201342819459</v>
      </c>
      <c r="BI95" s="889">
        <f t="shared" si="488"/>
        <v>254.09360377749164</v>
      </c>
      <c r="BJ95" s="889">
        <f t="shared" si="488"/>
        <v>267.45766262447592</v>
      </c>
      <c r="BK95" s="888">
        <f t="shared" si="488"/>
        <v>277.29961897030472</v>
      </c>
      <c r="BL95" s="353"/>
      <c r="BM95" s="887"/>
      <c r="BN95" s="887"/>
      <c r="BO95" s="887"/>
      <c r="BP95" s="887"/>
      <c r="BQ95" s="887"/>
      <c r="BR95" s="887"/>
      <c r="BS95" s="887">
        <f t="shared" ref="BS95:CA95" si="489">+SUM(BS93:BS94)</f>
        <v>336.76499999999999</v>
      </c>
      <c r="BT95" s="887">
        <f t="shared" si="489"/>
        <v>462.71499999999997</v>
      </c>
      <c r="BU95" s="887">
        <f t="shared" si="489"/>
        <v>473.79</v>
      </c>
      <c r="BV95" s="887">
        <f t="shared" si="489"/>
        <v>456.79400000000004</v>
      </c>
      <c r="BW95" s="887">
        <f t="shared" si="489"/>
        <v>431.34399999999994</v>
      </c>
      <c r="BX95" s="887">
        <f t="shared" si="489"/>
        <v>705.33300000000008</v>
      </c>
      <c r="BY95" s="887">
        <f t="shared" si="489"/>
        <v>544.64973784735992</v>
      </c>
      <c r="BZ95" s="887">
        <f t="shared" si="489"/>
        <v>988.67498497464339</v>
      </c>
      <c r="CA95" s="888">
        <f t="shared" si="489"/>
        <v>1053.1828988004668</v>
      </c>
      <c r="CB95" s="1489"/>
      <c r="CC95" s="859"/>
      <c r="CD95" s="859"/>
      <c r="CE95" s="531"/>
      <c r="CF95" s="886"/>
      <c r="CG95" s="887"/>
      <c r="CH95" s="887"/>
      <c r="CI95" s="887"/>
      <c r="CJ95" s="887"/>
      <c r="CK95" s="887"/>
      <c r="CL95" s="887">
        <f t="shared" ref="CL95:CQ95" si="490">+SUM(CL93:CL94)</f>
        <v>331.10499999999996</v>
      </c>
      <c r="CM95" s="887">
        <f t="shared" si="490"/>
        <v>446.76000000000005</v>
      </c>
      <c r="CN95" s="887">
        <f t="shared" si="490"/>
        <v>411.23199999999991</v>
      </c>
      <c r="CO95" s="887">
        <f t="shared" si="490"/>
        <v>462.12700000000001</v>
      </c>
      <c r="CP95" s="887">
        <f t="shared" si="490"/>
        <v>635.38499999999988</v>
      </c>
      <c r="CQ95" s="873">
        <f t="shared" si="490"/>
        <v>491.5619999999999</v>
      </c>
      <c r="CR95" s="873">
        <f>+SUM(CR93:CR94)</f>
        <v>895.94024052560997</v>
      </c>
      <c r="CS95" s="875">
        <f>+SUM(CS93:CS94)</f>
        <v>1022.92109950208</v>
      </c>
      <c r="CT95" s="527"/>
      <c r="CU95"/>
      <c r="CV95"/>
      <c r="CW95"/>
      <c r="CX95"/>
      <c r="CY95"/>
      <c r="CZ95"/>
    </row>
    <row r="96" spans="1:104" s="121" customFormat="1" ht="14.25" customHeight="1">
      <c r="A96" s="122"/>
      <c r="B96" s="527"/>
      <c r="C96" s="531"/>
      <c r="D96" s="886"/>
      <c r="E96" s="887"/>
      <c r="F96" s="887"/>
      <c r="G96" s="888"/>
      <c r="H96" s="886"/>
      <c r="I96" s="887"/>
      <c r="J96" s="887"/>
      <c r="K96" s="888"/>
      <c r="L96" s="886"/>
      <c r="M96" s="887"/>
      <c r="N96" s="887"/>
      <c r="O96" s="888"/>
      <c r="P96" s="886"/>
      <c r="Q96" s="887"/>
      <c r="R96" s="887"/>
      <c r="S96" s="888"/>
      <c r="T96" s="886"/>
      <c r="U96" s="887"/>
      <c r="V96" s="887"/>
      <c r="W96" s="888"/>
      <c r="X96" s="886"/>
      <c r="Y96" s="887"/>
      <c r="Z96" s="887"/>
      <c r="AA96" s="888"/>
      <c r="AB96" s="889"/>
      <c r="AC96" s="887"/>
      <c r="AD96" s="887"/>
      <c r="AE96" s="888"/>
      <c r="AF96" s="889"/>
      <c r="AG96" s="889"/>
      <c r="AH96" s="889"/>
      <c r="AI96" s="888"/>
      <c r="AJ96" s="889"/>
      <c r="AK96" s="889"/>
      <c r="AL96" s="889"/>
      <c r="AM96" s="888"/>
      <c r="AN96" s="889"/>
      <c r="AO96" s="889"/>
      <c r="AP96" s="889"/>
      <c r="AQ96" s="888"/>
      <c r="AR96" s="889"/>
      <c r="AS96" s="889"/>
      <c r="AT96" s="889"/>
      <c r="AU96" s="888"/>
      <c r="AV96" s="889"/>
      <c r="AW96" s="889"/>
      <c r="AX96" s="889"/>
      <c r="AY96" s="888"/>
      <c r="AZ96" s="889"/>
      <c r="BA96" s="889"/>
      <c r="BB96" s="889"/>
      <c r="BC96" s="888"/>
      <c r="BD96" s="889"/>
      <c r="BE96" s="889"/>
      <c r="BF96" s="889"/>
      <c r="BG96" s="888"/>
      <c r="BH96" s="889"/>
      <c r="BI96" s="889"/>
      <c r="BJ96" s="889"/>
      <c r="BK96" s="888"/>
      <c r="BL96" s="353"/>
      <c r="BM96" s="887"/>
      <c r="BN96" s="887"/>
      <c r="BO96" s="887"/>
      <c r="BP96" s="887"/>
      <c r="BQ96" s="887"/>
      <c r="BR96" s="887"/>
      <c r="BS96" s="887"/>
      <c r="BT96" s="887"/>
      <c r="BU96" s="887"/>
      <c r="BV96" s="887"/>
      <c r="BW96" s="887"/>
      <c r="BX96" s="887"/>
      <c r="BY96" s="887"/>
      <c r="BZ96" s="887"/>
      <c r="CA96" s="888"/>
      <c r="CB96" s="1489"/>
      <c r="CC96" s="859"/>
      <c r="CD96" s="859"/>
      <c r="CE96" s="531"/>
      <c r="CF96" s="886"/>
      <c r="CG96" s="887"/>
      <c r="CH96" s="887"/>
      <c r="CI96" s="887"/>
      <c r="CJ96" s="887"/>
      <c r="CK96" s="887"/>
      <c r="CL96" s="887"/>
      <c r="CM96" s="887"/>
      <c r="CN96" s="887"/>
      <c r="CO96" s="887"/>
      <c r="CP96" s="887"/>
      <c r="CQ96" s="887"/>
      <c r="CR96" s="887"/>
      <c r="CS96" s="888"/>
      <c r="CT96" s="527"/>
      <c r="CU96"/>
      <c r="CV96"/>
      <c r="CW96"/>
      <c r="CX96"/>
      <c r="CY96"/>
      <c r="CZ96"/>
    </row>
    <row r="97" spans="1:104" s="121" customFormat="1" ht="14.25" customHeight="1">
      <c r="A97" s="122"/>
      <c r="B97" s="527" t="s">
        <v>248</v>
      </c>
      <c r="C97" s="531"/>
      <c r="D97" s="886"/>
      <c r="E97" s="887"/>
      <c r="F97" s="887"/>
      <c r="G97" s="888"/>
      <c r="H97" s="886"/>
      <c r="I97" s="887"/>
      <c r="J97" s="887"/>
      <c r="K97" s="888"/>
      <c r="L97" s="886"/>
      <c r="M97" s="887"/>
      <c r="N97" s="887"/>
      <c r="O97" s="888"/>
      <c r="P97" s="886"/>
      <c r="Q97" s="887"/>
      <c r="R97" s="887"/>
      <c r="S97" s="888"/>
      <c r="T97" s="886"/>
      <c r="U97" s="887"/>
      <c r="V97" s="887"/>
      <c r="W97" s="888"/>
      <c r="X97" s="886"/>
      <c r="Y97" s="887"/>
      <c r="Z97" s="887"/>
      <c r="AA97" s="888"/>
      <c r="AB97" s="889"/>
      <c r="AC97" s="887"/>
      <c r="AD97" s="887"/>
      <c r="AE97" s="888"/>
      <c r="AF97" s="889"/>
      <c r="AG97" s="889"/>
      <c r="AH97" s="889"/>
      <c r="AI97" s="888"/>
      <c r="AJ97" s="889"/>
      <c r="AK97" s="889"/>
      <c r="AL97" s="889"/>
      <c r="AM97" s="888"/>
      <c r="AN97" s="889"/>
      <c r="AO97" s="889"/>
      <c r="AP97" s="889"/>
      <c r="AQ97" s="888"/>
      <c r="AR97" s="889"/>
      <c r="AS97" s="889"/>
      <c r="AT97" s="889"/>
      <c r="AU97" s="888"/>
      <c r="AV97" s="889"/>
      <c r="AW97" s="889"/>
      <c r="AX97" s="889"/>
      <c r="AY97" s="888"/>
      <c r="AZ97" s="889"/>
      <c r="BA97" s="889"/>
      <c r="BB97" s="889"/>
      <c r="BC97" s="888"/>
      <c r="BD97" s="889"/>
      <c r="BE97" s="889"/>
      <c r="BF97" s="889"/>
      <c r="BG97" s="888"/>
      <c r="BH97" s="889"/>
      <c r="BI97" s="889"/>
      <c r="BJ97" s="889"/>
      <c r="BK97" s="888"/>
      <c r="BL97" s="353"/>
      <c r="BM97" s="887"/>
      <c r="BN97" s="887"/>
      <c r="BO97" s="887"/>
      <c r="BP97" s="887"/>
      <c r="BQ97" s="887"/>
      <c r="BR97" s="887"/>
      <c r="BS97" s="887"/>
      <c r="BT97" s="887"/>
      <c r="BU97" s="887"/>
      <c r="BV97" s="887"/>
      <c r="BW97" s="887"/>
      <c r="BX97" s="887"/>
      <c r="BY97" s="887"/>
      <c r="BZ97" s="887"/>
      <c r="CA97" s="888"/>
      <c r="CB97" s="1489"/>
      <c r="CC97" s="859"/>
      <c r="CD97" s="859"/>
      <c r="CE97" s="531"/>
      <c r="CF97" s="886"/>
      <c r="CG97" s="887"/>
      <c r="CH97" s="887"/>
      <c r="CI97" s="887"/>
      <c r="CJ97" s="887"/>
      <c r="CK97" s="887"/>
      <c r="CL97" s="887"/>
      <c r="CM97" s="887"/>
      <c r="CN97" s="887"/>
      <c r="CO97" s="887"/>
      <c r="CP97" s="887"/>
      <c r="CQ97" s="887"/>
      <c r="CR97" s="887"/>
      <c r="CS97" s="888"/>
      <c r="CT97" s="527"/>
      <c r="CU97"/>
      <c r="CV97"/>
      <c r="CW97"/>
      <c r="CX97"/>
      <c r="CY97"/>
      <c r="CZ97"/>
    </row>
    <row r="98" spans="1:104" s="302" customFormat="1" ht="14.25" customHeight="1">
      <c r="A98" s="308"/>
      <c r="B98" s="354" t="s">
        <v>245</v>
      </c>
      <c r="C98" s="941"/>
      <c r="D98" s="942"/>
      <c r="E98" s="943"/>
      <c r="F98" s="943"/>
      <c r="G98" s="944"/>
      <c r="H98" s="942"/>
      <c r="I98" s="943"/>
      <c r="J98" s="943"/>
      <c r="K98" s="944"/>
      <c r="L98" s="942"/>
      <c r="M98" s="943"/>
      <c r="N98" s="943"/>
      <c r="O98" s="944"/>
      <c r="P98" s="942"/>
      <c r="Q98" s="943"/>
      <c r="R98" s="943"/>
      <c r="S98" s="944"/>
      <c r="T98" s="942"/>
      <c r="U98" s="943"/>
      <c r="V98" s="943"/>
      <c r="W98" s="944"/>
      <c r="X98" s="942"/>
      <c r="Y98" s="943"/>
      <c r="Z98" s="943"/>
      <c r="AA98" s="944"/>
      <c r="AB98" s="945"/>
      <c r="AC98" s="943"/>
      <c r="AD98" s="943"/>
      <c r="AE98" s="944"/>
      <c r="AF98" s="1313">
        <f>+IS!AF176</f>
        <v>7.8709000000000131</v>
      </c>
      <c r="AG98" s="1314">
        <f>+IS!AG176</f>
        <v>8.5859499999999969</v>
      </c>
      <c r="AH98" s="1314">
        <f>+IS!AH176</f>
        <v>9.5031999999999996</v>
      </c>
      <c r="AI98" s="1318">
        <f>+IS!AI176</f>
        <v>9.1045999999999943</v>
      </c>
      <c r="AJ98" s="1313">
        <f>+IS!AJ176</f>
        <v>9.1704500000000024</v>
      </c>
      <c r="AK98" s="1314">
        <f>+IS!AK176</f>
        <v>6.7491500000000002</v>
      </c>
      <c r="AL98" s="1314">
        <f>+IS!AL176</f>
        <v>8.8141499999999979</v>
      </c>
      <c r="AM98" s="1318">
        <f>+IS!AM176</f>
        <v>7.8397500000000058</v>
      </c>
      <c r="AN98" s="1313">
        <f>+IS!AN176</f>
        <v>8.5509500000000003</v>
      </c>
      <c r="AO98" s="1314">
        <f>+IS!AO176</f>
        <v>5.4749499999999927</v>
      </c>
      <c r="AP98" s="1314">
        <f>+IS!AP176</f>
        <v>8.5993500000000047</v>
      </c>
      <c r="AQ98" s="1318">
        <f>+IS!AQ176</f>
        <v>8.444350000000016</v>
      </c>
      <c r="AR98" s="1313">
        <f>+IS!AR176</f>
        <v>8.8033000000000037</v>
      </c>
      <c r="AS98" s="1314">
        <f>+IS!AS176</f>
        <v>6.7920999999999978</v>
      </c>
      <c r="AT98" s="1314">
        <f>+IS!AT176</f>
        <v>8.6092499999999852</v>
      </c>
      <c r="AU98" s="1318">
        <f>+IS!AU176</f>
        <v>10.278399999999991</v>
      </c>
      <c r="AV98" s="1313">
        <f>+IS!AV176</f>
        <v>10.114449999999989</v>
      </c>
      <c r="AW98" s="1314">
        <f>+IS!AW176</f>
        <v>9.7094500000000039</v>
      </c>
      <c r="AX98" s="1314">
        <f>+IS!AX176</f>
        <v>14.099350000000008</v>
      </c>
      <c r="AY98" s="1318">
        <f>+IS!AY176</f>
        <v>15.869300000000001</v>
      </c>
      <c r="AZ98" s="1313">
        <f>+IS!AZ176</f>
        <v>15.865250000000009</v>
      </c>
      <c r="BA98" s="1314">
        <f>+IS!BA176</f>
        <v>17.308899999999994</v>
      </c>
      <c r="BB98" s="1314">
        <f>+IS!BB176</f>
        <v>21.395299999999999</v>
      </c>
      <c r="BC98" s="1318">
        <f>+IS!BC176</f>
        <v>20.166926238854998</v>
      </c>
      <c r="BD98" s="1313">
        <f>+IS!BD176</f>
        <v>19.175542872323767</v>
      </c>
      <c r="BE98" s="1314">
        <f>+IS!BE176</f>
        <v>19.289161780989161</v>
      </c>
      <c r="BF98" s="1314">
        <f>+IS!BF176</f>
        <v>21.090090285000059</v>
      </c>
      <c r="BG98" s="1318">
        <f>+IS!BG176</f>
        <v>21.643109071913251</v>
      </c>
      <c r="BH98" s="1313">
        <f>+IS!BH176</f>
        <v>21.053412654556031</v>
      </c>
      <c r="BI98" s="1314">
        <f>+IS!BI176</f>
        <v>21.028458280144783</v>
      </c>
      <c r="BJ98" s="1314">
        <f>+IS!BJ176</f>
        <v>22.44883512092234</v>
      </c>
      <c r="BK98" s="1318">
        <f>+IS!BK176</f>
        <v>23.491516361390552</v>
      </c>
      <c r="BL98" s="497"/>
      <c r="BM98" s="943"/>
      <c r="BN98" s="943"/>
      <c r="BO98" s="943"/>
      <c r="BP98" s="943"/>
      <c r="BQ98" s="943"/>
      <c r="BR98" s="943"/>
      <c r="BS98" s="943">
        <f>+IS!BS176</f>
        <v>23.022099999999995</v>
      </c>
      <c r="BT98" s="943">
        <f>+IS!BT176</f>
        <v>35.064649999999965</v>
      </c>
      <c r="BU98" s="943">
        <f>+IS!BU176</f>
        <v>32.573500000000024</v>
      </c>
      <c r="BV98" s="943">
        <f>+IS!BV176</f>
        <v>31.069599999999895</v>
      </c>
      <c r="BW98" s="943">
        <f>+IS!BW176</f>
        <v>34.483050000000034</v>
      </c>
      <c r="BX98" s="943">
        <f>+IS!BX176</f>
        <v>49.792550000000006</v>
      </c>
      <c r="BY98" s="943">
        <f>+IS!BY176</f>
        <v>74.736376238855044</v>
      </c>
      <c r="BZ98" s="943">
        <f>+IS!BZ176</f>
        <v>81.19790401022621</v>
      </c>
      <c r="CA98" s="1318">
        <f>+IS!CA176</f>
        <v>88.022222417013651</v>
      </c>
      <c r="CB98" s="498"/>
      <c r="CC98" s="499"/>
      <c r="CD98" s="499"/>
      <c r="CE98" s="941"/>
      <c r="CF98" s="942"/>
      <c r="CG98" s="943"/>
      <c r="CH98" s="943"/>
      <c r="CI98" s="943"/>
      <c r="CJ98" s="943"/>
      <c r="CK98" s="943"/>
      <c r="CL98" s="943">
        <f>+IS!CL176</f>
        <v>29.010899999999978</v>
      </c>
      <c r="CM98" s="943">
        <f>+IS!CM176</f>
        <v>34.527399999999972</v>
      </c>
      <c r="CN98" s="943">
        <f>+IS!CN176</f>
        <v>30.679800000000007</v>
      </c>
      <c r="CO98" s="943">
        <f>+IS!CO176</f>
        <v>32.639100000000028</v>
      </c>
      <c r="CP98" s="943">
        <f>+IS!CP176</f>
        <v>38.711550000000024</v>
      </c>
      <c r="CQ98" s="1314">
        <f>+IS!CQ176</f>
        <v>63.142799999999923</v>
      </c>
      <c r="CR98" s="1314">
        <f>+IS!CR176</f>
        <v>80.026930892167925</v>
      </c>
      <c r="CS98" s="1318">
        <f>+IS!CS176</f>
        <v>84.81507029161412</v>
      </c>
      <c r="CT98" s="354"/>
      <c r="CU98"/>
      <c r="CV98"/>
      <c r="CW98"/>
      <c r="CX98"/>
      <c r="CY98"/>
      <c r="CZ98"/>
    </row>
    <row r="99" spans="1:104" s="302" customFormat="1" ht="14.25" customHeight="1">
      <c r="A99" s="308"/>
      <c r="B99" s="354" t="s">
        <v>514</v>
      </c>
      <c r="C99" s="941"/>
      <c r="D99" s="942"/>
      <c r="E99" s="943"/>
      <c r="F99" s="943"/>
      <c r="G99" s="944"/>
      <c r="H99" s="942"/>
      <c r="I99" s="943"/>
      <c r="J99" s="943"/>
      <c r="K99" s="944"/>
      <c r="L99" s="942"/>
      <c r="M99" s="943"/>
      <c r="N99" s="943"/>
      <c r="O99" s="944"/>
      <c r="P99" s="942"/>
      <c r="Q99" s="943"/>
      <c r="R99" s="943"/>
      <c r="S99" s="944"/>
      <c r="T99" s="942"/>
      <c r="U99" s="943"/>
      <c r="V99" s="943"/>
      <c r="W99" s="944"/>
      <c r="X99" s="942"/>
      <c r="Y99" s="943"/>
      <c r="Z99" s="943"/>
      <c r="AA99" s="944"/>
      <c r="AB99" s="945"/>
      <c r="AC99" s="943"/>
      <c r="AD99" s="943"/>
      <c r="AE99" s="944"/>
      <c r="AF99" s="1313">
        <f>+CFS!AF93-CFS!AF98</f>
        <v>122.98810000000003</v>
      </c>
      <c r="AG99" s="1314">
        <f>+CFS!AG93-CFS!AG98</f>
        <v>57.814050000000009</v>
      </c>
      <c r="AH99" s="1314">
        <f>+CFS!AH93-CFS!AH98</f>
        <v>117.33079999999998</v>
      </c>
      <c r="AI99" s="1318">
        <f>+CFS!AI93-CFS!AI98</f>
        <v>112.17840000000002</v>
      </c>
      <c r="AJ99" s="1313">
        <f>+CFS!AJ93-CFS!AJ98</f>
        <v>108.75355000000003</v>
      </c>
      <c r="AK99" s="1314">
        <f>+CFS!AK93-CFS!AK98</f>
        <v>55.874850000000002</v>
      </c>
      <c r="AL99" s="1314">
        <f>+CFS!AL93-CFS!AL98</f>
        <v>151.98785000000004</v>
      </c>
      <c r="AM99" s="1318">
        <f>+CFS!AM93-CFS!AM98</f>
        <v>117.69024999999996</v>
      </c>
      <c r="AN99" s="1313">
        <f>+CFS!AN93-CFS!AN98</f>
        <v>123.43604999999999</v>
      </c>
      <c r="AO99" s="1314">
        <f>+CFS!AO93-CFS!AO98</f>
        <v>-24.46895</v>
      </c>
      <c r="AP99" s="1314">
        <f>+CFS!AP93-CFS!AP98</f>
        <v>132.08765</v>
      </c>
      <c r="AQ99" s="1318">
        <f>+CFS!AQ93-CFS!AQ98</f>
        <v>167.49365000000003</v>
      </c>
      <c r="AR99" s="1313">
        <f>+CFS!AR93-CFS!AR98</f>
        <v>5.2857000000000074</v>
      </c>
      <c r="AS99" s="1314">
        <f>+CFS!AS93-CFS!AS98</f>
        <v>96.228899999999982</v>
      </c>
      <c r="AT99" s="1314">
        <f>+CFS!AT93-CFS!AT98</f>
        <v>160.75874999999996</v>
      </c>
      <c r="AU99" s="1318">
        <f>+CFS!AU93-CFS!AU98</f>
        <v>105.98660000000002</v>
      </c>
      <c r="AV99" s="1313">
        <f>+CFS!AV93-CFS!AV98</f>
        <v>156.67454999999995</v>
      </c>
      <c r="AW99" s="1314">
        <f>+CFS!AW93-CFS!AW98</f>
        <v>147.13255000000001</v>
      </c>
      <c r="AX99" s="1314">
        <f>+CFS!AX93-CFS!AX98</f>
        <v>158.30065000000002</v>
      </c>
      <c r="AY99" s="1318">
        <f>+CFS!AY93-CFS!AY98</f>
        <v>173.59360000000004</v>
      </c>
      <c r="AZ99" s="1313">
        <f>+CFS!AZ93-CFS!AZ98</f>
        <v>161.10075000000001</v>
      </c>
      <c r="BA99" s="1314">
        <f>+CFS!BA93-CFS!BA98</f>
        <v>-78.923900000000074</v>
      </c>
      <c r="BB99" s="1314">
        <f>+CFS!BB93-CFS!BB98</f>
        <v>186.0851485583093</v>
      </c>
      <c r="BC99" s="1318">
        <f>+CFS!BC93-CFS!BC98</f>
        <v>178.45825860850499</v>
      </c>
      <c r="BD99" s="1313">
        <f>+CFS!BD93-CFS!BD98</f>
        <v>210.74580877502865</v>
      </c>
      <c r="BE99" s="1314">
        <f>+CFS!BE93-CFS!BE98</f>
        <v>211.72011619804994</v>
      </c>
      <c r="BF99" s="1314">
        <f>+CFS!BF93-CFS!BF98</f>
        <v>226.88465109973075</v>
      </c>
      <c r="BG99" s="1318">
        <f>+CFS!BG93-CFS!BG98</f>
        <v>231.60192621301178</v>
      </c>
      <c r="BH99" s="1313">
        <f>+CFS!BH93-CFS!BH98</f>
        <v>226.63577580348201</v>
      </c>
      <c r="BI99" s="1314">
        <f>+CFS!BI93-CFS!BI98</f>
        <v>226.42662629917498</v>
      </c>
      <c r="BJ99" s="1314">
        <f>+CFS!BJ93-CFS!BJ98</f>
        <v>238.37079172218216</v>
      </c>
      <c r="BK99" s="1318">
        <f>+CFS!BK93-CFS!BK98</f>
        <v>247.16708239038275</v>
      </c>
      <c r="BL99" s="497"/>
      <c r="BM99" s="943"/>
      <c r="BN99" s="943"/>
      <c r="BO99" s="943"/>
      <c r="BP99" s="943"/>
      <c r="BQ99" s="943"/>
      <c r="BR99" s="943"/>
      <c r="BS99" s="943">
        <f>+CFS!BS93-CFS!BS98</f>
        <v>310.4529</v>
      </c>
      <c r="BT99" s="943">
        <f>+CFS!BT93-CFS!BT98</f>
        <v>410.31135</v>
      </c>
      <c r="BU99" s="943">
        <f>+CFS!BU93-CFS!BU98</f>
        <v>434.30649999999997</v>
      </c>
      <c r="BV99" s="943">
        <f>+CFS!BV93-CFS!BV98</f>
        <v>398.54840000000013</v>
      </c>
      <c r="BW99" s="943">
        <f>+CFS!BW93-CFS!BW98</f>
        <v>368.25994999999989</v>
      </c>
      <c r="BX99" s="943">
        <f>+CFS!BX93-CFS!BX98</f>
        <v>634.69145000000003</v>
      </c>
      <c r="BY99" s="943">
        <f>+CFS!BY93-CFS!BY98</f>
        <v>453.13780860850494</v>
      </c>
      <c r="BZ99" s="943">
        <f>+CFS!BZ93-CFS!BZ98</f>
        <v>880.95250228582108</v>
      </c>
      <c r="CA99" s="1318">
        <f>+CFS!CA93-CFS!CA98</f>
        <v>938.60027621522204</v>
      </c>
      <c r="CB99" s="1313"/>
      <c r="CC99" s="1314"/>
      <c r="CD99" s="1314"/>
      <c r="CE99" s="941"/>
      <c r="CF99" s="942"/>
      <c r="CG99" s="943"/>
      <c r="CH99" s="943"/>
      <c r="CI99" s="943"/>
      <c r="CJ99" s="943"/>
      <c r="CK99" s="943"/>
      <c r="CL99" s="943">
        <f>+CFS!CL93-CFS!CL98</f>
        <v>293.76609999999999</v>
      </c>
      <c r="CM99" s="943">
        <f>+CFS!CM93-CFS!CM98</f>
        <v>394.13760000000002</v>
      </c>
      <c r="CN99" s="943">
        <f>+CFS!CN93-CFS!CN98</f>
        <v>368.64519999999993</v>
      </c>
      <c r="CO99" s="943">
        <f>+CFS!CO93-CFS!CO98</f>
        <v>401.09589999999997</v>
      </c>
      <c r="CP99" s="943">
        <f>+CFS!CP93-CFS!CP98</f>
        <v>570.55244999999991</v>
      </c>
      <c r="CQ99" s="1314">
        <f>+CFS!CQ93-CFS!CQ98</f>
        <v>413.06119999999999</v>
      </c>
      <c r="CR99" s="1314">
        <f>+CFS!CR93-CFS!CR98</f>
        <v>793.42688358158375</v>
      </c>
      <c r="CS99" s="1318">
        <f>+CFS!CS93-CFS!CS98</f>
        <v>911.54897941539957</v>
      </c>
      <c r="CT99" s="354"/>
      <c r="CU99"/>
      <c r="CV99"/>
      <c r="CW99"/>
      <c r="CX99"/>
      <c r="CY99"/>
      <c r="CZ99"/>
    </row>
    <row r="100" spans="1:104" s="302" customFormat="1" ht="14.25" customHeight="1">
      <c r="A100" s="308"/>
      <c r="B100" s="354" t="s">
        <v>235</v>
      </c>
      <c r="C100" s="941"/>
      <c r="D100" s="942"/>
      <c r="E100" s="943"/>
      <c r="F100" s="943"/>
      <c r="G100" s="944"/>
      <c r="H100" s="942"/>
      <c r="I100" s="943"/>
      <c r="J100" s="943"/>
      <c r="K100" s="944"/>
      <c r="L100" s="942"/>
      <c r="M100" s="943"/>
      <c r="N100" s="943"/>
      <c r="O100" s="944"/>
      <c r="P100" s="942"/>
      <c r="Q100" s="943"/>
      <c r="R100" s="943"/>
      <c r="S100" s="944"/>
      <c r="T100" s="942"/>
      <c r="U100" s="943"/>
      <c r="V100" s="943"/>
      <c r="W100" s="944"/>
      <c r="X100" s="942"/>
      <c r="Y100" s="943"/>
      <c r="Z100" s="943"/>
      <c r="AA100" s="944"/>
      <c r="AB100" s="945"/>
      <c r="AC100" s="943"/>
      <c r="AD100" s="943"/>
      <c r="AE100" s="944"/>
      <c r="AF100" s="945">
        <f>+AF95-AF98</f>
        <v>128.73010000000002</v>
      </c>
      <c r="AG100" s="945">
        <f t="shared" ref="AG100:AQ100" si="491">+AG95-AG98</f>
        <v>60.612050000000011</v>
      </c>
      <c r="AH100" s="945">
        <f t="shared" si="491"/>
        <v>119.99979999999999</v>
      </c>
      <c r="AI100" s="944">
        <f t="shared" si="491"/>
        <v>118.30840000000002</v>
      </c>
      <c r="AJ100" s="945">
        <f t="shared" si="491"/>
        <v>112.21655000000003</v>
      </c>
      <c r="AK100" s="945">
        <f t="shared" si="491"/>
        <v>61.707850000000008</v>
      </c>
      <c r="AL100" s="945">
        <f t="shared" si="491"/>
        <v>143.09085000000005</v>
      </c>
      <c r="AM100" s="944">
        <f t="shared" si="491"/>
        <v>124.20124999999996</v>
      </c>
      <c r="AN100" s="945">
        <f t="shared" si="491"/>
        <v>129.91305</v>
      </c>
      <c r="AO100" s="945">
        <f t="shared" si="491"/>
        <v>-16.652950000000001</v>
      </c>
      <c r="AP100" s="945">
        <f t="shared" si="491"/>
        <v>137.62164999999999</v>
      </c>
      <c r="AQ100" s="944">
        <f t="shared" si="491"/>
        <v>174.84265000000002</v>
      </c>
      <c r="AR100" s="945">
        <f t="shared" ref="AR100:BC100" si="492">+AR95-AR98</f>
        <v>11.796700000000008</v>
      </c>
      <c r="AS100" s="945">
        <f t="shared" si="492"/>
        <v>105.22689999999997</v>
      </c>
      <c r="AT100" s="945">
        <f t="shared" si="492"/>
        <v>167.17674999999997</v>
      </c>
      <c r="AU100" s="944">
        <f t="shared" si="492"/>
        <v>112.66060000000003</v>
      </c>
      <c r="AV100" s="945">
        <f>+AV95-AV98</f>
        <v>164.01554999999996</v>
      </c>
      <c r="AW100" s="945">
        <f>+AW95-AW98</f>
        <v>152.82055</v>
      </c>
      <c r="AX100" s="945">
        <f t="shared" si="492"/>
        <v>162.23265000000001</v>
      </c>
      <c r="AY100" s="944">
        <f t="shared" si="492"/>
        <v>177.48160000000004</v>
      </c>
      <c r="AZ100" s="945">
        <f>+AZ95-AZ98</f>
        <v>165.39875000000001</v>
      </c>
      <c r="BA100" s="945">
        <f t="shared" si="492"/>
        <v>-75.683900000000079</v>
      </c>
      <c r="BB100" s="945">
        <f t="shared" si="492"/>
        <v>188.7161485583093</v>
      </c>
      <c r="BC100" s="944">
        <f t="shared" si="492"/>
        <v>185.06481160850501</v>
      </c>
      <c r="BD100" s="945">
        <f t="shared" ref="BD100:BK100" si="493">+BD95-BD98</f>
        <v>217.37130672258638</v>
      </c>
      <c r="BE100" s="945">
        <f t="shared" si="493"/>
        <v>218.34349130235046</v>
      </c>
      <c r="BF100" s="945">
        <f t="shared" si="493"/>
        <v>233.51642570372886</v>
      </c>
      <c r="BG100" s="944">
        <f t="shared" si="493"/>
        <v>238.24585723575152</v>
      </c>
      <c r="BH100" s="945">
        <f t="shared" si="493"/>
        <v>233.27860077363854</v>
      </c>
      <c r="BI100" s="945">
        <f t="shared" si="493"/>
        <v>233.06514549734686</v>
      </c>
      <c r="BJ100" s="945">
        <f t="shared" si="493"/>
        <v>245.00882750355356</v>
      </c>
      <c r="BK100" s="944">
        <f t="shared" si="493"/>
        <v>253.80810260891417</v>
      </c>
      <c r="BL100" s="497"/>
      <c r="BM100" s="943"/>
      <c r="BN100" s="943"/>
      <c r="BO100" s="943"/>
      <c r="BP100" s="943"/>
      <c r="BQ100" s="943"/>
      <c r="BR100" s="943"/>
      <c r="BS100" s="943">
        <f t="shared" ref="BS100:CA100" si="494">+BS95-BS98</f>
        <v>313.74289999999996</v>
      </c>
      <c r="BT100" s="943">
        <f t="shared" si="494"/>
        <v>427.65035</v>
      </c>
      <c r="BU100" s="943">
        <f t="shared" si="494"/>
        <v>441.2165</v>
      </c>
      <c r="BV100" s="943">
        <f t="shared" si="494"/>
        <v>425.72440000000017</v>
      </c>
      <c r="BW100" s="943">
        <f t="shared" si="494"/>
        <v>396.86094999999989</v>
      </c>
      <c r="BX100" s="943">
        <f t="shared" si="494"/>
        <v>655.54045000000008</v>
      </c>
      <c r="BY100" s="943">
        <f t="shared" si="494"/>
        <v>469.91336160850489</v>
      </c>
      <c r="BZ100" s="943">
        <f t="shared" si="494"/>
        <v>907.47708096441715</v>
      </c>
      <c r="CA100" s="944">
        <f t="shared" si="494"/>
        <v>965.16067638345316</v>
      </c>
      <c r="CB100" s="498"/>
      <c r="CC100" s="499"/>
      <c r="CD100" s="499"/>
      <c r="CE100" s="941"/>
      <c r="CF100" s="942"/>
      <c r="CG100" s="943"/>
      <c r="CH100" s="943"/>
      <c r="CI100" s="943"/>
      <c r="CJ100" s="943"/>
      <c r="CK100" s="943"/>
      <c r="CL100" s="943">
        <f t="shared" ref="CL100:CQ100" si="495">+CL95-CL98</f>
        <v>302.09409999999997</v>
      </c>
      <c r="CM100" s="943">
        <f t="shared" si="495"/>
        <v>412.23260000000005</v>
      </c>
      <c r="CN100" s="943">
        <f t="shared" si="495"/>
        <v>380.55219999999991</v>
      </c>
      <c r="CO100" s="943">
        <f t="shared" si="495"/>
        <v>429.48789999999997</v>
      </c>
      <c r="CP100" s="943">
        <f t="shared" si="495"/>
        <v>596.67344999999989</v>
      </c>
      <c r="CQ100" s="943">
        <f t="shared" si="495"/>
        <v>428.41919999999999</v>
      </c>
      <c r="CR100" s="943">
        <f>+CR95-CR98</f>
        <v>815.91330963344205</v>
      </c>
      <c r="CS100" s="944">
        <f>+CS95-CS98</f>
        <v>938.10602921046586</v>
      </c>
      <c r="CT100" s="354"/>
      <c r="CU100"/>
      <c r="CV100"/>
      <c r="CW100"/>
      <c r="CX100"/>
      <c r="CY100"/>
      <c r="CZ100"/>
    </row>
    <row r="101" spans="1:104" ht="14.25" customHeight="1">
      <c r="A101" s="8"/>
      <c r="B101" s="22"/>
      <c r="C101" s="260"/>
      <c r="D101" s="389"/>
      <c r="E101" s="390"/>
      <c r="F101" s="390"/>
      <c r="G101" s="880"/>
      <c r="H101" s="389"/>
      <c r="I101" s="390"/>
      <c r="J101" s="390"/>
      <c r="K101" s="880"/>
      <c r="L101" s="389"/>
      <c r="M101" s="390"/>
      <c r="N101" s="390"/>
      <c r="O101" s="880"/>
      <c r="P101" s="389"/>
      <c r="Q101" s="390"/>
      <c r="R101" s="390"/>
      <c r="S101" s="880"/>
      <c r="T101" s="389"/>
      <c r="U101" s="390"/>
      <c r="V101" s="390"/>
      <c r="W101" s="880"/>
      <c r="X101" s="389"/>
      <c r="Y101" s="390"/>
      <c r="Z101" s="390"/>
      <c r="AA101" s="880"/>
      <c r="AB101" s="295"/>
      <c r="AC101" s="390"/>
      <c r="AD101" s="390"/>
      <c r="AE101" s="880"/>
      <c r="AF101" s="295"/>
      <c r="AG101" s="295"/>
      <c r="AH101" s="295"/>
      <c r="AI101" s="880"/>
      <c r="AJ101" s="295"/>
      <c r="AK101" s="295"/>
      <c r="AL101" s="295"/>
      <c r="AM101" s="880"/>
      <c r="AN101" s="295"/>
      <c r="AO101" s="295"/>
      <c r="AP101" s="295"/>
      <c r="AQ101" s="880"/>
      <c r="AR101" s="295"/>
      <c r="AS101" s="295"/>
      <c r="AT101" s="295"/>
      <c r="AU101" s="880"/>
      <c r="AV101" s="295"/>
      <c r="AW101" s="295"/>
      <c r="AX101" s="295"/>
      <c r="AY101" s="880"/>
      <c r="AZ101" s="295"/>
      <c r="BA101" s="295"/>
      <c r="BB101" s="295"/>
      <c r="BC101" s="880"/>
      <c r="BD101" s="295"/>
      <c r="BE101" s="295"/>
      <c r="BF101" s="295"/>
      <c r="BG101" s="880"/>
      <c r="BH101" s="295"/>
      <c r="BI101" s="295"/>
      <c r="BJ101" s="295"/>
      <c r="BK101" s="880"/>
      <c r="BL101" s="20"/>
      <c r="BM101" s="390"/>
      <c r="BN101" s="390"/>
      <c r="BO101" s="390"/>
      <c r="BP101" s="390"/>
      <c r="BQ101" s="390"/>
      <c r="BR101" s="390"/>
      <c r="BS101" s="390"/>
      <c r="BT101" s="390"/>
      <c r="BU101" s="390"/>
      <c r="BV101" s="390"/>
      <c r="BW101" s="390"/>
      <c r="BX101" s="390"/>
      <c r="BY101" s="390"/>
      <c r="BZ101" s="390"/>
      <c r="CA101" s="880"/>
      <c r="CB101" s="220"/>
      <c r="CC101" s="218"/>
      <c r="CD101" s="218"/>
      <c r="CE101" s="260"/>
      <c r="CF101" s="389"/>
      <c r="CG101" s="390"/>
      <c r="CH101" s="390"/>
      <c r="CI101" s="390"/>
      <c r="CJ101" s="390"/>
      <c r="CK101" s="390"/>
      <c r="CL101" s="390"/>
      <c r="CM101" s="390"/>
      <c r="CN101" s="390"/>
      <c r="CO101" s="390"/>
      <c r="CP101" s="390"/>
      <c r="CQ101" s="390"/>
      <c r="CR101" s="390"/>
      <c r="CS101" s="880"/>
      <c r="CT101" s="22"/>
    </row>
    <row r="102" spans="1:104" ht="14.25" customHeight="1">
      <c r="A102" s="8"/>
      <c r="B102" s="15" t="s">
        <v>515</v>
      </c>
      <c r="C102" s="16"/>
      <c r="D102" s="301">
        <f t="shared" ref="D102:AQ102" si="496">D88-D13</f>
        <v>90.166000000000025</v>
      </c>
      <c r="E102" s="299">
        <f t="shared" si="496"/>
        <v>35.037999999999982</v>
      </c>
      <c r="F102" s="299">
        <f t="shared" si="496"/>
        <v>16.54800000000003</v>
      </c>
      <c r="G102" s="300">
        <f t="shared" si="496"/>
        <v>24.740999999999786</v>
      </c>
      <c r="H102" s="301">
        <f t="shared" si="496"/>
        <v>-70.902000000000001</v>
      </c>
      <c r="I102" s="299">
        <f t="shared" si="496"/>
        <v>-74.411999999999992</v>
      </c>
      <c r="J102" s="299">
        <f t="shared" si="496"/>
        <v>39.868999999999986</v>
      </c>
      <c r="K102" s="300">
        <f t="shared" si="496"/>
        <v>-33.497000000000156</v>
      </c>
      <c r="L102" s="301">
        <f t="shared" si="496"/>
        <v>45.796000000000035</v>
      </c>
      <c r="M102" s="299">
        <f t="shared" si="496"/>
        <v>-53.129000000000033</v>
      </c>
      <c r="N102" s="299">
        <f t="shared" si="496"/>
        <v>74.51400000000001</v>
      </c>
      <c r="O102" s="300">
        <f t="shared" si="496"/>
        <v>46.652999999999963</v>
      </c>
      <c r="P102" s="301">
        <f t="shared" si="496"/>
        <v>81.508000000000038</v>
      </c>
      <c r="Q102" s="299">
        <f t="shared" si="496"/>
        <v>-41.061999999999877</v>
      </c>
      <c r="R102" s="299">
        <f t="shared" si="496"/>
        <v>30.354999999999954</v>
      </c>
      <c r="S102" s="300">
        <f t="shared" si="496"/>
        <v>43.457000000000214</v>
      </c>
      <c r="T102" s="301">
        <f t="shared" si="496"/>
        <v>85.586999999999989</v>
      </c>
      <c r="U102" s="299">
        <f t="shared" si="496"/>
        <v>-24.261000000000035</v>
      </c>
      <c r="V102" s="299">
        <f t="shared" si="496"/>
        <v>123.71600000000001</v>
      </c>
      <c r="W102" s="300">
        <f t="shared" si="496"/>
        <v>88.484999999999971</v>
      </c>
      <c r="X102" s="301">
        <f t="shared" si="496"/>
        <v>92.831000000000088</v>
      </c>
      <c r="Y102" s="299">
        <f t="shared" si="496"/>
        <v>116.39400000000008</v>
      </c>
      <c r="Z102" s="299">
        <f t="shared" si="496"/>
        <v>205.87599999999995</v>
      </c>
      <c r="AA102" s="300">
        <f t="shared" si="496"/>
        <v>176.80299999999977</v>
      </c>
      <c r="AB102" s="299">
        <f t="shared" si="496"/>
        <v>48.019999999999968</v>
      </c>
      <c r="AC102" s="299">
        <f t="shared" si="496"/>
        <v>157.48500000000007</v>
      </c>
      <c r="AD102" s="299">
        <f t="shared" si="496"/>
        <v>104.41499999999998</v>
      </c>
      <c r="AE102" s="300">
        <f t="shared" si="496"/>
        <v>92.586999999999975</v>
      </c>
      <c r="AF102" s="299">
        <f t="shared" si="496"/>
        <v>63.545000000000002</v>
      </c>
      <c r="AG102" s="299">
        <f t="shared" si="496"/>
        <v>170.15</v>
      </c>
      <c r="AH102" s="299">
        <f t="shared" si="496"/>
        <v>137.13499999999993</v>
      </c>
      <c r="AI102" s="300">
        <f t="shared" si="496"/>
        <v>146.62500000000003</v>
      </c>
      <c r="AJ102" s="299">
        <f t="shared" si="496"/>
        <v>40.82500000000006</v>
      </c>
      <c r="AK102" s="299">
        <f t="shared" si="496"/>
        <v>165.42899999999997</v>
      </c>
      <c r="AL102" s="299">
        <f t="shared" si="496"/>
        <v>163.23400000000007</v>
      </c>
      <c r="AM102" s="300">
        <f t="shared" si="496"/>
        <v>188.64399999999995</v>
      </c>
      <c r="AN102" s="299">
        <f t="shared" si="496"/>
        <v>62.891000000000034</v>
      </c>
      <c r="AO102" s="299">
        <f t="shared" si="496"/>
        <v>133.49399999999997</v>
      </c>
      <c r="AP102" s="299">
        <f t="shared" si="496"/>
        <v>153.29300000000001</v>
      </c>
      <c r="AQ102" s="300">
        <f t="shared" si="496"/>
        <v>188.72100000000006</v>
      </c>
      <c r="AR102" s="299">
        <f t="shared" ref="AR102:BC102" si="497">AR88-AR13</f>
        <v>84.555000000000007</v>
      </c>
      <c r="AS102" s="299">
        <f t="shared" si="497"/>
        <v>150.53999999999991</v>
      </c>
      <c r="AT102" s="299">
        <f t="shared" si="497"/>
        <v>132.58099999999993</v>
      </c>
      <c r="AU102" s="300">
        <f t="shared" si="497"/>
        <v>215.13900000000001</v>
      </c>
      <c r="AV102" s="299">
        <f>AV88-AV13</f>
        <v>91.971999999999937</v>
      </c>
      <c r="AW102" s="299">
        <f>AW88-AW13</f>
        <v>158.78200000000001</v>
      </c>
      <c r="AX102" s="299">
        <f t="shared" si="497"/>
        <v>194.11100000000002</v>
      </c>
      <c r="AY102" s="300">
        <f t="shared" si="497"/>
        <v>206.25400000000002</v>
      </c>
      <c r="AZ102" s="299">
        <f>AZ88-AZ13</f>
        <v>188.09700000000004</v>
      </c>
      <c r="BA102" s="299">
        <f t="shared" si="497"/>
        <v>186.42099999999994</v>
      </c>
      <c r="BB102" s="299">
        <f t="shared" si="497"/>
        <v>185.69000000000003</v>
      </c>
      <c r="BC102" s="300">
        <f t="shared" si="497"/>
        <v>209.75412488451346</v>
      </c>
      <c r="BD102" s="299">
        <f t="shared" ref="BD102:BK102" si="498">BD88-BD13</f>
        <v>251.76370651441684</v>
      </c>
      <c r="BE102" s="299">
        <f t="shared" si="498"/>
        <v>230.59302060487138</v>
      </c>
      <c r="BF102" s="299">
        <f t="shared" si="498"/>
        <v>222.95318251676377</v>
      </c>
      <c r="BG102" s="300">
        <f t="shared" si="498"/>
        <v>249.35212516636696</v>
      </c>
      <c r="BH102" s="299">
        <f t="shared" si="498"/>
        <v>255.62556396929185</v>
      </c>
      <c r="BI102" s="299">
        <f t="shared" si="498"/>
        <v>247.85485360102734</v>
      </c>
      <c r="BJ102" s="299">
        <f t="shared" si="498"/>
        <v>240.79314567993416</v>
      </c>
      <c r="BK102" s="300">
        <f t="shared" si="498"/>
        <v>257.45778307691114</v>
      </c>
      <c r="BL102" s="20"/>
      <c r="BM102" s="299">
        <f t="shared" ref="BM102:BV102" si="499">BM88-BM13</f>
        <v>166.49299999999988</v>
      </c>
      <c r="BN102" s="299">
        <f t="shared" si="499"/>
        <v>-138.94200000000029</v>
      </c>
      <c r="BO102" s="299">
        <f t="shared" si="499"/>
        <v>113.83399999999997</v>
      </c>
      <c r="BP102" s="299">
        <f t="shared" si="499"/>
        <v>114.25800000000032</v>
      </c>
      <c r="BQ102" s="299">
        <f>BQ88-BQ13</f>
        <v>273.52699999999993</v>
      </c>
      <c r="BR102" s="299">
        <f t="shared" si="499"/>
        <v>591.90399999999977</v>
      </c>
      <c r="BS102" s="299">
        <f t="shared" si="499"/>
        <v>402.50699999999995</v>
      </c>
      <c r="BT102" s="299">
        <f t="shared" si="499"/>
        <v>517.45500000000004</v>
      </c>
      <c r="BU102" s="299">
        <f t="shared" si="499"/>
        <v>558.13199999999995</v>
      </c>
      <c r="BV102" s="299">
        <f t="shared" si="499"/>
        <v>538.39900000000011</v>
      </c>
      <c r="BW102" s="299">
        <f>BW88-BW13</f>
        <v>582.81499999999983</v>
      </c>
      <c r="BX102" s="299">
        <f>BX88-BX13</f>
        <v>651.11900000000003</v>
      </c>
      <c r="BY102" s="299">
        <f>BY88-BY13</f>
        <v>769.96212488451329</v>
      </c>
      <c r="BZ102" s="299">
        <f>BZ88-BZ13</f>
        <v>954.66203480241893</v>
      </c>
      <c r="CA102" s="300">
        <f>CA88-CA13</f>
        <v>1001.7313463271647</v>
      </c>
      <c r="CB102" s="220"/>
      <c r="CC102" s="218"/>
      <c r="CD102" s="218"/>
      <c r="CE102" s="260"/>
      <c r="CF102" s="301">
        <f t="shared" ref="CF102:CN102" si="500">CF88-CF13</f>
        <v>-104.02500000000032</v>
      </c>
      <c r="CG102" s="299">
        <f t="shared" si="500"/>
        <v>-0.96100000000029695</v>
      </c>
      <c r="CH102" s="299">
        <f t="shared" si="500"/>
        <v>161.6130000000002</v>
      </c>
      <c r="CI102" s="299">
        <f t="shared" si="500"/>
        <v>135.13800000000018</v>
      </c>
      <c r="CJ102" s="299">
        <f t="shared" si="500"/>
        <v>421.42600000000004</v>
      </c>
      <c r="CK102" s="299">
        <f t="shared" si="500"/>
        <v>588.18399999999974</v>
      </c>
      <c r="CL102" s="299">
        <f t="shared" si="500"/>
        <v>430.69700000000012</v>
      </c>
      <c r="CM102" s="299">
        <f t="shared" si="500"/>
        <v>490.01400000000018</v>
      </c>
      <c r="CN102" s="299">
        <f t="shared" si="500"/>
        <v>548.26299999999992</v>
      </c>
      <c r="CO102" s="299">
        <f>CO88-CO13</f>
        <v>577.10900000000015</v>
      </c>
      <c r="CP102" s="299">
        <f>CP88-CP13</f>
        <v>598.47399999999993</v>
      </c>
      <c r="CQ102" s="299">
        <f>CQ88-CQ13</f>
        <v>774.88299999999992</v>
      </c>
      <c r="CR102" s="299">
        <f>CR88-CR13</f>
        <v>877.80085200380188</v>
      </c>
      <c r="CS102" s="300">
        <f>CS88-CS13</f>
        <v>975.78572525344998</v>
      </c>
      <c r="CT102" s="22"/>
    </row>
    <row r="103" spans="1:104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302"/>
      <c r="BN103" s="302"/>
      <c r="BO103" s="302"/>
      <c r="BP103" s="302"/>
      <c r="BQ103" s="302"/>
      <c r="BR103" s="302"/>
      <c r="BS103" s="302"/>
      <c r="BT103" s="302"/>
      <c r="BU103" s="302"/>
      <c r="BV103" s="302"/>
      <c r="BW103" s="302"/>
      <c r="BX103" s="302"/>
      <c r="BY103" s="302"/>
      <c r="BZ103" s="302"/>
      <c r="CA103" s="302"/>
      <c r="CB103" s="1444"/>
      <c r="CC103" s="1444"/>
      <c r="CD103" s="1444"/>
      <c r="CE103" s="1"/>
      <c r="CF103" s="302"/>
      <c r="CG103" s="302"/>
      <c r="CH103" s="302"/>
      <c r="CI103" s="302"/>
      <c r="CJ103" s="302"/>
      <c r="CK103" s="302"/>
      <c r="CL103" s="302"/>
      <c r="CM103" s="302"/>
      <c r="CN103" s="302"/>
      <c r="CO103" s="302"/>
      <c r="CP103" s="302"/>
      <c r="CQ103" s="302"/>
      <c r="CR103" s="302"/>
      <c r="CS103" s="302"/>
      <c r="CT103" s="1"/>
    </row>
    <row r="104" spans="1: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302"/>
      <c r="BN104" s="302"/>
      <c r="BO104" s="302"/>
      <c r="BP104" s="302"/>
      <c r="BQ104" s="302"/>
      <c r="BR104" s="302"/>
      <c r="BS104" s="302"/>
      <c r="BT104" s="302"/>
      <c r="BU104" s="302"/>
      <c r="BV104" s="302"/>
      <c r="BW104" s="302"/>
      <c r="BX104" s="302"/>
      <c r="BY104" s="302"/>
      <c r="BZ104" s="302"/>
      <c r="CA104" s="302"/>
      <c r="CB104" s="1444"/>
      <c r="CC104" s="1444"/>
      <c r="CD104" s="1444"/>
      <c r="CE104" s="1"/>
      <c r="CF104" s="302"/>
      <c r="CG104" s="302"/>
      <c r="CH104" s="302"/>
      <c r="CI104" s="302"/>
      <c r="CJ104" s="302"/>
      <c r="CK104" s="302"/>
      <c r="CL104" s="302"/>
      <c r="CM104" s="302"/>
      <c r="CN104" s="302"/>
      <c r="CO104" s="302"/>
      <c r="CP104" s="302"/>
      <c r="CQ104" s="302"/>
      <c r="CR104" s="302"/>
      <c r="CS104" s="302"/>
      <c r="CT104" s="1"/>
    </row>
    <row r="105" spans="1:104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302"/>
      <c r="BN105" s="302"/>
      <c r="BO105" s="302"/>
      <c r="BP105" s="302"/>
      <c r="BQ105" s="302"/>
      <c r="BR105" s="302"/>
      <c r="BS105" s="302"/>
      <c r="BT105" s="302"/>
      <c r="BU105" s="302"/>
      <c r="BV105" s="302"/>
      <c r="BW105" s="302"/>
      <c r="BX105" s="302"/>
      <c r="BY105" s="302"/>
      <c r="BZ105" s="302"/>
      <c r="CA105" s="302"/>
      <c r="CB105" s="1444"/>
      <c r="CC105" s="1444"/>
      <c r="CD105" s="1444"/>
      <c r="CE105" s="1"/>
      <c r="CF105" s="302"/>
      <c r="CG105" s="302"/>
      <c r="CH105" s="302"/>
      <c r="CI105" s="302"/>
      <c r="CJ105" s="302"/>
      <c r="CK105" s="302"/>
      <c r="CL105" s="302"/>
      <c r="CM105" s="302"/>
      <c r="CN105" s="302"/>
      <c r="CO105" s="302"/>
      <c r="CP105" s="302"/>
      <c r="CQ105" s="302"/>
      <c r="CR105" s="302"/>
      <c r="CS105" s="302"/>
      <c r="CT105" s="1"/>
    </row>
    <row r="106" spans="1:104" ht="14.25" customHeight="1" outlineLevel="1">
      <c r="A106" s="8"/>
      <c r="B106" s="9" t="s">
        <v>26</v>
      </c>
      <c r="C106" s="10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699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4"/>
      <c r="BM106" s="250"/>
      <c r="BN106" s="250"/>
      <c r="BO106" s="250"/>
      <c r="BP106" s="250"/>
      <c r="BQ106" s="250"/>
      <c r="BR106" s="250"/>
      <c r="BS106" s="250"/>
      <c r="BT106" s="250"/>
      <c r="BU106" s="250"/>
      <c r="BV106" s="250"/>
      <c r="BW106" s="250"/>
      <c r="BX106" s="250"/>
      <c r="BY106" s="250"/>
      <c r="BZ106" s="250"/>
      <c r="CA106" s="250"/>
      <c r="CB106" s="124"/>
      <c r="CC106" s="124"/>
      <c r="CD106" s="124"/>
      <c r="CE106" s="8"/>
      <c r="CF106" s="250"/>
      <c r="CG106" s="250"/>
      <c r="CH106" s="250"/>
      <c r="CI106" s="250"/>
      <c r="CJ106" s="250"/>
      <c r="CK106" s="250"/>
      <c r="CL106" s="250"/>
      <c r="CM106" s="250"/>
      <c r="CN106" s="250"/>
      <c r="CO106" s="250"/>
      <c r="CP106" s="250"/>
      <c r="CQ106" s="250"/>
      <c r="CR106" s="250"/>
      <c r="CS106" s="250"/>
      <c r="CT106" s="8"/>
    </row>
    <row r="107" spans="1:104" ht="14.25" customHeight="1" outlineLevel="1">
      <c r="A107" s="14"/>
      <c r="B107" s="12" t="s">
        <v>63</v>
      </c>
      <c r="C107" s="13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74"/>
      <c r="BM107" s="124"/>
      <c r="BN107" s="124"/>
      <c r="BO107" s="124"/>
      <c r="BP107" s="124"/>
      <c r="BQ107" s="124"/>
      <c r="BR107" s="124"/>
      <c r="BS107" s="124"/>
      <c r="BT107" s="124"/>
      <c r="BU107" s="124"/>
      <c r="BV107" s="124"/>
      <c r="BW107" s="124"/>
      <c r="BX107" s="124"/>
      <c r="BY107" s="124"/>
      <c r="BZ107" s="124"/>
      <c r="CA107" s="124"/>
      <c r="CB107" s="124"/>
      <c r="CC107" s="124"/>
      <c r="CD107" s="124"/>
      <c r="CE107" s="8"/>
      <c r="CF107" s="124"/>
      <c r="CG107" s="124"/>
      <c r="CH107" s="124"/>
      <c r="CI107" s="124"/>
      <c r="CJ107" s="124"/>
      <c r="CK107" s="124"/>
      <c r="CL107" s="124"/>
      <c r="CM107" s="124"/>
      <c r="CN107" s="124"/>
      <c r="CO107" s="124"/>
      <c r="CP107" s="124"/>
      <c r="CQ107" s="124"/>
      <c r="CR107" s="124"/>
      <c r="CS107" s="124"/>
      <c r="CT107" s="8"/>
    </row>
    <row r="108" spans="1:104" ht="14.25" customHeight="1" outlineLevel="1">
      <c r="A108" s="14"/>
      <c r="B108" s="342"/>
      <c r="C108" s="208"/>
      <c r="D108" s="17" t="str">
        <f t="shared" ref="D108:W108" si="501">D9</f>
        <v>F1Q06A</v>
      </c>
      <c r="E108" s="18" t="str">
        <f t="shared" si="501"/>
        <v>F2Q06A</v>
      </c>
      <c r="F108" s="18" t="str">
        <f t="shared" si="501"/>
        <v>F3Q06A</v>
      </c>
      <c r="G108" s="19" t="str">
        <f t="shared" si="501"/>
        <v>F4Q06A</v>
      </c>
      <c r="H108" s="17" t="str">
        <f t="shared" si="501"/>
        <v>F1Q07A</v>
      </c>
      <c r="I108" s="18" t="str">
        <f t="shared" si="501"/>
        <v>F2Q07A</v>
      </c>
      <c r="J108" s="18" t="str">
        <f t="shared" si="501"/>
        <v>F3Q07A</v>
      </c>
      <c r="K108" s="19" t="str">
        <f t="shared" si="501"/>
        <v>F4Q07A</v>
      </c>
      <c r="L108" s="17" t="str">
        <f t="shared" si="501"/>
        <v>F1Q08A</v>
      </c>
      <c r="M108" s="18" t="str">
        <f t="shared" si="501"/>
        <v>F2Q08A</v>
      </c>
      <c r="N108" s="18" t="str">
        <f t="shared" si="501"/>
        <v>F3Q08A</v>
      </c>
      <c r="O108" s="19" t="str">
        <f t="shared" si="501"/>
        <v>F4Q08A</v>
      </c>
      <c r="P108" s="17" t="str">
        <f t="shared" si="501"/>
        <v>F1Q09A</v>
      </c>
      <c r="Q108" s="18" t="str">
        <f t="shared" si="501"/>
        <v>F2Q09A</v>
      </c>
      <c r="R108" s="18" t="str">
        <f t="shared" si="501"/>
        <v>F3Q09A</v>
      </c>
      <c r="S108" s="19" t="str">
        <f t="shared" si="501"/>
        <v>F4Q09A</v>
      </c>
      <c r="T108" s="17" t="str">
        <f t="shared" si="501"/>
        <v>F1Q10A</v>
      </c>
      <c r="U108" s="18" t="str">
        <f t="shared" si="501"/>
        <v>F2Q10A</v>
      </c>
      <c r="V108" s="18" t="str">
        <f t="shared" si="501"/>
        <v>F3Q10A</v>
      </c>
      <c r="W108" s="19" t="str">
        <f t="shared" si="501"/>
        <v>F4Q10A</v>
      </c>
      <c r="X108" s="17" t="str">
        <f t="shared" ref="X108:AQ108" si="502">X9</f>
        <v>F1Q11A</v>
      </c>
      <c r="Y108" s="18" t="str">
        <f t="shared" si="502"/>
        <v>F2Q11A</v>
      </c>
      <c r="Z108" s="18" t="str">
        <f t="shared" si="502"/>
        <v>F3Q11A</v>
      </c>
      <c r="AA108" s="19" t="str">
        <f t="shared" si="502"/>
        <v>F4Q11A</v>
      </c>
      <c r="AB108" s="17" t="str">
        <f>AB9</f>
        <v>F1Q12A</v>
      </c>
      <c r="AC108" s="18" t="str">
        <f>AC9</f>
        <v>F2Q12A</v>
      </c>
      <c r="AD108" s="18" t="str">
        <f>AD9</f>
        <v>F3Q12A</v>
      </c>
      <c r="AE108" s="19" t="str">
        <f>AE9</f>
        <v>F4Q12A</v>
      </c>
      <c r="AF108" s="17" t="str">
        <f>AF9</f>
        <v>F1Q13A</v>
      </c>
      <c r="AG108" s="18" t="str">
        <f t="shared" si="502"/>
        <v>F2Q13A</v>
      </c>
      <c r="AH108" s="18" t="str">
        <f t="shared" si="502"/>
        <v>F3Q13A</v>
      </c>
      <c r="AI108" s="19" t="str">
        <f>AI9</f>
        <v>F4Q13A</v>
      </c>
      <c r="AJ108" s="17" t="str">
        <f t="shared" si="502"/>
        <v>F1Q14A</v>
      </c>
      <c r="AK108" s="18" t="str">
        <f t="shared" si="502"/>
        <v>F2Q14</v>
      </c>
      <c r="AL108" s="18" t="str">
        <f t="shared" si="502"/>
        <v>F3Q14A</v>
      </c>
      <c r="AM108" s="19" t="str">
        <f t="shared" si="502"/>
        <v>F4Q14A</v>
      </c>
      <c r="AN108" s="17" t="str">
        <f t="shared" si="502"/>
        <v>F1Q15A</v>
      </c>
      <c r="AO108" s="18" t="str">
        <f t="shared" si="502"/>
        <v>F2Q15A</v>
      </c>
      <c r="AP108" s="18" t="str">
        <f t="shared" si="502"/>
        <v>F3Q15A</v>
      </c>
      <c r="AQ108" s="19" t="str">
        <f t="shared" si="502"/>
        <v>F4Q15A</v>
      </c>
      <c r="AR108" s="17" t="str">
        <f t="shared" ref="AR108:BC108" si="503">AR9</f>
        <v>F1Q16A</v>
      </c>
      <c r="AS108" s="18" t="str">
        <f t="shared" si="503"/>
        <v>F2Q16A</v>
      </c>
      <c r="AT108" s="18" t="str">
        <f t="shared" si="503"/>
        <v>F3Q16A</v>
      </c>
      <c r="AU108" s="19" t="str">
        <f t="shared" si="503"/>
        <v>F4Q16A</v>
      </c>
      <c r="AV108" s="17" t="str">
        <f>AV9</f>
        <v>F1Q17A</v>
      </c>
      <c r="AW108" s="18" t="str">
        <f>AW9</f>
        <v>F2Q17A</v>
      </c>
      <c r="AX108" s="18" t="str">
        <f t="shared" si="503"/>
        <v>F3Q17A</v>
      </c>
      <c r="AY108" s="19" t="str">
        <f t="shared" si="503"/>
        <v>F4Q17A</v>
      </c>
      <c r="AZ108" s="17" t="str">
        <f t="shared" si="503"/>
        <v>F1Q18A</v>
      </c>
      <c r="BA108" s="18" t="str">
        <f t="shared" si="503"/>
        <v>F2Q18A</v>
      </c>
      <c r="BB108" s="18" t="str">
        <f t="shared" si="503"/>
        <v>F3Q18A</v>
      </c>
      <c r="BC108" s="19" t="str">
        <f t="shared" si="503"/>
        <v>F4Q18E</v>
      </c>
      <c r="BD108" s="17" t="str">
        <f t="shared" ref="BD108:BK108" si="504">BD9</f>
        <v>F1Q19E</v>
      </c>
      <c r="BE108" s="18" t="str">
        <f t="shared" si="504"/>
        <v>F2Q19E</v>
      </c>
      <c r="BF108" s="18" t="str">
        <f t="shared" si="504"/>
        <v>F3Q19E</v>
      </c>
      <c r="BG108" s="19" t="str">
        <f t="shared" si="504"/>
        <v>F4Q19E</v>
      </c>
      <c r="BH108" s="17" t="str">
        <f t="shared" si="504"/>
        <v>F1Q20E</v>
      </c>
      <c r="BI108" s="18" t="str">
        <f t="shared" si="504"/>
        <v>F2Q20E</v>
      </c>
      <c r="BJ108" s="18" t="str">
        <f t="shared" si="504"/>
        <v>F3Q20E</v>
      </c>
      <c r="BK108" s="19" t="str">
        <f t="shared" si="504"/>
        <v>F4Q20E</v>
      </c>
      <c r="BL108" s="185"/>
      <c r="BM108" s="17" t="str">
        <f t="shared" ref="BM108:BS108" si="505">BM9</f>
        <v>FY2006A</v>
      </c>
      <c r="BN108" s="18" t="str">
        <f t="shared" si="505"/>
        <v>FY2007A</v>
      </c>
      <c r="BO108" s="18" t="str">
        <f t="shared" si="505"/>
        <v>FY2008A</v>
      </c>
      <c r="BP108" s="18" t="str">
        <f t="shared" si="505"/>
        <v>FY2009A</v>
      </c>
      <c r="BQ108" s="18" t="str">
        <f t="shared" si="505"/>
        <v>FY2010A</v>
      </c>
      <c r="BR108" s="18" t="str">
        <f t="shared" si="505"/>
        <v>FY2011A</v>
      </c>
      <c r="BS108" s="18" t="str">
        <f t="shared" si="505"/>
        <v>FY2012A</v>
      </c>
      <c r="BT108" s="18" t="str">
        <f t="shared" ref="BT108:CA108" si="506">BT9</f>
        <v>FY2013A</v>
      </c>
      <c r="BU108" s="18" t="str">
        <f t="shared" si="506"/>
        <v>FY2014A</v>
      </c>
      <c r="BV108" s="18" t="str">
        <f t="shared" si="506"/>
        <v>FY2015A</v>
      </c>
      <c r="BW108" s="18" t="str">
        <f t="shared" si="506"/>
        <v>FY2016A</v>
      </c>
      <c r="BX108" s="18" t="str">
        <f t="shared" si="506"/>
        <v>FY2017A</v>
      </c>
      <c r="BY108" s="18" t="str">
        <f t="shared" si="506"/>
        <v>FY2018E</v>
      </c>
      <c r="BZ108" s="18" t="str">
        <f t="shared" si="506"/>
        <v>FY2019E</v>
      </c>
      <c r="CA108" s="19" t="str">
        <f t="shared" si="506"/>
        <v>FY2020E</v>
      </c>
      <c r="CB108" s="1470"/>
      <c r="CC108" s="1418"/>
      <c r="CD108" s="1418"/>
      <c r="CE108" s="260"/>
      <c r="CF108" s="17" t="str">
        <f t="shared" ref="CF108:CL108" si="507">CF87</f>
        <v>CY2006</v>
      </c>
      <c r="CG108" s="17" t="str">
        <f t="shared" si="507"/>
        <v>CY2007</v>
      </c>
      <c r="CH108" s="17" t="str">
        <f t="shared" si="507"/>
        <v>CY2008</v>
      </c>
      <c r="CI108" s="17" t="str">
        <f t="shared" si="507"/>
        <v>CY2009</v>
      </c>
      <c r="CJ108" s="17" t="str">
        <f t="shared" si="507"/>
        <v>CY2010</v>
      </c>
      <c r="CK108" s="17" t="str">
        <f t="shared" si="507"/>
        <v>CY2011</v>
      </c>
      <c r="CL108" s="17" t="str">
        <f t="shared" si="507"/>
        <v>CY2012</v>
      </c>
      <c r="CM108" s="17" t="str">
        <f t="shared" ref="CM108:CR108" si="508">CM87</f>
        <v>CY2013</v>
      </c>
      <c r="CN108" s="17" t="str">
        <f t="shared" si="508"/>
        <v>CY2014A</v>
      </c>
      <c r="CO108" s="17" t="str">
        <f t="shared" si="508"/>
        <v>CY2015A</v>
      </c>
      <c r="CP108" s="17" t="str">
        <f t="shared" si="508"/>
        <v>CY2016A</v>
      </c>
      <c r="CQ108" s="18" t="str">
        <f t="shared" si="508"/>
        <v>CY2017E</v>
      </c>
      <c r="CR108" s="18" t="str">
        <f t="shared" si="508"/>
        <v>CY2018E</v>
      </c>
      <c r="CS108" s="19" t="str">
        <f>CS87</f>
        <v>CY2019E</v>
      </c>
      <c r="CT108" s="22"/>
    </row>
    <row r="109" spans="1:104" ht="14.25" customHeight="1" outlineLevel="1">
      <c r="A109" s="8"/>
      <c r="B109" s="209" t="s">
        <v>484</v>
      </c>
      <c r="C109" s="48"/>
      <c r="D109" s="212"/>
      <c r="E109" s="210"/>
      <c r="F109" s="210"/>
      <c r="G109" s="211"/>
      <c r="H109" s="212"/>
      <c r="I109" s="210"/>
      <c r="J109" s="210"/>
      <c r="K109" s="211"/>
      <c r="L109" s="212"/>
      <c r="M109" s="210"/>
      <c r="N109" s="210"/>
      <c r="O109" s="211"/>
      <c r="P109" s="212"/>
      <c r="Q109" s="210"/>
      <c r="R109" s="210"/>
      <c r="S109" s="211"/>
      <c r="T109" s="212"/>
      <c r="U109" s="210"/>
      <c r="V109" s="210"/>
      <c r="W109" s="211"/>
      <c r="X109" s="212"/>
      <c r="Y109" s="210"/>
      <c r="Z109" s="210"/>
      <c r="AA109" s="211"/>
      <c r="AB109" s="212"/>
      <c r="AC109" s="210"/>
      <c r="AD109" s="210"/>
      <c r="AE109" s="211"/>
      <c r="AF109" s="212"/>
      <c r="AG109" s="187"/>
      <c r="AH109" s="210"/>
      <c r="AI109" s="211"/>
      <c r="AJ109" s="212"/>
      <c r="AK109" s="210"/>
      <c r="AL109" s="210"/>
      <c r="AM109" s="211"/>
      <c r="AN109" s="212"/>
      <c r="AO109" s="210"/>
      <c r="AP109" s="210"/>
      <c r="AQ109" s="211"/>
      <c r="AR109" s="212"/>
      <c r="AS109" s="210"/>
      <c r="AT109" s="210"/>
      <c r="AU109" s="211"/>
      <c r="AV109" s="212"/>
      <c r="AW109" s="210"/>
      <c r="AX109" s="210"/>
      <c r="AY109" s="211"/>
      <c r="AZ109" s="212"/>
      <c r="BA109" s="210"/>
      <c r="BB109" s="210"/>
      <c r="BC109" s="211"/>
      <c r="BD109" s="212"/>
      <c r="BE109" s="210"/>
      <c r="BF109" s="210"/>
      <c r="BG109" s="211"/>
      <c r="BH109" s="212"/>
      <c r="BI109" s="210"/>
      <c r="BJ109" s="210"/>
      <c r="BK109" s="211"/>
      <c r="BL109" s="185"/>
      <c r="BM109" s="210"/>
      <c r="BN109" s="210"/>
      <c r="BO109" s="210"/>
      <c r="BP109" s="210"/>
      <c r="BQ109" s="210"/>
      <c r="BR109" s="210"/>
      <c r="BS109" s="210"/>
      <c r="BT109" s="210"/>
      <c r="BU109" s="210"/>
      <c r="BV109" s="210"/>
      <c r="BW109" s="210"/>
      <c r="BX109" s="210"/>
      <c r="BY109" s="210"/>
      <c r="BZ109" s="210"/>
      <c r="CA109" s="211"/>
      <c r="CB109" s="212"/>
      <c r="CC109" s="210"/>
      <c r="CD109" s="210"/>
      <c r="CE109" s="260"/>
      <c r="CF109" s="212"/>
      <c r="CG109" s="210"/>
      <c r="CH109" s="210"/>
      <c r="CI109" s="210"/>
      <c r="CJ109" s="210"/>
      <c r="CK109" s="210"/>
      <c r="CL109" s="210"/>
      <c r="CM109" s="210"/>
      <c r="CN109" s="210"/>
      <c r="CO109" s="210"/>
      <c r="CP109" s="210"/>
      <c r="CQ109" s="210"/>
      <c r="CR109" s="210"/>
      <c r="CS109" s="211"/>
      <c r="CT109" s="22"/>
    </row>
    <row r="110" spans="1:104" ht="14.25" customHeight="1" outlineLevel="1">
      <c r="A110" s="8"/>
      <c r="B110" s="23" t="s">
        <v>485</v>
      </c>
      <c r="C110" s="24"/>
      <c r="D110" s="111">
        <f>D11</f>
        <v>86.778000000000034</v>
      </c>
      <c r="E110" s="112">
        <f>D110+E11</f>
        <v>184.44900000000001</v>
      </c>
      <c r="F110" s="112">
        <f>E110+F11</f>
        <v>291.55900000000003</v>
      </c>
      <c r="G110" s="113">
        <f>F110+G11</f>
        <v>387.70099999999985</v>
      </c>
      <c r="H110" s="111">
        <f>H11</f>
        <v>20.337999999999994</v>
      </c>
      <c r="I110" s="112">
        <f>H110+I11</f>
        <v>117.90599999999999</v>
      </c>
      <c r="J110" s="112">
        <f>I110+J11</f>
        <v>193.97399999999996</v>
      </c>
      <c r="K110" s="113">
        <f>J110+K11</f>
        <v>286.2269999999998</v>
      </c>
      <c r="L110" s="111">
        <f>L11</f>
        <v>83.626000000000033</v>
      </c>
      <c r="M110" s="112">
        <f>L110+M11</f>
        <v>190.64599999999999</v>
      </c>
      <c r="N110" s="112">
        <f>M110+N11</f>
        <v>251.678</v>
      </c>
      <c r="O110" s="113">
        <f>N110+O11</f>
        <v>317.72499999999991</v>
      </c>
      <c r="P110" s="111">
        <f>P11</f>
        <v>67.567000000000036</v>
      </c>
      <c r="Q110" s="112">
        <f>P110+Q11</f>
        <v>28.783000000000094</v>
      </c>
      <c r="R110" s="112">
        <f>Q110+R11</f>
        <v>2.3570000000000846</v>
      </c>
      <c r="S110" s="113">
        <f>R110+S11</f>
        <v>10.4550000000003</v>
      </c>
      <c r="T110" s="111">
        <f>T11</f>
        <v>41.951999999999984</v>
      </c>
      <c r="U110" s="112">
        <f>T110+U11</f>
        <v>100.58699999999996</v>
      </c>
      <c r="V110" s="112">
        <f>U110+V11</f>
        <v>66.683999999999941</v>
      </c>
      <c r="W110" s="113">
        <f>V110+W11</f>
        <v>125.1389999999999</v>
      </c>
      <c r="X110" s="111">
        <f>X11</f>
        <v>117.55000000000004</v>
      </c>
      <c r="Y110" s="112">
        <f>X110+Y11</f>
        <v>227.1400000000001</v>
      </c>
      <c r="Z110" s="112">
        <f>Y110+Z11</f>
        <v>363.41600000000005</v>
      </c>
      <c r="AA110" s="113">
        <f>Z110+AA11</f>
        <v>489.00899999999979</v>
      </c>
      <c r="AB110" s="111">
        <f>AB11</f>
        <v>133.44599999999997</v>
      </c>
      <c r="AC110" s="112">
        <f>AB110+AC11</f>
        <v>221.57600000000002</v>
      </c>
      <c r="AD110" s="112">
        <f>AC110+AD11</f>
        <v>276.09299999999996</v>
      </c>
      <c r="AE110" s="113">
        <f>AD110+AE11</f>
        <v>386.72699999999998</v>
      </c>
      <c r="AF110" s="111">
        <f>AF11</f>
        <v>127.88800000000003</v>
      </c>
      <c r="AG110" s="112">
        <f>AF110+AG11</f>
        <v>204.51000000000005</v>
      </c>
      <c r="AH110" s="112">
        <f>AG110+AH11</f>
        <v>335.89800000000002</v>
      </c>
      <c r="AI110" s="113">
        <f>AH110+AI11</f>
        <v>454.91200000000003</v>
      </c>
      <c r="AJ110" s="111">
        <f>AJ11</f>
        <v>103.12000000000005</v>
      </c>
      <c r="AK110" s="112">
        <f>AJ110+AK11</f>
        <v>147.47300000000007</v>
      </c>
      <c r="AL110" s="112">
        <f>AK110+AL11</f>
        <v>270.01700000000005</v>
      </c>
      <c r="AM110" s="113">
        <f>AL110+AM11</f>
        <v>354.81000000000006</v>
      </c>
      <c r="AN110" s="111">
        <f>AN11</f>
        <v>99.980000000000018</v>
      </c>
      <c r="AO110" s="112">
        <f>AN110+AO11</f>
        <v>27.945999999999998</v>
      </c>
      <c r="AP110" s="112">
        <f>AO110+AP11</f>
        <v>107.379</v>
      </c>
      <c r="AQ110" s="113">
        <f>AP110+AQ11</f>
        <v>206.03800000000007</v>
      </c>
      <c r="AR110" s="111">
        <f>AR11</f>
        <v>-72.142999999999986</v>
      </c>
      <c r="AS110" s="112">
        <f>AR110+AS11</f>
        <v>-4.6740000000000066</v>
      </c>
      <c r="AT110" s="112">
        <f>AS110+AT11</f>
        <v>135.13599999999994</v>
      </c>
      <c r="AU110" s="113">
        <f>AT110+AU11</f>
        <v>227.47499999999994</v>
      </c>
      <c r="AV110" s="111">
        <f>AV11</f>
        <v>137.61399999999995</v>
      </c>
      <c r="AW110" s="112">
        <f>AV110+AW11</f>
        <v>268.09100000000001</v>
      </c>
      <c r="AX110" s="112">
        <f>AW110+AX11</f>
        <v>408.30400000000003</v>
      </c>
      <c r="AY110" s="113">
        <f>AX110+AY11</f>
        <v>571.61300000000006</v>
      </c>
      <c r="AZ110" s="111">
        <f>AZ11</f>
        <v>154.53300000000002</v>
      </c>
      <c r="BA110" s="112">
        <f>AZ110+BA11</f>
        <v>79.517999999999944</v>
      </c>
      <c r="BB110" s="112">
        <f>BA110+BB11</f>
        <v>273.14499999999998</v>
      </c>
      <c r="BC110" s="113">
        <f>BB110+BC11</f>
        <v>459.36792322435997</v>
      </c>
      <c r="BD110" s="111">
        <f>BD11</f>
        <v>186.20939697383241</v>
      </c>
      <c r="BE110" s="112">
        <f>BD110+BE11</f>
        <v>373.52973438794868</v>
      </c>
      <c r="BF110" s="112">
        <f>BE110+BF11</f>
        <v>578.45915050794929</v>
      </c>
      <c r="BG110" s="113">
        <f>BF110+BG11</f>
        <v>788.79586143332324</v>
      </c>
      <c r="BH110" s="111">
        <f>BH11</f>
        <v>204.57079040010345</v>
      </c>
      <c r="BI110" s="112">
        <f>BH110+BI11</f>
        <v>408.89758247263018</v>
      </c>
      <c r="BJ110" s="112">
        <f>BI110+BJ11</f>
        <v>627.11250365498199</v>
      </c>
      <c r="BK110" s="113">
        <f>BJ110+BK11</f>
        <v>855.52253029968961</v>
      </c>
      <c r="BL110" s="185"/>
      <c r="BM110" s="112">
        <f>BM11</f>
        <v>387.70099999999985</v>
      </c>
      <c r="BN110" s="112">
        <f t="shared" ref="BN110:CN110" si="509">BN11</f>
        <v>286.2269999999998</v>
      </c>
      <c r="BO110" s="112">
        <f t="shared" si="509"/>
        <v>317.72499999999991</v>
      </c>
      <c r="BP110" s="112">
        <f t="shared" si="509"/>
        <v>10.4550000000003</v>
      </c>
      <c r="BQ110" s="112">
        <f t="shared" si="509"/>
        <v>125.1389999999999</v>
      </c>
      <c r="BR110" s="112">
        <f t="shared" si="509"/>
        <v>489.00899999999979</v>
      </c>
      <c r="BS110" s="112">
        <f t="shared" si="509"/>
        <v>386.72699999999998</v>
      </c>
      <c r="BT110" s="112">
        <f t="shared" si="509"/>
        <v>454.91200000000003</v>
      </c>
      <c r="BU110" s="112">
        <f t="shared" si="509"/>
        <v>354.81000000000006</v>
      </c>
      <c r="BV110" s="112">
        <f t="shared" si="509"/>
        <v>206.03800000000007</v>
      </c>
      <c r="BW110" s="112">
        <f>BW11</f>
        <v>227.47499999999994</v>
      </c>
      <c r="BX110" s="112">
        <f>BX11</f>
        <v>571.61300000000006</v>
      </c>
      <c r="BY110" s="112">
        <f>BY11</f>
        <v>459.36792322435997</v>
      </c>
      <c r="BZ110" s="112">
        <f>BZ11</f>
        <v>788.79586143332324</v>
      </c>
      <c r="CA110" s="113">
        <f>CA11</f>
        <v>855.52253029968961</v>
      </c>
      <c r="CB110" s="111"/>
      <c r="CC110" s="112"/>
      <c r="CD110" s="112"/>
      <c r="CE110" s="260"/>
      <c r="CF110" s="111">
        <f t="shared" si="509"/>
        <v>321.15799999999984</v>
      </c>
      <c r="CG110" s="112">
        <f t="shared" si="509"/>
        <v>358.96699999999976</v>
      </c>
      <c r="CH110" s="112">
        <f t="shared" si="509"/>
        <v>155.86200000000005</v>
      </c>
      <c r="CI110" s="112">
        <f t="shared" si="509"/>
        <v>82.259000000000171</v>
      </c>
      <c r="CJ110" s="112">
        <f t="shared" si="509"/>
        <v>251.69200000000004</v>
      </c>
      <c r="CK110" s="112">
        <f t="shared" si="509"/>
        <v>483.44499999999971</v>
      </c>
      <c r="CL110" s="112">
        <f t="shared" si="509"/>
        <v>369.661</v>
      </c>
      <c r="CM110" s="112">
        <f t="shared" si="509"/>
        <v>397.87500000000006</v>
      </c>
      <c r="CN110" s="112">
        <f t="shared" si="509"/>
        <v>235.28299999999999</v>
      </c>
      <c r="CO110" s="112">
        <f>CO11</f>
        <v>173.41800000000006</v>
      </c>
      <c r="CP110" s="112">
        <f>CP11</f>
        <v>500.23999999999995</v>
      </c>
      <c r="CQ110" s="112">
        <f>CQ11</f>
        <v>383.03999999999996</v>
      </c>
      <c r="CR110" s="112">
        <f>CR11</f>
        <v>753.37965761230885</v>
      </c>
      <c r="CS110" s="113">
        <f>CS11</f>
        <v>824.16370951800468</v>
      </c>
      <c r="CT110" s="22"/>
    </row>
    <row r="111" spans="1:104" ht="14.25" customHeight="1" outlineLevel="1">
      <c r="A111" s="8"/>
      <c r="B111" s="213" t="s">
        <v>545</v>
      </c>
      <c r="C111" s="214"/>
      <c r="D111" s="217"/>
      <c r="E111" s="215"/>
      <c r="F111" s="215"/>
      <c r="G111" s="216"/>
      <c r="H111" s="217"/>
      <c r="I111" s="215"/>
      <c r="J111" s="215"/>
      <c r="K111" s="216"/>
      <c r="L111" s="217"/>
      <c r="M111" s="215"/>
      <c r="N111" s="215"/>
      <c r="O111" s="216"/>
      <c r="P111" s="217"/>
      <c r="Q111" s="215"/>
      <c r="R111" s="215"/>
      <c r="S111" s="216"/>
      <c r="T111" s="217"/>
      <c r="U111" s="215"/>
      <c r="V111" s="215"/>
      <c r="W111" s="216"/>
      <c r="X111" s="217"/>
      <c r="Y111" s="215"/>
      <c r="Z111" s="215"/>
      <c r="AA111" s="216"/>
      <c r="AB111" s="381"/>
      <c r="AC111" s="215"/>
      <c r="AD111" s="215"/>
      <c r="AE111" s="216"/>
      <c r="AF111" s="381"/>
      <c r="AG111" s="215"/>
      <c r="AH111" s="215"/>
      <c r="AI111" s="216"/>
      <c r="AJ111" s="381"/>
      <c r="AK111" s="215"/>
      <c r="AL111" s="215"/>
      <c r="AM111" s="216"/>
      <c r="AN111" s="381"/>
      <c r="AO111" s="215"/>
      <c r="AP111" s="215"/>
      <c r="AQ111" s="216"/>
      <c r="AR111" s="381"/>
      <c r="AS111" s="215"/>
      <c r="AT111" s="215"/>
      <c r="AU111" s="216"/>
      <c r="AV111" s="381"/>
      <c r="AW111" s="215"/>
      <c r="AX111" s="215"/>
      <c r="AY111" s="216"/>
      <c r="AZ111" s="217"/>
      <c r="BA111" s="215"/>
      <c r="BB111" s="215"/>
      <c r="BC111" s="216"/>
      <c r="BD111" s="217"/>
      <c r="BE111" s="215"/>
      <c r="BF111" s="215"/>
      <c r="BG111" s="216"/>
      <c r="BH111" s="217"/>
      <c r="BI111" s="215"/>
      <c r="BJ111" s="215"/>
      <c r="BK111" s="216"/>
      <c r="BL111" s="185"/>
      <c r="BM111" s="215"/>
      <c r="BN111" s="215"/>
      <c r="BO111" s="215"/>
      <c r="BP111" s="215"/>
      <c r="BQ111" s="215"/>
      <c r="BR111" s="215"/>
      <c r="BS111" s="215"/>
      <c r="BT111" s="215"/>
      <c r="BU111" s="215"/>
      <c r="BV111" s="215"/>
      <c r="BW111" s="215"/>
      <c r="BX111" s="215"/>
      <c r="BY111" s="215"/>
      <c r="BZ111" s="215"/>
      <c r="CA111" s="216"/>
      <c r="CB111" s="217"/>
      <c r="CC111" s="215"/>
      <c r="CD111" s="215"/>
      <c r="CE111" s="260"/>
      <c r="CF111" s="217"/>
      <c r="CG111" s="215"/>
      <c r="CH111" s="215"/>
      <c r="CI111" s="215"/>
      <c r="CJ111" s="215"/>
      <c r="CK111" s="215"/>
      <c r="CL111" s="215"/>
      <c r="CM111" s="215"/>
      <c r="CN111" s="215"/>
      <c r="CO111" s="215"/>
      <c r="CP111" s="215"/>
      <c r="CQ111" s="215"/>
      <c r="CR111" s="215"/>
      <c r="CS111" s="216"/>
      <c r="CT111" s="22"/>
    </row>
    <row r="112" spans="1:104" ht="14.25" customHeight="1" outlineLevel="1">
      <c r="A112" s="8"/>
      <c r="B112" s="52" t="s">
        <v>42</v>
      </c>
      <c r="C112" s="53"/>
      <c r="D112" s="223">
        <v>64.951999999999998</v>
      </c>
      <c r="E112" s="221">
        <v>125.52</v>
      </c>
      <c r="F112" s="221">
        <v>185.839</v>
      </c>
      <c r="G112" s="222">
        <v>251.41399999999999</v>
      </c>
      <c r="H112" s="223">
        <v>189.88499999999999</v>
      </c>
      <c r="I112" s="221">
        <v>252.05799999999999</v>
      </c>
      <c r="J112" s="221">
        <v>296.26400000000001</v>
      </c>
      <c r="K112" s="222">
        <v>353.76100000000002</v>
      </c>
      <c r="L112" s="223">
        <v>72.653000000000006</v>
      </c>
      <c r="M112" s="221">
        <v>114.369</v>
      </c>
      <c r="N112" s="221">
        <v>150.05799999999999</v>
      </c>
      <c r="O112" s="222">
        <v>189.72</v>
      </c>
      <c r="P112" s="223">
        <v>37.561</v>
      </c>
      <c r="Q112" s="221">
        <v>121.498</v>
      </c>
      <c r="R112" s="221">
        <v>161.11099999999999</v>
      </c>
      <c r="S112" s="222">
        <v>196.108</v>
      </c>
      <c r="T112" s="223">
        <v>26.465</v>
      </c>
      <c r="U112" s="221">
        <v>53.398000000000003</v>
      </c>
      <c r="V112" s="221">
        <v>68.677000000000007</v>
      </c>
      <c r="W112" s="222">
        <v>93.525000000000006</v>
      </c>
      <c r="X112" s="223">
        <v>27.138999999999999</v>
      </c>
      <c r="Y112" s="221">
        <v>51.661000000000001</v>
      </c>
      <c r="Z112" s="221">
        <v>72.888999999999996</v>
      </c>
      <c r="AA112" s="222">
        <v>94.296999999999997</v>
      </c>
      <c r="AB112" s="223">
        <v>23.465</v>
      </c>
      <c r="AC112" s="221">
        <v>46.939</v>
      </c>
      <c r="AD112" s="221">
        <v>68.977000000000004</v>
      </c>
      <c r="AE112" s="222">
        <v>89.867000000000004</v>
      </c>
      <c r="AF112" s="223">
        <v>22.497</v>
      </c>
      <c r="AG112" s="221">
        <v>45.341999999999999</v>
      </c>
      <c r="AH112" s="221">
        <v>64.954999999999998</v>
      </c>
      <c r="AI112" s="222">
        <v>83.808000000000007</v>
      </c>
      <c r="AJ112" s="223">
        <v>18.739999999999998</v>
      </c>
      <c r="AK112" s="221">
        <v>41.609000000000002</v>
      </c>
      <c r="AL112" s="221">
        <v>63.665999999999997</v>
      </c>
      <c r="AM112" s="222">
        <v>85.451999999999998</v>
      </c>
      <c r="AN112" s="223">
        <v>22.42</v>
      </c>
      <c r="AO112" s="221">
        <v>43.195999999999998</v>
      </c>
      <c r="AP112" s="221">
        <v>61.781999999999996</v>
      </c>
      <c r="AQ112" s="222">
        <v>79.491</v>
      </c>
      <c r="AR112" s="223">
        <v>16.963000000000001</v>
      </c>
      <c r="AS112" s="221">
        <v>35.381999999999998</v>
      </c>
      <c r="AT112" s="221">
        <v>53.256999999999998</v>
      </c>
      <c r="AU112" s="222">
        <v>69.700999999999993</v>
      </c>
      <c r="AV112" s="223">
        <v>17.12</v>
      </c>
      <c r="AW112" s="221">
        <v>35.192999999999998</v>
      </c>
      <c r="AX112" s="221">
        <v>53.493000000000002</v>
      </c>
      <c r="AY112" s="222">
        <v>71.117000000000004</v>
      </c>
      <c r="AZ112" s="223">
        <v>17.286999999999999</v>
      </c>
      <c r="BA112" s="221">
        <v>38.326999999999998</v>
      </c>
      <c r="BB112" s="218">
        <f t="shared" ref="BB112:BB120" si="510">BA112+BB13</f>
        <v>58.932000000000002</v>
      </c>
      <c r="BC112" s="219">
        <f t="shared" ref="BC112:BC120" si="511">BB112+BC13</f>
        <v>58.932000000000002</v>
      </c>
      <c r="BD112" s="220">
        <f t="shared" ref="BD112:BD120" si="512">BD13</f>
        <v>0</v>
      </c>
      <c r="BE112" s="218">
        <f t="shared" ref="BE112:BE120" si="513">BD112+BE13</f>
        <v>0</v>
      </c>
      <c r="BF112" s="218">
        <f t="shared" ref="BF112:BF120" si="514">BE112+BF13</f>
        <v>0</v>
      </c>
      <c r="BG112" s="219">
        <f t="shared" ref="BG112:BG120" si="515">BF112+BG13</f>
        <v>0</v>
      </c>
      <c r="BH112" s="220">
        <f t="shared" ref="BH112:BH120" si="516">BH13</f>
        <v>0</v>
      </c>
      <c r="BI112" s="218">
        <f t="shared" ref="BI112:BI120" si="517">BH112+BI13</f>
        <v>0</v>
      </c>
      <c r="BJ112" s="218">
        <f t="shared" ref="BJ112:BJ120" si="518">BI112+BJ13</f>
        <v>0</v>
      </c>
      <c r="BK112" s="219">
        <f t="shared" ref="BK112:BK120" si="519">BJ112+BK13</f>
        <v>0</v>
      </c>
      <c r="BL112" s="185"/>
      <c r="BM112" s="218">
        <f t="shared" ref="BM112:BV112" si="520">BM13</f>
        <v>251.41399999999999</v>
      </c>
      <c r="BN112" s="218">
        <f t="shared" si="520"/>
        <v>353.76100000000002</v>
      </c>
      <c r="BO112" s="218">
        <f t="shared" si="520"/>
        <v>189.72</v>
      </c>
      <c r="BP112" s="218">
        <f t="shared" si="520"/>
        <v>196.108</v>
      </c>
      <c r="BQ112" s="218">
        <f t="shared" si="520"/>
        <v>93.525000000000006</v>
      </c>
      <c r="BR112" s="218">
        <f t="shared" si="520"/>
        <v>94.296999999999997</v>
      </c>
      <c r="BS112" s="218">
        <f t="shared" si="520"/>
        <v>89.867000000000004</v>
      </c>
      <c r="BT112" s="218">
        <f t="shared" si="520"/>
        <v>83.808000000000007</v>
      </c>
      <c r="BU112" s="218">
        <f t="shared" si="520"/>
        <v>85.451999999999998</v>
      </c>
      <c r="BV112" s="218">
        <f t="shared" si="520"/>
        <v>79.491</v>
      </c>
      <c r="BW112" s="218">
        <f t="shared" ref="BW112:BW120" si="521">BW13</f>
        <v>69.700999999999993</v>
      </c>
      <c r="BX112" s="218">
        <f t="shared" ref="BX112:BY120" si="522">BX13</f>
        <v>71.117000000000004</v>
      </c>
      <c r="BY112" s="218">
        <f t="shared" si="522"/>
        <v>58.932000000000002</v>
      </c>
      <c r="BZ112" s="218">
        <f t="shared" ref="BZ112:CA120" si="523">BZ13</f>
        <v>0</v>
      </c>
      <c r="CA112" s="219">
        <f t="shared" si="523"/>
        <v>0</v>
      </c>
      <c r="CB112" s="220"/>
      <c r="CC112" s="218"/>
      <c r="CD112" s="218"/>
      <c r="CE112" s="260"/>
      <c r="CF112" s="220">
        <f t="shared" ref="CF112:CN112" si="524">CF13</f>
        <v>377.952</v>
      </c>
      <c r="CG112" s="218">
        <f t="shared" si="524"/>
        <v>216.07200000000006</v>
      </c>
      <c r="CH112" s="218">
        <f t="shared" si="524"/>
        <v>196.84900000000002</v>
      </c>
      <c r="CI112" s="218">
        <f t="shared" si="524"/>
        <v>128.00800000000001</v>
      </c>
      <c r="CJ112" s="218">
        <f t="shared" si="524"/>
        <v>91.788000000000011</v>
      </c>
      <c r="CK112" s="218">
        <f t="shared" si="524"/>
        <v>89.574999999999989</v>
      </c>
      <c r="CL112" s="218">
        <f t="shared" si="524"/>
        <v>88.27000000000001</v>
      </c>
      <c r="CM112" s="218">
        <f t="shared" si="524"/>
        <v>80.075000000000003</v>
      </c>
      <c r="CN112" s="218">
        <f t="shared" si="524"/>
        <v>87.039000000000001</v>
      </c>
      <c r="CO112" s="218">
        <f t="shared" ref="CO112:CP120" si="525">CO13</f>
        <v>71.676999999999992</v>
      </c>
      <c r="CP112" s="218">
        <f t="shared" si="525"/>
        <v>69.511999999999986</v>
      </c>
      <c r="CQ112" s="218">
        <f t="shared" ref="CQ112:CR120" si="526">CQ13</f>
        <v>74.251000000000005</v>
      </c>
      <c r="CR112" s="218">
        <f t="shared" si="526"/>
        <v>20.605</v>
      </c>
      <c r="CS112" s="219">
        <f t="shared" ref="CS112:CS120" si="527">CS13</f>
        <v>0</v>
      </c>
      <c r="CT112" s="22"/>
    </row>
    <row r="113" spans="1:98" ht="14.25" customHeight="1" outlineLevel="1">
      <c r="A113" s="8"/>
      <c r="B113" s="52" t="s">
        <v>41</v>
      </c>
      <c r="C113" s="53"/>
      <c r="D113" s="223">
        <v>21.018000000000001</v>
      </c>
      <c r="E113" s="221">
        <v>42.271999999999998</v>
      </c>
      <c r="F113" s="221">
        <v>64.266000000000005</v>
      </c>
      <c r="G113" s="222">
        <v>90.323999999999998</v>
      </c>
      <c r="H113" s="223">
        <v>24.347000000000001</v>
      </c>
      <c r="I113" s="221">
        <v>50.235999999999997</v>
      </c>
      <c r="J113" s="221">
        <v>77.501000000000005</v>
      </c>
      <c r="K113" s="222">
        <v>104.643</v>
      </c>
      <c r="L113" s="223">
        <v>30.344999999999999</v>
      </c>
      <c r="M113" s="221">
        <v>64.823999999999998</v>
      </c>
      <c r="N113" s="221">
        <v>111.176</v>
      </c>
      <c r="O113" s="222">
        <v>161.90700000000001</v>
      </c>
      <c r="P113" s="223">
        <v>46.780999999999999</v>
      </c>
      <c r="Q113" s="221">
        <v>97.674000000000007</v>
      </c>
      <c r="R113" s="221">
        <v>148.91</v>
      </c>
      <c r="S113" s="222">
        <v>205.423</v>
      </c>
      <c r="T113" s="223">
        <v>36.496000000000002</v>
      </c>
      <c r="U113" s="221">
        <v>76.328000000000003</v>
      </c>
      <c r="V113" s="221">
        <v>117.13800000000001</v>
      </c>
      <c r="W113" s="222">
        <v>167.523</v>
      </c>
      <c r="X113" s="223">
        <v>52.134</v>
      </c>
      <c r="Y113" s="221">
        <v>104.36199999999999</v>
      </c>
      <c r="Z113" s="221">
        <v>155.04599999999999</v>
      </c>
      <c r="AA113" s="222">
        <v>205.06200000000001</v>
      </c>
      <c r="AB113" s="223">
        <v>52.070999999999998</v>
      </c>
      <c r="AC113" s="221">
        <v>104.066</v>
      </c>
      <c r="AD113" s="221">
        <v>157.542</v>
      </c>
      <c r="AE113" s="222">
        <v>211.096</v>
      </c>
      <c r="AF113" s="223">
        <v>53.673999999999999</v>
      </c>
      <c r="AG113" s="221">
        <v>105.554</v>
      </c>
      <c r="AH113" s="1181">
        <v>155.94499999999999</v>
      </c>
      <c r="AI113" s="222">
        <v>207.136</v>
      </c>
      <c r="AJ113" s="223">
        <v>51.133000000000003</v>
      </c>
      <c r="AK113" s="221">
        <v>115.53700000000001</v>
      </c>
      <c r="AL113" s="1181">
        <v>180.202</v>
      </c>
      <c r="AM113" s="222">
        <v>244.59299999999999</v>
      </c>
      <c r="AN113" s="223">
        <v>63.692999999999998</v>
      </c>
      <c r="AO113" s="221">
        <v>135.31800000000001</v>
      </c>
      <c r="AP113" s="221">
        <v>206.75700000000001</v>
      </c>
      <c r="AQ113" s="222">
        <v>299.39600000000002</v>
      </c>
      <c r="AR113" s="223">
        <v>102.053</v>
      </c>
      <c r="AS113" s="221">
        <v>151.13499999999999</v>
      </c>
      <c r="AT113" s="221">
        <v>198.22299999999998</v>
      </c>
      <c r="AU113" s="222">
        <v>244.637</v>
      </c>
      <c r="AV113" s="223">
        <v>43.484999999999999</v>
      </c>
      <c r="AW113" s="221">
        <v>85.625</v>
      </c>
      <c r="AX113" s="221">
        <v>126.098</v>
      </c>
      <c r="AY113" s="222">
        <v>164.292</v>
      </c>
      <c r="AZ113" s="223">
        <v>36.753999999999998</v>
      </c>
      <c r="BA113" s="221">
        <v>72.566999999999993</v>
      </c>
      <c r="BB113" s="218">
        <f t="shared" si="510"/>
        <v>109.768</v>
      </c>
      <c r="BC113" s="219">
        <f t="shared" si="511"/>
        <v>134.768</v>
      </c>
      <c r="BD113" s="220">
        <f t="shared" si="512"/>
        <v>56</v>
      </c>
      <c r="BE113" s="218">
        <f t="shared" si="513"/>
        <v>112</v>
      </c>
      <c r="BF113" s="218">
        <f t="shared" si="514"/>
        <v>168</v>
      </c>
      <c r="BG113" s="219">
        <f t="shared" si="515"/>
        <v>224</v>
      </c>
      <c r="BH113" s="220">
        <f t="shared" si="516"/>
        <v>56</v>
      </c>
      <c r="BI113" s="218">
        <f t="shared" si="517"/>
        <v>112</v>
      </c>
      <c r="BJ113" s="218">
        <f t="shared" si="518"/>
        <v>168</v>
      </c>
      <c r="BK113" s="219">
        <f t="shared" si="519"/>
        <v>224</v>
      </c>
      <c r="BL113" s="185"/>
      <c r="BM113" s="218">
        <f t="shared" ref="BM113:BV113" si="528">BM14</f>
        <v>90.323999999999984</v>
      </c>
      <c r="BN113" s="218">
        <f t="shared" si="528"/>
        <v>104.643</v>
      </c>
      <c r="BO113" s="218">
        <f t="shared" si="528"/>
        <v>161.90700000000001</v>
      </c>
      <c r="BP113" s="218">
        <f t="shared" si="528"/>
        <v>205.423</v>
      </c>
      <c r="BQ113" s="218">
        <f t="shared" si="528"/>
        <v>167.523</v>
      </c>
      <c r="BR113" s="218">
        <f t="shared" si="528"/>
        <v>205.06200000000001</v>
      </c>
      <c r="BS113" s="218">
        <f t="shared" si="528"/>
        <v>211.096</v>
      </c>
      <c r="BT113" s="218">
        <f t="shared" si="528"/>
        <v>207.136</v>
      </c>
      <c r="BU113" s="218">
        <f t="shared" si="528"/>
        <v>244.59299999999999</v>
      </c>
      <c r="BV113" s="218">
        <f t="shared" si="528"/>
        <v>299.39600000000002</v>
      </c>
      <c r="BW113" s="218">
        <f t="shared" si="521"/>
        <v>244.637</v>
      </c>
      <c r="BX113" s="218">
        <f t="shared" si="522"/>
        <v>164.292</v>
      </c>
      <c r="BY113" s="218">
        <f t="shared" si="522"/>
        <v>134.768</v>
      </c>
      <c r="BZ113" s="218">
        <f t="shared" si="523"/>
        <v>224</v>
      </c>
      <c r="CA113" s="219">
        <f t="shared" si="523"/>
        <v>224</v>
      </c>
      <c r="CB113" s="220"/>
      <c r="CC113" s="218"/>
      <c r="CD113" s="218"/>
      <c r="CE113" s="260"/>
      <c r="CF113" s="220">
        <f t="shared" ref="CF113:CN113" si="529">CF14</f>
        <v>98.287999999999997</v>
      </c>
      <c r="CG113" s="218">
        <f t="shared" si="529"/>
        <v>119.23099999999999</v>
      </c>
      <c r="CH113" s="218">
        <f t="shared" si="529"/>
        <v>194.75700000000001</v>
      </c>
      <c r="CI113" s="218">
        <f t="shared" si="529"/>
        <v>184.077</v>
      </c>
      <c r="CJ113" s="218">
        <f t="shared" si="529"/>
        <v>195.55700000000002</v>
      </c>
      <c r="CK113" s="218">
        <f t="shared" si="529"/>
        <v>204.76600000000002</v>
      </c>
      <c r="CL113" s="218">
        <f t="shared" si="529"/>
        <v>212.584</v>
      </c>
      <c r="CM113" s="218">
        <f t="shared" si="529"/>
        <v>217.119</v>
      </c>
      <c r="CN113" s="218">
        <f t="shared" si="529"/>
        <v>264.37399999999997</v>
      </c>
      <c r="CO113" s="218">
        <f t="shared" si="525"/>
        <v>315.21299999999997</v>
      </c>
      <c r="CP113" s="218">
        <f t="shared" si="525"/>
        <v>179.12700000000001</v>
      </c>
      <c r="CQ113" s="218">
        <f t="shared" si="526"/>
        <v>151.23399999999998</v>
      </c>
      <c r="CR113" s="218">
        <f t="shared" si="526"/>
        <v>174.20099999999999</v>
      </c>
      <c r="CS113" s="219">
        <f t="shared" si="527"/>
        <v>224</v>
      </c>
      <c r="CT113" s="22"/>
    </row>
    <row r="114" spans="1:98" ht="14.25" customHeight="1" outlineLevel="1">
      <c r="A114" s="8"/>
      <c r="B114" s="52" t="s">
        <v>43</v>
      </c>
      <c r="C114" s="53"/>
      <c r="D114" s="223">
        <v>-15.81</v>
      </c>
      <c r="E114" s="221">
        <v>-29.048999999999999</v>
      </c>
      <c r="F114" s="221">
        <v>-35.308</v>
      </c>
      <c r="G114" s="222">
        <v>-58.856000000000002</v>
      </c>
      <c r="H114" s="223">
        <v>-48.15</v>
      </c>
      <c r="I114" s="221">
        <v>-70.114999999999995</v>
      </c>
      <c r="J114" s="221">
        <v>-76.009</v>
      </c>
      <c r="K114" s="222">
        <v>-103.526</v>
      </c>
      <c r="L114" s="223">
        <v>-8.4610000000000003</v>
      </c>
      <c r="M114" s="221">
        <v>18.260000000000002</v>
      </c>
      <c r="N114" s="221">
        <v>6.3250000000000002</v>
      </c>
      <c r="O114" s="222">
        <v>-14.648</v>
      </c>
      <c r="P114" s="223">
        <v>-0.92400000000000004</v>
      </c>
      <c r="Q114" s="221">
        <v>168.57400000000001</v>
      </c>
      <c r="R114" s="221">
        <v>209.62899999999999</v>
      </c>
      <c r="S114" s="222">
        <v>202.352</v>
      </c>
      <c r="T114" s="223">
        <v>17.809000000000001</v>
      </c>
      <c r="U114" s="221">
        <v>26.402999999999999</v>
      </c>
      <c r="V114" s="221">
        <v>-27.527999999999999</v>
      </c>
      <c r="W114" s="222">
        <v>29.09</v>
      </c>
      <c r="X114" s="223">
        <v>92.635000000000005</v>
      </c>
      <c r="Y114" s="221">
        <v>103.867</v>
      </c>
      <c r="Z114" s="221">
        <v>119.6</v>
      </c>
      <c r="AA114" s="222">
        <v>140.084</v>
      </c>
      <c r="AB114" s="223">
        <v>39.844999999999999</v>
      </c>
      <c r="AC114" s="221">
        <v>39.476999999999997</v>
      </c>
      <c r="AD114" s="221">
        <v>29.535</v>
      </c>
      <c r="AE114" s="222">
        <v>30.759</v>
      </c>
      <c r="AF114" s="223">
        <v>22.771999999999998</v>
      </c>
      <c r="AG114" s="221">
        <v>9.7929999999999993</v>
      </c>
      <c r="AH114" s="221">
        <v>28.184999999999999</v>
      </c>
      <c r="AI114" s="222">
        <v>25.372</v>
      </c>
      <c r="AJ114" s="223">
        <v>25.529</v>
      </c>
      <c r="AK114" s="221">
        <v>13.824</v>
      </c>
      <c r="AL114" s="221">
        <v>-22.658000000000001</v>
      </c>
      <c r="AM114" s="222">
        <v>-32.158999999999999</v>
      </c>
      <c r="AN114" s="223">
        <v>6.2069999999999999</v>
      </c>
      <c r="AO114" s="221">
        <v>-24.641999999999999</v>
      </c>
      <c r="AP114" s="221">
        <v>-40.299999999999997</v>
      </c>
      <c r="AQ114" s="222">
        <v>-72.507000000000005</v>
      </c>
      <c r="AR114" s="223">
        <v>-53.110999999999997</v>
      </c>
      <c r="AS114" s="221">
        <v>-34.295000000000002</v>
      </c>
      <c r="AT114" s="221">
        <v>-34.628</v>
      </c>
      <c r="AU114" s="222">
        <v>-48.137999999999998</v>
      </c>
      <c r="AV114" s="223">
        <v>14.895</v>
      </c>
      <c r="AW114" s="221">
        <v>7.375</v>
      </c>
      <c r="AX114" s="221">
        <v>-9.5920000000000005</v>
      </c>
      <c r="AY114" s="222">
        <v>-7.8949999999999996</v>
      </c>
      <c r="AZ114" s="223">
        <v>12.115</v>
      </c>
      <c r="BA114" s="221">
        <v>8.9269999999999996</v>
      </c>
      <c r="BB114" s="218">
        <f t="shared" si="510"/>
        <v>6.2569999999999997</v>
      </c>
      <c r="BC114" s="219">
        <f t="shared" si="511"/>
        <v>6.2569999999999997</v>
      </c>
      <c r="BD114" s="220">
        <f t="shared" si="512"/>
        <v>0</v>
      </c>
      <c r="BE114" s="218">
        <f t="shared" si="513"/>
        <v>0</v>
      </c>
      <c r="BF114" s="218">
        <f t="shared" si="514"/>
        <v>0</v>
      </c>
      <c r="BG114" s="219">
        <f t="shared" si="515"/>
        <v>0</v>
      </c>
      <c r="BH114" s="220">
        <f t="shared" si="516"/>
        <v>0</v>
      </c>
      <c r="BI114" s="218">
        <f t="shared" si="517"/>
        <v>0</v>
      </c>
      <c r="BJ114" s="218">
        <f t="shared" si="518"/>
        <v>0</v>
      </c>
      <c r="BK114" s="219">
        <f t="shared" si="519"/>
        <v>0</v>
      </c>
      <c r="BL114" s="185"/>
      <c r="BM114" s="218">
        <f t="shared" ref="BM114:BV114" si="530">BM15</f>
        <v>-58.856000000000002</v>
      </c>
      <c r="BN114" s="218">
        <f t="shared" si="530"/>
        <v>-103.52600000000001</v>
      </c>
      <c r="BO114" s="218">
        <f t="shared" si="530"/>
        <v>-14.647999999999998</v>
      </c>
      <c r="BP114" s="218">
        <f t="shared" si="530"/>
        <v>202.352</v>
      </c>
      <c r="BQ114" s="218">
        <f t="shared" si="530"/>
        <v>29.090000000000011</v>
      </c>
      <c r="BR114" s="218">
        <f t="shared" si="530"/>
        <v>140.084</v>
      </c>
      <c r="BS114" s="218">
        <f t="shared" si="530"/>
        <v>30.758999999999997</v>
      </c>
      <c r="BT114" s="218">
        <f t="shared" si="530"/>
        <v>25.372</v>
      </c>
      <c r="BU114" s="218">
        <f t="shared" si="530"/>
        <v>-32.159000000000006</v>
      </c>
      <c r="BV114" s="218">
        <f t="shared" si="530"/>
        <v>-72.507000000000005</v>
      </c>
      <c r="BW114" s="218">
        <f t="shared" si="521"/>
        <v>-48.137999999999998</v>
      </c>
      <c r="BX114" s="218">
        <f t="shared" si="522"/>
        <v>-7.8949999999999996</v>
      </c>
      <c r="BY114" s="218">
        <f t="shared" si="522"/>
        <v>6.2569999999999997</v>
      </c>
      <c r="BZ114" s="218">
        <f t="shared" si="523"/>
        <v>0</v>
      </c>
      <c r="CA114" s="219">
        <f t="shared" si="523"/>
        <v>0</v>
      </c>
      <c r="CB114" s="220"/>
      <c r="CC114" s="218"/>
      <c r="CD114" s="218"/>
      <c r="CE114" s="260"/>
      <c r="CF114" s="220">
        <f t="shared" ref="CF114:CN114" si="531">CF15</f>
        <v>-99.921999999999997</v>
      </c>
      <c r="CG114" s="218">
        <f t="shared" si="531"/>
        <v>-15.151000000000003</v>
      </c>
      <c r="CH114" s="218">
        <f t="shared" si="531"/>
        <v>135.66600000000003</v>
      </c>
      <c r="CI114" s="218">
        <f t="shared" si="531"/>
        <v>60.180999999999969</v>
      </c>
      <c r="CJ114" s="218">
        <f t="shared" si="531"/>
        <v>106.55400000000002</v>
      </c>
      <c r="CK114" s="218">
        <f t="shared" si="531"/>
        <v>75.693999999999988</v>
      </c>
      <c r="CL114" s="218">
        <f t="shared" si="531"/>
        <v>1.0749999999999993</v>
      </c>
      <c r="CM114" s="218">
        <f t="shared" si="531"/>
        <v>29.403000000000006</v>
      </c>
      <c r="CN114" s="218">
        <f t="shared" si="531"/>
        <v>-70.625</v>
      </c>
      <c r="CO114" s="218">
        <f t="shared" si="525"/>
        <v>-82.16</v>
      </c>
      <c r="CP114" s="218">
        <f t="shared" si="525"/>
        <v>-6.4679999999999964</v>
      </c>
      <c r="CQ114" s="218">
        <f t="shared" si="526"/>
        <v>-6.343</v>
      </c>
      <c r="CR114" s="218">
        <f t="shared" si="526"/>
        <v>-2.67</v>
      </c>
      <c r="CS114" s="219">
        <f t="shared" si="527"/>
        <v>0</v>
      </c>
      <c r="CT114" s="22"/>
    </row>
    <row r="115" spans="1:98" ht="14.25" customHeight="1" outlineLevel="1">
      <c r="A115" s="8"/>
      <c r="B115" s="52" t="s">
        <v>44</v>
      </c>
      <c r="C115" s="53"/>
      <c r="D115" s="223">
        <f>15.817-18.97</f>
        <v>-3.1529999999999987</v>
      </c>
      <c r="E115" s="221">
        <f>20.228-25.328</f>
        <v>-5.0999999999999979</v>
      </c>
      <c r="F115" s="221">
        <f>29.994-36.988</f>
        <v>-6.9939999999999998</v>
      </c>
      <c r="G115" s="222">
        <f>33.64-44.66</f>
        <v>-11.019999999999996</v>
      </c>
      <c r="H115" s="223">
        <f>2.216-8.143</f>
        <v>-5.9270000000000005</v>
      </c>
      <c r="I115" s="221">
        <f>-3.709-8.145</f>
        <v>-11.853999999999999</v>
      </c>
      <c r="J115" s="221">
        <f>14.493-8.149</f>
        <v>6.3440000000000012</v>
      </c>
      <c r="K115" s="222">
        <f>14.255-8.15</f>
        <v>6.1050000000000004</v>
      </c>
      <c r="L115" s="223">
        <f>0.275-0.003</f>
        <v>0.27200000000000002</v>
      </c>
      <c r="M115" s="221">
        <f>-3.346-0.467</f>
        <v>-3.8130000000000002</v>
      </c>
      <c r="N115" s="221">
        <f>-4.672-0.479</f>
        <v>-5.1509999999999998</v>
      </c>
      <c r="O115" s="222">
        <f>-4.762-0.558</f>
        <v>-5.3199999999999994</v>
      </c>
      <c r="P115" s="223">
        <f>1.062-0.052</f>
        <v>1.01</v>
      </c>
      <c r="Q115" s="221">
        <f>-149.082-0.461</f>
        <v>-149.54300000000001</v>
      </c>
      <c r="R115" s="221">
        <f>-204.342-0.54</f>
        <v>-204.88200000000001</v>
      </c>
      <c r="S115" s="222">
        <v>2.6949999999999998</v>
      </c>
      <c r="T115" s="223">
        <f>-4.347-1.983</f>
        <v>-6.33</v>
      </c>
      <c r="U115" s="221">
        <f>-10.143-3.898</f>
        <v>-14.041</v>
      </c>
      <c r="V115" s="221">
        <f>-12.183-5.463</f>
        <v>-17.646000000000001</v>
      </c>
      <c r="W115" s="222">
        <v>0.27200000000000002</v>
      </c>
      <c r="X115" s="223">
        <f>-4.251-1.038</f>
        <v>-5.2890000000000006</v>
      </c>
      <c r="Y115" s="221">
        <f>-5.676-3.848</f>
        <v>-9.5240000000000009</v>
      </c>
      <c r="Z115" s="221">
        <f>27.735-8.077</f>
        <v>19.658000000000001</v>
      </c>
      <c r="AA115" s="222">
        <v>12.946</v>
      </c>
      <c r="AB115" s="223">
        <f>1.428-2.821</f>
        <v>-1.3930000000000002</v>
      </c>
      <c r="AC115" s="221">
        <f>-1.153-7.063</f>
        <v>-8.2159999999999993</v>
      </c>
      <c r="AD115" s="221">
        <v>-12.234999999999999</v>
      </c>
      <c r="AE115" s="222">
        <f>-17.482+3.112</f>
        <v>-14.37</v>
      </c>
      <c r="AF115" s="223">
        <f>1.335-5.219</f>
        <v>-3.8840000000000003</v>
      </c>
      <c r="AG115" s="221">
        <f>6.522-11.834</f>
        <v>-5.3119999999999994</v>
      </c>
      <c r="AH115" s="221">
        <v>-16.131</v>
      </c>
      <c r="AI115" s="222">
        <f>-18.923+8.197</f>
        <v>-10.725999999999999</v>
      </c>
      <c r="AJ115" s="223">
        <f>-3.488-1.697</f>
        <v>-5.1850000000000005</v>
      </c>
      <c r="AK115" s="221">
        <f>-4.214-4.156</f>
        <v>-8.370000000000001</v>
      </c>
      <c r="AL115" s="221">
        <v>-1.01</v>
      </c>
      <c r="AM115" s="222">
        <f>-0.068-14.192</f>
        <v>-14.26</v>
      </c>
      <c r="AN115" s="223">
        <f>1.61-2.249</f>
        <v>-0.63900000000000001</v>
      </c>
      <c r="AO115" s="221">
        <f>-4.18+1.381</f>
        <v>-2.7989999999999995</v>
      </c>
      <c r="AP115" s="221">
        <v>9.016</v>
      </c>
      <c r="AQ115" s="222">
        <f>8.155-12.549</f>
        <v>-4.3940000000000001</v>
      </c>
      <c r="AR115" s="223">
        <v>1.1930000000000001</v>
      </c>
      <c r="AS115" s="221">
        <v>3.173</v>
      </c>
      <c r="AT115" s="221">
        <v>3.718</v>
      </c>
      <c r="AU115" s="222">
        <f>7.375-9.55</f>
        <v>-2.1750000000000007</v>
      </c>
      <c r="AV115" s="223">
        <v>0</v>
      </c>
      <c r="AW115" s="221">
        <v>0</v>
      </c>
      <c r="AX115" s="221">
        <v>0</v>
      </c>
      <c r="AY115" s="222">
        <v>0</v>
      </c>
      <c r="AZ115" s="223">
        <v>0</v>
      </c>
      <c r="BA115" s="221">
        <v>0</v>
      </c>
      <c r="BB115" s="218">
        <f t="shared" si="510"/>
        <v>0</v>
      </c>
      <c r="BC115" s="219">
        <f t="shared" si="511"/>
        <v>0</v>
      </c>
      <c r="BD115" s="220">
        <f t="shared" si="512"/>
        <v>0</v>
      </c>
      <c r="BE115" s="218">
        <f t="shared" si="513"/>
        <v>0</v>
      </c>
      <c r="BF115" s="218">
        <f t="shared" si="514"/>
        <v>0</v>
      </c>
      <c r="BG115" s="219">
        <f t="shared" si="515"/>
        <v>0</v>
      </c>
      <c r="BH115" s="220">
        <f t="shared" si="516"/>
        <v>0</v>
      </c>
      <c r="BI115" s="218">
        <f t="shared" si="517"/>
        <v>0</v>
      </c>
      <c r="BJ115" s="218">
        <f t="shared" si="518"/>
        <v>0</v>
      </c>
      <c r="BK115" s="219">
        <f t="shared" si="519"/>
        <v>0</v>
      </c>
      <c r="BL115" s="185"/>
      <c r="BM115" s="218">
        <f t="shared" ref="BM115:BV115" si="532">BM16</f>
        <v>-11.019999999999996</v>
      </c>
      <c r="BN115" s="218">
        <f t="shared" si="532"/>
        <v>6.1050000000000004</v>
      </c>
      <c r="BO115" s="218">
        <f t="shared" si="532"/>
        <v>-5.3199999999999994</v>
      </c>
      <c r="BP115" s="218">
        <f t="shared" si="532"/>
        <v>2.6949999999999932</v>
      </c>
      <c r="BQ115" s="218">
        <f t="shared" si="532"/>
        <v>0.27199999999999847</v>
      </c>
      <c r="BR115" s="218">
        <f t="shared" si="532"/>
        <v>12.945999999999998</v>
      </c>
      <c r="BS115" s="218">
        <f t="shared" si="532"/>
        <v>-14.37</v>
      </c>
      <c r="BT115" s="218">
        <f t="shared" si="532"/>
        <v>-10.725999999999999</v>
      </c>
      <c r="BU115" s="218">
        <f t="shared" si="532"/>
        <v>-14.260000000000002</v>
      </c>
      <c r="BV115" s="218">
        <f t="shared" si="532"/>
        <v>-4.3939999999999984</v>
      </c>
      <c r="BW115" s="218">
        <f t="shared" si="521"/>
        <v>-2.1750000000000007</v>
      </c>
      <c r="BX115" s="218">
        <f t="shared" si="522"/>
        <v>0</v>
      </c>
      <c r="BY115" s="218">
        <f t="shared" si="522"/>
        <v>0</v>
      </c>
      <c r="BZ115" s="218">
        <f t="shared" si="523"/>
        <v>0</v>
      </c>
      <c r="CA115" s="219">
        <f t="shared" si="523"/>
        <v>0</v>
      </c>
      <c r="CB115" s="220"/>
      <c r="CC115" s="218"/>
      <c r="CD115" s="218"/>
      <c r="CE115" s="260"/>
      <c r="CF115" s="220">
        <f t="shared" ref="CF115:CN115" si="533">CF16</f>
        <v>-17.773999999999997</v>
      </c>
      <c r="CG115" s="218">
        <f t="shared" si="533"/>
        <v>14.145999999999997</v>
      </c>
      <c r="CH115" s="218">
        <f t="shared" si="533"/>
        <v>-151.04999999999998</v>
      </c>
      <c r="CI115" s="218">
        <f t="shared" si="533"/>
        <v>138.19699999999997</v>
      </c>
      <c r="CJ115" s="218">
        <f t="shared" si="533"/>
        <v>4.788999999999997</v>
      </c>
      <c r="CK115" s="218">
        <f t="shared" si="533"/>
        <v>14.254</v>
      </c>
      <c r="CL115" s="218">
        <f t="shared" si="533"/>
        <v>-11.465999999999999</v>
      </c>
      <c r="CM115" s="218">
        <f t="shared" si="533"/>
        <v>-13.784000000000001</v>
      </c>
      <c r="CN115" s="218">
        <f t="shared" si="533"/>
        <v>-8.6890000000000001</v>
      </c>
      <c r="CO115" s="218">
        <f t="shared" si="525"/>
        <v>1.5780000000000012</v>
      </c>
      <c r="CP115" s="218">
        <f t="shared" si="525"/>
        <v>-5.3480000000000008</v>
      </c>
      <c r="CQ115" s="218">
        <f t="shared" si="526"/>
        <v>0</v>
      </c>
      <c r="CR115" s="218">
        <f t="shared" si="526"/>
        <v>0</v>
      </c>
      <c r="CS115" s="219">
        <f t="shared" si="527"/>
        <v>0</v>
      </c>
      <c r="CT115" s="22"/>
    </row>
    <row r="116" spans="1:98" ht="14.25" customHeight="1" outlineLevel="1">
      <c r="A116" s="8"/>
      <c r="B116" s="52" t="s">
        <v>45</v>
      </c>
      <c r="C116" s="53"/>
      <c r="D116" s="223">
        <v>0</v>
      </c>
      <c r="E116" s="221">
        <v>0</v>
      </c>
      <c r="F116" s="221">
        <v>0</v>
      </c>
      <c r="G116" s="222">
        <v>0</v>
      </c>
      <c r="H116" s="223">
        <v>0</v>
      </c>
      <c r="I116" s="221">
        <v>0</v>
      </c>
      <c r="J116" s="221">
        <v>0</v>
      </c>
      <c r="K116" s="222">
        <v>-1.1970000000000001</v>
      </c>
      <c r="L116" s="223">
        <v>0</v>
      </c>
      <c r="M116" s="221">
        <v>-9.5579999999999998</v>
      </c>
      <c r="N116" s="221">
        <v>-9.827</v>
      </c>
      <c r="O116" s="222">
        <v>-9.5779999999999994</v>
      </c>
      <c r="P116" s="223">
        <v>0.7</v>
      </c>
      <c r="Q116" s="221">
        <v>1.887</v>
      </c>
      <c r="R116" s="221">
        <v>2.371</v>
      </c>
      <c r="S116" s="222">
        <f>-216.835-0.67</f>
        <v>-217.505</v>
      </c>
      <c r="T116" s="223">
        <v>0.69899999999999995</v>
      </c>
      <c r="U116" s="221">
        <v>1.0920000000000001</v>
      </c>
      <c r="V116" s="221">
        <v>0.59</v>
      </c>
      <c r="W116" s="222">
        <f>-15.748-7.005</f>
        <v>-22.753</v>
      </c>
      <c r="X116" s="223">
        <v>0.53700000000000003</v>
      </c>
      <c r="Y116" s="221">
        <v>14.794</v>
      </c>
      <c r="Z116" s="221">
        <v>14.743</v>
      </c>
      <c r="AA116" s="222">
        <f>30.546-12.869</f>
        <v>17.677</v>
      </c>
      <c r="AB116" s="223">
        <v>0.127</v>
      </c>
      <c r="AC116" s="221">
        <v>0.251</v>
      </c>
      <c r="AD116" s="221">
        <v>-6.2359999999999998</v>
      </c>
      <c r="AE116" s="222">
        <v>-7.6479999999999997</v>
      </c>
      <c r="AF116" s="223">
        <v>-5.0999999999999997E-2</v>
      </c>
      <c r="AG116" s="221">
        <v>-0.13899999999999998</v>
      </c>
      <c r="AH116" s="221">
        <v>-2.536</v>
      </c>
      <c r="AI116" s="222">
        <v>-1.1559999999999999</v>
      </c>
      <c r="AJ116" s="223">
        <v>3.5999999999999997E-2</v>
      </c>
      <c r="AK116" s="221">
        <v>0.30099999999999999</v>
      </c>
      <c r="AL116" s="221">
        <v>1.119</v>
      </c>
      <c r="AM116" s="222">
        <v>2.1869999999999998</v>
      </c>
      <c r="AN116" s="223">
        <v>0.24399999999999999</v>
      </c>
      <c r="AO116" s="221">
        <v>2.0880000000000001</v>
      </c>
      <c r="AP116" s="221">
        <v>1.647</v>
      </c>
      <c r="AQ116" s="222">
        <v>0.41899999999999998</v>
      </c>
      <c r="AR116" s="223">
        <v>-1.3460000000000001</v>
      </c>
      <c r="AS116" s="221">
        <v>-5.8630000000000004</v>
      </c>
      <c r="AT116" s="221">
        <v>-2.7650000000000006</v>
      </c>
      <c r="AU116" s="222">
        <v>2.2829999999999999</v>
      </c>
      <c r="AV116" s="223">
        <v>0.65200000000000002</v>
      </c>
      <c r="AW116" s="221">
        <v>4.55</v>
      </c>
      <c r="AX116" s="221">
        <v>9.359</v>
      </c>
      <c r="AY116" s="222">
        <v>16.364999999999998</v>
      </c>
      <c r="AZ116" s="223">
        <v>6.0999999999999999E-2</v>
      </c>
      <c r="BA116" s="221">
        <v>-0.58799999999999997</v>
      </c>
      <c r="BB116" s="218">
        <f t="shared" si="510"/>
        <v>0.57199999999999995</v>
      </c>
      <c r="BC116" s="219">
        <f t="shared" si="511"/>
        <v>0.57199999999999995</v>
      </c>
      <c r="BD116" s="220">
        <f t="shared" si="512"/>
        <v>0</v>
      </c>
      <c r="BE116" s="218">
        <f t="shared" si="513"/>
        <v>0</v>
      </c>
      <c r="BF116" s="218">
        <f t="shared" si="514"/>
        <v>0</v>
      </c>
      <c r="BG116" s="219">
        <f t="shared" si="515"/>
        <v>0</v>
      </c>
      <c r="BH116" s="220">
        <f t="shared" si="516"/>
        <v>0</v>
      </c>
      <c r="BI116" s="218">
        <f t="shared" si="517"/>
        <v>0</v>
      </c>
      <c r="BJ116" s="218">
        <f t="shared" si="518"/>
        <v>0</v>
      </c>
      <c r="BK116" s="219">
        <f t="shared" si="519"/>
        <v>0</v>
      </c>
      <c r="BL116" s="185"/>
      <c r="BM116" s="218">
        <f t="shared" ref="BM116:BV116" si="534">BM17</f>
        <v>0</v>
      </c>
      <c r="BN116" s="218">
        <f t="shared" si="534"/>
        <v>-1.1970000000000001</v>
      </c>
      <c r="BO116" s="218">
        <f t="shared" si="534"/>
        <v>-9.5779999999999994</v>
      </c>
      <c r="BP116" s="218">
        <f t="shared" si="534"/>
        <v>-217.505</v>
      </c>
      <c r="BQ116" s="218">
        <f t="shared" si="534"/>
        <v>-22.753000000000004</v>
      </c>
      <c r="BR116" s="218">
        <f t="shared" si="534"/>
        <v>17.677</v>
      </c>
      <c r="BS116" s="218">
        <f t="shared" si="534"/>
        <v>-7.6479999999999997</v>
      </c>
      <c r="BT116" s="218">
        <f t="shared" si="534"/>
        <v>-1.1559999999999997</v>
      </c>
      <c r="BU116" s="218">
        <f t="shared" si="534"/>
        <v>2.1869999999999994</v>
      </c>
      <c r="BV116" s="218">
        <f t="shared" si="534"/>
        <v>0.41900000000000004</v>
      </c>
      <c r="BW116" s="218">
        <f t="shared" si="521"/>
        <v>2.2829999999999995</v>
      </c>
      <c r="BX116" s="218">
        <f t="shared" si="522"/>
        <v>16.364999999999998</v>
      </c>
      <c r="BY116" s="218">
        <f t="shared" si="522"/>
        <v>0.57199999999999984</v>
      </c>
      <c r="BZ116" s="218">
        <f t="shared" si="523"/>
        <v>0</v>
      </c>
      <c r="CA116" s="219">
        <f t="shared" si="523"/>
        <v>0</v>
      </c>
      <c r="CB116" s="220"/>
      <c r="CC116" s="218"/>
      <c r="CD116" s="218"/>
      <c r="CE116" s="260"/>
      <c r="CF116" s="220">
        <f t="shared" ref="CF116:CN116" si="535">CF17</f>
        <v>0</v>
      </c>
      <c r="CG116" s="218">
        <f t="shared" si="535"/>
        <v>-10.754999999999999</v>
      </c>
      <c r="CH116" s="218">
        <f t="shared" si="535"/>
        <v>1.8670000000000004</v>
      </c>
      <c r="CI116" s="218">
        <f t="shared" si="535"/>
        <v>-218.29999999999998</v>
      </c>
      <c r="CJ116" s="218">
        <f t="shared" si="535"/>
        <v>-9.0510000000000037</v>
      </c>
      <c r="CK116" s="218">
        <f t="shared" si="535"/>
        <v>3.133999999999999</v>
      </c>
      <c r="CL116" s="218">
        <f t="shared" si="535"/>
        <v>-8.0380000000000003</v>
      </c>
      <c r="CM116" s="218">
        <f t="shared" si="535"/>
        <v>-0.71599999999999986</v>
      </c>
      <c r="CN116" s="218">
        <f t="shared" si="535"/>
        <v>3.9740000000000002</v>
      </c>
      <c r="CO116" s="218">
        <f t="shared" si="525"/>
        <v>-7.532</v>
      </c>
      <c r="CP116" s="218">
        <f t="shared" si="525"/>
        <v>12.696</v>
      </c>
      <c r="CQ116" s="218">
        <f t="shared" si="526"/>
        <v>11.226999999999997</v>
      </c>
      <c r="CR116" s="218">
        <f t="shared" si="526"/>
        <v>1.1599999999999999</v>
      </c>
      <c r="CS116" s="219">
        <f t="shared" si="527"/>
        <v>0</v>
      </c>
      <c r="CT116" s="22"/>
    </row>
    <row r="117" spans="1:98" ht="14.25" customHeight="1" outlineLevel="1">
      <c r="A117" s="8"/>
      <c r="B117" s="52" t="s">
        <v>46</v>
      </c>
      <c r="C117" s="53"/>
      <c r="D117" s="223">
        <v>0</v>
      </c>
      <c r="E117" s="221">
        <v>0</v>
      </c>
      <c r="F117" s="221">
        <v>0</v>
      </c>
      <c r="G117" s="222">
        <v>0</v>
      </c>
      <c r="H117" s="223">
        <v>0</v>
      </c>
      <c r="I117" s="221">
        <v>0</v>
      </c>
      <c r="J117" s="221">
        <v>0</v>
      </c>
      <c r="K117" s="222">
        <v>10.19</v>
      </c>
      <c r="L117" s="223">
        <v>0</v>
      </c>
      <c r="M117" s="221">
        <v>0</v>
      </c>
      <c r="N117" s="221">
        <v>0</v>
      </c>
      <c r="O117" s="222">
        <v>0</v>
      </c>
      <c r="P117" s="223">
        <v>7.343</v>
      </c>
      <c r="Q117" s="221">
        <v>51.112000000000002</v>
      </c>
      <c r="R117" s="221">
        <v>51.112000000000002</v>
      </c>
      <c r="S117" s="222">
        <v>51.112000000000002</v>
      </c>
      <c r="T117" s="223">
        <v>8.2910000000000004</v>
      </c>
      <c r="U117" s="221">
        <v>8.2910000000000004</v>
      </c>
      <c r="V117" s="221">
        <v>8.2910000000000004</v>
      </c>
      <c r="W117" s="222">
        <v>8.2910000000000004</v>
      </c>
      <c r="X117" s="223">
        <v>0</v>
      </c>
      <c r="Y117" s="221">
        <v>0</v>
      </c>
      <c r="Z117" s="221">
        <v>0</v>
      </c>
      <c r="AA117" s="222">
        <v>0</v>
      </c>
      <c r="AB117" s="223">
        <v>0</v>
      </c>
      <c r="AC117" s="221">
        <v>0</v>
      </c>
      <c r="AD117" s="221">
        <v>0</v>
      </c>
      <c r="AE117" s="222">
        <v>30.645</v>
      </c>
      <c r="AF117" s="223">
        <v>2.7069999999999999</v>
      </c>
      <c r="AG117" s="221">
        <v>24.929000000000002</v>
      </c>
      <c r="AH117" s="221">
        <v>0</v>
      </c>
      <c r="AI117" s="222">
        <v>24.928999999999998</v>
      </c>
      <c r="AJ117" s="223">
        <v>0</v>
      </c>
      <c r="AK117" s="221">
        <v>5.1970000000000001</v>
      </c>
      <c r="AL117" s="221">
        <v>5.1970000000000001</v>
      </c>
      <c r="AM117" s="222">
        <v>11.644</v>
      </c>
      <c r="AN117" s="223">
        <v>10.226000000000001</v>
      </c>
      <c r="AO117" s="221">
        <f>60.971+93.01</f>
        <v>153.98099999999999</v>
      </c>
      <c r="AP117" s="221">
        <v>66.492999999999995</v>
      </c>
      <c r="AQ117" s="222">
        <v>67.010000000000005</v>
      </c>
      <c r="AR117" s="223">
        <v>157.697</v>
      </c>
      <c r="AS117" s="221">
        <v>159.64699999999999</v>
      </c>
      <c r="AT117" s="221">
        <v>160.15299999999999</v>
      </c>
      <c r="AU117" s="222">
        <v>160.15299999999999</v>
      </c>
      <c r="AV117" s="223">
        <v>6.1340000000000003</v>
      </c>
      <c r="AW117" s="221">
        <v>0.79700000000000004</v>
      </c>
      <c r="AX117" s="221">
        <v>0.79700000000000004</v>
      </c>
      <c r="AY117" s="222">
        <v>1.462</v>
      </c>
      <c r="AZ117" s="223">
        <v>4.2000000000000003E-2</v>
      </c>
      <c r="BA117" s="221">
        <v>4.2000000000000003E-2</v>
      </c>
      <c r="BB117" s="218">
        <f t="shared" si="510"/>
        <v>4.2000000000000003E-2</v>
      </c>
      <c r="BC117" s="219">
        <f t="shared" si="511"/>
        <v>4.2000000000000003E-2</v>
      </c>
      <c r="BD117" s="220">
        <f t="shared" si="512"/>
        <v>0</v>
      </c>
      <c r="BE117" s="218">
        <f t="shared" si="513"/>
        <v>0</v>
      </c>
      <c r="BF117" s="218">
        <f t="shared" si="514"/>
        <v>0</v>
      </c>
      <c r="BG117" s="219">
        <f t="shared" si="515"/>
        <v>0</v>
      </c>
      <c r="BH117" s="220">
        <f t="shared" si="516"/>
        <v>0</v>
      </c>
      <c r="BI117" s="218">
        <f t="shared" si="517"/>
        <v>0</v>
      </c>
      <c r="BJ117" s="218">
        <f t="shared" si="518"/>
        <v>0</v>
      </c>
      <c r="BK117" s="219">
        <f t="shared" si="519"/>
        <v>0</v>
      </c>
      <c r="BL117" s="185"/>
      <c r="BM117" s="218">
        <f t="shared" ref="BM117:BV117" si="536">BM18</f>
        <v>0</v>
      </c>
      <c r="BN117" s="218">
        <f t="shared" si="536"/>
        <v>10.19</v>
      </c>
      <c r="BO117" s="218">
        <f t="shared" si="536"/>
        <v>0</v>
      </c>
      <c r="BP117" s="218">
        <f t="shared" si="536"/>
        <v>51.112000000000009</v>
      </c>
      <c r="BQ117" s="218">
        <f t="shared" si="536"/>
        <v>8.2910000000000004</v>
      </c>
      <c r="BR117" s="218">
        <f t="shared" si="536"/>
        <v>0</v>
      </c>
      <c r="BS117" s="218">
        <f t="shared" si="536"/>
        <v>30.645</v>
      </c>
      <c r="BT117" s="218">
        <f t="shared" si="536"/>
        <v>24.929000000000002</v>
      </c>
      <c r="BU117" s="218">
        <f t="shared" si="536"/>
        <v>11.644</v>
      </c>
      <c r="BV117" s="218">
        <f t="shared" si="536"/>
        <v>67.009999999999991</v>
      </c>
      <c r="BW117" s="218">
        <f t="shared" si="521"/>
        <v>160.15299999999999</v>
      </c>
      <c r="BX117" s="218">
        <f t="shared" si="522"/>
        <v>1.4619999999999997</v>
      </c>
      <c r="BY117" s="218">
        <f t="shared" si="522"/>
        <v>4.2000000000000003E-2</v>
      </c>
      <c r="BZ117" s="218">
        <f t="shared" si="523"/>
        <v>0</v>
      </c>
      <c r="CA117" s="219">
        <f t="shared" si="523"/>
        <v>0</v>
      </c>
      <c r="CB117" s="220"/>
      <c r="CC117" s="218"/>
      <c r="CD117" s="218"/>
      <c r="CE117" s="260"/>
      <c r="CF117" s="220">
        <f t="shared" ref="CF117:CN117" si="537">CF18</f>
        <v>0</v>
      </c>
      <c r="CG117" s="218">
        <f t="shared" si="537"/>
        <v>10.19</v>
      </c>
      <c r="CH117" s="218">
        <f t="shared" si="537"/>
        <v>51.112000000000009</v>
      </c>
      <c r="CI117" s="218">
        <f t="shared" si="537"/>
        <v>8.2910000000000004</v>
      </c>
      <c r="CJ117" s="218">
        <f t="shared" si="537"/>
        <v>0</v>
      </c>
      <c r="CK117" s="218">
        <f t="shared" si="537"/>
        <v>0</v>
      </c>
      <c r="CL117" s="218">
        <f t="shared" si="537"/>
        <v>55.573999999999998</v>
      </c>
      <c r="CM117" s="218">
        <f t="shared" si="537"/>
        <v>5.1970000000000001</v>
      </c>
      <c r="CN117" s="218">
        <f t="shared" si="537"/>
        <v>160.428</v>
      </c>
      <c r="CO117" s="218">
        <f t="shared" si="525"/>
        <v>72.675999999999988</v>
      </c>
      <c r="CP117" s="218">
        <f t="shared" si="525"/>
        <v>1.3029999999999999</v>
      </c>
      <c r="CQ117" s="218">
        <f t="shared" si="526"/>
        <v>0.70700000000000007</v>
      </c>
      <c r="CR117" s="218">
        <f t="shared" si="526"/>
        <v>0</v>
      </c>
      <c r="CS117" s="219">
        <f t="shared" si="527"/>
        <v>0</v>
      </c>
      <c r="CT117" s="22"/>
    </row>
    <row r="118" spans="1:98" ht="14.25" customHeight="1" outlineLevel="1">
      <c r="A118" s="8"/>
      <c r="B118" s="52" t="s">
        <v>11</v>
      </c>
      <c r="C118" s="53"/>
      <c r="D118" s="223">
        <v>0</v>
      </c>
      <c r="E118" s="221">
        <v>0</v>
      </c>
      <c r="F118" s="221">
        <v>0</v>
      </c>
      <c r="G118" s="222">
        <v>0</v>
      </c>
      <c r="H118" s="223">
        <v>0</v>
      </c>
      <c r="I118" s="221">
        <v>0</v>
      </c>
      <c r="J118" s="221">
        <v>0</v>
      </c>
      <c r="K118" s="222">
        <v>0</v>
      </c>
      <c r="L118" s="223">
        <v>0</v>
      </c>
      <c r="M118" s="221">
        <v>0</v>
      </c>
      <c r="N118" s="221">
        <v>0</v>
      </c>
      <c r="O118" s="222">
        <v>0</v>
      </c>
      <c r="P118" s="223">
        <v>0</v>
      </c>
      <c r="Q118" s="221">
        <v>0</v>
      </c>
      <c r="R118" s="221">
        <v>0</v>
      </c>
      <c r="S118" s="222">
        <v>0</v>
      </c>
      <c r="T118" s="223">
        <v>0</v>
      </c>
      <c r="U118" s="221">
        <v>0</v>
      </c>
      <c r="V118" s="221">
        <v>0</v>
      </c>
      <c r="W118" s="222">
        <v>0</v>
      </c>
      <c r="X118" s="223">
        <v>0</v>
      </c>
      <c r="Y118" s="221">
        <v>0</v>
      </c>
      <c r="Z118" s="221">
        <v>0</v>
      </c>
      <c r="AA118" s="222">
        <v>0</v>
      </c>
      <c r="AB118" s="223">
        <v>0</v>
      </c>
      <c r="AC118" s="221">
        <v>0</v>
      </c>
      <c r="AD118" s="221">
        <v>0</v>
      </c>
      <c r="AE118" s="222">
        <v>0</v>
      </c>
      <c r="AF118" s="223">
        <v>0</v>
      </c>
      <c r="AG118" s="221">
        <v>0</v>
      </c>
      <c r="AH118" s="221">
        <v>0</v>
      </c>
      <c r="AI118" s="222">
        <v>0</v>
      </c>
      <c r="AJ118" s="223">
        <v>0</v>
      </c>
      <c r="AK118" s="221">
        <v>0</v>
      </c>
      <c r="AL118" s="221">
        <v>0</v>
      </c>
      <c r="AM118" s="222">
        <v>0</v>
      </c>
      <c r="AN118" s="223">
        <v>0</v>
      </c>
      <c r="AO118" s="221">
        <v>0</v>
      </c>
      <c r="AP118" s="221">
        <v>0</v>
      </c>
      <c r="AQ118" s="222">
        <v>-35.848999999999997</v>
      </c>
      <c r="AR118" s="223">
        <v>0</v>
      </c>
      <c r="AS118" s="221">
        <v>0</v>
      </c>
      <c r="AT118" s="221">
        <v>-58.944000000000003</v>
      </c>
      <c r="AU118" s="222">
        <v>-58.944000000000003</v>
      </c>
      <c r="AV118" s="223">
        <v>-26.62</v>
      </c>
      <c r="AW118" s="221">
        <v>-26.62</v>
      </c>
      <c r="AX118" s="221">
        <v>-26.62</v>
      </c>
      <c r="AY118" s="222">
        <v>-26.62</v>
      </c>
      <c r="AZ118" s="223">
        <v>0</v>
      </c>
      <c r="BA118" s="221">
        <v>0</v>
      </c>
      <c r="BB118" s="218">
        <f t="shared" si="510"/>
        <v>0</v>
      </c>
      <c r="BC118" s="219">
        <f t="shared" si="511"/>
        <v>0</v>
      </c>
      <c r="BD118" s="220">
        <f t="shared" si="512"/>
        <v>0</v>
      </c>
      <c r="BE118" s="218">
        <f t="shared" si="513"/>
        <v>0</v>
      </c>
      <c r="BF118" s="218">
        <f t="shared" si="514"/>
        <v>0</v>
      </c>
      <c r="BG118" s="219">
        <f t="shared" si="515"/>
        <v>0</v>
      </c>
      <c r="BH118" s="220">
        <f t="shared" si="516"/>
        <v>0</v>
      </c>
      <c r="BI118" s="218">
        <f t="shared" si="517"/>
        <v>0</v>
      </c>
      <c r="BJ118" s="218">
        <f t="shared" si="518"/>
        <v>0</v>
      </c>
      <c r="BK118" s="219">
        <f t="shared" si="519"/>
        <v>0</v>
      </c>
      <c r="BL118" s="185"/>
      <c r="BM118" s="218">
        <f t="shared" ref="BM118:BV118" si="538">BM19</f>
        <v>0</v>
      </c>
      <c r="BN118" s="218">
        <f t="shared" si="538"/>
        <v>0</v>
      </c>
      <c r="BO118" s="218">
        <f t="shared" si="538"/>
        <v>0</v>
      </c>
      <c r="BP118" s="218">
        <f t="shared" si="538"/>
        <v>0</v>
      </c>
      <c r="BQ118" s="218">
        <f t="shared" si="538"/>
        <v>0</v>
      </c>
      <c r="BR118" s="218">
        <f t="shared" si="538"/>
        <v>0</v>
      </c>
      <c r="BS118" s="218">
        <f t="shared" si="538"/>
        <v>0</v>
      </c>
      <c r="BT118" s="218">
        <f t="shared" si="538"/>
        <v>0</v>
      </c>
      <c r="BU118" s="218">
        <f t="shared" si="538"/>
        <v>0</v>
      </c>
      <c r="BV118" s="218">
        <f t="shared" si="538"/>
        <v>-35.848999999999997</v>
      </c>
      <c r="BW118" s="218">
        <f t="shared" si="521"/>
        <v>-58.944000000000003</v>
      </c>
      <c r="BX118" s="218">
        <f t="shared" si="522"/>
        <v>-26.62</v>
      </c>
      <c r="BY118" s="218">
        <f t="shared" si="522"/>
        <v>0</v>
      </c>
      <c r="BZ118" s="218">
        <f t="shared" si="523"/>
        <v>0</v>
      </c>
      <c r="CA118" s="219">
        <f t="shared" si="523"/>
        <v>0</v>
      </c>
      <c r="CB118" s="220"/>
      <c r="CC118" s="218"/>
      <c r="CD118" s="218"/>
      <c r="CE118" s="260"/>
      <c r="CF118" s="220">
        <f t="shared" ref="CF118:CN118" si="539">CF19</f>
        <v>0</v>
      </c>
      <c r="CG118" s="218">
        <f t="shared" si="539"/>
        <v>0</v>
      </c>
      <c r="CH118" s="218">
        <f t="shared" si="539"/>
        <v>0</v>
      </c>
      <c r="CI118" s="218">
        <f t="shared" si="539"/>
        <v>0</v>
      </c>
      <c r="CJ118" s="218">
        <f t="shared" si="539"/>
        <v>0</v>
      </c>
      <c r="CK118" s="218">
        <f t="shared" si="539"/>
        <v>0</v>
      </c>
      <c r="CL118" s="218">
        <f t="shared" si="539"/>
        <v>0</v>
      </c>
      <c r="CM118" s="218">
        <f t="shared" si="539"/>
        <v>0</v>
      </c>
      <c r="CN118" s="218">
        <f t="shared" si="539"/>
        <v>0</v>
      </c>
      <c r="CO118" s="218">
        <f t="shared" si="525"/>
        <v>-35.848999999999997</v>
      </c>
      <c r="CP118" s="218">
        <f t="shared" si="525"/>
        <v>-85.564000000000007</v>
      </c>
      <c r="CQ118" s="218">
        <f t="shared" si="526"/>
        <v>0</v>
      </c>
      <c r="CR118" s="218">
        <f t="shared" si="526"/>
        <v>0</v>
      </c>
      <c r="CS118" s="219">
        <f t="shared" si="527"/>
        <v>0</v>
      </c>
      <c r="CT118" s="22"/>
    </row>
    <row r="119" spans="1:98" ht="14.25" customHeight="1" outlineLevel="1" collapsed="1">
      <c r="A119" s="8"/>
      <c r="B119" s="52" t="s">
        <v>12</v>
      </c>
      <c r="C119" s="53"/>
      <c r="D119" s="223">
        <v>0</v>
      </c>
      <c r="E119" s="221">
        <v>0</v>
      </c>
      <c r="F119" s="221">
        <v>0</v>
      </c>
      <c r="G119" s="222">
        <v>0</v>
      </c>
      <c r="H119" s="223">
        <v>0</v>
      </c>
      <c r="I119" s="221">
        <v>0</v>
      </c>
      <c r="J119" s="221">
        <v>0</v>
      </c>
      <c r="K119" s="222">
        <v>0</v>
      </c>
      <c r="L119" s="223">
        <v>0</v>
      </c>
      <c r="M119" s="221">
        <v>0</v>
      </c>
      <c r="N119" s="221">
        <v>0</v>
      </c>
      <c r="O119" s="222">
        <v>0</v>
      </c>
      <c r="P119" s="223">
        <v>0</v>
      </c>
      <c r="Q119" s="221">
        <v>0</v>
      </c>
      <c r="R119" s="221">
        <v>0</v>
      </c>
      <c r="S119" s="222">
        <v>0</v>
      </c>
      <c r="T119" s="223">
        <v>0</v>
      </c>
      <c r="U119" s="221">
        <v>0</v>
      </c>
      <c r="V119" s="221">
        <v>0</v>
      </c>
      <c r="W119" s="222">
        <v>0</v>
      </c>
      <c r="X119" s="223">
        <v>0</v>
      </c>
      <c r="Y119" s="221">
        <v>0</v>
      </c>
      <c r="Z119" s="221">
        <v>0</v>
      </c>
      <c r="AA119" s="222">
        <v>0</v>
      </c>
      <c r="AB119" s="223">
        <v>0</v>
      </c>
      <c r="AC119" s="221">
        <v>0</v>
      </c>
      <c r="AD119" s="221">
        <v>0</v>
      </c>
      <c r="AE119" s="222">
        <v>0</v>
      </c>
      <c r="AF119" s="223">
        <v>0</v>
      </c>
      <c r="AG119" s="221">
        <v>0</v>
      </c>
      <c r="AH119" s="221">
        <v>0</v>
      </c>
      <c r="AI119" s="222">
        <v>0</v>
      </c>
      <c r="AJ119" s="223">
        <v>0</v>
      </c>
      <c r="AK119" s="221">
        <v>0</v>
      </c>
      <c r="AL119" s="221">
        <v>0</v>
      </c>
      <c r="AM119" s="222">
        <v>0</v>
      </c>
      <c r="AN119" s="223">
        <v>0</v>
      </c>
      <c r="AO119" s="221">
        <v>0</v>
      </c>
      <c r="AP119" s="221">
        <v>0</v>
      </c>
      <c r="AQ119" s="222">
        <v>0</v>
      </c>
      <c r="AR119" s="223">
        <v>0</v>
      </c>
      <c r="AS119" s="221">
        <v>0</v>
      </c>
      <c r="AT119" s="221">
        <v>0</v>
      </c>
      <c r="AU119" s="222">
        <v>0</v>
      </c>
      <c r="AV119" s="223">
        <v>0</v>
      </c>
      <c r="AW119" s="221">
        <v>0</v>
      </c>
      <c r="AX119" s="221">
        <v>0</v>
      </c>
      <c r="AY119" s="222">
        <v>0</v>
      </c>
      <c r="AZ119" s="223">
        <v>0</v>
      </c>
      <c r="BA119" s="221">
        <v>0</v>
      </c>
      <c r="BB119" s="218">
        <f t="shared" si="510"/>
        <v>0</v>
      </c>
      <c r="BC119" s="219">
        <f t="shared" si="511"/>
        <v>0</v>
      </c>
      <c r="BD119" s="220">
        <f t="shared" si="512"/>
        <v>0</v>
      </c>
      <c r="BE119" s="218">
        <f t="shared" si="513"/>
        <v>0</v>
      </c>
      <c r="BF119" s="218">
        <f t="shared" si="514"/>
        <v>0</v>
      </c>
      <c r="BG119" s="219">
        <f t="shared" si="515"/>
        <v>0</v>
      </c>
      <c r="BH119" s="220">
        <f t="shared" si="516"/>
        <v>0</v>
      </c>
      <c r="BI119" s="218">
        <f t="shared" si="517"/>
        <v>0</v>
      </c>
      <c r="BJ119" s="218">
        <f t="shared" si="518"/>
        <v>0</v>
      </c>
      <c r="BK119" s="219">
        <f t="shared" si="519"/>
        <v>0</v>
      </c>
      <c r="BL119" s="185"/>
      <c r="BM119" s="218">
        <f t="shared" ref="BM119:BV119" si="540">BM20</f>
        <v>0</v>
      </c>
      <c r="BN119" s="218">
        <f t="shared" si="540"/>
        <v>0</v>
      </c>
      <c r="BO119" s="218">
        <f t="shared" si="540"/>
        <v>0</v>
      </c>
      <c r="BP119" s="218">
        <f t="shared" si="540"/>
        <v>0</v>
      </c>
      <c r="BQ119" s="218">
        <f t="shared" si="540"/>
        <v>0</v>
      </c>
      <c r="BR119" s="218">
        <f t="shared" si="540"/>
        <v>0</v>
      </c>
      <c r="BS119" s="218">
        <f t="shared" si="540"/>
        <v>0</v>
      </c>
      <c r="BT119" s="218">
        <f t="shared" si="540"/>
        <v>0</v>
      </c>
      <c r="BU119" s="218">
        <f t="shared" si="540"/>
        <v>0</v>
      </c>
      <c r="BV119" s="218">
        <f t="shared" si="540"/>
        <v>0</v>
      </c>
      <c r="BW119" s="218">
        <f t="shared" si="521"/>
        <v>0</v>
      </c>
      <c r="BX119" s="218">
        <f t="shared" si="522"/>
        <v>0</v>
      </c>
      <c r="BY119" s="218">
        <f t="shared" si="522"/>
        <v>0</v>
      </c>
      <c r="BZ119" s="218">
        <f t="shared" si="523"/>
        <v>0</v>
      </c>
      <c r="CA119" s="219">
        <f t="shared" si="523"/>
        <v>0</v>
      </c>
      <c r="CB119" s="220"/>
      <c r="CC119" s="218"/>
      <c r="CD119" s="218"/>
      <c r="CE119" s="260"/>
      <c r="CF119" s="220">
        <f t="shared" ref="CF119:CN119" si="541">CF20</f>
        <v>0</v>
      </c>
      <c r="CG119" s="218">
        <f t="shared" si="541"/>
        <v>0</v>
      </c>
      <c r="CH119" s="218">
        <f t="shared" si="541"/>
        <v>0</v>
      </c>
      <c r="CI119" s="218">
        <f t="shared" si="541"/>
        <v>0</v>
      </c>
      <c r="CJ119" s="218">
        <f t="shared" si="541"/>
        <v>0</v>
      </c>
      <c r="CK119" s="218">
        <f t="shared" si="541"/>
        <v>0</v>
      </c>
      <c r="CL119" s="218">
        <f t="shared" si="541"/>
        <v>0</v>
      </c>
      <c r="CM119" s="218">
        <f t="shared" si="541"/>
        <v>0</v>
      </c>
      <c r="CN119" s="218">
        <f t="shared" si="541"/>
        <v>0</v>
      </c>
      <c r="CO119" s="218">
        <f t="shared" si="525"/>
        <v>0</v>
      </c>
      <c r="CP119" s="218">
        <f t="shared" si="525"/>
        <v>0</v>
      </c>
      <c r="CQ119" s="218">
        <f t="shared" si="526"/>
        <v>0</v>
      </c>
      <c r="CR119" s="218">
        <f t="shared" si="526"/>
        <v>0</v>
      </c>
      <c r="CS119" s="219">
        <f t="shared" si="527"/>
        <v>0</v>
      </c>
      <c r="CT119" s="22"/>
    </row>
    <row r="120" spans="1:98" ht="14.25" customHeight="1" outlineLevel="1">
      <c r="A120" s="11"/>
      <c r="B120" s="52" t="s">
        <v>10</v>
      </c>
      <c r="C120" s="53"/>
      <c r="D120" s="223">
        <v>0</v>
      </c>
      <c r="E120" s="221">
        <v>0</v>
      </c>
      <c r="F120" s="221">
        <v>0</v>
      </c>
      <c r="G120" s="222">
        <v>0</v>
      </c>
      <c r="H120" s="223">
        <v>0</v>
      </c>
      <c r="I120" s="221">
        <v>0</v>
      </c>
      <c r="J120" s="221">
        <v>0</v>
      </c>
      <c r="K120" s="222">
        <v>0</v>
      </c>
      <c r="L120" s="223">
        <v>0</v>
      </c>
      <c r="M120" s="221">
        <v>0</v>
      </c>
      <c r="N120" s="221">
        <v>0</v>
      </c>
      <c r="O120" s="222">
        <v>0</v>
      </c>
      <c r="P120" s="223">
        <v>0</v>
      </c>
      <c r="Q120" s="221">
        <f>3.9-0.529</f>
        <v>3.371</v>
      </c>
      <c r="R120" s="221">
        <f>3.9-0.529</f>
        <v>3.371</v>
      </c>
      <c r="S120" s="222">
        <f>3.9-0.529</f>
        <v>3.371</v>
      </c>
      <c r="T120" s="223">
        <v>0.14899999999999999</v>
      </c>
      <c r="U120" s="221">
        <v>0.14899999999999999</v>
      </c>
      <c r="V120" s="221">
        <v>0.14899999999999999</v>
      </c>
      <c r="W120" s="222">
        <v>0.14799999999999999</v>
      </c>
      <c r="X120" s="223">
        <v>0</v>
      </c>
      <c r="Y120" s="221">
        <v>0</v>
      </c>
      <c r="Z120" s="221">
        <v>0</v>
      </c>
      <c r="AA120" s="222">
        <v>0</v>
      </c>
      <c r="AB120" s="223">
        <v>0</v>
      </c>
      <c r="AC120" s="221">
        <v>-1.8109999999999999</v>
      </c>
      <c r="AD120" s="221">
        <f>1.6-45.372</f>
        <v>-43.771999999999998</v>
      </c>
      <c r="AE120" s="222">
        <f>1.6-1.811-45.372</f>
        <v>-45.582999999999998</v>
      </c>
      <c r="AF120" s="223">
        <v>0</v>
      </c>
      <c r="AG120" s="221">
        <v>0</v>
      </c>
      <c r="AH120" s="221">
        <f>2.8-3.285+7.839</f>
        <v>7.3540000000000001</v>
      </c>
      <c r="AI120" s="222">
        <f>2.8-3.285</f>
        <v>-0.48500000000000032</v>
      </c>
      <c r="AJ120" s="223">
        <v>0</v>
      </c>
      <c r="AK120" s="221">
        <v>0</v>
      </c>
      <c r="AL120" s="221">
        <f>2.58-9.295+3.723</f>
        <v>-2.992</v>
      </c>
      <c r="AM120" s="222">
        <f>2.58+10.26</f>
        <v>12.84</v>
      </c>
      <c r="AN120" s="223">
        <v>0</v>
      </c>
      <c r="AO120" s="221">
        <v>0</v>
      </c>
      <c r="AP120" s="221">
        <f>93.01-10.177</f>
        <v>82.832999999999998</v>
      </c>
      <c r="AQ120" s="222">
        <f>0.094+8.9+84.11</f>
        <v>93.103999999999999</v>
      </c>
      <c r="AR120" s="223">
        <v>-2.2490000000000001</v>
      </c>
      <c r="AS120" s="221">
        <v>-6.1689999999999996</v>
      </c>
      <c r="AT120" s="221">
        <v>-7.66</v>
      </c>
      <c r="AU120" s="222">
        <v>27.602</v>
      </c>
      <c r="AV120" s="223">
        <v>0</v>
      </c>
      <c r="AW120" s="221">
        <v>5.72</v>
      </c>
      <c r="AX120" s="221">
        <v>6.72</v>
      </c>
      <c r="AY120" s="222">
        <v>6.72</v>
      </c>
      <c r="AZ120" s="223">
        <v>0</v>
      </c>
      <c r="BA120" s="221">
        <v>0.85</v>
      </c>
      <c r="BB120" s="218">
        <f t="shared" si="510"/>
        <v>0.85</v>
      </c>
      <c r="BC120" s="219">
        <f t="shared" si="511"/>
        <v>0.85</v>
      </c>
      <c r="BD120" s="220">
        <f t="shared" si="512"/>
        <v>0</v>
      </c>
      <c r="BE120" s="218">
        <f t="shared" si="513"/>
        <v>0</v>
      </c>
      <c r="BF120" s="218">
        <f t="shared" si="514"/>
        <v>0</v>
      </c>
      <c r="BG120" s="219">
        <f t="shared" si="515"/>
        <v>0</v>
      </c>
      <c r="BH120" s="220">
        <f t="shared" si="516"/>
        <v>0</v>
      </c>
      <c r="BI120" s="218">
        <f t="shared" si="517"/>
        <v>0</v>
      </c>
      <c r="BJ120" s="218">
        <f t="shared" si="518"/>
        <v>0</v>
      </c>
      <c r="BK120" s="219">
        <f t="shared" si="519"/>
        <v>0</v>
      </c>
      <c r="BL120" s="185"/>
      <c r="BM120" s="218">
        <f t="shared" ref="BM120:BV120" si="542">BM21</f>
        <v>0</v>
      </c>
      <c r="BN120" s="218">
        <f t="shared" si="542"/>
        <v>0</v>
      </c>
      <c r="BO120" s="218">
        <f t="shared" si="542"/>
        <v>0</v>
      </c>
      <c r="BP120" s="218">
        <f t="shared" si="542"/>
        <v>3.371</v>
      </c>
      <c r="BQ120" s="218">
        <f t="shared" si="542"/>
        <v>0.14799999999999999</v>
      </c>
      <c r="BR120" s="218">
        <f t="shared" si="542"/>
        <v>0</v>
      </c>
      <c r="BS120" s="218">
        <f t="shared" si="542"/>
        <v>-45.582999999999998</v>
      </c>
      <c r="BT120" s="218">
        <f t="shared" si="542"/>
        <v>-0.48500000000000032</v>
      </c>
      <c r="BU120" s="218">
        <f t="shared" si="542"/>
        <v>12.84</v>
      </c>
      <c r="BV120" s="218">
        <f t="shared" si="542"/>
        <v>93.103999999999999</v>
      </c>
      <c r="BW120" s="218">
        <f t="shared" si="521"/>
        <v>27.602</v>
      </c>
      <c r="BX120" s="218">
        <f t="shared" si="522"/>
        <v>6.72</v>
      </c>
      <c r="BY120" s="218">
        <f t="shared" si="522"/>
        <v>0.85</v>
      </c>
      <c r="BZ120" s="218">
        <f t="shared" si="523"/>
        <v>0</v>
      </c>
      <c r="CA120" s="219">
        <f t="shared" si="523"/>
        <v>0</v>
      </c>
      <c r="CB120" s="220"/>
      <c r="CC120" s="218"/>
      <c r="CD120" s="218"/>
      <c r="CE120" s="24"/>
      <c r="CF120" s="220">
        <f t="shared" ref="CF120:CN120" si="543">CF21</f>
        <v>0</v>
      </c>
      <c r="CG120" s="218">
        <f t="shared" si="543"/>
        <v>0</v>
      </c>
      <c r="CH120" s="218">
        <f t="shared" si="543"/>
        <v>3.371</v>
      </c>
      <c r="CI120" s="218">
        <f t="shared" si="543"/>
        <v>0.14899999999999999</v>
      </c>
      <c r="CJ120" s="218">
        <f t="shared" si="543"/>
        <v>-1.0000000000000009E-3</v>
      </c>
      <c r="CK120" s="218">
        <f t="shared" si="543"/>
        <v>-1.8109999999999999</v>
      </c>
      <c r="CL120" s="218">
        <f t="shared" si="543"/>
        <v>-43.771999999999998</v>
      </c>
      <c r="CM120" s="218">
        <f t="shared" si="543"/>
        <v>-0.48500000000000032</v>
      </c>
      <c r="CN120" s="218">
        <f t="shared" si="543"/>
        <v>12.84</v>
      </c>
      <c r="CO120" s="218">
        <f t="shared" si="525"/>
        <v>86.935000000000002</v>
      </c>
      <c r="CP120" s="218">
        <f t="shared" si="525"/>
        <v>39.491</v>
      </c>
      <c r="CQ120" s="218">
        <f t="shared" si="526"/>
        <v>1.85</v>
      </c>
      <c r="CR120" s="218">
        <f t="shared" si="526"/>
        <v>0</v>
      </c>
      <c r="CS120" s="219">
        <f t="shared" si="527"/>
        <v>0</v>
      </c>
      <c r="CT120" s="23"/>
    </row>
    <row r="121" spans="1:98" ht="14.25" customHeight="1" outlineLevel="1">
      <c r="A121" s="8"/>
      <c r="B121" s="28" t="s">
        <v>486</v>
      </c>
      <c r="C121" s="29"/>
      <c r="D121" s="223"/>
      <c r="E121" s="221"/>
      <c r="F121" s="221"/>
      <c r="G121" s="222"/>
      <c r="H121" s="223"/>
      <c r="I121" s="221"/>
      <c r="J121" s="221"/>
      <c r="K121" s="222"/>
      <c r="L121" s="223"/>
      <c r="M121" s="221"/>
      <c r="N121" s="221"/>
      <c r="O121" s="222">
        <v>0</v>
      </c>
      <c r="P121" s="223"/>
      <c r="Q121" s="221"/>
      <c r="R121" s="221"/>
      <c r="S121" s="222"/>
      <c r="T121" s="223"/>
      <c r="U121" s="221"/>
      <c r="V121" s="221"/>
      <c r="W121" s="222"/>
      <c r="X121" s="223"/>
      <c r="Y121" s="221"/>
      <c r="Z121" s="221"/>
      <c r="AA121" s="222"/>
      <c r="AB121" s="382"/>
      <c r="AC121" s="221"/>
      <c r="AD121" s="221"/>
      <c r="AE121" s="222"/>
      <c r="AF121" s="382"/>
      <c r="AG121" s="221"/>
      <c r="AH121" s="218"/>
      <c r="AI121" s="222"/>
      <c r="AJ121" s="382"/>
      <c r="AK121" s="221"/>
      <c r="AL121" s="218"/>
      <c r="AM121" s="222"/>
      <c r="AN121" s="382"/>
      <c r="AO121" s="221"/>
      <c r="AP121" s="221"/>
      <c r="AQ121" s="222"/>
      <c r="AR121" s="382"/>
      <c r="AS121" s="221"/>
      <c r="AT121" s="221"/>
      <c r="AU121" s="222"/>
      <c r="AV121" s="382"/>
      <c r="AW121" s="221"/>
      <c r="AX121" s="221"/>
      <c r="AY121" s="222"/>
      <c r="AZ121" s="382"/>
      <c r="BA121" s="221"/>
      <c r="BB121" s="218"/>
      <c r="BC121" s="219"/>
      <c r="BD121" s="220"/>
      <c r="BE121" s="218"/>
      <c r="BF121" s="218"/>
      <c r="BG121" s="219"/>
      <c r="BH121" s="220"/>
      <c r="BI121" s="218"/>
      <c r="BJ121" s="218"/>
      <c r="BK121" s="219"/>
      <c r="BL121" s="185"/>
      <c r="BM121" s="218"/>
      <c r="BN121" s="218"/>
      <c r="BO121" s="218"/>
      <c r="BP121" s="218"/>
      <c r="BQ121" s="218"/>
      <c r="BR121" s="218"/>
      <c r="BS121" s="218"/>
      <c r="BT121" s="218"/>
      <c r="BU121" s="218"/>
      <c r="BV121" s="218"/>
      <c r="BW121" s="218"/>
      <c r="BX121" s="218"/>
      <c r="BY121" s="218"/>
      <c r="BZ121" s="218"/>
      <c r="CA121" s="219"/>
      <c r="CB121" s="220"/>
      <c r="CC121" s="218"/>
      <c r="CD121" s="218"/>
      <c r="CE121" s="260"/>
      <c r="CF121" s="220"/>
      <c r="CG121" s="218"/>
      <c r="CH121" s="218"/>
      <c r="CI121" s="218"/>
      <c r="CJ121" s="218"/>
      <c r="CK121" s="218"/>
      <c r="CL121" s="218"/>
      <c r="CM121" s="218"/>
      <c r="CN121" s="218"/>
      <c r="CO121" s="218"/>
      <c r="CP121" s="218"/>
      <c r="CQ121" s="218"/>
      <c r="CR121" s="218"/>
      <c r="CS121" s="219"/>
      <c r="CT121" s="22"/>
    </row>
    <row r="122" spans="1:98" ht="14.25" customHeight="1" outlineLevel="1">
      <c r="A122" s="8"/>
      <c r="B122" s="52" t="s">
        <v>487</v>
      </c>
      <c r="C122" s="53"/>
      <c r="D122" s="223">
        <v>-21.422000000000001</v>
      </c>
      <c r="E122" s="221">
        <v>-27.757999999999999</v>
      </c>
      <c r="F122" s="221">
        <v>-67.007999999999996</v>
      </c>
      <c r="G122" s="222">
        <v>-97.694000000000003</v>
      </c>
      <c r="H122" s="223">
        <v>0.82299999999999995</v>
      </c>
      <c r="I122" s="221">
        <v>20.22</v>
      </c>
      <c r="J122" s="221">
        <v>46.582000000000001</v>
      </c>
      <c r="K122" s="222">
        <v>52.286999999999999</v>
      </c>
      <c r="L122" s="223">
        <v>-30.385000000000002</v>
      </c>
      <c r="M122" s="221">
        <v>-41.677</v>
      </c>
      <c r="N122" s="221">
        <v>-24.294</v>
      </c>
      <c r="O122" s="222">
        <v>-27.030999999999999</v>
      </c>
      <c r="P122" s="223">
        <v>3.46</v>
      </c>
      <c r="Q122" s="221">
        <v>58.936</v>
      </c>
      <c r="R122" s="221">
        <v>76.751000000000005</v>
      </c>
      <c r="S122" s="222">
        <v>65.287999999999997</v>
      </c>
      <c r="T122" s="223">
        <v>-21.036000000000001</v>
      </c>
      <c r="U122" s="221">
        <v>-73.314999999999998</v>
      </c>
      <c r="V122" s="221">
        <v>-89.572000000000003</v>
      </c>
      <c r="W122" s="222">
        <v>-124.258</v>
      </c>
      <c r="X122" s="223">
        <v>9.5410000000000004</v>
      </c>
      <c r="Y122" s="221">
        <v>47.624000000000002</v>
      </c>
      <c r="Z122" s="221">
        <v>36.296999999999997</v>
      </c>
      <c r="AA122" s="222">
        <v>43.256</v>
      </c>
      <c r="AB122" s="223">
        <v>-30.79</v>
      </c>
      <c r="AC122" s="221">
        <v>51.97</v>
      </c>
      <c r="AD122" s="221">
        <v>1.944</v>
      </c>
      <c r="AE122" s="222">
        <v>-19.262</v>
      </c>
      <c r="AF122" s="223">
        <v>0.92300000000000004</v>
      </c>
      <c r="AG122" s="221">
        <v>52.916000000000004</v>
      </c>
      <c r="AH122" s="221">
        <v>17.414999999999999</v>
      </c>
      <c r="AI122" s="222">
        <v>32.023000000000003</v>
      </c>
      <c r="AJ122" s="223">
        <v>-12.45</v>
      </c>
      <c r="AK122" s="221">
        <v>20.606000000000002</v>
      </c>
      <c r="AL122" s="221">
        <v>5.04</v>
      </c>
      <c r="AM122" s="222">
        <v>13.34</v>
      </c>
      <c r="AN122" s="223">
        <v>13.896000000000001</v>
      </c>
      <c r="AO122" s="221">
        <v>37.322000000000003</v>
      </c>
      <c r="AP122" s="221">
        <v>17.401</v>
      </c>
      <c r="AQ122" s="222">
        <v>16.984000000000002</v>
      </c>
      <c r="AR122" s="223">
        <v>-3.6269999999999998</v>
      </c>
      <c r="AS122" s="221">
        <v>47.664000000000001</v>
      </c>
      <c r="AT122" s="221">
        <v>0.34199999999999875</v>
      </c>
      <c r="AU122" s="222">
        <v>22.312999999999999</v>
      </c>
      <c r="AV122" s="223">
        <v>3.0129999999999999</v>
      </c>
      <c r="AW122" s="221">
        <v>32.189</v>
      </c>
      <c r="AX122" s="221">
        <v>-1.0609999999999999</v>
      </c>
      <c r="AY122" s="222">
        <v>7.8E-2</v>
      </c>
      <c r="AZ122" s="223">
        <v>23.239000000000001</v>
      </c>
      <c r="BA122" s="221">
        <v>20.759</v>
      </c>
      <c r="BB122" s="218">
        <f t="shared" ref="BB122:BB129" si="544">BA122+BB23</f>
        <v>-60.194000000000003</v>
      </c>
      <c r="BC122" s="219">
        <f t="shared" ref="BC122:BC129" si="545">BB122+BC23</f>
        <v>-54.58445942500002</v>
      </c>
      <c r="BD122" s="220">
        <f t="shared" ref="BD122:BD129" si="546">BD23</f>
        <v>7.7423262629999954</v>
      </c>
      <c r="BE122" s="218">
        <f t="shared" ref="BE122:BE129" si="547">BD122+BE23</f>
        <v>7.1669735480699615</v>
      </c>
      <c r="BF122" s="218">
        <f t="shared" ref="BF122:BF129" si="548">BE122+BF23</f>
        <v>-8.9234089567448223</v>
      </c>
      <c r="BG122" s="219">
        <f t="shared" ref="BG122:BG129" si="549">BF122+BG23</f>
        <v>-12.348431586223398</v>
      </c>
      <c r="BH122" s="220">
        <f t="shared" ref="BH122:BH129" si="550">BH23</f>
        <v>5.251842459589227</v>
      </c>
      <c r="BI122" s="218">
        <f t="shared" ref="BI122:BI129" si="551">BH122+BI23</f>
        <v>5.4992036810500053</v>
      </c>
      <c r="BJ122" s="218">
        <f t="shared" ref="BJ122:BJ129" si="552">BI122+BJ23</f>
        <v>-7.5904674699576731</v>
      </c>
      <c r="BK122" s="219">
        <f t="shared" ref="BK122:BK129" si="553">BJ122+BK23</f>
        <v>-16.493806312135121</v>
      </c>
      <c r="BL122" s="185"/>
      <c r="BM122" s="218">
        <f t="shared" ref="BM122:BV122" si="554">BM23</f>
        <v>-97.694000000000003</v>
      </c>
      <c r="BN122" s="218">
        <f t="shared" si="554"/>
        <v>52.286999999999999</v>
      </c>
      <c r="BO122" s="218">
        <f t="shared" si="554"/>
        <v>-27.030999999999999</v>
      </c>
      <c r="BP122" s="218">
        <f t="shared" si="554"/>
        <v>65.287999999999997</v>
      </c>
      <c r="BQ122" s="218">
        <f t="shared" si="554"/>
        <v>-124.258</v>
      </c>
      <c r="BR122" s="218">
        <f t="shared" si="554"/>
        <v>43.256</v>
      </c>
      <c r="BS122" s="218">
        <f t="shared" si="554"/>
        <v>-19.262</v>
      </c>
      <c r="BT122" s="218">
        <f t="shared" si="554"/>
        <v>32.022999999999996</v>
      </c>
      <c r="BU122" s="218">
        <f t="shared" si="554"/>
        <v>13.34</v>
      </c>
      <c r="BV122" s="218">
        <f t="shared" si="554"/>
        <v>16.983999999999998</v>
      </c>
      <c r="BW122" s="218">
        <f t="shared" ref="BW122:BW129" si="555">BW23</f>
        <v>22.312999999999999</v>
      </c>
      <c r="BX122" s="218">
        <f t="shared" ref="BX122:BY129" si="556">BX23</f>
        <v>7.800000000000118E-2</v>
      </c>
      <c r="BY122" s="218">
        <f t="shared" si="556"/>
        <v>-54.58445942500002</v>
      </c>
      <c r="BZ122" s="218">
        <f t="shared" ref="BZ122:CA129" si="557">BZ23</f>
        <v>-12.348431586223398</v>
      </c>
      <c r="CA122" s="219">
        <f t="shared" si="557"/>
        <v>-16.493806312135121</v>
      </c>
      <c r="CB122" s="220"/>
      <c r="CC122" s="218"/>
      <c r="CD122" s="218"/>
      <c r="CE122" s="260"/>
      <c r="CF122" s="220">
        <f t="shared" ref="CF122:CN122" si="558">CF23</f>
        <v>-49.716000000000015</v>
      </c>
      <c r="CG122" s="218">
        <f t="shared" si="558"/>
        <v>-9.61</v>
      </c>
      <c r="CH122" s="218">
        <f t="shared" si="558"/>
        <v>73.581999999999994</v>
      </c>
      <c r="CI122" s="218">
        <f t="shared" si="558"/>
        <v>-66.962999999999994</v>
      </c>
      <c r="CJ122" s="218">
        <f t="shared" si="558"/>
        <v>-3.3190000000000026</v>
      </c>
      <c r="CK122" s="218">
        <f t="shared" si="558"/>
        <v>47.60199999999999</v>
      </c>
      <c r="CL122" s="218">
        <f t="shared" si="558"/>
        <v>-18.315999999999995</v>
      </c>
      <c r="CM122" s="218">
        <f t="shared" si="558"/>
        <v>-0.28700000000000614</v>
      </c>
      <c r="CN122" s="218">
        <f t="shared" si="558"/>
        <v>30.056000000000004</v>
      </c>
      <c r="CO122" s="218">
        <f t="shared" ref="CO122:CP129" si="559">CO23</f>
        <v>27.326000000000001</v>
      </c>
      <c r="CP122" s="218">
        <f t="shared" si="559"/>
        <v>6.838000000000001</v>
      </c>
      <c r="CQ122" s="218">
        <f t="shared" ref="CQ122:CR129" si="560">CQ23</f>
        <v>-11.351999999999997</v>
      </c>
      <c r="CR122" s="218">
        <f t="shared" si="560"/>
        <v>-68.176485876930059</v>
      </c>
      <c r="CS122" s="219">
        <f t="shared" ref="CS122:CS129" si="561">CS23</f>
        <v>-14.016201453243355</v>
      </c>
      <c r="CT122" s="22"/>
    </row>
    <row r="123" spans="1:98" ht="14.25" customHeight="1" outlineLevel="1">
      <c r="A123" s="8"/>
      <c r="B123" s="52" t="s">
        <v>488</v>
      </c>
      <c r="C123" s="53"/>
      <c r="D123" s="223">
        <v>-6.69</v>
      </c>
      <c r="E123" s="221">
        <v>-14.555999999999999</v>
      </c>
      <c r="F123" s="221">
        <v>-21.202000000000002</v>
      </c>
      <c r="G123" s="222">
        <v>-22.34</v>
      </c>
      <c r="H123" s="223">
        <v>-12.959</v>
      </c>
      <c r="I123" s="221">
        <v>-36.978999999999999</v>
      </c>
      <c r="J123" s="221">
        <v>-40.31</v>
      </c>
      <c r="K123" s="222">
        <v>-54.241999999999997</v>
      </c>
      <c r="L123" s="223">
        <v>1.5860000000000001</v>
      </c>
      <c r="M123" s="221">
        <v>7.3970000000000002</v>
      </c>
      <c r="N123" s="221">
        <v>-3.7349999999999999</v>
      </c>
      <c r="O123" s="222">
        <v>-9.2870000000000008</v>
      </c>
      <c r="P123" s="223">
        <v>6.4290000000000003</v>
      </c>
      <c r="Q123" s="221">
        <v>14.209</v>
      </c>
      <c r="R123" s="221">
        <v>27.5</v>
      </c>
      <c r="S123" s="222">
        <v>49.124000000000002</v>
      </c>
      <c r="T123" s="223">
        <v>24.524999999999999</v>
      </c>
      <c r="U123" s="221">
        <v>19.003</v>
      </c>
      <c r="V123" s="221">
        <v>24.210999999999999</v>
      </c>
      <c r="W123" s="222">
        <v>22.681000000000001</v>
      </c>
      <c r="X123" s="223">
        <v>4.8170000000000002</v>
      </c>
      <c r="Y123" s="221">
        <v>-8.7880000000000003</v>
      </c>
      <c r="Z123" s="221">
        <v>-26.460999999999999</v>
      </c>
      <c r="AA123" s="222">
        <v>-29.434999999999999</v>
      </c>
      <c r="AB123" s="223">
        <v>-9.7989999999999995</v>
      </c>
      <c r="AC123" s="221">
        <v>9.2460000000000004</v>
      </c>
      <c r="AD123" s="221">
        <v>21.658000000000001</v>
      </c>
      <c r="AE123" s="222">
        <v>-0.432</v>
      </c>
      <c r="AF123" s="223">
        <v>-16.015000000000001</v>
      </c>
      <c r="AG123" s="221">
        <v>-15.445</v>
      </c>
      <c r="AH123" s="221">
        <v>-27.588000000000001</v>
      </c>
      <c r="AI123" s="222">
        <v>-35.244999999999997</v>
      </c>
      <c r="AJ123" s="223">
        <v>-2.3010000000000002</v>
      </c>
      <c r="AK123" s="221">
        <v>11.728999999999999</v>
      </c>
      <c r="AL123" s="221">
        <v>19.446000000000002</v>
      </c>
      <c r="AM123" s="222">
        <v>20.672000000000001</v>
      </c>
      <c r="AN123" s="223">
        <v>-15.65</v>
      </c>
      <c r="AO123" s="221">
        <v>-17.135999999999999</v>
      </c>
      <c r="AP123" s="221">
        <v>-7.9420000000000002</v>
      </c>
      <c r="AQ123" s="222">
        <v>2.1629999999999998</v>
      </c>
      <c r="AR123" s="223">
        <v>-2.1669999999999998</v>
      </c>
      <c r="AS123" s="221">
        <v>13.644</v>
      </c>
      <c r="AT123" s="221">
        <v>36.429000000000002</v>
      </c>
      <c r="AU123" s="222">
        <v>44.085999999999999</v>
      </c>
      <c r="AV123" s="223">
        <v>2.5169999999999999</v>
      </c>
      <c r="AW123" s="221">
        <v>-9.9949999999999992</v>
      </c>
      <c r="AX123" s="221">
        <v>-15.5</v>
      </c>
      <c r="AY123" s="222">
        <v>-21.215</v>
      </c>
      <c r="AZ123" s="223">
        <v>1.835</v>
      </c>
      <c r="BA123" s="221">
        <v>-12.29</v>
      </c>
      <c r="BB123" s="218">
        <f t="shared" si="544"/>
        <v>-23.326000000000001</v>
      </c>
      <c r="BC123" s="219">
        <f t="shared" si="545"/>
        <v>-16.273686806142486</v>
      </c>
      <c r="BD123" s="220">
        <f t="shared" si="546"/>
        <v>19.621087037488138</v>
      </c>
      <c r="BE123" s="218">
        <f t="shared" si="547"/>
        <v>19.908304098215268</v>
      </c>
      <c r="BF123" s="218">
        <f t="shared" si="548"/>
        <v>8.5911125842214346</v>
      </c>
      <c r="BG123" s="219">
        <f t="shared" si="549"/>
        <v>8.2546985575963845</v>
      </c>
      <c r="BH123" s="220">
        <f t="shared" si="550"/>
        <v>3.3604611826820587</v>
      </c>
      <c r="BI123" s="218">
        <f t="shared" si="551"/>
        <v>3.5562889356223195</v>
      </c>
      <c r="BJ123" s="218">
        <f t="shared" si="552"/>
        <v>-5.1748945539479223</v>
      </c>
      <c r="BK123" s="219">
        <f t="shared" si="553"/>
        <v>-10.505145746404366</v>
      </c>
      <c r="BL123" s="185"/>
      <c r="BM123" s="218">
        <f t="shared" ref="BM123:BV123" si="562">BM24</f>
        <v>-22.340000000000003</v>
      </c>
      <c r="BN123" s="218">
        <f t="shared" si="562"/>
        <v>-54.241999999999997</v>
      </c>
      <c r="BO123" s="218">
        <f t="shared" si="562"/>
        <v>-9.2870000000000008</v>
      </c>
      <c r="BP123" s="218">
        <f t="shared" si="562"/>
        <v>49.124000000000002</v>
      </c>
      <c r="BQ123" s="218">
        <f t="shared" si="562"/>
        <v>22.681000000000001</v>
      </c>
      <c r="BR123" s="218">
        <f t="shared" si="562"/>
        <v>-29.434999999999999</v>
      </c>
      <c r="BS123" s="218">
        <f t="shared" si="562"/>
        <v>-0.43200000000000216</v>
      </c>
      <c r="BT123" s="218">
        <f t="shared" si="562"/>
        <v>-35.244999999999997</v>
      </c>
      <c r="BU123" s="218">
        <f t="shared" si="562"/>
        <v>20.672000000000001</v>
      </c>
      <c r="BV123" s="218">
        <f t="shared" si="562"/>
        <v>2.1630000000000003</v>
      </c>
      <c r="BW123" s="218">
        <f t="shared" si="555"/>
        <v>44.085999999999999</v>
      </c>
      <c r="BX123" s="218">
        <f t="shared" si="556"/>
        <v>-21.215</v>
      </c>
      <c r="BY123" s="218">
        <f t="shared" si="556"/>
        <v>-16.273686806142486</v>
      </c>
      <c r="BZ123" s="218">
        <f t="shared" si="557"/>
        <v>8.2546985575963845</v>
      </c>
      <c r="CA123" s="219">
        <f t="shared" si="557"/>
        <v>-10.505145746404366</v>
      </c>
      <c r="CB123" s="220"/>
      <c r="CC123" s="218"/>
      <c r="CD123" s="218"/>
      <c r="CE123" s="260"/>
      <c r="CF123" s="220">
        <f t="shared" ref="CF123:CN123" si="563">CF24</f>
        <v>-44.763000000000005</v>
      </c>
      <c r="CG123" s="218">
        <f t="shared" si="563"/>
        <v>-9.8659999999999979</v>
      </c>
      <c r="CH123" s="218">
        <f t="shared" si="563"/>
        <v>-2.4750000000000014</v>
      </c>
      <c r="CI123" s="218">
        <f t="shared" si="563"/>
        <v>53.917999999999999</v>
      </c>
      <c r="CJ123" s="218">
        <f t="shared" si="563"/>
        <v>-5.1099999999999994</v>
      </c>
      <c r="CK123" s="218">
        <f t="shared" si="563"/>
        <v>-11.400999999999996</v>
      </c>
      <c r="CL123" s="218">
        <f t="shared" si="563"/>
        <v>-25.123000000000005</v>
      </c>
      <c r="CM123" s="218">
        <f t="shared" si="563"/>
        <v>-8.0709999999999997</v>
      </c>
      <c r="CN123" s="218">
        <f t="shared" si="563"/>
        <v>-8.1929999999999978</v>
      </c>
      <c r="CO123" s="218">
        <f t="shared" si="559"/>
        <v>32.942999999999998</v>
      </c>
      <c r="CP123" s="218">
        <f t="shared" si="559"/>
        <v>20.447000000000003</v>
      </c>
      <c r="CQ123" s="218">
        <f t="shared" si="560"/>
        <v>-23.51</v>
      </c>
      <c r="CR123" s="218">
        <f t="shared" si="560"/>
        <v>15.924617292072783</v>
      </c>
      <c r="CS123" s="219">
        <f t="shared" si="561"/>
        <v>-8.0973166049965641</v>
      </c>
      <c r="CT123" s="22"/>
    </row>
    <row r="124" spans="1:98" ht="14.25" customHeight="1" outlineLevel="1">
      <c r="A124" s="8"/>
      <c r="B124" s="52" t="s">
        <v>39</v>
      </c>
      <c r="C124" s="53"/>
      <c r="D124" s="223">
        <v>-1.5329999999999999</v>
      </c>
      <c r="E124" s="221">
        <v>-7.4489999999999998</v>
      </c>
      <c r="F124" s="221">
        <v>-3.7669999999999999</v>
      </c>
      <c r="G124" s="222">
        <v>-9.5210000000000008</v>
      </c>
      <c r="H124" s="223">
        <v>-0.36299999999999999</v>
      </c>
      <c r="I124" s="221">
        <v>-3.34</v>
      </c>
      <c r="J124" s="221">
        <v>0.83299999999999996</v>
      </c>
      <c r="K124" s="222">
        <v>4.03</v>
      </c>
      <c r="L124" s="223">
        <v>5.6130000000000004</v>
      </c>
      <c r="M124" s="221">
        <v>-21.146999999999998</v>
      </c>
      <c r="N124" s="221">
        <v>-14.590999999999999</v>
      </c>
      <c r="O124" s="222">
        <v>-13.66</v>
      </c>
      <c r="P124" s="223">
        <v>11.146000000000001</v>
      </c>
      <c r="Q124" s="221">
        <v>-60.725999999999999</v>
      </c>
      <c r="R124" s="221">
        <v>-25.501999999999999</v>
      </c>
      <c r="S124" s="222">
        <v>3.226</v>
      </c>
      <c r="T124" s="223">
        <v>10.595000000000001</v>
      </c>
      <c r="U124" s="221">
        <v>8.8949999999999996</v>
      </c>
      <c r="V124" s="221">
        <v>-0.56999999999999995</v>
      </c>
      <c r="W124" s="222">
        <v>-79.319000000000003</v>
      </c>
      <c r="X124" s="223">
        <v>33.481999999999999</v>
      </c>
      <c r="Y124" s="221">
        <v>-7.43</v>
      </c>
      <c r="Z124" s="221">
        <v>37.223999999999997</v>
      </c>
      <c r="AA124" s="222">
        <v>53.255000000000003</v>
      </c>
      <c r="AB124" s="223">
        <v>-11.84</v>
      </c>
      <c r="AC124" s="221">
        <v>-13.455</v>
      </c>
      <c r="AD124" s="221">
        <v>-11.122999999999999</v>
      </c>
      <c r="AE124" s="222">
        <v>-16.756999999999998</v>
      </c>
      <c r="AF124" s="223">
        <v>-7.8390000000000004</v>
      </c>
      <c r="AG124" s="221">
        <v>-3.7480000000000002</v>
      </c>
      <c r="AH124" s="221">
        <v>-18.401</v>
      </c>
      <c r="AI124" s="222">
        <v>-20.533000000000001</v>
      </c>
      <c r="AJ124" s="223">
        <v>-18.545999999999999</v>
      </c>
      <c r="AK124" s="221">
        <v>11.784000000000001</v>
      </c>
      <c r="AL124" s="221">
        <v>18.978000000000002</v>
      </c>
      <c r="AM124" s="222">
        <v>45.557000000000002</v>
      </c>
      <c r="AN124" s="223">
        <v>-24.974</v>
      </c>
      <c r="AO124" s="221">
        <v>-23.965</v>
      </c>
      <c r="AP124" s="221">
        <v>-24.120999999999999</v>
      </c>
      <c r="AQ124" s="222">
        <v>-8.7829999999999995</v>
      </c>
      <c r="AR124" s="223">
        <v>4.7960000000000003</v>
      </c>
      <c r="AS124" s="221">
        <v>3.8780000000000001</v>
      </c>
      <c r="AT124" s="221">
        <v>-5.0689999999999991</v>
      </c>
      <c r="AU124" s="222">
        <v>2.9430000000000001</v>
      </c>
      <c r="AV124" s="223">
        <v>-12.099</v>
      </c>
      <c r="AW124" s="221">
        <v>-19.681999999999999</v>
      </c>
      <c r="AX124" s="221">
        <v>-2.82</v>
      </c>
      <c r="AY124" s="222">
        <v>-3.5470000000000002</v>
      </c>
      <c r="AZ124" s="223">
        <v>1.488</v>
      </c>
      <c r="BA124" s="221">
        <v>32.947000000000003</v>
      </c>
      <c r="BB124" s="218">
        <f t="shared" si="544"/>
        <v>31.703000000000003</v>
      </c>
      <c r="BC124" s="219">
        <f t="shared" si="545"/>
        <v>32.345633750000005</v>
      </c>
      <c r="BD124" s="220">
        <f t="shared" si="546"/>
        <v>0.53179334999999739</v>
      </c>
      <c r="BE124" s="218">
        <f t="shared" si="547"/>
        <v>0.49227438149999614</v>
      </c>
      <c r="BF124" s="218">
        <f t="shared" si="548"/>
        <v>-0.61291779516000133</v>
      </c>
      <c r="BG124" s="219">
        <f t="shared" si="549"/>
        <v>-0.84817063727550135</v>
      </c>
      <c r="BH124" s="220">
        <f t="shared" si="550"/>
        <v>0.36073071585787275</v>
      </c>
      <c r="BI124" s="218">
        <f t="shared" si="551"/>
        <v>0.37772109422120081</v>
      </c>
      <c r="BJ124" s="218">
        <f t="shared" si="552"/>
        <v>-0.52136269989101791</v>
      </c>
      <c r="BK124" s="219">
        <f t="shared" si="553"/>
        <v>-1.1329019489786738</v>
      </c>
      <c r="BL124" s="185"/>
      <c r="BM124" s="218">
        <f t="shared" ref="BM124:BV124" si="564">BM25</f>
        <v>-9.5210000000000008</v>
      </c>
      <c r="BN124" s="218">
        <f t="shared" si="564"/>
        <v>4.03</v>
      </c>
      <c r="BO124" s="218">
        <f t="shared" si="564"/>
        <v>-13.66</v>
      </c>
      <c r="BP124" s="218">
        <f t="shared" si="564"/>
        <v>3.2259999999999991</v>
      </c>
      <c r="BQ124" s="218">
        <f t="shared" si="564"/>
        <v>-79.318999999999988</v>
      </c>
      <c r="BR124" s="218">
        <f t="shared" si="564"/>
        <v>53.255000000000003</v>
      </c>
      <c r="BS124" s="218">
        <f t="shared" si="564"/>
        <v>-16.756999999999998</v>
      </c>
      <c r="BT124" s="218">
        <f t="shared" si="564"/>
        <v>-20.533000000000001</v>
      </c>
      <c r="BU124" s="218">
        <f t="shared" si="564"/>
        <v>45.557000000000002</v>
      </c>
      <c r="BV124" s="218">
        <f t="shared" si="564"/>
        <v>-8.7829999999999995</v>
      </c>
      <c r="BW124" s="218">
        <f t="shared" si="555"/>
        <v>2.9430000000000014</v>
      </c>
      <c r="BX124" s="218">
        <f t="shared" si="556"/>
        <v>-3.5470000000000006</v>
      </c>
      <c r="BY124" s="218">
        <f t="shared" si="556"/>
        <v>32.345633750000005</v>
      </c>
      <c r="BZ124" s="218">
        <f t="shared" si="557"/>
        <v>-0.84817063727550135</v>
      </c>
      <c r="CA124" s="219">
        <f t="shared" si="557"/>
        <v>-1.1329019489786738</v>
      </c>
      <c r="CB124" s="220"/>
      <c r="CC124" s="218"/>
      <c r="CD124" s="218"/>
      <c r="CE124" s="260"/>
      <c r="CF124" s="220">
        <f t="shared" ref="CF124:CN124" si="565">CF25</f>
        <v>-5.4120000000000008</v>
      </c>
      <c r="CG124" s="218">
        <f t="shared" si="565"/>
        <v>-13.776999999999997</v>
      </c>
      <c r="CH124" s="218">
        <f t="shared" si="565"/>
        <v>-53.239000000000004</v>
      </c>
      <c r="CI124" s="218">
        <f t="shared" si="565"/>
        <v>72.846999999999994</v>
      </c>
      <c r="CJ124" s="218">
        <f t="shared" si="565"/>
        <v>-95.644000000000005</v>
      </c>
      <c r="CK124" s="218">
        <f t="shared" si="565"/>
        <v>47.23</v>
      </c>
      <c r="CL124" s="218">
        <f t="shared" si="565"/>
        <v>-7.0499999999999963</v>
      </c>
      <c r="CM124" s="218">
        <f t="shared" si="565"/>
        <v>-5.0010000000000048</v>
      </c>
      <c r="CN124" s="218">
        <f t="shared" si="565"/>
        <v>9.8080000000000034</v>
      </c>
      <c r="CO124" s="218">
        <f t="shared" si="559"/>
        <v>19.060000000000002</v>
      </c>
      <c r="CP124" s="218">
        <f t="shared" si="559"/>
        <v>-20.616999999999997</v>
      </c>
      <c r="CQ124" s="218">
        <f t="shared" si="560"/>
        <v>49.082000000000001</v>
      </c>
      <c r="CR124" s="218">
        <f t="shared" si="560"/>
        <v>-0.10909186850000219</v>
      </c>
      <c r="CS124" s="219">
        <f t="shared" si="561"/>
        <v>-0.96272392455429667</v>
      </c>
      <c r="CT124" s="22"/>
    </row>
    <row r="125" spans="1:98" ht="14.25" customHeight="1" outlineLevel="1">
      <c r="A125" s="8"/>
      <c r="B125" s="52" t="s">
        <v>450</v>
      </c>
      <c r="C125" s="53"/>
      <c r="D125" s="223">
        <v>9.0909999999999993</v>
      </c>
      <c r="E125" s="221">
        <v>15.407999999999999</v>
      </c>
      <c r="F125" s="221">
        <v>5.4020000000000001</v>
      </c>
      <c r="G125" s="222">
        <v>30.885000000000002</v>
      </c>
      <c r="H125" s="223">
        <v>-8.4559999999999995</v>
      </c>
      <c r="I125" s="221">
        <v>-21.001000000000001</v>
      </c>
      <c r="J125" s="221">
        <v>-10.734999999999999</v>
      </c>
      <c r="K125" s="222">
        <v>-12.278</v>
      </c>
      <c r="L125" s="223">
        <v>5.0999999999999997E-2</v>
      </c>
      <c r="M125" s="221">
        <v>-5.952</v>
      </c>
      <c r="N125" s="221">
        <v>-14.676</v>
      </c>
      <c r="O125" s="222">
        <v>-13.382999999999999</v>
      </c>
      <c r="P125" s="223">
        <v>15.471</v>
      </c>
      <c r="Q125" s="221">
        <v>-0.124</v>
      </c>
      <c r="R125" s="221">
        <v>-8.0299999999999994</v>
      </c>
      <c r="S125" s="222">
        <v>-5.9880000000000004</v>
      </c>
      <c r="T125" s="223">
        <v>-14.891</v>
      </c>
      <c r="U125" s="221">
        <v>-0.64300000000000002</v>
      </c>
      <c r="V125" s="221">
        <v>14.744999999999999</v>
      </c>
      <c r="W125" s="222">
        <v>41.191000000000003</v>
      </c>
      <c r="X125" s="223">
        <v>11.59</v>
      </c>
      <c r="Y125" s="221">
        <v>-7.077</v>
      </c>
      <c r="Z125" s="221">
        <v>3.875</v>
      </c>
      <c r="AA125" s="222">
        <v>-4.7460000000000004</v>
      </c>
      <c r="AB125" s="223">
        <v>4.8819999999999997</v>
      </c>
      <c r="AC125" s="221">
        <v>-13.515000000000001</v>
      </c>
      <c r="AD125" s="221">
        <v>13.712999999999999</v>
      </c>
      <c r="AE125" s="222">
        <v>25.515000000000001</v>
      </c>
      <c r="AF125" s="223">
        <v>-26.466000000000001</v>
      </c>
      <c r="AG125" s="221">
        <v>-36.002000000000002</v>
      </c>
      <c r="AH125" s="221">
        <v>-25.548999999999999</v>
      </c>
      <c r="AI125" s="222">
        <v>-32.51</v>
      </c>
      <c r="AJ125" s="223">
        <v>-9.1620000000000008</v>
      </c>
      <c r="AK125" s="221">
        <v>-12.414</v>
      </c>
      <c r="AL125" s="221">
        <v>-16.457999999999998</v>
      </c>
      <c r="AM125" s="222">
        <v>-11.255000000000001</v>
      </c>
      <c r="AN125" s="223">
        <v>4.4550000000000001</v>
      </c>
      <c r="AO125" s="221">
        <v>-7.5519999999999996</v>
      </c>
      <c r="AP125" s="221">
        <v>-7.0750000000000002</v>
      </c>
      <c r="AQ125" s="222">
        <v>-4.2009999999999996</v>
      </c>
      <c r="AR125" s="223">
        <v>-9.7759999999999998</v>
      </c>
      <c r="AS125" s="221">
        <v>-17.434999999999999</v>
      </c>
      <c r="AT125" s="221">
        <v>-8.7519999999999989</v>
      </c>
      <c r="AU125" s="222">
        <v>-3.6760000000000002</v>
      </c>
      <c r="AV125" s="223">
        <v>-0.85799999999999998</v>
      </c>
      <c r="AW125" s="221">
        <v>-12.856999999999999</v>
      </c>
      <c r="AX125" s="221">
        <v>-0.97</v>
      </c>
      <c r="AY125" s="222">
        <v>-6.2050000000000001</v>
      </c>
      <c r="AZ125" s="223">
        <v>-9.9789999999999992</v>
      </c>
      <c r="BA125" s="221">
        <v>3.6640000000000001</v>
      </c>
      <c r="BB125" s="218">
        <f t="shared" si="544"/>
        <v>3.4290000000000003</v>
      </c>
      <c r="BC125" s="219">
        <f t="shared" si="545"/>
        <v>1.2534525182959566</v>
      </c>
      <c r="BD125" s="220">
        <f t="shared" si="546"/>
        <v>-6.052851783423705</v>
      </c>
      <c r="BE125" s="218">
        <f t="shared" si="547"/>
        <v>-6.1414545348885099</v>
      </c>
      <c r="BF125" s="218">
        <f t="shared" si="548"/>
        <v>-2.6502472073869114</v>
      </c>
      <c r="BG125" s="219">
        <f t="shared" si="549"/>
        <v>-2.5464678277258486</v>
      </c>
      <c r="BH125" s="220">
        <f t="shared" si="550"/>
        <v>-1.0366588468753406</v>
      </c>
      <c r="BI125" s="218">
        <f t="shared" si="551"/>
        <v>-1.0970691779321129</v>
      </c>
      <c r="BJ125" s="218">
        <f t="shared" si="552"/>
        <v>1.5963880935876773</v>
      </c>
      <c r="BK125" s="219">
        <f t="shared" si="553"/>
        <v>3.2407017024470548</v>
      </c>
      <c r="BL125" s="185"/>
      <c r="BM125" s="218">
        <f t="shared" ref="BM125:BV125" si="566">BM26</f>
        <v>30.885000000000005</v>
      </c>
      <c r="BN125" s="218">
        <f t="shared" si="566"/>
        <v>-12.278000000000002</v>
      </c>
      <c r="BO125" s="218">
        <f t="shared" si="566"/>
        <v>-13.382999999999999</v>
      </c>
      <c r="BP125" s="218">
        <f t="shared" si="566"/>
        <v>-5.9880000000000013</v>
      </c>
      <c r="BQ125" s="218">
        <f t="shared" si="566"/>
        <v>41.191000000000003</v>
      </c>
      <c r="BR125" s="218">
        <f t="shared" si="566"/>
        <v>-4.7460000000000004</v>
      </c>
      <c r="BS125" s="218">
        <f t="shared" si="566"/>
        <v>25.515000000000001</v>
      </c>
      <c r="BT125" s="218">
        <f t="shared" si="566"/>
        <v>-32.51</v>
      </c>
      <c r="BU125" s="218">
        <f t="shared" si="566"/>
        <v>-11.255000000000001</v>
      </c>
      <c r="BV125" s="218">
        <f t="shared" si="566"/>
        <v>-4.2009999999999996</v>
      </c>
      <c r="BW125" s="218">
        <f t="shared" si="555"/>
        <v>-3.6760000000000002</v>
      </c>
      <c r="BX125" s="218">
        <f t="shared" si="556"/>
        <v>-6.205000000000001</v>
      </c>
      <c r="BY125" s="218">
        <f t="shared" si="556"/>
        <v>1.2534525182959562</v>
      </c>
      <c r="BZ125" s="218">
        <f t="shared" si="557"/>
        <v>-2.5464678277258486</v>
      </c>
      <c r="CA125" s="219">
        <f t="shared" si="557"/>
        <v>3.2407017024470548</v>
      </c>
      <c r="CB125" s="220"/>
      <c r="CC125" s="218"/>
      <c r="CD125" s="218"/>
      <c r="CE125" s="260"/>
      <c r="CF125" s="220">
        <f t="shared" ref="CF125:CN125" si="567">CF26</f>
        <v>-5.5239999999999974</v>
      </c>
      <c r="CG125" s="218">
        <f t="shared" si="567"/>
        <v>2.770999999999999</v>
      </c>
      <c r="CH125" s="218">
        <f t="shared" si="567"/>
        <v>-7.5549999999999997</v>
      </c>
      <c r="CI125" s="218">
        <f t="shared" si="567"/>
        <v>-6.5070000000000032</v>
      </c>
      <c r="CJ125" s="218">
        <f t="shared" si="567"/>
        <v>34.757000000000005</v>
      </c>
      <c r="CK125" s="218">
        <f t="shared" si="567"/>
        <v>-11.183999999999997</v>
      </c>
      <c r="CL125" s="218">
        <f t="shared" si="567"/>
        <v>3.0279999999999987</v>
      </c>
      <c r="CM125" s="218">
        <f t="shared" si="567"/>
        <v>-8.9219999999999953</v>
      </c>
      <c r="CN125" s="218">
        <f t="shared" si="567"/>
        <v>-6.3930000000000007</v>
      </c>
      <c r="CO125" s="218">
        <f t="shared" si="559"/>
        <v>-14.084</v>
      </c>
      <c r="CP125" s="218">
        <f t="shared" si="559"/>
        <v>0.90199999999999925</v>
      </c>
      <c r="CQ125" s="218">
        <f t="shared" si="560"/>
        <v>10.315999999999999</v>
      </c>
      <c r="CR125" s="218">
        <f t="shared" si="560"/>
        <v>-8.552002016592553</v>
      </c>
      <c r="CS125" s="219">
        <f t="shared" si="561"/>
        <v>2.4979175292305484</v>
      </c>
      <c r="CT125" s="22"/>
    </row>
    <row r="126" spans="1:98" ht="14.25" customHeight="1" outlineLevel="1">
      <c r="A126" s="8"/>
      <c r="B126" s="52" t="s">
        <v>559</v>
      </c>
      <c r="C126" s="53"/>
      <c r="D126" s="223">
        <v>22.169</v>
      </c>
      <c r="E126" s="221">
        <v>21.085000000000001</v>
      </c>
      <c r="F126" s="221">
        <v>10.992000000000001</v>
      </c>
      <c r="G126" s="222">
        <v>20.933</v>
      </c>
      <c r="H126" s="223">
        <v>45.661999999999999</v>
      </c>
      <c r="I126" s="221">
        <v>1.085</v>
      </c>
      <c r="J126" s="221">
        <v>-41.253</v>
      </c>
      <c r="K126" s="222">
        <v>-14.045999999999999</v>
      </c>
      <c r="L126" s="223">
        <v>39.439</v>
      </c>
      <c r="M126" s="221">
        <v>-10.018000000000001</v>
      </c>
      <c r="N126" s="221">
        <v>-10.018000000000001</v>
      </c>
      <c r="O126" s="222">
        <v>-4.5069999999999997</v>
      </c>
      <c r="P126" s="223">
        <v>21.503</v>
      </c>
      <c r="Q126" s="221">
        <v>2.4809999999999999</v>
      </c>
      <c r="R126" s="221">
        <v>3.673</v>
      </c>
      <c r="S126" s="222">
        <v>15.545</v>
      </c>
      <c r="T126" s="223">
        <v>24.49</v>
      </c>
      <c r="U126" s="221">
        <v>-26.074999999999999</v>
      </c>
      <c r="V126" s="221">
        <v>-26.8</v>
      </c>
      <c r="W126" s="222">
        <v>17.384</v>
      </c>
      <c r="X126" s="223">
        <v>0.16400000000000001</v>
      </c>
      <c r="Y126" s="221">
        <v>22.344999999999999</v>
      </c>
      <c r="Z126" s="221">
        <v>-47.856000000000002</v>
      </c>
      <c r="AA126" s="222">
        <v>-45.317999999999998</v>
      </c>
      <c r="AB126" s="223">
        <v>3.698</v>
      </c>
      <c r="AC126" s="221">
        <v>16.317</v>
      </c>
      <c r="AD126" s="221">
        <v>114.63800000000001</v>
      </c>
      <c r="AE126" s="222">
        <v>134.96700000000001</v>
      </c>
      <c r="AF126" s="223">
        <v>10.461</v>
      </c>
      <c r="AG126" s="221">
        <v>47.937999999999995</v>
      </c>
      <c r="AH126" s="221">
        <v>57.037999999999997</v>
      </c>
      <c r="AI126" s="222">
        <v>70.156000000000006</v>
      </c>
      <c r="AJ126" s="223">
        <v>11.393000000000001</v>
      </c>
      <c r="AK126" s="221">
        <v>30.395</v>
      </c>
      <c r="AL126" s="221">
        <v>44.639000000000003</v>
      </c>
      <c r="AM126" s="222">
        <v>54.491999999999997</v>
      </c>
      <c r="AN126" s="223">
        <v>-12.289</v>
      </c>
      <c r="AO126" s="221">
        <v>0.54600000000000004</v>
      </c>
      <c r="AP126" s="221">
        <v>23.132999999999999</v>
      </c>
      <c r="AQ126" s="222">
        <v>62.35</v>
      </c>
      <c r="AR126" s="223">
        <v>34.127000000000002</v>
      </c>
      <c r="AS126" s="221">
        <v>7.2519999999999998</v>
      </c>
      <c r="AT126" s="221">
        <v>36.849000000000004</v>
      </c>
      <c r="AU126" s="222">
        <v>56.640999999999998</v>
      </c>
      <c r="AV126" s="223">
        <v>0.11</v>
      </c>
      <c r="AW126" s="221">
        <v>17.248000000000001</v>
      </c>
      <c r="AX126" s="221">
        <v>38.179000000000002</v>
      </c>
      <c r="AY126" s="222">
        <v>60.798000000000002</v>
      </c>
      <c r="AZ126" s="223">
        <v>16.332999999999998</v>
      </c>
      <c r="BA126" s="221">
        <v>250.59700000000001</v>
      </c>
      <c r="BB126" s="218">
        <f t="shared" si="544"/>
        <v>280.66399999999999</v>
      </c>
      <c r="BC126" s="219">
        <f t="shared" si="545"/>
        <v>280.66399999999999</v>
      </c>
      <c r="BD126" s="220">
        <f t="shared" si="546"/>
        <v>0</v>
      </c>
      <c r="BE126" s="218">
        <f t="shared" si="547"/>
        <v>0</v>
      </c>
      <c r="BF126" s="218">
        <f t="shared" si="548"/>
        <v>0</v>
      </c>
      <c r="BG126" s="219">
        <f t="shared" si="549"/>
        <v>0</v>
      </c>
      <c r="BH126" s="220">
        <f t="shared" si="550"/>
        <v>0</v>
      </c>
      <c r="BI126" s="218">
        <f t="shared" si="551"/>
        <v>0</v>
      </c>
      <c r="BJ126" s="218">
        <f t="shared" si="552"/>
        <v>0</v>
      </c>
      <c r="BK126" s="219">
        <f t="shared" si="553"/>
        <v>0</v>
      </c>
      <c r="BL126" s="185"/>
      <c r="BM126" s="218">
        <f t="shared" ref="BM126:BV126" si="568">BM27</f>
        <v>20.933</v>
      </c>
      <c r="BN126" s="218">
        <f t="shared" si="568"/>
        <v>-14.045999999999999</v>
      </c>
      <c r="BO126" s="218">
        <f t="shared" si="568"/>
        <v>-4.5069999999999979</v>
      </c>
      <c r="BP126" s="218">
        <f t="shared" si="568"/>
        <v>15.545000000000002</v>
      </c>
      <c r="BQ126" s="218">
        <f t="shared" si="568"/>
        <v>17.384000000000011</v>
      </c>
      <c r="BR126" s="218">
        <f t="shared" si="568"/>
        <v>-45.317999999999998</v>
      </c>
      <c r="BS126" s="218">
        <f t="shared" si="568"/>
        <v>134.96700000000001</v>
      </c>
      <c r="BT126" s="218">
        <f t="shared" si="568"/>
        <v>70.156000000000006</v>
      </c>
      <c r="BU126" s="218">
        <f t="shared" si="568"/>
        <v>54.49199999999999</v>
      </c>
      <c r="BV126" s="218">
        <f t="shared" si="568"/>
        <v>62.350000000000009</v>
      </c>
      <c r="BW126" s="218">
        <f t="shared" si="555"/>
        <v>56.640999999999998</v>
      </c>
      <c r="BX126" s="218">
        <f t="shared" si="556"/>
        <v>60.798000000000002</v>
      </c>
      <c r="BY126" s="218">
        <f t="shared" si="556"/>
        <v>280.66399999999999</v>
      </c>
      <c r="BZ126" s="218">
        <f t="shared" si="557"/>
        <v>0</v>
      </c>
      <c r="CA126" s="219">
        <f t="shared" si="557"/>
        <v>0</v>
      </c>
      <c r="CB126" s="220"/>
      <c r="CC126" s="218"/>
      <c r="CD126" s="218"/>
      <c r="CE126" s="260"/>
      <c r="CF126" s="220">
        <f t="shared" ref="CF126:CN126" si="569">CF27</f>
        <v>0.93299999999999983</v>
      </c>
      <c r="CG126" s="218">
        <f t="shared" si="569"/>
        <v>-25.149000000000001</v>
      </c>
      <c r="CH126" s="218">
        <f t="shared" si="569"/>
        <v>7.9920000000000044</v>
      </c>
      <c r="CI126" s="218">
        <f t="shared" si="569"/>
        <v>-13.010999999999996</v>
      </c>
      <c r="CJ126" s="218">
        <f t="shared" si="569"/>
        <v>65.804000000000002</v>
      </c>
      <c r="CK126" s="218">
        <f t="shared" si="569"/>
        <v>-51.345999999999997</v>
      </c>
      <c r="CL126" s="218">
        <f t="shared" si="569"/>
        <v>166.58800000000002</v>
      </c>
      <c r="CM126" s="218">
        <f t="shared" si="569"/>
        <v>52.613</v>
      </c>
      <c r="CN126" s="218">
        <f t="shared" si="569"/>
        <v>24.642999999999994</v>
      </c>
      <c r="CO126" s="218">
        <f t="shared" si="559"/>
        <v>69.056000000000012</v>
      </c>
      <c r="CP126" s="218">
        <f t="shared" si="559"/>
        <v>66.637</v>
      </c>
      <c r="CQ126" s="218">
        <f t="shared" si="560"/>
        <v>294.14699999999999</v>
      </c>
      <c r="CR126" s="218">
        <f t="shared" si="560"/>
        <v>30.067</v>
      </c>
      <c r="CS126" s="219">
        <f t="shared" si="561"/>
        <v>0</v>
      </c>
      <c r="CT126" s="22"/>
    </row>
    <row r="127" spans="1:98" ht="14.25" customHeight="1" outlineLevel="1">
      <c r="A127" s="8"/>
      <c r="B127" s="52" t="s">
        <v>31</v>
      </c>
      <c r="C127" s="53"/>
      <c r="D127" s="223">
        <v>-0.97799999999999998</v>
      </c>
      <c r="E127" s="221">
        <v>-0.82499999999999996</v>
      </c>
      <c r="F127" s="221">
        <v>2.2080000000000002</v>
      </c>
      <c r="G127" s="222">
        <v>0.90200000000000002</v>
      </c>
      <c r="H127" s="223">
        <v>1.1259999999999999</v>
      </c>
      <c r="I127" s="221">
        <v>6.4000000000000001E-2</v>
      </c>
      <c r="J127" s="221">
        <v>2.6850000000000001</v>
      </c>
      <c r="K127" s="222">
        <v>2.5139999999999998</v>
      </c>
      <c r="L127" s="223">
        <v>-1.9139999999999999</v>
      </c>
      <c r="M127" s="221">
        <v>-1.391</v>
      </c>
      <c r="N127" s="221">
        <v>-3.85</v>
      </c>
      <c r="O127" s="222">
        <v>-2.194</v>
      </c>
      <c r="P127" s="223">
        <v>-0.13800000000000001</v>
      </c>
      <c r="Q127" s="221">
        <v>-0.85</v>
      </c>
      <c r="R127" s="221">
        <v>-3.4369999999999998</v>
      </c>
      <c r="S127" s="222">
        <v>-4.6870000000000003</v>
      </c>
      <c r="T127" s="223">
        <v>2.004</v>
      </c>
      <c r="U127" s="221">
        <v>1.4670000000000001</v>
      </c>
      <c r="V127" s="221">
        <v>4.3449999999999998</v>
      </c>
      <c r="W127" s="222">
        <v>9.02</v>
      </c>
      <c r="X127" s="223">
        <v>6.5069999999999997</v>
      </c>
      <c r="Y127" s="221">
        <v>8.4860000000000007</v>
      </c>
      <c r="Z127" s="221">
        <v>9.7919999999999998</v>
      </c>
      <c r="AA127" s="222">
        <v>11.102</v>
      </c>
      <c r="AB127" s="223">
        <v>-2.3010000000000002</v>
      </c>
      <c r="AC127" s="221">
        <v>-5.7450000000000001</v>
      </c>
      <c r="AD127" s="221">
        <v>-8.1519999999999992</v>
      </c>
      <c r="AE127" s="222">
        <v>-10.600999999999999</v>
      </c>
      <c r="AF127" s="223">
        <v>0.745</v>
      </c>
      <c r="AG127" s="221">
        <v>-0.91800000000000004</v>
      </c>
      <c r="AH127" s="221">
        <v>-0.42899999999999999</v>
      </c>
      <c r="AI127" s="222">
        <v>0.27700000000000002</v>
      </c>
      <c r="AJ127" s="223">
        <v>0.622</v>
      </c>
      <c r="AK127" s="221">
        <v>-1.0149999999999999</v>
      </c>
      <c r="AL127" s="221">
        <v>-2.298</v>
      </c>
      <c r="AM127" s="222">
        <v>-0.82299999999999995</v>
      </c>
      <c r="AN127" s="223">
        <v>1.087</v>
      </c>
      <c r="AO127" s="221">
        <v>1.369</v>
      </c>
      <c r="AP127" s="221">
        <v>4.8159999999999998</v>
      </c>
      <c r="AQ127" s="222">
        <v>4.593</v>
      </c>
      <c r="AR127" s="223">
        <v>4.7640000000000002</v>
      </c>
      <c r="AS127" s="221">
        <v>1.74</v>
      </c>
      <c r="AT127" s="221">
        <v>4.13</v>
      </c>
      <c r="AU127" s="222">
        <v>8.452</v>
      </c>
      <c r="AV127" s="223">
        <v>-3.0249999999999999</v>
      </c>
      <c r="AW127" s="221">
        <v>-2.6419999999999999</v>
      </c>
      <c r="AX127" s="221">
        <v>-3.0550000000000002</v>
      </c>
      <c r="AY127" s="222">
        <v>-23.805</v>
      </c>
      <c r="AZ127" s="223">
        <v>2.02</v>
      </c>
      <c r="BA127" s="221">
        <v>-14.974</v>
      </c>
      <c r="BB127" s="218">
        <f t="shared" si="544"/>
        <v>-14.974</v>
      </c>
      <c r="BC127" s="219">
        <f t="shared" si="545"/>
        <v>-14.974</v>
      </c>
      <c r="BD127" s="220">
        <f t="shared" si="546"/>
        <v>0</v>
      </c>
      <c r="BE127" s="218">
        <f t="shared" si="547"/>
        <v>0</v>
      </c>
      <c r="BF127" s="218">
        <f t="shared" si="548"/>
        <v>0</v>
      </c>
      <c r="BG127" s="219">
        <f t="shared" si="549"/>
        <v>0</v>
      </c>
      <c r="BH127" s="220">
        <f t="shared" si="550"/>
        <v>0</v>
      </c>
      <c r="BI127" s="218">
        <f t="shared" si="551"/>
        <v>0</v>
      </c>
      <c r="BJ127" s="218">
        <f t="shared" si="552"/>
        <v>0</v>
      </c>
      <c r="BK127" s="219">
        <f t="shared" si="553"/>
        <v>0</v>
      </c>
      <c r="BL127" s="185"/>
      <c r="BM127" s="218">
        <f t="shared" ref="BM127:BV127" si="570">BM28</f>
        <v>0.90199999999999991</v>
      </c>
      <c r="BN127" s="218">
        <f t="shared" si="570"/>
        <v>2.5139999999999998</v>
      </c>
      <c r="BO127" s="218">
        <f t="shared" si="570"/>
        <v>-2.194</v>
      </c>
      <c r="BP127" s="218">
        <f t="shared" si="570"/>
        <v>-4.6870000000000003</v>
      </c>
      <c r="BQ127" s="218">
        <f t="shared" si="570"/>
        <v>9.02</v>
      </c>
      <c r="BR127" s="218">
        <f t="shared" si="570"/>
        <v>11.102</v>
      </c>
      <c r="BS127" s="218">
        <f t="shared" si="570"/>
        <v>-10.600999999999999</v>
      </c>
      <c r="BT127" s="218">
        <f t="shared" si="570"/>
        <v>0.27700000000000002</v>
      </c>
      <c r="BU127" s="218">
        <f t="shared" si="570"/>
        <v>-0.82299999999999995</v>
      </c>
      <c r="BV127" s="218">
        <f t="shared" si="570"/>
        <v>4.593</v>
      </c>
      <c r="BW127" s="218">
        <f t="shared" si="555"/>
        <v>8.452</v>
      </c>
      <c r="BX127" s="218">
        <f t="shared" si="556"/>
        <v>-23.805</v>
      </c>
      <c r="BY127" s="218">
        <f t="shared" si="556"/>
        <v>-14.974</v>
      </c>
      <c r="BZ127" s="218">
        <f t="shared" si="557"/>
        <v>0</v>
      </c>
      <c r="CA127" s="219">
        <f t="shared" si="557"/>
        <v>0</v>
      </c>
      <c r="CB127" s="220"/>
      <c r="CC127" s="218"/>
      <c r="CD127" s="218"/>
      <c r="CE127" s="260"/>
      <c r="CF127" s="220">
        <f t="shared" ref="CF127:CN127" si="571">CF28</f>
        <v>1.7909999999999999</v>
      </c>
      <c r="CG127" s="218">
        <f t="shared" si="571"/>
        <v>1.0589999999999997</v>
      </c>
      <c r="CH127" s="218">
        <f t="shared" si="571"/>
        <v>-1.653</v>
      </c>
      <c r="CI127" s="218">
        <f t="shared" si="571"/>
        <v>-2.37</v>
      </c>
      <c r="CJ127" s="218">
        <f t="shared" si="571"/>
        <v>16.039000000000001</v>
      </c>
      <c r="CK127" s="218">
        <f t="shared" si="571"/>
        <v>-3.1290000000000004</v>
      </c>
      <c r="CL127" s="218">
        <f t="shared" si="571"/>
        <v>-5.7739999999999982</v>
      </c>
      <c r="CM127" s="218">
        <f t="shared" si="571"/>
        <v>0.18000000000000016</v>
      </c>
      <c r="CN127" s="218">
        <f t="shared" si="571"/>
        <v>1.5610000000000002</v>
      </c>
      <c r="CO127" s="218">
        <f t="shared" si="559"/>
        <v>4.9640000000000004</v>
      </c>
      <c r="CP127" s="218">
        <f t="shared" si="559"/>
        <v>4.07</v>
      </c>
      <c r="CQ127" s="218">
        <f t="shared" si="560"/>
        <v>-36.137</v>
      </c>
      <c r="CR127" s="218">
        <f t="shared" si="560"/>
        <v>0</v>
      </c>
      <c r="CS127" s="219">
        <f t="shared" si="561"/>
        <v>0</v>
      </c>
      <c r="CT127" s="22"/>
    </row>
    <row r="128" spans="1:98" ht="14.25" customHeight="1" outlineLevel="1">
      <c r="A128" s="8"/>
      <c r="B128" s="52" t="s">
        <v>40</v>
      </c>
      <c r="C128" s="53"/>
      <c r="D128" s="223">
        <v>19.329000000000001</v>
      </c>
      <c r="E128" s="221">
        <v>-1.4179999999999999</v>
      </c>
      <c r="F128" s="221">
        <v>1.845</v>
      </c>
      <c r="G128" s="222">
        <v>36.381999999999998</v>
      </c>
      <c r="H128" s="223">
        <v>7.5659999999999998</v>
      </c>
      <c r="I128" s="221">
        <v>2.8370000000000002</v>
      </c>
      <c r="J128" s="221">
        <v>-6.6349999999999998</v>
      </c>
      <c r="K128" s="222">
        <v>-17.908999999999999</v>
      </c>
      <c r="L128" s="223">
        <v>-17.422999999999998</v>
      </c>
      <c r="M128" s="221">
        <v>-37.468000000000004</v>
      </c>
      <c r="N128" s="221">
        <v>-9.1479999999999997</v>
      </c>
      <c r="O128" s="222">
        <v>-11.944000000000001</v>
      </c>
      <c r="P128" s="223">
        <v>-51.896999999999998</v>
      </c>
      <c r="Q128" s="221">
        <v>-70.762</v>
      </c>
      <c r="R128" s="221">
        <v>-71.155000000000001</v>
      </c>
      <c r="S128" s="222">
        <v>-90.043000000000006</v>
      </c>
      <c r="T128" s="223">
        <v>-12.25</v>
      </c>
      <c r="U128" s="221">
        <v>-11.07</v>
      </c>
      <c r="V128" s="221">
        <v>19.402999999999999</v>
      </c>
      <c r="W128" s="222">
        <v>31.347000000000001</v>
      </c>
      <c r="X128" s="223">
        <v>-19.308</v>
      </c>
      <c r="Y128" s="221">
        <v>-15.813000000000001</v>
      </c>
      <c r="Z128" s="221">
        <v>30.120999999999999</v>
      </c>
      <c r="AA128" s="222">
        <v>47.429000000000002</v>
      </c>
      <c r="AB128" s="223">
        <v>0</v>
      </c>
      <c r="AC128" s="221">
        <v>0</v>
      </c>
      <c r="AD128" s="221">
        <v>0</v>
      </c>
      <c r="AE128" s="222">
        <v>0</v>
      </c>
      <c r="AF128" s="223">
        <v>0</v>
      </c>
      <c r="AG128" s="221">
        <v>0</v>
      </c>
      <c r="AH128" s="221">
        <v>0</v>
      </c>
      <c r="AI128" s="222">
        <v>0</v>
      </c>
      <c r="AJ128" s="223">
        <v>0</v>
      </c>
      <c r="AK128" s="221">
        <v>0</v>
      </c>
      <c r="AL128" s="221"/>
      <c r="AM128" s="222">
        <v>0</v>
      </c>
      <c r="AN128" s="223">
        <v>0</v>
      </c>
      <c r="AO128" s="221">
        <v>0</v>
      </c>
      <c r="AP128" s="221">
        <v>0</v>
      </c>
      <c r="AQ128" s="222">
        <v>0</v>
      </c>
      <c r="AR128" s="223">
        <v>0</v>
      </c>
      <c r="AS128" s="221">
        <v>0</v>
      </c>
      <c r="AT128" s="221">
        <v>0</v>
      </c>
      <c r="AU128" s="222">
        <v>0</v>
      </c>
      <c r="AV128" s="223">
        <v>-55.572000000000003</v>
      </c>
      <c r="AW128" s="221">
        <v>-57.222999999999999</v>
      </c>
      <c r="AX128" s="221">
        <v>0</v>
      </c>
      <c r="AY128" s="222">
        <v>0</v>
      </c>
      <c r="AZ128" s="223">
        <v>-42.104999999999997</v>
      </c>
      <c r="BA128" s="221">
        <v>-31.582000000000001</v>
      </c>
      <c r="BB128" s="218">
        <f t="shared" si="544"/>
        <v>1.8260000000000005</v>
      </c>
      <c r="BC128" s="219">
        <f t="shared" si="545"/>
        <v>1.8260000000000005</v>
      </c>
      <c r="BD128" s="220">
        <f t="shared" si="546"/>
        <v>0</v>
      </c>
      <c r="BE128" s="218">
        <f t="shared" si="547"/>
        <v>0</v>
      </c>
      <c r="BF128" s="218">
        <f t="shared" si="548"/>
        <v>0</v>
      </c>
      <c r="BG128" s="219">
        <f t="shared" si="549"/>
        <v>0</v>
      </c>
      <c r="BH128" s="220">
        <f t="shared" si="550"/>
        <v>0</v>
      </c>
      <c r="BI128" s="218">
        <f t="shared" si="551"/>
        <v>0</v>
      </c>
      <c r="BJ128" s="218">
        <f t="shared" si="552"/>
        <v>0</v>
      </c>
      <c r="BK128" s="219">
        <f t="shared" si="553"/>
        <v>0</v>
      </c>
      <c r="BL128" s="185"/>
      <c r="BM128" s="218">
        <f t="shared" ref="BM128:BV128" si="572">BM29</f>
        <v>36.381999999999998</v>
      </c>
      <c r="BN128" s="218">
        <f t="shared" si="572"/>
        <v>-17.908999999999999</v>
      </c>
      <c r="BO128" s="218">
        <f t="shared" si="572"/>
        <v>-11.943999999999999</v>
      </c>
      <c r="BP128" s="218">
        <f t="shared" si="572"/>
        <v>-90.043000000000006</v>
      </c>
      <c r="BQ128" s="218">
        <f t="shared" si="572"/>
        <v>31.347000000000001</v>
      </c>
      <c r="BR128" s="218">
        <f t="shared" si="572"/>
        <v>47.429000000000002</v>
      </c>
      <c r="BS128" s="218">
        <f t="shared" si="572"/>
        <v>0</v>
      </c>
      <c r="BT128" s="218">
        <f t="shared" si="572"/>
        <v>0</v>
      </c>
      <c r="BU128" s="218">
        <f t="shared" si="572"/>
        <v>0</v>
      </c>
      <c r="BV128" s="218">
        <f t="shared" si="572"/>
        <v>0</v>
      </c>
      <c r="BW128" s="218">
        <f t="shared" si="555"/>
        <v>0</v>
      </c>
      <c r="BX128" s="218">
        <f t="shared" si="556"/>
        <v>0</v>
      </c>
      <c r="BY128" s="218">
        <f t="shared" si="556"/>
        <v>1.8260000000000005</v>
      </c>
      <c r="BZ128" s="218">
        <f t="shared" si="557"/>
        <v>0</v>
      </c>
      <c r="CA128" s="219">
        <f t="shared" si="557"/>
        <v>0</v>
      </c>
      <c r="CB128" s="220"/>
      <c r="CC128" s="218"/>
      <c r="CD128" s="218"/>
      <c r="CE128" s="260"/>
      <c r="CF128" s="220">
        <f t="shared" ref="CF128:CN128" si="573">CF29</f>
        <v>40.637</v>
      </c>
      <c r="CG128" s="218">
        <f t="shared" si="573"/>
        <v>-58.213999999999999</v>
      </c>
      <c r="CH128" s="218">
        <f t="shared" si="573"/>
        <v>-45.238</v>
      </c>
      <c r="CI128" s="218">
        <f t="shared" si="573"/>
        <v>-30.350999999999999</v>
      </c>
      <c r="CJ128" s="218">
        <f t="shared" si="573"/>
        <v>26.603999999999999</v>
      </c>
      <c r="CK128" s="218">
        <f t="shared" si="573"/>
        <v>63.242000000000004</v>
      </c>
      <c r="CL128" s="218">
        <f t="shared" si="573"/>
        <v>0</v>
      </c>
      <c r="CM128" s="218">
        <f t="shared" si="573"/>
        <v>0</v>
      </c>
      <c r="CN128" s="218">
        <f t="shared" si="573"/>
        <v>0</v>
      </c>
      <c r="CO128" s="218">
        <f t="shared" si="559"/>
        <v>0</v>
      </c>
      <c r="CP128" s="218">
        <f t="shared" si="559"/>
        <v>-57.222999999999999</v>
      </c>
      <c r="CQ128" s="218">
        <f t="shared" si="560"/>
        <v>25.640999999999998</v>
      </c>
      <c r="CR128" s="218">
        <f t="shared" si="560"/>
        <v>33.408000000000001</v>
      </c>
      <c r="CS128" s="219">
        <f t="shared" si="561"/>
        <v>0</v>
      </c>
      <c r="CT128" s="22"/>
    </row>
    <row r="129" spans="1:98" ht="14.25" customHeight="1" outlineLevel="1">
      <c r="A129" s="8"/>
      <c r="B129" s="52" t="s">
        <v>560</v>
      </c>
      <c r="C129" s="53"/>
      <c r="D129" s="223">
        <v>0</v>
      </c>
      <c r="E129" s="221">
        <v>0</v>
      </c>
      <c r="F129" s="221">
        <v>0</v>
      </c>
      <c r="G129" s="222">
        <v>0</v>
      </c>
      <c r="H129" s="223">
        <v>0</v>
      </c>
      <c r="I129" s="221">
        <v>0</v>
      </c>
      <c r="J129" s="221">
        <v>0</v>
      </c>
      <c r="K129" s="222">
        <v>0</v>
      </c>
      <c r="L129" s="223">
        <v>0</v>
      </c>
      <c r="M129" s="221">
        <v>-23.753</v>
      </c>
      <c r="N129" s="221">
        <v>-27.085000000000001</v>
      </c>
      <c r="O129" s="222">
        <v>-38.375999999999998</v>
      </c>
      <c r="P129" s="223">
        <v>-8.9480000000000004</v>
      </c>
      <c r="Q129" s="221">
        <v>-37.040999999999997</v>
      </c>
      <c r="R129" s="221">
        <v>-38.335000000000001</v>
      </c>
      <c r="S129" s="222">
        <f>-8.665-32.016</f>
        <v>-40.680999999999997</v>
      </c>
      <c r="T129" s="223">
        <v>-0.45300000000000001</v>
      </c>
      <c r="U129" s="221">
        <v>-0.99299999999999999</v>
      </c>
      <c r="V129" s="221">
        <f>-1.164+173</f>
        <v>171.83600000000001</v>
      </c>
      <c r="W129" s="222">
        <f>-1.328+173</f>
        <v>171.672</v>
      </c>
      <c r="X129" s="223">
        <v>-173</v>
      </c>
      <c r="Y129" s="221">
        <f>-0.164-173</f>
        <v>-173.16399999999999</v>
      </c>
      <c r="Z129" s="221">
        <f>-0.164-173</f>
        <v>-173.16399999999999</v>
      </c>
      <c r="AA129" s="222">
        <f>-0.164-173</f>
        <v>-173.16399999999999</v>
      </c>
      <c r="AB129" s="221">
        <v>-80.602000000000004</v>
      </c>
      <c r="AC129" s="221">
        <v>-76.971000000000004</v>
      </c>
      <c r="AD129" s="221">
        <f>-43.659+7.712</f>
        <v>-35.947000000000003</v>
      </c>
      <c r="AE129" s="222">
        <v>-38.201000000000001</v>
      </c>
      <c r="AF129" s="221">
        <v>-50.667000000000002</v>
      </c>
      <c r="AG129" s="221">
        <v>-37.576000000000001</v>
      </c>
      <c r="AH129" s="221">
        <f>2.45+24.929</f>
        <v>27.378999999999998</v>
      </c>
      <c r="AI129" s="222">
        <v>19.977</v>
      </c>
      <c r="AJ129" s="221">
        <v>-67.034999999999997</v>
      </c>
      <c r="AK129" s="221">
        <v>-46.331000000000003</v>
      </c>
      <c r="AL129" s="221">
        <v>-20.864999999999998</v>
      </c>
      <c r="AM129" s="222">
        <v>-10.983000000000001</v>
      </c>
      <c r="AN129" s="221">
        <v>-51.658999999999999</v>
      </c>
      <c r="AO129" s="221">
        <v>-35.82</v>
      </c>
      <c r="AP129" s="221">
        <v>-29.902999999999999</v>
      </c>
      <c r="AQ129" s="222">
        <v>-12.108000000000001</v>
      </c>
      <c r="AR129" s="221">
        <v>-59.835000000000001</v>
      </c>
      <c r="AS129" s="221">
        <v>-55.250999999999998</v>
      </c>
      <c r="AT129" s="221">
        <v>-42.604999999999997</v>
      </c>
      <c r="AU129" s="222">
        <v>-31.468</v>
      </c>
      <c r="AV129" s="221">
        <v>-3.964</v>
      </c>
      <c r="AW129" s="221">
        <v>-11.737</v>
      </c>
      <c r="AX129" s="221">
        <f>-30.996-15.607</f>
        <v>-46.602999999999994</v>
      </c>
      <c r="AY129" s="222">
        <v>-29.501000000000001</v>
      </c>
      <c r="AZ129" s="221">
        <v>6.0819999999999999</v>
      </c>
      <c r="BA129" s="221">
        <v>0.81499999999999995</v>
      </c>
      <c r="BB129" s="218">
        <f t="shared" si="544"/>
        <v>4.1099999999999994</v>
      </c>
      <c r="BC129" s="219">
        <f t="shared" si="545"/>
        <v>4.1099999999999994</v>
      </c>
      <c r="BD129" s="218">
        <f t="shared" si="546"/>
        <v>0</v>
      </c>
      <c r="BE129" s="218">
        <f t="shared" si="547"/>
        <v>0</v>
      </c>
      <c r="BF129" s="218">
        <f t="shared" si="548"/>
        <v>0</v>
      </c>
      <c r="BG129" s="219">
        <f t="shared" si="549"/>
        <v>0</v>
      </c>
      <c r="BH129" s="218">
        <f t="shared" si="550"/>
        <v>0</v>
      </c>
      <c r="BI129" s="218">
        <f t="shared" si="551"/>
        <v>0</v>
      </c>
      <c r="BJ129" s="218">
        <f t="shared" si="552"/>
        <v>0</v>
      </c>
      <c r="BK129" s="219">
        <f t="shared" si="553"/>
        <v>0</v>
      </c>
      <c r="BL129" s="185"/>
      <c r="BM129" s="218">
        <f t="shared" ref="BM129:BV129" si="574">BM30</f>
        <v>0</v>
      </c>
      <c r="BN129" s="218">
        <f t="shared" si="574"/>
        <v>0</v>
      </c>
      <c r="BO129" s="218">
        <f t="shared" si="574"/>
        <v>-38.375999999999998</v>
      </c>
      <c r="BP129" s="218">
        <f t="shared" si="574"/>
        <v>-40.680999999999997</v>
      </c>
      <c r="BQ129" s="218">
        <f t="shared" si="574"/>
        <v>171.672</v>
      </c>
      <c r="BR129" s="218">
        <f t="shared" si="574"/>
        <v>-173.16399999999999</v>
      </c>
      <c r="BS129" s="218">
        <f t="shared" si="574"/>
        <v>-38.200999999999993</v>
      </c>
      <c r="BT129" s="218">
        <f t="shared" si="574"/>
        <v>19.977000000000004</v>
      </c>
      <c r="BU129" s="218">
        <f t="shared" si="574"/>
        <v>-10.983000000000004</v>
      </c>
      <c r="BV129" s="218">
        <f t="shared" si="574"/>
        <v>-12.108000000000004</v>
      </c>
      <c r="BW129" s="218">
        <f t="shared" si="555"/>
        <v>-31.468000000000004</v>
      </c>
      <c r="BX129" s="218">
        <f t="shared" si="556"/>
        <v>-29.501000000000005</v>
      </c>
      <c r="BY129" s="218">
        <f t="shared" si="556"/>
        <v>4.1100000000000003</v>
      </c>
      <c r="BZ129" s="218">
        <f t="shared" si="557"/>
        <v>0</v>
      </c>
      <c r="CA129" s="219">
        <f t="shared" si="557"/>
        <v>0</v>
      </c>
      <c r="CB129" s="220"/>
      <c r="CC129" s="218"/>
      <c r="CD129" s="218"/>
      <c r="CE129" s="260"/>
      <c r="CF129" s="220">
        <f t="shared" ref="CF129:CN129" si="575">CF30</f>
        <v>0</v>
      </c>
      <c r="CG129" s="218">
        <f t="shared" si="575"/>
        <v>-23.753</v>
      </c>
      <c r="CH129" s="218">
        <f t="shared" si="575"/>
        <v>-51.663999999999994</v>
      </c>
      <c r="CI129" s="218">
        <f t="shared" si="575"/>
        <v>-4.6330000000000009</v>
      </c>
      <c r="CJ129" s="218">
        <f t="shared" si="575"/>
        <v>-0.49899999999999523</v>
      </c>
      <c r="CK129" s="218">
        <f t="shared" si="575"/>
        <v>-76.971000000000004</v>
      </c>
      <c r="CL129" s="218">
        <f t="shared" si="575"/>
        <v>1.1940000000000097</v>
      </c>
      <c r="CM129" s="218">
        <f t="shared" si="575"/>
        <v>11.222000000000001</v>
      </c>
      <c r="CN129" s="218">
        <f t="shared" si="575"/>
        <v>-0.47200000000000131</v>
      </c>
      <c r="CO129" s="218">
        <f t="shared" si="559"/>
        <v>-31.539000000000001</v>
      </c>
      <c r="CP129" s="218">
        <f t="shared" si="559"/>
        <v>12.045999999999996</v>
      </c>
      <c r="CQ129" s="218">
        <f t="shared" si="560"/>
        <v>-16.949000000000002</v>
      </c>
      <c r="CR129" s="218">
        <f t="shared" si="560"/>
        <v>3.2949999999999999</v>
      </c>
      <c r="CS129" s="219">
        <f t="shared" si="561"/>
        <v>0</v>
      </c>
      <c r="CT129" s="22"/>
    </row>
    <row r="130" spans="1:98" ht="14.25" customHeight="1" outlineLevel="1" thickBot="1">
      <c r="A130" s="8"/>
      <c r="B130" s="224" t="s">
        <v>489</v>
      </c>
      <c r="C130" s="225"/>
      <c r="D130" s="227">
        <f t="shared" ref="D130:AP130" si="576">D110+SUM(D112:D120)+SUM(D122:D129)</f>
        <v>173.75100000000003</v>
      </c>
      <c r="E130" s="226">
        <f t="shared" si="576"/>
        <v>302.57900000000001</v>
      </c>
      <c r="F130" s="226">
        <f t="shared" si="576"/>
        <v>427.83200000000011</v>
      </c>
      <c r="G130" s="228">
        <f t="shared" si="576"/>
        <v>619.1099999999999</v>
      </c>
      <c r="H130" s="227">
        <f t="shared" si="576"/>
        <v>213.892</v>
      </c>
      <c r="I130" s="226">
        <f t="shared" si="576"/>
        <v>301.11700000000002</v>
      </c>
      <c r="J130" s="226">
        <f t="shared" si="576"/>
        <v>449.24099999999999</v>
      </c>
      <c r="K130" s="228">
        <f t="shared" si="576"/>
        <v>616.55899999999974</v>
      </c>
      <c r="L130" s="227">
        <f t="shared" si="576"/>
        <v>175.40200000000004</v>
      </c>
      <c r="M130" s="226">
        <f t="shared" si="576"/>
        <v>240.71899999999994</v>
      </c>
      <c r="N130" s="226">
        <f t="shared" si="576"/>
        <v>396.86199999999997</v>
      </c>
      <c r="O130" s="228">
        <f t="shared" si="576"/>
        <v>519.42399999999998</v>
      </c>
      <c r="P130" s="227">
        <f t="shared" si="576"/>
        <v>157.06400000000005</v>
      </c>
      <c r="Q130" s="226">
        <f t="shared" si="576"/>
        <v>229.4790000000001</v>
      </c>
      <c r="R130" s="226">
        <f t="shared" si="576"/>
        <v>335.44400000000007</v>
      </c>
      <c r="S130" s="228">
        <f t="shared" si="576"/>
        <v>445.79500000000041</v>
      </c>
      <c r="T130" s="227">
        <f t="shared" si="576"/>
        <v>138.51499999999999</v>
      </c>
      <c r="U130" s="226">
        <f t="shared" si="576"/>
        <v>169.47599999999997</v>
      </c>
      <c r="V130" s="226">
        <f t="shared" si="576"/>
        <v>333.95299999999997</v>
      </c>
      <c r="W130" s="228">
        <f t="shared" si="576"/>
        <v>490.95299999999986</v>
      </c>
      <c r="X130" s="227">
        <f t="shared" si="576"/>
        <v>158.49900000000008</v>
      </c>
      <c r="Y130" s="226">
        <f t="shared" si="576"/>
        <v>358.48300000000006</v>
      </c>
      <c r="Z130" s="226">
        <f t="shared" si="576"/>
        <v>615.18000000000006</v>
      </c>
      <c r="AA130" s="228">
        <f t="shared" si="576"/>
        <v>861.45399999999984</v>
      </c>
      <c r="AB130" s="226">
        <f t="shared" si="576"/>
        <v>120.80899999999997</v>
      </c>
      <c r="AC130" s="226">
        <f t="shared" si="576"/>
        <v>370.12900000000002</v>
      </c>
      <c r="AD130" s="226">
        <f t="shared" si="576"/>
        <v>566.63499999999999</v>
      </c>
      <c r="AE130" s="228">
        <f t="shared" si="576"/>
        <v>756.72199999999998</v>
      </c>
      <c r="AF130" s="226">
        <f t="shared" si="576"/>
        <v>136.745</v>
      </c>
      <c r="AG130" s="226">
        <f t="shared" si="576"/>
        <v>391.84200000000004</v>
      </c>
      <c r="AH130" s="226">
        <f t="shared" si="576"/>
        <v>603.53500000000008</v>
      </c>
      <c r="AI130" s="228">
        <f t="shared" si="576"/>
        <v>817.93499999999995</v>
      </c>
      <c r="AJ130" s="226">
        <f t="shared" si="576"/>
        <v>95.894000000000062</v>
      </c>
      <c r="AK130" s="226">
        <f>AK110+SUM(AK112:AK120)+SUM(AK122:AK129)</f>
        <v>330.32500000000005</v>
      </c>
      <c r="AL130" s="226">
        <f>AL110+SUM(AL112:AL120)+SUM(AL122:AL129)</f>
        <v>542.02300000000002</v>
      </c>
      <c r="AM130" s="228">
        <f>AM110+SUM(AM112:AM120)+SUM(AM122:AM129)</f>
        <v>776.10699999999997</v>
      </c>
      <c r="AN130" s="226">
        <f>AN110+SUM(AN112:AN120)+SUM(AN122:AN129)</f>
        <v>116.99700000000003</v>
      </c>
      <c r="AO130" s="226">
        <f>AO110+SUM(AO112:AO120)+SUM(AO122:AO129)</f>
        <v>289.85199999999998</v>
      </c>
      <c r="AP130" s="226">
        <f t="shared" si="576"/>
        <v>471.916</v>
      </c>
      <c r="AQ130" s="228">
        <f t="shared" ref="AQ130:BC130" si="577">AQ110+SUM(AQ112:AQ120)+SUM(AQ122:AQ129)</f>
        <v>693.70600000000013</v>
      </c>
      <c r="AR130" s="226">
        <f t="shared" si="577"/>
        <v>117.33900000000001</v>
      </c>
      <c r="AS130" s="226">
        <f t="shared" si="577"/>
        <v>299.82800000000003</v>
      </c>
      <c r="AT130" s="226">
        <f t="shared" si="577"/>
        <v>467.81399999999991</v>
      </c>
      <c r="AU130" s="228">
        <f t="shared" ref="AU130:AZ130" si="578">AU110+SUM(AU112:AU120)+SUM(AU122:AU129)</f>
        <v>721.88499999999988</v>
      </c>
      <c r="AV130" s="226">
        <f t="shared" si="578"/>
        <v>123.40199999999994</v>
      </c>
      <c r="AW130" s="226">
        <f t="shared" si="578"/>
        <v>316.03200000000004</v>
      </c>
      <c r="AX130" s="226">
        <f t="shared" si="578"/>
        <v>536.72899999999993</v>
      </c>
      <c r="AY130" s="228">
        <f t="shared" si="578"/>
        <v>773.65700000000004</v>
      </c>
      <c r="AZ130" s="226">
        <f t="shared" si="578"/>
        <v>219.70500000000004</v>
      </c>
      <c r="BA130" s="226">
        <f t="shared" ref="BA130" si="579">BA110+SUM(BA112:BA120)+SUM(BA122:BA129)</f>
        <v>449.57899999999995</v>
      </c>
      <c r="BB130" s="226">
        <f t="shared" si="577"/>
        <v>672.80399999999997</v>
      </c>
      <c r="BC130" s="228">
        <f t="shared" si="577"/>
        <v>895.15586326151333</v>
      </c>
      <c r="BD130" s="226">
        <f t="shared" ref="BD130:BK130" si="580">BD110+SUM(BD112:BD120)+SUM(BD122:BD129)</f>
        <v>264.05175184089683</v>
      </c>
      <c r="BE130" s="226">
        <f t="shared" si="580"/>
        <v>506.95583188084538</v>
      </c>
      <c r="BF130" s="226">
        <f t="shared" si="580"/>
        <v>742.86368913287902</v>
      </c>
      <c r="BG130" s="228">
        <f t="shared" si="580"/>
        <v>1005.3074899396948</v>
      </c>
      <c r="BH130" s="226">
        <f t="shared" si="580"/>
        <v>268.50716591135722</v>
      </c>
      <c r="BI130" s="226">
        <f t="shared" si="580"/>
        <v>529.2337270055915</v>
      </c>
      <c r="BJ130" s="226">
        <f t="shared" si="580"/>
        <v>783.4221670247731</v>
      </c>
      <c r="BK130" s="228">
        <f t="shared" si="580"/>
        <v>1054.6313779946186</v>
      </c>
      <c r="BL130" s="185"/>
      <c r="BM130" s="226">
        <f t="shared" ref="BM130:BW130" si="581">BM110+SUM(BM112:BM120)+SUM(BM122:BM129)</f>
        <v>619.1099999999999</v>
      </c>
      <c r="BN130" s="226">
        <f t="shared" si="581"/>
        <v>616.55899999999974</v>
      </c>
      <c r="BO130" s="226">
        <f t="shared" si="581"/>
        <v>519.42399999999998</v>
      </c>
      <c r="BP130" s="226">
        <f t="shared" si="581"/>
        <v>445.7950000000003</v>
      </c>
      <c r="BQ130" s="226">
        <f t="shared" si="581"/>
        <v>490.95299999999997</v>
      </c>
      <c r="BR130" s="226">
        <f t="shared" si="581"/>
        <v>861.45399999999984</v>
      </c>
      <c r="BS130" s="226">
        <f t="shared" si="581"/>
        <v>756.72199999999998</v>
      </c>
      <c r="BT130" s="226">
        <f t="shared" si="581"/>
        <v>817.93500000000006</v>
      </c>
      <c r="BU130" s="226">
        <f t="shared" si="581"/>
        <v>776.10699999999997</v>
      </c>
      <c r="BV130" s="226">
        <f t="shared" si="581"/>
        <v>693.70600000000013</v>
      </c>
      <c r="BW130" s="226">
        <f t="shared" si="581"/>
        <v>721.88499999999988</v>
      </c>
      <c r="BX130" s="226">
        <f>BX110+SUM(BX112:BX120)+SUM(BX122:BX129)</f>
        <v>773.65700000000004</v>
      </c>
      <c r="BY130" s="226">
        <f>BY110+SUM(BY112:BY120)+SUM(BY122:BY129)</f>
        <v>895.15586326151333</v>
      </c>
      <c r="BZ130" s="226">
        <f>BZ110+SUM(BZ112:BZ120)+SUM(BZ122:BZ129)</f>
        <v>1005.3074899396948</v>
      </c>
      <c r="CA130" s="228">
        <f>CA110+SUM(CA112:CA120)+SUM(CA122:CA129)</f>
        <v>1054.6313779946186</v>
      </c>
      <c r="CB130" s="233"/>
      <c r="CC130" s="232"/>
      <c r="CD130" s="232"/>
      <c r="CE130" s="260"/>
      <c r="CF130" s="227">
        <f t="shared" ref="CF130:CO130" si="582">CF110+SUM(CF112:CF120)+SUM(CF122:CF129)</f>
        <v>617.64799999999968</v>
      </c>
      <c r="CG130" s="226">
        <f t="shared" si="582"/>
        <v>556.16099999999983</v>
      </c>
      <c r="CH130" s="226">
        <f t="shared" si="582"/>
        <v>508.1840000000002</v>
      </c>
      <c r="CI130" s="226">
        <f t="shared" si="582"/>
        <v>385.7920000000002</v>
      </c>
      <c r="CJ130" s="226">
        <f t="shared" si="582"/>
        <v>679.96</v>
      </c>
      <c r="CK130" s="226">
        <f t="shared" si="582"/>
        <v>873.0999999999998</v>
      </c>
      <c r="CL130" s="226">
        <f t="shared" si="582"/>
        <v>778.43500000000006</v>
      </c>
      <c r="CM130" s="226">
        <f t="shared" si="582"/>
        <v>756.41800000000012</v>
      </c>
      <c r="CN130" s="226">
        <f t="shared" si="582"/>
        <v>735.6339999999999</v>
      </c>
      <c r="CO130" s="226">
        <f t="shared" si="582"/>
        <v>703.68200000000013</v>
      </c>
      <c r="CP130" s="226">
        <f>CP110+SUM(CP112:CP120)+SUM(CP122:CP129)</f>
        <v>738.08899999999994</v>
      </c>
      <c r="CQ130" s="226">
        <f>CQ110+SUM(CQ112:CQ120)+SUM(CQ122:CQ129)</f>
        <v>907.20399999999995</v>
      </c>
      <c r="CR130" s="226">
        <f>CR110+SUM(CR112:CR120)+SUM(CR122:CR129)</f>
        <v>952.5326951423591</v>
      </c>
      <c r="CS130" s="228">
        <f>CS110+SUM(CS112:CS120)+SUM(CS122:CS129)</f>
        <v>1027.585385064441</v>
      </c>
      <c r="CT130" s="22"/>
    </row>
    <row r="131" spans="1:98" ht="14.25" customHeight="1" outlineLevel="1" thickTop="1">
      <c r="A131" s="8"/>
      <c r="B131" s="23"/>
      <c r="C131" s="24"/>
      <c r="D131" s="223"/>
      <c r="E131" s="221"/>
      <c r="F131" s="221"/>
      <c r="G131" s="222"/>
      <c r="H131" s="223"/>
      <c r="I131" s="221"/>
      <c r="J131" s="221"/>
      <c r="K131" s="222"/>
      <c r="L131" s="223"/>
      <c r="M131" s="221"/>
      <c r="N131" s="221"/>
      <c r="O131" s="222"/>
      <c r="P131" s="223"/>
      <c r="Q131" s="221"/>
      <c r="R131" s="221"/>
      <c r="S131" s="222"/>
      <c r="T131" s="223"/>
      <c r="U131" s="221"/>
      <c r="V131" s="221"/>
      <c r="W131" s="222"/>
      <c r="X131" s="223"/>
      <c r="Y131" s="221"/>
      <c r="Z131" s="221"/>
      <c r="AA131" s="222"/>
      <c r="AB131" s="221"/>
      <c r="AC131" s="221"/>
      <c r="AD131" s="221"/>
      <c r="AE131" s="222"/>
      <c r="AF131" s="221"/>
      <c r="AG131" s="221"/>
      <c r="AH131" s="221"/>
      <c r="AI131" s="222"/>
      <c r="AJ131" s="221"/>
      <c r="AK131" s="221"/>
      <c r="AL131" s="221"/>
      <c r="AM131" s="222"/>
      <c r="AN131" s="221"/>
      <c r="AO131" s="221"/>
      <c r="AP131" s="221"/>
      <c r="AQ131" s="1353"/>
      <c r="AR131" s="221"/>
      <c r="AS131" s="221"/>
      <c r="AT131" s="221"/>
      <c r="AU131" s="1353"/>
      <c r="AV131" s="221"/>
      <c r="AW131" s="221"/>
      <c r="AX131" s="221"/>
      <c r="AY131" s="1353"/>
      <c r="AZ131" s="221"/>
      <c r="BA131" s="221"/>
      <c r="BB131" s="221"/>
      <c r="BC131" s="222"/>
      <c r="BD131" s="221"/>
      <c r="BE131" s="221"/>
      <c r="BF131" s="221"/>
      <c r="BG131" s="222"/>
      <c r="BH131" s="221"/>
      <c r="BI131" s="221"/>
      <c r="BJ131" s="221"/>
      <c r="BK131" s="222"/>
      <c r="BL131" s="185"/>
      <c r="BM131" s="221"/>
      <c r="BN131" s="221"/>
      <c r="BO131" s="221"/>
      <c r="BP131" s="221"/>
      <c r="BQ131" s="221"/>
      <c r="BR131" s="221"/>
      <c r="BS131" s="221"/>
      <c r="BT131" s="221"/>
      <c r="BU131" s="221"/>
      <c r="BV131" s="221"/>
      <c r="BW131" s="221"/>
      <c r="BX131" s="221"/>
      <c r="BY131" s="221"/>
      <c r="BZ131" s="221"/>
      <c r="CA131" s="222"/>
      <c r="CB131" s="223"/>
      <c r="CC131" s="221"/>
      <c r="CD131" s="221"/>
      <c r="CE131" s="260"/>
      <c r="CF131" s="223"/>
      <c r="CG131" s="221"/>
      <c r="CH131" s="221"/>
      <c r="CI131" s="221"/>
      <c r="CJ131" s="221"/>
      <c r="CK131" s="221"/>
      <c r="CL131" s="221"/>
      <c r="CM131" s="221"/>
      <c r="CN131" s="221"/>
      <c r="CO131" s="221"/>
      <c r="CP131" s="221"/>
      <c r="CQ131" s="221"/>
      <c r="CR131" s="221"/>
      <c r="CS131" s="222"/>
      <c r="CT131" s="22"/>
    </row>
    <row r="132" spans="1:98" ht="14.25" customHeight="1" outlineLevel="1">
      <c r="A132" s="8"/>
      <c r="B132" s="47" t="s">
        <v>490</v>
      </c>
      <c r="C132" s="48"/>
      <c r="D132" s="223"/>
      <c r="E132" s="221"/>
      <c r="F132" s="221"/>
      <c r="G132" s="222"/>
      <c r="H132" s="223"/>
      <c r="I132" s="221"/>
      <c r="J132" s="221"/>
      <c r="K132" s="222"/>
      <c r="L132" s="223"/>
      <c r="M132" s="221"/>
      <c r="N132" s="221"/>
      <c r="O132" s="222"/>
      <c r="P132" s="223"/>
      <c r="Q132" s="221"/>
      <c r="R132" s="221"/>
      <c r="S132" s="222"/>
      <c r="T132" s="223"/>
      <c r="U132" s="221"/>
      <c r="V132" s="221"/>
      <c r="W132" s="222"/>
      <c r="X132" s="223"/>
      <c r="Y132" s="221"/>
      <c r="Z132" s="221"/>
      <c r="AA132" s="222"/>
      <c r="AB132" s="221"/>
      <c r="AC132" s="221"/>
      <c r="AD132" s="221"/>
      <c r="AE132" s="222"/>
      <c r="AF132" s="221"/>
      <c r="AG132" s="221"/>
      <c r="AH132" s="221"/>
      <c r="AI132" s="222"/>
      <c r="AJ132" s="221"/>
      <c r="AK132" s="221"/>
      <c r="AL132" s="221"/>
      <c r="AM132" s="222"/>
      <c r="AN132" s="221"/>
      <c r="AO132" s="221"/>
      <c r="AP132" s="221"/>
      <c r="AQ132" s="222"/>
      <c r="AR132" s="221"/>
      <c r="AS132" s="221"/>
      <c r="AT132" s="221"/>
      <c r="AU132" s="222"/>
      <c r="AV132" s="221"/>
      <c r="AW132" s="221"/>
      <c r="AX132" s="221"/>
      <c r="AY132" s="222"/>
      <c r="AZ132" s="221"/>
      <c r="BA132" s="221"/>
      <c r="BB132" s="221"/>
      <c r="BC132" s="222"/>
      <c r="BD132" s="221"/>
      <c r="BE132" s="221"/>
      <c r="BF132" s="221"/>
      <c r="BG132" s="222"/>
      <c r="BH132" s="221"/>
      <c r="BI132" s="221"/>
      <c r="BJ132" s="221"/>
      <c r="BK132" s="222"/>
      <c r="BL132" s="185"/>
      <c r="BM132" s="221"/>
      <c r="BN132" s="221"/>
      <c r="BO132" s="221"/>
      <c r="BP132" s="221"/>
      <c r="BQ132" s="221"/>
      <c r="BR132" s="221"/>
      <c r="BS132" s="221"/>
      <c r="BT132" s="221"/>
      <c r="BU132" s="221"/>
      <c r="BV132" s="221"/>
      <c r="BW132" s="221"/>
      <c r="BX132" s="221"/>
      <c r="BY132" s="221"/>
      <c r="BZ132" s="221"/>
      <c r="CA132" s="222"/>
      <c r="CB132" s="223"/>
      <c r="CC132" s="221"/>
      <c r="CD132" s="221"/>
      <c r="CE132" s="260"/>
      <c r="CF132" s="223"/>
      <c r="CG132" s="221"/>
      <c r="CH132" s="221"/>
      <c r="CI132" s="221"/>
      <c r="CJ132" s="221"/>
      <c r="CK132" s="221"/>
      <c r="CL132" s="221"/>
      <c r="CM132" s="221"/>
      <c r="CN132" s="221"/>
      <c r="CO132" s="221"/>
      <c r="CP132" s="221"/>
      <c r="CQ132" s="221"/>
      <c r="CR132" s="221"/>
      <c r="CS132" s="222"/>
      <c r="CT132" s="22"/>
    </row>
    <row r="133" spans="1:98" ht="14.25" customHeight="1" outlineLevel="1">
      <c r="A133" s="8"/>
      <c r="B133" s="28" t="s">
        <v>35</v>
      </c>
      <c r="C133" s="29"/>
      <c r="D133" s="223">
        <v>-18.632999999999999</v>
      </c>
      <c r="E133" s="221">
        <v>-51.854999999999997</v>
      </c>
      <c r="F133" s="221">
        <v>-100.241</v>
      </c>
      <c r="G133" s="222">
        <v>-201.203</v>
      </c>
      <c r="H133" s="223">
        <v>-94.909000000000006</v>
      </c>
      <c r="I133" s="221">
        <v>-194.37299999999999</v>
      </c>
      <c r="J133" s="221">
        <v>-258.42200000000003</v>
      </c>
      <c r="K133" s="222">
        <v>-401.74</v>
      </c>
      <c r="L133" s="223">
        <v>-56.953000000000003</v>
      </c>
      <c r="M133" s="221">
        <v>-133.68299999999999</v>
      </c>
      <c r="N133" s="221">
        <v>-179.62299999999999</v>
      </c>
      <c r="O133" s="222">
        <v>-215.87</v>
      </c>
      <c r="P133" s="223">
        <v>-37.994999999999997</v>
      </c>
      <c r="Q133" s="221">
        <v>-67.534999999999997</v>
      </c>
      <c r="R133" s="221">
        <v>-103.532</v>
      </c>
      <c r="S133" s="222">
        <v>-135.429</v>
      </c>
      <c r="T133" s="223">
        <v>-26.463000000000001</v>
      </c>
      <c r="U133" s="221">
        <v>-54.752000000000002</v>
      </c>
      <c r="V133" s="221">
        <v>-80.233999999999995</v>
      </c>
      <c r="W133" s="222">
        <v>-123.901</v>
      </c>
      <c r="X133" s="223">
        <v>-38.529000000000003</v>
      </c>
      <c r="Y133" s="221">
        <v>-97.596999999999994</v>
      </c>
      <c r="Z133" s="221">
        <v>-127.19</v>
      </c>
      <c r="AA133" s="222">
        <v>-175.25299999999999</v>
      </c>
      <c r="AB133" s="221">
        <v>-49.323999999999998</v>
      </c>
      <c r="AC133" s="221">
        <v>-117.685</v>
      </c>
      <c r="AD133" s="221">
        <v>-187.738</v>
      </c>
      <c r="AE133" s="222">
        <v>-264.34800000000001</v>
      </c>
      <c r="AF133" s="221">
        <v>-50.703000000000003</v>
      </c>
      <c r="AG133" s="221">
        <v>-112.80500000000001</v>
      </c>
      <c r="AH133" s="221">
        <v>-167.75</v>
      </c>
      <c r="AI133" s="222">
        <v>-216.672</v>
      </c>
      <c r="AJ133" s="221">
        <v>-36.329000000000001</v>
      </c>
      <c r="AK133" s="221">
        <v>-82.462000000000003</v>
      </c>
      <c r="AL133" s="221">
        <v>-108.869</v>
      </c>
      <c r="AM133" s="222">
        <v>-132.523</v>
      </c>
      <c r="AN133" s="221">
        <v>-31.686</v>
      </c>
      <c r="AO133" s="221">
        <v>-50.271000000000001</v>
      </c>
      <c r="AP133" s="221">
        <v>-60.456000000000003</v>
      </c>
      <c r="AQ133" s="222">
        <v>-75.816000000000003</v>
      </c>
      <c r="AR133" s="221">
        <v>-15.821</v>
      </c>
      <c r="AS133" s="221">
        <v>-29.350999999999999</v>
      </c>
      <c r="AT133" s="221">
        <v>-46.881</v>
      </c>
      <c r="AU133" s="222">
        <v>-69.369</v>
      </c>
      <c r="AV133" s="221">
        <v>-14.31</v>
      </c>
      <c r="AW133" s="221">
        <v>-30.085000000000001</v>
      </c>
      <c r="AX133" s="221">
        <v>-38.371000000000002</v>
      </c>
      <c r="AY133" s="222">
        <v>-51.420999999999999</v>
      </c>
      <c r="AZ133" s="221">
        <v>-14.321</v>
      </c>
      <c r="BA133" s="221">
        <v>-36.734000000000002</v>
      </c>
      <c r="BB133" s="218">
        <f t="shared" ref="BB133:BB139" si="583">BA133+BB34</f>
        <v>-53.664000000000001</v>
      </c>
      <c r="BC133" s="219">
        <f t="shared" ref="BC133:BC139" si="584">BB133+BC34</f>
        <v>-66.261738377</v>
      </c>
      <c r="BD133" s="218">
        <f t="shared" ref="BD133:BD139" si="585">BD34</f>
        <v>-12.288045326480001</v>
      </c>
      <c r="BE133" s="218">
        <f t="shared" ref="BE133:BE139" si="586">BD133+BE34</f>
        <v>-24.599104761557204</v>
      </c>
      <c r="BF133" s="218">
        <f t="shared" ref="BF133:BF139" si="587">BE133+BF34</f>
        <v>-37.553779496826998</v>
      </c>
      <c r="BG133" s="219">
        <f t="shared" ref="BG133:BG139" si="588">BF133+BG34</f>
        <v>-50.645455137275931</v>
      </c>
      <c r="BH133" s="218">
        <f t="shared" ref="BH133:BH139" si="589">BH34</f>
        <v>-12.881601942065368</v>
      </c>
      <c r="BI133" s="218">
        <f t="shared" ref="BI133:BI139" si="590">BH133+BI34</f>
        <v>-25.753309435272307</v>
      </c>
      <c r="BJ133" s="218">
        <f t="shared" ref="BJ133:BJ139" si="591">BI133+BJ34</f>
        <v>-39.14860377451955</v>
      </c>
      <c r="BK133" s="219">
        <f t="shared" ref="BK133:BK139" si="592">BJ133+BK34</f>
        <v>-52.900031667453888</v>
      </c>
      <c r="BL133" s="185"/>
      <c r="BM133" s="218">
        <f t="shared" ref="BM133:BV133" si="593">BM34</f>
        <v>-201.20300000000003</v>
      </c>
      <c r="BN133" s="218">
        <f t="shared" si="593"/>
        <v>-401.74</v>
      </c>
      <c r="BO133" s="218">
        <f t="shared" si="593"/>
        <v>-215.87</v>
      </c>
      <c r="BP133" s="218">
        <f t="shared" si="593"/>
        <v>-135.429</v>
      </c>
      <c r="BQ133" s="218">
        <f t="shared" si="593"/>
        <v>-123.90100000000001</v>
      </c>
      <c r="BR133" s="218">
        <f t="shared" si="593"/>
        <v>-175.25299999999999</v>
      </c>
      <c r="BS133" s="218">
        <f t="shared" si="593"/>
        <v>-264.34800000000001</v>
      </c>
      <c r="BT133" s="218">
        <f t="shared" si="593"/>
        <v>-216.672</v>
      </c>
      <c r="BU133" s="218">
        <f t="shared" si="593"/>
        <v>-132.523</v>
      </c>
      <c r="BV133" s="218">
        <f t="shared" si="593"/>
        <v>-75.816000000000003</v>
      </c>
      <c r="BW133" s="218">
        <f t="shared" ref="BW133:BW139" si="594">BW34</f>
        <v>-69.369</v>
      </c>
      <c r="BX133" s="218">
        <f t="shared" ref="BX133:BY139" si="595">BX34</f>
        <v>-51.420999999999999</v>
      </c>
      <c r="BY133" s="218">
        <f t="shared" si="595"/>
        <v>-66.261738377</v>
      </c>
      <c r="BZ133" s="218">
        <f t="shared" ref="BZ133:CA139" si="596">BZ34</f>
        <v>-50.645455137275931</v>
      </c>
      <c r="CA133" s="219">
        <f t="shared" si="596"/>
        <v>-52.900031667453888</v>
      </c>
      <c r="CB133" s="220"/>
      <c r="CC133" s="218"/>
      <c r="CD133" s="218"/>
      <c r="CE133" s="260"/>
      <c r="CF133" s="220">
        <f t="shared" ref="CF133:CN133" si="597">CF34</f>
        <v>-343.721</v>
      </c>
      <c r="CG133" s="218">
        <f t="shared" si="597"/>
        <v>-341.05000000000007</v>
      </c>
      <c r="CH133" s="218">
        <f t="shared" si="597"/>
        <v>-149.72200000000001</v>
      </c>
      <c r="CI133" s="218">
        <f t="shared" si="597"/>
        <v>-122.64600000000003</v>
      </c>
      <c r="CJ133" s="218">
        <f t="shared" si="597"/>
        <v>-166.74599999999998</v>
      </c>
      <c r="CK133" s="218">
        <f t="shared" si="597"/>
        <v>-195.34100000000001</v>
      </c>
      <c r="CL133" s="218">
        <f t="shared" si="597"/>
        <v>-259.46800000000002</v>
      </c>
      <c r="CM133" s="218">
        <f t="shared" si="597"/>
        <v>-186.32900000000001</v>
      </c>
      <c r="CN133" s="218">
        <f t="shared" si="597"/>
        <v>-100.33199999999999</v>
      </c>
      <c r="CO133" s="218">
        <f t="shared" ref="CO133:CP139" si="598">CO34</f>
        <v>-54.896000000000001</v>
      </c>
      <c r="CP133" s="218">
        <f t="shared" si="598"/>
        <v>-70.103000000000009</v>
      </c>
      <c r="CQ133" s="218">
        <f t="shared" ref="CQ133:CR139" si="599">CQ34</f>
        <v>-58.070000000000007</v>
      </c>
      <c r="CR133" s="218">
        <f t="shared" si="599"/>
        <v>-54.126843138557206</v>
      </c>
      <c r="CS133" s="219">
        <f t="shared" ref="CS133:CS139" si="600">CS34</f>
        <v>-51.799659810991031</v>
      </c>
      <c r="CT133" s="22"/>
    </row>
    <row r="134" spans="1:98" ht="14.25" customHeight="1" outlineLevel="1">
      <c r="A134" s="8"/>
      <c r="B134" s="28" t="s">
        <v>584</v>
      </c>
      <c r="C134" s="29"/>
      <c r="D134" s="223">
        <v>0</v>
      </c>
      <c r="E134" s="221">
        <v>1.544</v>
      </c>
      <c r="F134" s="221">
        <v>1.544</v>
      </c>
      <c r="G134" s="222">
        <v>1.544</v>
      </c>
      <c r="H134" s="223">
        <v>0</v>
      </c>
      <c r="I134" s="221">
        <v>0</v>
      </c>
      <c r="J134" s="221">
        <v>0</v>
      </c>
      <c r="K134" s="222">
        <v>2.3340000000000001</v>
      </c>
      <c r="L134" s="223">
        <v>0</v>
      </c>
      <c r="M134" s="221">
        <v>14.157999999999999</v>
      </c>
      <c r="N134" s="221">
        <v>15.635</v>
      </c>
      <c r="O134" s="222">
        <v>16.369</v>
      </c>
      <c r="P134" s="223">
        <v>0.32200000000000001</v>
      </c>
      <c r="Q134" s="221">
        <v>0.94699999999999995</v>
      </c>
      <c r="R134" s="221">
        <v>0.94699999999999995</v>
      </c>
      <c r="S134" s="222">
        <v>0.94699999999999995</v>
      </c>
      <c r="T134" s="223">
        <v>0.34</v>
      </c>
      <c r="U134" s="221">
        <v>1.7370000000000001</v>
      </c>
      <c r="V134" s="221">
        <v>1.18</v>
      </c>
      <c r="W134" s="222">
        <v>2.802</v>
      </c>
      <c r="X134" s="223">
        <v>0.53500000000000003</v>
      </c>
      <c r="Y134" s="221">
        <v>25.248999999999999</v>
      </c>
      <c r="Z134" s="221">
        <v>25.329000000000001</v>
      </c>
      <c r="AA134" s="222">
        <v>27.623999999999999</v>
      </c>
      <c r="AB134" s="221">
        <v>0</v>
      </c>
      <c r="AC134" s="221">
        <v>1.7090000000000001</v>
      </c>
      <c r="AD134" s="221">
        <v>15.483000000000001</v>
      </c>
      <c r="AE134" s="222">
        <v>16.882999999999999</v>
      </c>
      <c r="AF134" s="221">
        <v>0.34399999999999997</v>
      </c>
      <c r="AG134" s="221">
        <v>4.4590000000000005</v>
      </c>
      <c r="AH134" s="221">
        <v>14.657999999999999</v>
      </c>
      <c r="AI134" s="222">
        <f>19.196+10.786</f>
        <v>29.981999999999999</v>
      </c>
      <c r="AJ134" s="221">
        <v>3.048</v>
      </c>
      <c r="AK134" s="221">
        <v>3.048</v>
      </c>
      <c r="AL134" s="221">
        <v>3.6659999999999999</v>
      </c>
      <c r="AM134" s="222">
        <v>5.2930000000000001</v>
      </c>
      <c r="AN134" s="221">
        <v>0.21199999999999999</v>
      </c>
      <c r="AO134" s="221">
        <v>24.678999999999998</v>
      </c>
      <c r="AP134" s="221">
        <v>26.294</v>
      </c>
      <c r="AQ134" s="222">
        <v>29.035</v>
      </c>
      <c r="AR134" s="221">
        <v>0.60599999999999998</v>
      </c>
      <c r="AS134" s="221">
        <v>50.314999999999998</v>
      </c>
      <c r="AT134" s="221">
        <v>50.451000000000001</v>
      </c>
      <c r="AU134" s="222">
        <v>85.141999999999996</v>
      </c>
      <c r="AV134" s="221">
        <v>0.20499999999999999</v>
      </c>
      <c r="AW134" s="221">
        <v>2.4289999999999998</v>
      </c>
      <c r="AX134" s="221">
        <v>3.2160000000000002</v>
      </c>
      <c r="AY134" s="222">
        <v>10.792</v>
      </c>
      <c r="AZ134" s="221">
        <v>1.4730000000000001</v>
      </c>
      <c r="BA134" s="221">
        <v>2.9169999999999998</v>
      </c>
      <c r="BB134" s="218">
        <f t="shared" si="583"/>
        <v>5.7609999999999992</v>
      </c>
      <c r="BC134" s="219">
        <f t="shared" si="584"/>
        <v>5.7609999999999992</v>
      </c>
      <c r="BD134" s="218">
        <f t="shared" si="585"/>
        <v>0</v>
      </c>
      <c r="BE134" s="218">
        <f t="shared" si="586"/>
        <v>0</v>
      </c>
      <c r="BF134" s="218">
        <f t="shared" si="587"/>
        <v>0</v>
      </c>
      <c r="BG134" s="219">
        <f t="shared" si="588"/>
        <v>0</v>
      </c>
      <c r="BH134" s="218">
        <f t="shared" si="589"/>
        <v>0</v>
      </c>
      <c r="BI134" s="218">
        <f t="shared" si="590"/>
        <v>0</v>
      </c>
      <c r="BJ134" s="218">
        <f t="shared" si="591"/>
        <v>0</v>
      </c>
      <c r="BK134" s="219">
        <f t="shared" si="592"/>
        <v>0</v>
      </c>
      <c r="BL134" s="185"/>
      <c r="BM134" s="218">
        <f t="shared" ref="BM134:BV134" si="601">BM35</f>
        <v>1.544</v>
      </c>
      <c r="BN134" s="218">
        <f t="shared" si="601"/>
        <v>2.3340000000000001</v>
      </c>
      <c r="BO134" s="218">
        <f t="shared" si="601"/>
        <v>16.369</v>
      </c>
      <c r="BP134" s="218">
        <f t="shared" si="601"/>
        <v>0.94700000000000006</v>
      </c>
      <c r="BQ134" s="218">
        <f t="shared" si="601"/>
        <v>2.8019999999999996</v>
      </c>
      <c r="BR134" s="218">
        <f t="shared" si="601"/>
        <v>27.623999999999999</v>
      </c>
      <c r="BS134" s="218">
        <f t="shared" si="601"/>
        <v>16.882999999999999</v>
      </c>
      <c r="BT134" s="218">
        <f t="shared" si="601"/>
        <v>29.982000000000003</v>
      </c>
      <c r="BU134" s="218">
        <f t="shared" si="601"/>
        <v>5.293000000000001</v>
      </c>
      <c r="BV134" s="218">
        <f t="shared" si="601"/>
        <v>29.035</v>
      </c>
      <c r="BW134" s="218">
        <f t="shared" si="594"/>
        <v>85.141999999999996</v>
      </c>
      <c r="BX134" s="218">
        <f t="shared" si="595"/>
        <v>10.791999999999998</v>
      </c>
      <c r="BY134" s="218">
        <f t="shared" si="595"/>
        <v>5.7609999999999992</v>
      </c>
      <c r="BZ134" s="218">
        <f t="shared" si="596"/>
        <v>0</v>
      </c>
      <c r="CA134" s="219">
        <f t="shared" si="596"/>
        <v>0</v>
      </c>
      <c r="CB134" s="220"/>
      <c r="CC134" s="218"/>
      <c r="CD134" s="218"/>
      <c r="CE134" s="260"/>
      <c r="CF134" s="220">
        <f t="shared" ref="CF134:CN134" si="602">CF35</f>
        <v>0</v>
      </c>
      <c r="CG134" s="218">
        <f t="shared" si="602"/>
        <v>16.492000000000001</v>
      </c>
      <c r="CH134" s="218">
        <f t="shared" si="602"/>
        <v>3.1580000000000004</v>
      </c>
      <c r="CI134" s="218">
        <f t="shared" si="602"/>
        <v>1.7370000000000001</v>
      </c>
      <c r="CJ134" s="218">
        <f t="shared" si="602"/>
        <v>26.314</v>
      </c>
      <c r="CK134" s="218">
        <f t="shared" si="602"/>
        <v>4.0839999999999996</v>
      </c>
      <c r="CL134" s="218">
        <f t="shared" si="602"/>
        <v>19.632999999999999</v>
      </c>
      <c r="CM134" s="218">
        <f t="shared" si="602"/>
        <v>28.571000000000005</v>
      </c>
      <c r="CN134" s="218">
        <f t="shared" si="602"/>
        <v>26.923999999999999</v>
      </c>
      <c r="CO134" s="218">
        <f t="shared" si="598"/>
        <v>54.670999999999999</v>
      </c>
      <c r="CP134" s="218">
        <f t="shared" si="598"/>
        <v>37.255999999999986</v>
      </c>
      <c r="CQ134" s="218">
        <f t="shared" si="599"/>
        <v>11.28</v>
      </c>
      <c r="CR134" s="218">
        <f t="shared" si="599"/>
        <v>2.8439999999999999</v>
      </c>
      <c r="CS134" s="219">
        <f t="shared" si="600"/>
        <v>0</v>
      </c>
      <c r="CT134" s="22"/>
    </row>
    <row r="135" spans="1:98" ht="14.25" customHeight="1" outlineLevel="1">
      <c r="A135" s="8"/>
      <c r="B135" s="28" t="s">
        <v>36</v>
      </c>
      <c r="C135" s="29"/>
      <c r="D135" s="223">
        <v>0</v>
      </c>
      <c r="E135" s="221">
        <v>0</v>
      </c>
      <c r="F135" s="221">
        <v>0</v>
      </c>
      <c r="G135" s="222">
        <v>0</v>
      </c>
      <c r="H135" s="223">
        <v>0</v>
      </c>
      <c r="I135" s="221">
        <v>0</v>
      </c>
      <c r="J135" s="221">
        <v>0</v>
      </c>
      <c r="K135" s="222">
        <v>0</v>
      </c>
      <c r="L135" s="223">
        <v>-0.754</v>
      </c>
      <c r="M135" s="221">
        <v>-64.123000000000005</v>
      </c>
      <c r="N135" s="221">
        <v>-64.123000000000005</v>
      </c>
      <c r="O135" s="222">
        <v>-64.123000000000005</v>
      </c>
      <c r="P135" s="223">
        <v>0</v>
      </c>
      <c r="Q135" s="221">
        <v>-30.31</v>
      </c>
      <c r="R135" s="221">
        <v>-61.01</v>
      </c>
      <c r="S135" s="222">
        <v>-61.01</v>
      </c>
      <c r="T135" s="223">
        <v>-4</v>
      </c>
      <c r="U135" s="221">
        <v>-4</v>
      </c>
      <c r="V135" s="221">
        <v>-4</v>
      </c>
      <c r="W135" s="222">
        <v>-316.78399999999999</v>
      </c>
      <c r="X135" s="223">
        <v>-73.106999999999999</v>
      </c>
      <c r="Y135" s="221">
        <v>-73.106999999999999</v>
      </c>
      <c r="Z135" s="221">
        <v>-73.106999999999999</v>
      </c>
      <c r="AA135" s="222">
        <v>-80.918000000000006</v>
      </c>
      <c r="AB135" s="221">
        <v>-154.26900000000001</v>
      </c>
      <c r="AC135" s="221">
        <v>-166.28700000000001</v>
      </c>
      <c r="AD135" s="221">
        <v>-166.28700000000001</v>
      </c>
      <c r="AE135" s="222">
        <v>-168.54400000000001</v>
      </c>
      <c r="AF135" s="221">
        <v>0</v>
      </c>
      <c r="AG135" s="221">
        <v>0</v>
      </c>
      <c r="AH135" s="221">
        <v>0</v>
      </c>
      <c r="AI135" s="222">
        <v>-2.7669999999999999</v>
      </c>
      <c r="AJ135" s="221">
        <v>0</v>
      </c>
      <c r="AK135" s="221">
        <v>-453.50599999999997</v>
      </c>
      <c r="AL135" s="221">
        <v>-459.25599999999997</v>
      </c>
      <c r="AM135" s="222">
        <v>-459.25599999999997</v>
      </c>
      <c r="AN135" s="221">
        <v>0</v>
      </c>
      <c r="AO135" s="221">
        <v>0</v>
      </c>
      <c r="AP135" s="221">
        <v>0</v>
      </c>
      <c r="AQ135" s="222">
        <v>0</v>
      </c>
      <c r="AR135" s="221">
        <v>0</v>
      </c>
      <c r="AS135" s="221">
        <v>0</v>
      </c>
      <c r="AT135" s="221">
        <v>0</v>
      </c>
      <c r="AU135" s="222">
        <f>105-10.483</f>
        <v>94.516999999999996</v>
      </c>
      <c r="AV135" s="221">
        <v>42.198999999999998</v>
      </c>
      <c r="AW135" s="221">
        <v>42.198999999999998</v>
      </c>
      <c r="AX135" s="221">
        <v>0</v>
      </c>
      <c r="AY135" s="222">
        <v>0</v>
      </c>
      <c r="AZ135" s="221">
        <v>0</v>
      </c>
      <c r="BA135" s="221">
        <v>0</v>
      </c>
      <c r="BB135" s="218">
        <f t="shared" si="583"/>
        <v>-57.773000000000003</v>
      </c>
      <c r="BC135" s="219">
        <f t="shared" si="584"/>
        <v>-57.773000000000003</v>
      </c>
      <c r="BD135" s="218">
        <f t="shared" si="585"/>
        <v>0</v>
      </c>
      <c r="BE135" s="218">
        <f t="shared" si="586"/>
        <v>0</v>
      </c>
      <c r="BF135" s="218">
        <f t="shared" si="587"/>
        <v>0</v>
      </c>
      <c r="BG135" s="219">
        <f t="shared" si="588"/>
        <v>0</v>
      </c>
      <c r="BH135" s="218">
        <f t="shared" si="589"/>
        <v>0</v>
      </c>
      <c r="BI135" s="218">
        <f t="shared" si="590"/>
        <v>0</v>
      </c>
      <c r="BJ135" s="218">
        <f t="shared" si="591"/>
        <v>0</v>
      </c>
      <c r="BK135" s="219">
        <f t="shared" si="592"/>
        <v>0</v>
      </c>
      <c r="BL135" s="185"/>
      <c r="BM135" s="218">
        <f t="shared" ref="BM135:BV135" si="603">BM36</f>
        <v>0</v>
      </c>
      <c r="BN135" s="218">
        <f t="shared" si="603"/>
        <v>0</v>
      </c>
      <c r="BO135" s="218">
        <f t="shared" si="603"/>
        <v>-64.123000000000005</v>
      </c>
      <c r="BP135" s="218">
        <f t="shared" si="603"/>
        <v>-61.01</v>
      </c>
      <c r="BQ135" s="218">
        <f t="shared" si="603"/>
        <v>-316.78399999999999</v>
      </c>
      <c r="BR135" s="218">
        <f t="shared" si="603"/>
        <v>-80.918000000000006</v>
      </c>
      <c r="BS135" s="218">
        <f t="shared" si="603"/>
        <v>-168.54400000000001</v>
      </c>
      <c r="BT135" s="218">
        <f t="shared" si="603"/>
        <v>-2.7669999999999999</v>
      </c>
      <c r="BU135" s="218">
        <f t="shared" si="603"/>
        <v>-459.25599999999997</v>
      </c>
      <c r="BV135" s="218">
        <f t="shared" si="603"/>
        <v>0</v>
      </c>
      <c r="BW135" s="218">
        <f t="shared" si="594"/>
        <v>94.516999999999996</v>
      </c>
      <c r="BX135" s="218">
        <f t="shared" si="595"/>
        <v>0</v>
      </c>
      <c r="BY135" s="218">
        <f t="shared" si="595"/>
        <v>-57.773000000000003</v>
      </c>
      <c r="BZ135" s="218">
        <f t="shared" si="596"/>
        <v>0</v>
      </c>
      <c r="CA135" s="219">
        <f t="shared" si="596"/>
        <v>0</v>
      </c>
      <c r="CB135" s="220"/>
      <c r="CC135" s="218"/>
      <c r="CD135" s="218"/>
      <c r="CE135" s="260"/>
      <c r="CF135" s="220">
        <f t="shared" ref="CF135:CN135" si="604">CF36</f>
        <v>0</v>
      </c>
      <c r="CG135" s="218">
        <f t="shared" si="604"/>
        <v>-64.123000000000005</v>
      </c>
      <c r="CH135" s="218">
        <f t="shared" si="604"/>
        <v>-30.309999999999995</v>
      </c>
      <c r="CI135" s="218">
        <f t="shared" si="604"/>
        <v>-34.700000000000003</v>
      </c>
      <c r="CJ135" s="218">
        <f t="shared" si="604"/>
        <v>-385.89099999999996</v>
      </c>
      <c r="CK135" s="218">
        <f t="shared" si="604"/>
        <v>-174.09800000000001</v>
      </c>
      <c r="CL135" s="218">
        <f t="shared" si="604"/>
        <v>-2.257000000000005</v>
      </c>
      <c r="CM135" s="218">
        <f t="shared" si="604"/>
        <v>-456.27299999999997</v>
      </c>
      <c r="CN135" s="218">
        <f t="shared" si="604"/>
        <v>-5.75</v>
      </c>
      <c r="CO135" s="218">
        <f t="shared" si="598"/>
        <v>0</v>
      </c>
      <c r="CP135" s="218">
        <f t="shared" si="598"/>
        <v>136.71600000000001</v>
      </c>
      <c r="CQ135" s="218">
        <f t="shared" si="599"/>
        <v>-42.198999999999998</v>
      </c>
      <c r="CR135" s="218">
        <f t="shared" si="599"/>
        <v>-57.773000000000003</v>
      </c>
      <c r="CS135" s="219">
        <f t="shared" si="600"/>
        <v>0</v>
      </c>
      <c r="CT135" s="22"/>
    </row>
    <row r="136" spans="1:98" ht="14.25" customHeight="1" outlineLevel="1">
      <c r="A136" s="8"/>
      <c r="B136" s="28" t="s">
        <v>37</v>
      </c>
      <c r="C136" s="29"/>
      <c r="D136" s="223">
        <v>-245.43199999999999</v>
      </c>
      <c r="E136" s="221">
        <v>-399.10700000000003</v>
      </c>
      <c r="F136" s="221">
        <v>-408.072</v>
      </c>
      <c r="G136" s="222">
        <v>-416.03699999999998</v>
      </c>
      <c r="H136" s="223">
        <v>-302.399</v>
      </c>
      <c r="I136" s="221">
        <v>-558.65599999999995</v>
      </c>
      <c r="J136" s="221">
        <v>-769.53099999999995</v>
      </c>
      <c r="K136" s="222">
        <v>-779.65200000000004</v>
      </c>
      <c r="L136" s="223">
        <v>-107.11199999999999</v>
      </c>
      <c r="M136" s="221">
        <v>-111.01</v>
      </c>
      <c r="N136" s="221">
        <v>-111.84699999999999</v>
      </c>
      <c r="O136" s="222">
        <v>-316.18200000000002</v>
      </c>
      <c r="P136" s="223">
        <v>-1.37</v>
      </c>
      <c r="Q136" s="221">
        <v>-2.74</v>
      </c>
      <c r="R136" s="221">
        <v>-4.1319999999999997</v>
      </c>
      <c r="S136" s="222">
        <v>-5.524</v>
      </c>
      <c r="T136" s="223">
        <v>0</v>
      </c>
      <c r="U136" s="221">
        <v>0</v>
      </c>
      <c r="V136" s="221">
        <v>0</v>
      </c>
      <c r="W136" s="222">
        <v>0</v>
      </c>
      <c r="X136" s="223">
        <v>0</v>
      </c>
      <c r="Y136" s="221">
        <v>0</v>
      </c>
      <c r="Z136" s="221">
        <v>-49.786999999999999</v>
      </c>
      <c r="AA136" s="222">
        <v>-49.786999999999999</v>
      </c>
      <c r="AB136" s="221">
        <v>0</v>
      </c>
      <c r="AC136" s="221">
        <v>-25.108000000000001</v>
      </c>
      <c r="AD136" s="221">
        <f>-25.108-1.98</f>
        <v>-27.088000000000001</v>
      </c>
      <c r="AE136" s="222">
        <v>-25.108000000000001</v>
      </c>
      <c r="AF136" s="221">
        <v>0</v>
      </c>
      <c r="AG136" s="221">
        <v>0</v>
      </c>
      <c r="AH136" s="221">
        <v>0</v>
      </c>
      <c r="AI136" s="222">
        <v>0</v>
      </c>
      <c r="AJ136" s="221">
        <v>0</v>
      </c>
      <c r="AK136" s="221">
        <v>0</v>
      </c>
      <c r="AL136" s="221">
        <v>0</v>
      </c>
      <c r="AM136" s="222">
        <v>-49.953000000000003</v>
      </c>
      <c r="AN136" s="221">
        <v>-25.141999999999999</v>
      </c>
      <c r="AO136" s="221">
        <v>0</v>
      </c>
      <c r="AP136" s="221">
        <v>-0.2</v>
      </c>
      <c r="AQ136" s="222">
        <v>-25.141999999999999</v>
      </c>
      <c r="AR136" s="221">
        <v>-25.055</v>
      </c>
      <c r="AS136" s="221">
        <f>-50.087-7.008</f>
        <v>-57.095000000000006</v>
      </c>
      <c r="AT136" s="221">
        <v>-81.956000000000003</v>
      </c>
      <c r="AU136" s="222">
        <v>-99.947999999999993</v>
      </c>
      <c r="AV136" s="221">
        <f>-75.224-2.337</f>
        <v>-77.561000000000007</v>
      </c>
      <c r="AW136" s="221">
        <f>-300.846-2.663</f>
        <v>-303.50900000000001</v>
      </c>
      <c r="AX136" s="221">
        <v>-400.24400000000003</v>
      </c>
      <c r="AY136" s="222">
        <v>-450.13499999999999</v>
      </c>
      <c r="AZ136" s="221">
        <v>-716.30399999999997</v>
      </c>
      <c r="BA136" s="221">
        <f>-853.47-2.106</f>
        <v>-855.57600000000002</v>
      </c>
      <c r="BB136" s="218">
        <f t="shared" si="583"/>
        <v>-1124.3969999999999</v>
      </c>
      <c r="BC136" s="219">
        <f t="shared" si="584"/>
        <v>-1124.3969999999999</v>
      </c>
      <c r="BD136" s="218">
        <f t="shared" si="585"/>
        <v>0</v>
      </c>
      <c r="BE136" s="218">
        <f t="shared" si="586"/>
        <v>0</v>
      </c>
      <c r="BF136" s="218">
        <f t="shared" si="587"/>
        <v>0</v>
      </c>
      <c r="BG136" s="219">
        <f t="shared" si="588"/>
        <v>0</v>
      </c>
      <c r="BH136" s="218">
        <f t="shared" si="589"/>
        <v>0</v>
      </c>
      <c r="BI136" s="218">
        <f t="shared" si="590"/>
        <v>0</v>
      </c>
      <c r="BJ136" s="218">
        <f t="shared" si="591"/>
        <v>0</v>
      </c>
      <c r="BK136" s="219">
        <f t="shared" si="592"/>
        <v>0</v>
      </c>
      <c r="BL136" s="185"/>
      <c r="BM136" s="218">
        <f t="shared" ref="BM136:BV136" si="605">BM37</f>
        <v>-416.03699999999998</v>
      </c>
      <c r="BN136" s="218">
        <f t="shared" si="605"/>
        <v>-779.65200000000004</v>
      </c>
      <c r="BO136" s="218">
        <f t="shared" si="605"/>
        <v>-316.18200000000002</v>
      </c>
      <c r="BP136" s="218">
        <f t="shared" si="605"/>
        <v>-5.524</v>
      </c>
      <c r="BQ136" s="218">
        <f t="shared" si="605"/>
        <v>0</v>
      </c>
      <c r="BR136" s="218">
        <f t="shared" si="605"/>
        <v>-49.786999999999999</v>
      </c>
      <c r="BS136" s="218">
        <f t="shared" si="605"/>
        <v>-25.108000000000001</v>
      </c>
      <c r="BT136" s="218">
        <f t="shared" si="605"/>
        <v>0</v>
      </c>
      <c r="BU136" s="218">
        <f t="shared" si="605"/>
        <v>-49.953000000000003</v>
      </c>
      <c r="BV136" s="218">
        <f t="shared" si="605"/>
        <v>-25.142000000000003</v>
      </c>
      <c r="BW136" s="218">
        <f t="shared" si="594"/>
        <v>-99.947999999999979</v>
      </c>
      <c r="BX136" s="218">
        <f t="shared" si="595"/>
        <v>-450.13499999999999</v>
      </c>
      <c r="BY136" s="218">
        <f t="shared" si="595"/>
        <v>-1124.3969999999999</v>
      </c>
      <c r="BZ136" s="218">
        <f t="shared" si="596"/>
        <v>0</v>
      </c>
      <c r="CA136" s="219">
        <f t="shared" si="596"/>
        <v>0</v>
      </c>
      <c r="CB136" s="220"/>
      <c r="CC136" s="218"/>
      <c r="CD136" s="218"/>
      <c r="CE136" s="260"/>
      <c r="CF136" s="220">
        <f t="shared" ref="CF136:CN136" si="606">CF37</f>
        <v>-575.5859999999999</v>
      </c>
      <c r="CG136" s="218">
        <f t="shared" si="606"/>
        <v>-332.00600000000009</v>
      </c>
      <c r="CH136" s="218">
        <f t="shared" si="606"/>
        <v>-207.91200000000001</v>
      </c>
      <c r="CI136" s="218">
        <f t="shared" si="606"/>
        <v>-2.7839999999999998</v>
      </c>
      <c r="CJ136" s="218">
        <f t="shared" si="606"/>
        <v>0</v>
      </c>
      <c r="CK136" s="218">
        <f t="shared" si="606"/>
        <v>-74.894999999999996</v>
      </c>
      <c r="CL136" s="218">
        <f t="shared" si="606"/>
        <v>0</v>
      </c>
      <c r="CM136" s="218">
        <f t="shared" si="606"/>
        <v>0</v>
      </c>
      <c r="CN136" s="218">
        <f t="shared" si="606"/>
        <v>-49.953000000000003</v>
      </c>
      <c r="CO136" s="218">
        <f t="shared" si="598"/>
        <v>-82.237000000000009</v>
      </c>
      <c r="CP136" s="218">
        <f t="shared" si="598"/>
        <v>-346.36199999999997</v>
      </c>
      <c r="CQ136" s="218">
        <f t="shared" si="599"/>
        <v>-1002.202</v>
      </c>
      <c r="CR136" s="218">
        <f t="shared" si="599"/>
        <v>-268.82100000000003</v>
      </c>
      <c r="CS136" s="219">
        <f t="shared" si="600"/>
        <v>0</v>
      </c>
      <c r="CT136" s="22"/>
    </row>
    <row r="137" spans="1:98" ht="14.25" customHeight="1" outlineLevel="1">
      <c r="A137" s="8"/>
      <c r="B137" s="28" t="s">
        <v>38</v>
      </c>
      <c r="C137" s="29"/>
      <c r="D137" s="223">
        <v>149</v>
      </c>
      <c r="E137" s="221">
        <v>490.851</v>
      </c>
      <c r="F137" s="221">
        <v>600.78200000000004</v>
      </c>
      <c r="G137" s="222">
        <v>782.46600000000001</v>
      </c>
      <c r="H137" s="223">
        <v>301.49099999999999</v>
      </c>
      <c r="I137" s="221">
        <v>541.25</v>
      </c>
      <c r="J137" s="221">
        <v>757.67499999999995</v>
      </c>
      <c r="K137" s="222">
        <v>987.78899999999999</v>
      </c>
      <c r="L137" s="223">
        <v>295.767</v>
      </c>
      <c r="M137" s="221">
        <v>687.65200000000004</v>
      </c>
      <c r="N137" s="221">
        <v>835.76400000000001</v>
      </c>
      <c r="O137" s="222">
        <v>835.76400000000001</v>
      </c>
      <c r="P137" s="223">
        <v>2.4380000000000002</v>
      </c>
      <c r="Q137" s="221">
        <v>4.6749999999999998</v>
      </c>
      <c r="R137" s="221">
        <v>7.1130000000000004</v>
      </c>
      <c r="S137" s="222">
        <v>8.4260000000000002</v>
      </c>
      <c r="T137" s="223">
        <v>100.233</v>
      </c>
      <c r="U137" s="221">
        <v>100.233</v>
      </c>
      <c r="V137" s="221">
        <v>100.233</v>
      </c>
      <c r="W137" s="222">
        <v>200.233</v>
      </c>
      <c r="X137" s="223">
        <v>0</v>
      </c>
      <c r="Y137" s="221">
        <v>0</v>
      </c>
      <c r="Z137" s="221">
        <v>0</v>
      </c>
      <c r="AA137" s="222">
        <v>0</v>
      </c>
      <c r="AB137" s="221">
        <v>0</v>
      </c>
      <c r="AC137" s="221">
        <v>3.2250000000000001</v>
      </c>
      <c r="AD137" s="221">
        <v>3.2250000000000001</v>
      </c>
      <c r="AE137" s="222">
        <v>3.2250000000000001</v>
      </c>
      <c r="AF137" s="221">
        <v>0</v>
      </c>
      <c r="AG137" s="221">
        <v>0</v>
      </c>
      <c r="AH137" s="221">
        <v>0</v>
      </c>
      <c r="AI137" s="222">
        <f>0.585+50</f>
        <v>50.585000000000001</v>
      </c>
      <c r="AJ137" s="221">
        <v>0</v>
      </c>
      <c r="AK137" s="221">
        <v>27</v>
      </c>
      <c r="AL137" s="221">
        <v>27</v>
      </c>
      <c r="AM137" s="222">
        <v>27</v>
      </c>
      <c r="AN137" s="221">
        <v>0</v>
      </c>
      <c r="AO137" s="221">
        <v>-25.141999999999999</v>
      </c>
      <c r="AP137" s="221">
        <f>-25.142+0.5</f>
        <v>-24.641999999999999</v>
      </c>
      <c r="AQ137" s="222">
        <v>0</v>
      </c>
      <c r="AR137" s="221">
        <v>0</v>
      </c>
      <c r="AS137" s="221">
        <v>0</v>
      </c>
      <c r="AT137" s="221">
        <v>105</v>
      </c>
      <c r="AU137" s="222">
        <v>50</v>
      </c>
      <c r="AV137" s="221">
        <f>24.54+25</f>
        <v>49.54</v>
      </c>
      <c r="AW137" s="221">
        <f>50.994+25</f>
        <v>75.994</v>
      </c>
      <c r="AX137" s="221">
        <f>42.199+50.994+25</f>
        <v>118.193</v>
      </c>
      <c r="AY137" s="222">
        <f>50.994+75+42.199</f>
        <v>168.19299999999998</v>
      </c>
      <c r="AZ137" s="221">
        <v>18.100999999999999</v>
      </c>
      <c r="BA137" s="221">
        <f>39.996+118.211</f>
        <v>158.20699999999999</v>
      </c>
      <c r="BB137" s="218">
        <f t="shared" si="583"/>
        <v>522.50399999999991</v>
      </c>
      <c r="BC137" s="219">
        <f t="shared" si="584"/>
        <v>522.50399999999991</v>
      </c>
      <c r="BD137" s="218">
        <f t="shared" si="585"/>
        <v>0</v>
      </c>
      <c r="BE137" s="218">
        <f t="shared" si="586"/>
        <v>0</v>
      </c>
      <c r="BF137" s="218">
        <f t="shared" si="587"/>
        <v>0</v>
      </c>
      <c r="BG137" s="219">
        <f t="shared" si="588"/>
        <v>0</v>
      </c>
      <c r="BH137" s="218">
        <f t="shared" si="589"/>
        <v>0</v>
      </c>
      <c r="BI137" s="218">
        <f t="shared" si="590"/>
        <v>0</v>
      </c>
      <c r="BJ137" s="218">
        <f t="shared" si="591"/>
        <v>0</v>
      </c>
      <c r="BK137" s="219">
        <f t="shared" si="592"/>
        <v>0</v>
      </c>
      <c r="BL137" s="185"/>
      <c r="BM137" s="218">
        <f t="shared" ref="BM137:BV137" si="607">BM38</f>
        <v>782.46600000000001</v>
      </c>
      <c r="BN137" s="218">
        <f t="shared" si="607"/>
        <v>987.78899999999999</v>
      </c>
      <c r="BO137" s="218">
        <f t="shared" si="607"/>
        <v>835.76400000000001</v>
      </c>
      <c r="BP137" s="218">
        <f t="shared" si="607"/>
        <v>8.4260000000000019</v>
      </c>
      <c r="BQ137" s="218">
        <f t="shared" si="607"/>
        <v>200.233</v>
      </c>
      <c r="BR137" s="218">
        <f t="shared" si="607"/>
        <v>0</v>
      </c>
      <c r="BS137" s="218">
        <f t="shared" si="607"/>
        <v>3.2250000000000001</v>
      </c>
      <c r="BT137" s="218">
        <f t="shared" si="607"/>
        <v>50.585000000000001</v>
      </c>
      <c r="BU137" s="218">
        <f t="shared" si="607"/>
        <v>27</v>
      </c>
      <c r="BV137" s="218">
        <f t="shared" si="607"/>
        <v>0</v>
      </c>
      <c r="BW137" s="218">
        <f t="shared" si="594"/>
        <v>50</v>
      </c>
      <c r="BX137" s="218">
        <f t="shared" si="595"/>
        <v>168.19299999999998</v>
      </c>
      <c r="BY137" s="218">
        <f t="shared" si="595"/>
        <v>522.50399999999991</v>
      </c>
      <c r="BZ137" s="218">
        <f t="shared" si="596"/>
        <v>0</v>
      </c>
      <c r="CA137" s="219">
        <f t="shared" si="596"/>
        <v>0</v>
      </c>
      <c r="CB137" s="220"/>
      <c r="CC137" s="218"/>
      <c r="CD137" s="218"/>
      <c r="CE137" s="260"/>
      <c r="CF137" s="220">
        <f t="shared" ref="CF137:CN137" si="608">CF38</f>
        <v>832.86500000000001</v>
      </c>
      <c r="CG137" s="218">
        <f t="shared" si="608"/>
        <v>1134.191</v>
      </c>
      <c r="CH137" s="218">
        <f t="shared" si="608"/>
        <v>152.78699999999995</v>
      </c>
      <c r="CI137" s="218">
        <f t="shared" si="608"/>
        <v>103.98400000000001</v>
      </c>
      <c r="CJ137" s="218">
        <f t="shared" si="608"/>
        <v>100</v>
      </c>
      <c r="CK137" s="218">
        <f t="shared" si="608"/>
        <v>3.2250000000000001</v>
      </c>
      <c r="CL137" s="218">
        <f t="shared" si="608"/>
        <v>0</v>
      </c>
      <c r="CM137" s="218">
        <f t="shared" si="608"/>
        <v>77.585000000000008</v>
      </c>
      <c r="CN137" s="218">
        <f t="shared" si="608"/>
        <v>-25.141999999999999</v>
      </c>
      <c r="CO137" s="218">
        <f t="shared" si="598"/>
        <v>25.141999999999999</v>
      </c>
      <c r="CP137" s="218">
        <f t="shared" si="598"/>
        <v>125.994</v>
      </c>
      <c r="CQ137" s="218">
        <f t="shared" si="599"/>
        <v>250.40599999999995</v>
      </c>
      <c r="CR137" s="218">
        <f t="shared" si="599"/>
        <v>364.29699999999997</v>
      </c>
      <c r="CS137" s="219">
        <f t="shared" si="600"/>
        <v>0</v>
      </c>
      <c r="CT137" s="22"/>
    </row>
    <row r="138" spans="1:98" ht="14.25" customHeight="1" outlineLevel="1">
      <c r="A138" s="8"/>
      <c r="B138" s="28" t="s">
        <v>533</v>
      </c>
      <c r="C138" s="29"/>
      <c r="D138" s="223">
        <v>0</v>
      </c>
      <c r="E138" s="221">
        <v>0</v>
      </c>
      <c r="F138" s="221">
        <v>0</v>
      </c>
      <c r="G138" s="222">
        <v>0</v>
      </c>
      <c r="H138" s="223">
        <v>0</v>
      </c>
      <c r="I138" s="221">
        <v>0</v>
      </c>
      <c r="J138" s="221">
        <v>0</v>
      </c>
      <c r="K138" s="222">
        <v>0</v>
      </c>
      <c r="L138" s="223">
        <v>0</v>
      </c>
      <c r="M138" s="221">
        <v>-14.157999999999999</v>
      </c>
      <c r="N138" s="221">
        <v>-14.308999999999999</v>
      </c>
      <c r="O138" s="222">
        <v>0</v>
      </c>
      <c r="P138" s="223">
        <v>0</v>
      </c>
      <c r="Q138" s="221">
        <v>0</v>
      </c>
      <c r="R138" s="221">
        <v>0</v>
      </c>
      <c r="S138" s="222">
        <v>0</v>
      </c>
      <c r="T138" s="223">
        <v>0</v>
      </c>
      <c r="U138" s="221">
        <v>0</v>
      </c>
      <c r="V138" s="221">
        <v>0</v>
      </c>
      <c r="W138" s="222">
        <v>0</v>
      </c>
      <c r="X138" s="223">
        <v>0</v>
      </c>
      <c r="Y138" s="221">
        <v>0</v>
      </c>
      <c r="Z138" s="221">
        <v>0</v>
      </c>
      <c r="AA138" s="222">
        <v>0</v>
      </c>
      <c r="AB138" s="221">
        <v>0</v>
      </c>
      <c r="AC138" s="221">
        <v>0</v>
      </c>
      <c r="AD138" s="221">
        <v>0</v>
      </c>
      <c r="AE138" s="222">
        <v>0</v>
      </c>
      <c r="AF138" s="221">
        <v>0</v>
      </c>
      <c r="AG138" s="221">
        <v>0</v>
      </c>
      <c r="AH138" s="221">
        <v>0</v>
      </c>
      <c r="AI138" s="222">
        <v>0</v>
      </c>
      <c r="AJ138" s="221">
        <v>0</v>
      </c>
      <c r="AK138" s="221">
        <v>0</v>
      </c>
      <c r="AL138" s="221">
        <v>0</v>
      </c>
      <c r="AM138" s="222">
        <v>0</v>
      </c>
      <c r="AN138" s="221">
        <v>0</v>
      </c>
      <c r="AO138" s="221">
        <v>0</v>
      </c>
      <c r="AP138" s="221">
        <v>0</v>
      </c>
      <c r="AQ138" s="222">
        <v>0</v>
      </c>
      <c r="AR138" s="221">
        <v>0</v>
      </c>
      <c r="AS138" s="221">
        <v>0</v>
      </c>
      <c r="AT138" s="221">
        <v>0</v>
      </c>
      <c r="AU138" s="222">
        <v>0</v>
      </c>
      <c r="AV138" s="221">
        <v>0</v>
      </c>
      <c r="AW138" s="221">
        <v>0</v>
      </c>
      <c r="AX138" s="221">
        <v>0</v>
      </c>
      <c r="AY138" s="222">
        <v>0</v>
      </c>
      <c r="AZ138" s="221">
        <v>0</v>
      </c>
      <c r="BA138" s="221">
        <v>0</v>
      </c>
      <c r="BB138" s="218">
        <f t="shared" si="583"/>
        <v>0</v>
      </c>
      <c r="BC138" s="219">
        <f t="shared" si="584"/>
        <v>0</v>
      </c>
      <c r="BD138" s="218">
        <f t="shared" si="585"/>
        <v>0</v>
      </c>
      <c r="BE138" s="218">
        <f t="shared" si="586"/>
        <v>0</v>
      </c>
      <c r="BF138" s="218">
        <f t="shared" si="587"/>
        <v>0</v>
      </c>
      <c r="BG138" s="219">
        <f t="shared" si="588"/>
        <v>0</v>
      </c>
      <c r="BH138" s="218">
        <f t="shared" si="589"/>
        <v>0</v>
      </c>
      <c r="BI138" s="218">
        <f t="shared" si="590"/>
        <v>0</v>
      </c>
      <c r="BJ138" s="218">
        <f t="shared" si="591"/>
        <v>0</v>
      </c>
      <c r="BK138" s="219">
        <f t="shared" si="592"/>
        <v>0</v>
      </c>
      <c r="BL138" s="185"/>
      <c r="BM138" s="218">
        <f t="shared" ref="BM138:BV138" si="609">BM39</f>
        <v>0</v>
      </c>
      <c r="BN138" s="218">
        <f t="shared" si="609"/>
        <v>0</v>
      </c>
      <c r="BO138" s="218">
        <f t="shared" si="609"/>
        <v>0</v>
      </c>
      <c r="BP138" s="218">
        <f t="shared" si="609"/>
        <v>0</v>
      </c>
      <c r="BQ138" s="218">
        <f t="shared" si="609"/>
        <v>0</v>
      </c>
      <c r="BR138" s="218">
        <f t="shared" si="609"/>
        <v>0</v>
      </c>
      <c r="BS138" s="218">
        <f t="shared" si="609"/>
        <v>0</v>
      </c>
      <c r="BT138" s="218">
        <f t="shared" si="609"/>
        <v>0</v>
      </c>
      <c r="BU138" s="218">
        <f t="shared" si="609"/>
        <v>0</v>
      </c>
      <c r="BV138" s="218">
        <f t="shared" si="609"/>
        <v>0</v>
      </c>
      <c r="BW138" s="218">
        <f t="shared" si="594"/>
        <v>0</v>
      </c>
      <c r="BX138" s="218">
        <f t="shared" si="595"/>
        <v>0</v>
      </c>
      <c r="BY138" s="218">
        <f t="shared" si="595"/>
        <v>0</v>
      </c>
      <c r="BZ138" s="218">
        <f t="shared" si="596"/>
        <v>0</v>
      </c>
      <c r="CA138" s="219">
        <f t="shared" si="596"/>
        <v>0</v>
      </c>
      <c r="CB138" s="220"/>
      <c r="CC138" s="218"/>
      <c r="CD138" s="218"/>
      <c r="CE138" s="260"/>
      <c r="CF138" s="220">
        <f t="shared" ref="CF138:CN138" si="610">CF39</f>
        <v>0</v>
      </c>
      <c r="CG138" s="218">
        <f t="shared" si="610"/>
        <v>-14.157999999999999</v>
      </c>
      <c r="CH138" s="218">
        <f t="shared" si="610"/>
        <v>14.157999999999999</v>
      </c>
      <c r="CI138" s="218">
        <f t="shared" si="610"/>
        <v>0</v>
      </c>
      <c r="CJ138" s="218">
        <f t="shared" si="610"/>
        <v>0</v>
      </c>
      <c r="CK138" s="218">
        <f t="shared" si="610"/>
        <v>0</v>
      </c>
      <c r="CL138" s="218">
        <f t="shared" si="610"/>
        <v>0</v>
      </c>
      <c r="CM138" s="218">
        <f t="shared" si="610"/>
        <v>0</v>
      </c>
      <c r="CN138" s="218">
        <f t="shared" si="610"/>
        <v>0</v>
      </c>
      <c r="CO138" s="218">
        <f t="shared" si="598"/>
        <v>0</v>
      </c>
      <c r="CP138" s="218">
        <f t="shared" si="598"/>
        <v>0</v>
      </c>
      <c r="CQ138" s="218">
        <f t="shared" si="599"/>
        <v>0</v>
      </c>
      <c r="CR138" s="218">
        <f t="shared" si="599"/>
        <v>0</v>
      </c>
      <c r="CS138" s="219">
        <f t="shared" si="600"/>
        <v>0</v>
      </c>
      <c r="CT138" s="22"/>
    </row>
    <row r="139" spans="1:98" ht="14.25" customHeight="1" outlineLevel="1">
      <c r="A139" s="11"/>
      <c r="B139" s="28" t="s">
        <v>491</v>
      </c>
      <c r="C139" s="29"/>
      <c r="D139" s="223">
        <v>7.0999999999999994E-2</v>
      </c>
      <c r="E139" s="221">
        <v>-0.504</v>
      </c>
      <c r="F139" s="221">
        <v>-10.246</v>
      </c>
      <c r="G139" s="222">
        <v>-9.1630000000000003</v>
      </c>
      <c r="H139" s="223">
        <v>3.38</v>
      </c>
      <c r="I139" s="221">
        <v>-1.4910000000000001</v>
      </c>
      <c r="J139" s="221">
        <v>-16.120999999999999</v>
      </c>
      <c r="K139" s="222">
        <v>-11.664999999999999</v>
      </c>
      <c r="L139" s="223">
        <v>0.93400000000000005</v>
      </c>
      <c r="M139" s="221">
        <v>18.03</v>
      </c>
      <c r="N139" s="221">
        <v>9.82</v>
      </c>
      <c r="O139" s="222">
        <v>9.1310000000000002</v>
      </c>
      <c r="P139" s="223">
        <v>-3.206</v>
      </c>
      <c r="Q139" s="221">
        <v>-1.246</v>
      </c>
      <c r="R139" s="221">
        <v>0.873</v>
      </c>
      <c r="S139" s="222">
        <v>0.873</v>
      </c>
      <c r="T139" s="223">
        <v>0.95299999999999996</v>
      </c>
      <c r="U139" s="221">
        <v>0.66500000000000004</v>
      </c>
      <c r="V139" s="221">
        <v>-0.26300000000000001</v>
      </c>
      <c r="W139" s="222">
        <v>-3.9980000000000002</v>
      </c>
      <c r="X139" s="223">
        <v>0</v>
      </c>
      <c r="Y139" s="221">
        <v>0</v>
      </c>
      <c r="Z139" s="221">
        <v>0</v>
      </c>
      <c r="AA139" s="222">
        <v>0</v>
      </c>
      <c r="AB139" s="221">
        <v>0</v>
      </c>
      <c r="AC139" s="221">
        <v>0</v>
      </c>
      <c r="AD139" s="221">
        <v>56.606999999999999</v>
      </c>
      <c r="AE139" s="222">
        <f>56.607-3.48</f>
        <v>53.127000000000002</v>
      </c>
      <c r="AF139" s="221">
        <v>0</v>
      </c>
      <c r="AG139" s="221">
        <v>0</v>
      </c>
      <c r="AH139" s="221">
        <v>50</v>
      </c>
      <c r="AI139" s="222">
        <v>-0.5</v>
      </c>
      <c r="AJ139" s="221">
        <v>0</v>
      </c>
      <c r="AK139" s="221">
        <v>0</v>
      </c>
      <c r="AL139" s="221">
        <v>0</v>
      </c>
      <c r="AM139" s="222">
        <v>0</v>
      </c>
      <c r="AN139" s="221">
        <v>0</v>
      </c>
      <c r="AO139" s="221">
        <v>0</v>
      </c>
      <c r="AP139" s="221">
        <v>0</v>
      </c>
      <c r="AQ139" s="222">
        <f>35.55-0.2+0.5</f>
        <v>35.849999999999994</v>
      </c>
      <c r="AR139" s="221">
        <v>-1</v>
      </c>
      <c r="AS139" s="221">
        <v>2.38</v>
      </c>
      <c r="AT139" s="221">
        <v>0.45899999999999985</v>
      </c>
      <c r="AU139" s="222">
        <v>2.38</v>
      </c>
      <c r="AV139" s="221">
        <v>0</v>
      </c>
      <c r="AW139" s="221">
        <v>0</v>
      </c>
      <c r="AX139" s="221">
        <v>-2.8250000000000002</v>
      </c>
      <c r="AY139" s="222">
        <v>-2.8250000000000002</v>
      </c>
      <c r="AZ139" s="221">
        <v>-0.60599999999999998</v>
      </c>
      <c r="BA139" s="221">
        <v>0</v>
      </c>
      <c r="BB139" s="218">
        <f t="shared" si="583"/>
        <v>-1.25</v>
      </c>
      <c r="BC139" s="219">
        <f t="shared" si="584"/>
        <v>-1.25</v>
      </c>
      <c r="BD139" s="218">
        <f t="shared" si="585"/>
        <v>0</v>
      </c>
      <c r="BE139" s="218">
        <f t="shared" si="586"/>
        <v>0</v>
      </c>
      <c r="BF139" s="218">
        <f t="shared" si="587"/>
        <v>0</v>
      </c>
      <c r="BG139" s="219">
        <f t="shared" si="588"/>
        <v>0</v>
      </c>
      <c r="BH139" s="218">
        <f t="shared" si="589"/>
        <v>0</v>
      </c>
      <c r="BI139" s="218">
        <f t="shared" si="590"/>
        <v>0</v>
      </c>
      <c r="BJ139" s="218">
        <f t="shared" si="591"/>
        <v>0</v>
      </c>
      <c r="BK139" s="219">
        <f t="shared" si="592"/>
        <v>0</v>
      </c>
      <c r="BL139" s="185"/>
      <c r="BM139" s="218">
        <f t="shared" ref="BM139:BV139" si="611">BM40</f>
        <v>-9.1630000000000003</v>
      </c>
      <c r="BN139" s="218">
        <f t="shared" si="611"/>
        <v>-11.664999999999999</v>
      </c>
      <c r="BO139" s="218">
        <f t="shared" si="611"/>
        <v>9.1310000000000038</v>
      </c>
      <c r="BP139" s="218">
        <f t="shared" si="611"/>
        <v>0.87299999999999978</v>
      </c>
      <c r="BQ139" s="218">
        <f t="shared" si="611"/>
        <v>-3.9980000000000002</v>
      </c>
      <c r="BR139" s="218">
        <f t="shared" si="611"/>
        <v>0</v>
      </c>
      <c r="BS139" s="218">
        <f t="shared" si="611"/>
        <v>53.127000000000002</v>
      </c>
      <c r="BT139" s="218">
        <f t="shared" si="611"/>
        <v>-0.5</v>
      </c>
      <c r="BU139" s="218">
        <f t="shared" si="611"/>
        <v>0</v>
      </c>
      <c r="BV139" s="218">
        <f t="shared" si="611"/>
        <v>35.849999999999994</v>
      </c>
      <c r="BW139" s="218">
        <f t="shared" si="594"/>
        <v>2.38</v>
      </c>
      <c r="BX139" s="218">
        <f t="shared" si="595"/>
        <v>-2.8250000000000002</v>
      </c>
      <c r="BY139" s="218">
        <f t="shared" si="595"/>
        <v>-1.25</v>
      </c>
      <c r="BZ139" s="218">
        <f t="shared" si="596"/>
        <v>0</v>
      </c>
      <c r="CA139" s="219">
        <f t="shared" si="596"/>
        <v>0</v>
      </c>
      <c r="CB139" s="220"/>
      <c r="CC139" s="218"/>
      <c r="CD139" s="218"/>
      <c r="CE139" s="24"/>
      <c r="CF139" s="220">
        <f t="shared" ref="CF139:CN139" si="612">CF40</f>
        <v>-10.150000000000002</v>
      </c>
      <c r="CG139" s="218">
        <f t="shared" si="612"/>
        <v>7.8559999999999999</v>
      </c>
      <c r="CH139" s="218">
        <f t="shared" si="612"/>
        <v>-10.144999999999996</v>
      </c>
      <c r="CI139" s="218">
        <f t="shared" si="612"/>
        <v>2.7839999999999998</v>
      </c>
      <c r="CJ139" s="218">
        <f t="shared" si="612"/>
        <v>-4.6630000000000003</v>
      </c>
      <c r="CK139" s="218">
        <f t="shared" si="612"/>
        <v>0</v>
      </c>
      <c r="CL139" s="218">
        <f t="shared" si="612"/>
        <v>53.127000000000002</v>
      </c>
      <c r="CM139" s="218">
        <f t="shared" si="612"/>
        <v>-0.5</v>
      </c>
      <c r="CN139" s="218">
        <f t="shared" si="612"/>
        <v>0</v>
      </c>
      <c r="CO139" s="218">
        <f t="shared" si="598"/>
        <v>38.229999999999997</v>
      </c>
      <c r="CP139" s="218">
        <f t="shared" si="598"/>
        <v>0</v>
      </c>
      <c r="CQ139" s="218">
        <f t="shared" si="599"/>
        <v>-2.8250000000000002</v>
      </c>
      <c r="CR139" s="218">
        <f t="shared" si="599"/>
        <v>-1.25</v>
      </c>
      <c r="CS139" s="219">
        <f t="shared" si="600"/>
        <v>0</v>
      </c>
      <c r="CT139" s="23"/>
    </row>
    <row r="140" spans="1:98" ht="14.25" customHeight="1" outlineLevel="1" thickBot="1">
      <c r="A140" s="8"/>
      <c r="B140" s="224" t="s">
        <v>492</v>
      </c>
      <c r="C140" s="225"/>
      <c r="D140" s="227">
        <f t="shared" ref="D140:AP140" si="613">SUM(D133:D139)</f>
        <v>-114.994</v>
      </c>
      <c r="E140" s="226">
        <f t="shared" si="613"/>
        <v>40.928999999999995</v>
      </c>
      <c r="F140" s="226">
        <f t="shared" si="613"/>
        <v>83.767000000000039</v>
      </c>
      <c r="G140" s="228">
        <f t="shared" si="613"/>
        <v>157.60700000000008</v>
      </c>
      <c r="H140" s="227">
        <f t="shared" si="613"/>
        <v>-92.437000000000012</v>
      </c>
      <c r="I140" s="226">
        <f t="shared" si="613"/>
        <v>-213.27</v>
      </c>
      <c r="J140" s="226">
        <f t="shared" si="613"/>
        <v>-286.399</v>
      </c>
      <c r="K140" s="228">
        <f t="shared" si="613"/>
        <v>-202.934</v>
      </c>
      <c r="L140" s="227">
        <f t="shared" si="613"/>
        <v>131.88200000000001</v>
      </c>
      <c r="M140" s="226">
        <f t="shared" si="613"/>
        <v>396.86599999999999</v>
      </c>
      <c r="N140" s="226">
        <f t="shared" si="613"/>
        <v>491.31700000000001</v>
      </c>
      <c r="O140" s="228">
        <f t="shared" si="613"/>
        <v>265.08899999999994</v>
      </c>
      <c r="P140" s="227">
        <f t="shared" si="613"/>
        <v>-39.810999999999993</v>
      </c>
      <c r="Q140" s="226">
        <f t="shared" si="613"/>
        <v>-96.208999999999989</v>
      </c>
      <c r="R140" s="226">
        <f t="shared" si="613"/>
        <v>-159.74100000000001</v>
      </c>
      <c r="S140" s="228">
        <f t="shared" si="613"/>
        <v>-191.71700000000001</v>
      </c>
      <c r="T140" s="227">
        <f t="shared" si="613"/>
        <v>71.063000000000002</v>
      </c>
      <c r="U140" s="226">
        <f t="shared" si="613"/>
        <v>43.883000000000003</v>
      </c>
      <c r="V140" s="226">
        <f t="shared" si="613"/>
        <v>16.916000000000015</v>
      </c>
      <c r="W140" s="228">
        <f t="shared" si="613"/>
        <v>-241.64799999999997</v>
      </c>
      <c r="X140" s="227">
        <f t="shared" si="613"/>
        <v>-111.101</v>
      </c>
      <c r="Y140" s="226">
        <f t="shared" si="613"/>
        <v>-145.45499999999998</v>
      </c>
      <c r="Z140" s="226">
        <f t="shared" si="613"/>
        <v>-224.755</v>
      </c>
      <c r="AA140" s="228">
        <f t="shared" si="613"/>
        <v>-278.334</v>
      </c>
      <c r="AB140" s="226">
        <f t="shared" si="613"/>
        <v>-203.59300000000002</v>
      </c>
      <c r="AC140" s="226">
        <f t="shared" si="613"/>
        <v>-304.14600000000002</v>
      </c>
      <c r="AD140" s="226">
        <f t="shared" si="613"/>
        <v>-305.798</v>
      </c>
      <c r="AE140" s="228">
        <f t="shared" si="613"/>
        <v>-384.76499999999999</v>
      </c>
      <c r="AF140" s="226">
        <f t="shared" si="613"/>
        <v>-50.359000000000002</v>
      </c>
      <c r="AG140" s="226">
        <f t="shared" si="613"/>
        <v>-108.346</v>
      </c>
      <c r="AH140" s="226">
        <f t="shared" si="613"/>
        <v>-103.09200000000001</v>
      </c>
      <c r="AI140" s="228">
        <f t="shared" si="613"/>
        <v>-139.37199999999999</v>
      </c>
      <c r="AJ140" s="226">
        <f t="shared" si="613"/>
        <v>-33.280999999999999</v>
      </c>
      <c r="AK140" s="226">
        <f>SUM(AK133:AK139)</f>
        <v>-505.91999999999996</v>
      </c>
      <c r="AL140" s="226">
        <f>SUM(AL133:AL139)</f>
        <v>-537.45899999999995</v>
      </c>
      <c r="AM140" s="228">
        <f>SUM(AM133:AM139)</f>
        <v>-609.43899999999996</v>
      </c>
      <c r="AN140" s="226">
        <f>SUM(AN133:AN139)</f>
        <v>-56.616</v>
      </c>
      <c r="AO140" s="226">
        <f>SUM(AO133:AO139)</f>
        <v>-50.734000000000002</v>
      </c>
      <c r="AP140" s="226">
        <f t="shared" si="613"/>
        <v>-59.004000000000005</v>
      </c>
      <c r="AQ140" s="228">
        <f t="shared" ref="AQ140:BC140" si="614">SUM(AQ133:AQ139)</f>
        <v>-36.073000000000008</v>
      </c>
      <c r="AR140" s="226">
        <f t="shared" si="614"/>
        <v>-41.269999999999996</v>
      </c>
      <c r="AS140" s="226">
        <f t="shared" si="614"/>
        <v>-33.751000000000005</v>
      </c>
      <c r="AT140" s="226">
        <f t="shared" si="614"/>
        <v>27.073000000000004</v>
      </c>
      <c r="AU140" s="228">
        <f t="shared" ref="AU140:AZ140" si="615">SUM(AU133:AU139)</f>
        <v>62.722000000000001</v>
      </c>
      <c r="AV140" s="226">
        <f t="shared" si="615"/>
        <v>7.2999999999986187E-2</v>
      </c>
      <c r="AW140" s="226">
        <f t="shared" si="615"/>
        <v>-212.97200000000001</v>
      </c>
      <c r="AX140" s="226">
        <f t="shared" si="615"/>
        <v>-320.03100000000001</v>
      </c>
      <c r="AY140" s="228">
        <f t="shared" si="615"/>
        <v>-325.39600000000002</v>
      </c>
      <c r="AZ140" s="226">
        <f t="shared" si="615"/>
        <v>-711.65699999999993</v>
      </c>
      <c r="BA140" s="226">
        <f t="shared" ref="BA140" si="616">SUM(BA133:BA139)</f>
        <v>-731.18600000000004</v>
      </c>
      <c r="BB140" s="226">
        <f t="shared" si="614"/>
        <v>-708.81899999999996</v>
      </c>
      <c r="BC140" s="228">
        <f t="shared" si="614"/>
        <v>-721.416738377</v>
      </c>
      <c r="BD140" s="226">
        <f t="shared" ref="BD140:BK140" si="617">SUM(BD133:BD139)</f>
        <v>-12.288045326480001</v>
      </c>
      <c r="BE140" s="226">
        <f t="shared" si="617"/>
        <v>-24.599104761557204</v>
      </c>
      <c r="BF140" s="226">
        <f t="shared" si="617"/>
        <v>-37.553779496826998</v>
      </c>
      <c r="BG140" s="228">
        <f t="shared" si="617"/>
        <v>-50.645455137275931</v>
      </c>
      <c r="BH140" s="226">
        <f t="shared" si="617"/>
        <v>-12.881601942065368</v>
      </c>
      <c r="BI140" s="226">
        <f t="shared" si="617"/>
        <v>-25.753309435272307</v>
      </c>
      <c r="BJ140" s="226">
        <f t="shared" si="617"/>
        <v>-39.14860377451955</v>
      </c>
      <c r="BK140" s="228">
        <f t="shared" si="617"/>
        <v>-52.900031667453888</v>
      </c>
      <c r="BL140" s="185"/>
      <c r="BM140" s="226">
        <f t="shared" ref="BM140:BW140" si="618">SUM(BM133:BM139)</f>
        <v>157.60699999999997</v>
      </c>
      <c r="BN140" s="226">
        <f t="shared" si="618"/>
        <v>-202.934</v>
      </c>
      <c r="BO140" s="226">
        <f t="shared" si="618"/>
        <v>265.089</v>
      </c>
      <c r="BP140" s="226">
        <f t="shared" si="618"/>
        <v>-191.71699999999998</v>
      </c>
      <c r="BQ140" s="226">
        <f t="shared" si="618"/>
        <v>-241.64800000000002</v>
      </c>
      <c r="BR140" s="226">
        <f t="shared" si="618"/>
        <v>-278.334</v>
      </c>
      <c r="BS140" s="226">
        <f t="shared" si="618"/>
        <v>-384.76499999999999</v>
      </c>
      <c r="BT140" s="226">
        <f t="shared" si="618"/>
        <v>-139.37199999999999</v>
      </c>
      <c r="BU140" s="226">
        <f t="shared" si="618"/>
        <v>-609.43899999999996</v>
      </c>
      <c r="BV140" s="226">
        <f t="shared" si="618"/>
        <v>-36.073000000000008</v>
      </c>
      <c r="BW140" s="226">
        <f t="shared" si="618"/>
        <v>62.722000000000016</v>
      </c>
      <c r="BX140" s="226">
        <f>SUM(BX133:BX139)</f>
        <v>-325.39600000000002</v>
      </c>
      <c r="BY140" s="226">
        <f>SUM(BY133:BY139)</f>
        <v>-721.416738377</v>
      </c>
      <c r="BZ140" s="226">
        <f>SUM(BZ133:BZ139)</f>
        <v>-50.645455137275931</v>
      </c>
      <c r="CA140" s="228">
        <f>SUM(CA133:CA139)</f>
        <v>-52.900031667453888</v>
      </c>
      <c r="CB140" s="233"/>
      <c r="CC140" s="232"/>
      <c r="CD140" s="232"/>
      <c r="CE140" s="260"/>
      <c r="CF140" s="227">
        <f t="shared" ref="CF140:CO140" si="619">SUM(CF133:CF139)</f>
        <v>-96.591999999999899</v>
      </c>
      <c r="CG140" s="226">
        <f t="shared" si="619"/>
        <v>407.20199999999988</v>
      </c>
      <c r="CH140" s="226">
        <f t="shared" si="619"/>
        <v>-227.9860000000001</v>
      </c>
      <c r="CI140" s="226">
        <f t="shared" si="619"/>
        <v>-51.625000000000021</v>
      </c>
      <c r="CJ140" s="226">
        <f t="shared" si="619"/>
        <v>-430.98599999999999</v>
      </c>
      <c r="CK140" s="226">
        <f t="shared" si="619"/>
        <v>-437.02499999999998</v>
      </c>
      <c r="CL140" s="226">
        <f t="shared" si="619"/>
        <v>-188.965</v>
      </c>
      <c r="CM140" s="226">
        <f t="shared" si="619"/>
        <v>-536.94599999999991</v>
      </c>
      <c r="CN140" s="226">
        <f t="shared" si="619"/>
        <v>-154.25299999999999</v>
      </c>
      <c r="CO140" s="226">
        <f t="shared" si="619"/>
        <v>-19.090000000000025</v>
      </c>
      <c r="CP140" s="226">
        <f>SUM(CP133:CP139)</f>
        <v>-116.499</v>
      </c>
      <c r="CQ140" s="226">
        <f>SUM(CQ133:CQ139)</f>
        <v>-843.61000000000013</v>
      </c>
      <c r="CR140" s="226">
        <f>SUM(CR133:CR139)</f>
        <v>-14.829843138557237</v>
      </c>
      <c r="CS140" s="228">
        <f>SUM(CS133:CS139)</f>
        <v>-51.799659810991031</v>
      </c>
      <c r="CT140" s="22"/>
    </row>
    <row r="141" spans="1:98" ht="14.25" customHeight="1" outlineLevel="1" thickTop="1">
      <c r="A141" s="8"/>
      <c r="B141" s="23"/>
      <c r="C141" s="24"/>
      <c r="D141" s="223"/>
      <c r="E141" s="221"/>
      <c r="F141" s="221"/>
      <c r="G141" s="222"/>
      <c r="H141" s="223"/>
      <c r="I141" s="221"/>
      <c r="J141" s="221"/>
      <c r="K141" s="222"/>
      <c r="L141" s="223"/>
      <c r="M141" s="221"/>
      <c r="N141" s="221"/>
      <c r="O141" s="222"/>
      <c r="P141" s="223"/>
      <c r="Q141" s="221"/>
      <c r="R141" s="221"/>
      <c r="S141" s="222"/>
      <c r="T141" s="223"/>
      <c r="U141" s="221"/>
      <c r="V141" s="221"/>
      <c r="W141" s="222"/>
      <c r="X141" s="223"/>
      <c r="Y141" s="221"/>
      <c r="Z141" s="221"/>
      <c r="AA141" s="222"/>
      <c r="AB141" s="221"/>
      <c r="AC141" s="221"/>
      <c r="AD141" s="221"/>
      <c r="AE141" s="222"/>
      <c r="AF141" s="221"/>
      <c r="AG141" s="221"/>
      <c r="AH141" s="221"/>
      <c r="AI141" s="222"/>
      <c r="AJ141" s="221"/>
      <c r="AK141" s="221"/>
      <c r="AL141" s="221"/>
      <c r="AM141" s="222"/>
      <c r="AN141" s="221"/>
      <c r="AO141" s="221"/>
      <c r="AP141" s="221"/>
      <c r="AQ141" s="222"/>
      <c r="AR141" s="221"/>
      <c r="AS141" s="221"/>
      <c r="AT141" s="221"/>
      <c r="AU141" s="222"/>
      <c r="AV141" s="221"/>
      <c r="AW141" s="221"/>
      <c r="AX141" s="221"/>
      <c r="AY141" s="222"/>
      <c r="AZ141" s="221"/>
      <c r="BA141" s="221"/>
      <c r="BB141" s="221"/>
      <c r="BC141" s="222"/>
      <c r="BD141" s="221"/>
      <c r="BE141" s="221"/>
      <c r="BF141" s="221"/>
      <c r="BG141" s="222"/>
      <c r="BH141" s="221"/>
      <c r="BI141" s="221"/>
      <c r="BJ141" s="221"/>
      <c r="BK141" s="222"/>
      <c r="BL141" s="185"/>
      <c r="BM141" s="221"/>
      <c r="BN141" s="221"/>
      <c r="BO141" s="221"/>
      <c r="BP141" s="221"/>
      <c r="BQ141" s="221"/>
      <c r="BR141" s="221"/>
      <c r="BS141" s="221"/>
      <c r="BT141" s="221"/>
      <c r="BU141" s="221"/>
      <c r="BV141" s="221"/>
      <c r="BW141" s="221"/>
      <c r="BX141" s="221"/>
      <c r="BY141" s="221"/>
      <c r="BZ141" s="221"/>
      <c r="CA141" s="222"/>
      <c r="CB141" s="223"/>
      <c r="CC141" s="221"/>
      <c r="CD141" s="221"/>
      <c r="CE141" s="260"/>
      <c r="CF141" s="223"/>
      <c r="CG141" s="221"/>
      <c r="CH141" s="221"/>
      <c r="CI141" s="221"/>
      <c r="CJ141" s="221"/>
      <c r="CK141" s="221"/>
      <c r="CL141" s="221"/>
      <c r="CM141" s="221"/>
      <c r="CN141" s="221"/>
      <c r="CO141" s="221"/>
      <c r="CP141" s="221"/>
      <c r="CQ141" s="221"/>
      <c r="CR141" s="221"/>
      <c r="CS141" s="222"/>
      <c r="CT141" s="22"/>
    </row>
    <row r="142" spans="1:98" ht="14.25" customHeight="1" outlineLevel="1">
      <c r="A142" s="8"/>
      <c r="B142" s="229" t="s">
        <v>493</v>
      </c>
      <c r="C142" s="230"/>
      <c r="D142" s="223"/>
      <c r="E142" s="231"/>
      <c r="F142" s="231"/>
      <c r="G142" s="222"/>
      <c r="H142" s="223"/>
      <c r="I142" s="231"/>
      <c r="J142" s="231"/>
      <c r="K142" s="222"/>
      <c r="L142" s="223"/>
      <c r="M142" s="231"/>
      <c r="N142" s="231"/>
      <c r="O142" s="222"/>
      <c r="P142" s="223"/>
      <c r="Q142" s="231"/>
      <c r="R142" s="231"/>
      <c r="S142" s="222"/>
      <c r="T142" s="223"/>
      <c r="U142" s="231"/>
      <c r="V142" s="231"/>
      <c r="W142" s="222"/>
      <c r="X142" s="223"/>
      <c r="Y142" s="231"/>
      <c r="Z142" s="231"/>
      <c r="AA142" s="222"/>
      <c r="AB142" s="221"/>
      <c r="AC142" s="231"/>
      <c r="AD142" s="231"/>
      <c r="AE142" s="222"/>
      <c r="AF142" s="221"/>
      <c r="AG142" s="221"/>
      <c r="AH142" s="221"/>
      <c r="AI142" s="222"/>
      <c r="AJ142" s="221"/>
      <c r="AK142" s="221"/>
      <c r="AL142" s="221"/>
      <c r="AM142" s="222"/>
      <c r="AN142" s="221"/>
      <c r="AO142" s="221"/>
      <c r="AP142" s="221"/>
      <c r="AQ142" s="222"/>
      <c r="AR142" s="221"/>
      <c r="AS142" s="221"/>
      <c r="AT142" s="221"/>
      <c r="AU142" s="222"/>
      <c r="AV142" s="221"/>
      <c r="AW142" s="221"/>
      <c r="AX142" s="221"/>
      <c r="AY142" s="222"/>
      <c r="AZ142" s="221"/>
      <c r="BA142" s="221"/>
      <c r="BB142" s="221"/>
      <c r="BC142" s="222"/>
      <c r="BD142" s="221"/>
      <c r="BE142" s="221"/>
      <c r="BF142" s="221"/>
      <c r="BG142" s="222"/>
      <c r="BH142" s="221"/>
      <c r="BI142" s="221"/>
      <c r="BJ142" s="221"/>
      <c r="BK142" s="222"/>
      <c r="BL142" s="185"/>
      <c r="BM142" s="221"/>
      <c r="BN142" s="221"/>
      <c r="BO142" s="221"/>
      <c r="BP142" s="221"/>
      <c r="BQ142" s="221"/>
      <c r="BR142" s="221"/>
      <c r="BS142" s="221"/>
      <c r="BT142" s="221"/>
      <c r="BU142" s="221"/>
      <c r="BV142" s="221"/>
      <c r="BW142" s="221"/>
      <c r="BX142" s="221"/>
      <c r="BY142" s="221"/>
      <c r="BZ142" s="221"/>
      <c r="CA142" s="222"/>
      <c r="CB142" s="223"/>
      <c r="CC142" s="221"/>
      <c r="CD142" s="221"/>
      <c r="CE142" s="260"/>
      <c r="CF142" s="223"/>
      <c r="CG142" s="221"/>
      <c r="CH142" s="221"/>
      <c r="CI142" s="221"/>
      <c r="CJ142" s="221"/>
      <c r="CK142" s="221"/>
      <c r="CL142" s="221"/>
      <c r="CM142" s="221"/>
      <c r="CN142" s="221"/>
      <c r="CO142" s="221"/>
      <c r="CP142" s="221"/>
      <c r="CQ142" s="221"/>
      <c r="CR142" s="221"/>
      <c r="CS142" s="222"/>
      <c r="CT142" s="22"/>
    </row>
    <row r="143" spans="1:98" ht="14.25" customHeight="1" outlineLevel="1">
      <c r="A143" s="8">
        <v>1</v>
      </c>
      <c r="B143" s="28" t="s">
        <v>558</v>
      </c>
      <c r="C143" s="29"/>
      <c r="D143" s="223">
        <v>0</v>
      </c>
      <c r="E143" s="221">
        <v>0</v>
      </c>
      <c r="F143" s="221">
        <v>0</v>
      </c>
      <c r="G143" s="222">
        <v>0</v>
      </c>
      <c r="H143" s="223">
        <v>0</v>
      </c>
      <c r="I143" s="221">
        <v>0</v>
      </c>
      <c r="J143" s="221">
        <v>0</v>
      </c>
      <c r="K143" s="222">
        <v>0</v>
      </c>
      <c r="L143" s="223">
        <v>0</v>
      </c>
      <c r="M143" s="221">
        <v>0</v>
      </c>
      <c r="N143" s="221">
        <v>0</v>
      </c>
      <c r="O143" s="222">
        <v>0</v>
      </c>
      <c r="P143" s="223">
        <v>0</v>
      </c>
      <c r="Q143" s="221">
        <v>0</v>
      </c>
      <c r="R143" s="221">
        <v>0</v>
      </c>
      <c r="S143" s="222">
        <v>0</v>
      </c>
      <c r="T143" s="223">
        <v>0</v>
      </c>
      <c r="U143" s="221">
        <v>0</v>
      </c>
      <c r="V143" s="221">
        <v>0</v>
      </c>
      <c r="W143" s="222">
        <v>0</v>
      </c>
      <c r="X143" s="223">
        <v>0</v>
      </c>
      <c r="Y143" s="221">
        <v>0</v>
      </c>
      <c r="Z143" s="221">
        <v>0</v>
      </c>
      <c r="AA143" s="222">
        <v>0</v>
      </c>
      <c r="AB143" s="221">
        <v>0</v>
      </c>
      <c r="AC143" s="221">
        <v>0</v>
      </c>
      <c r="AD143" s="221">
        <v>0</v>
      </c>
      <c r="AE143" s="222">
        <v>0</v>
      </c>
      <c r="AF143" s="221">
        <v>0</v>
      </c>
      <c r="AG143" s="221">
        <v>0</v>
      </c>
      <c r="AH143" s="221">
        <v>0</v>
      </c>
      <c r="AI143" s="222">
        <v>0</v>
      </c>
      <c r="AJ143" s="221">
        <v>0.1</v>
      </c>
      <c r="AK143" s="221">
        <v>0</v>
      </c>
      <c r="AL143" s="221">
        <v>0</v>
      </c>
      <c r="AM143" s="222">
        <v>0</v>
      </c>
      <c r="AN143" s="221">
        <v>0</v>
      </c>
      <c r="AO143" s="221">
        <v>0</v>
      </c>
      <c r="AP143" s="221">
        <v>0</v>
      </c>
      <c r="AQ143" s="222">
        <v>0</v>
      </c>
      <c r="AR143" s="221">
        <v>0</v>
      </c>
      <c r="AS143" s="221">
        <v>0</v>
      </c>
      <c r="AT143" s="221">
        <v>0</v>
      </c>
      <c r="AU143" s="222">
        <v>0</v>
      </c>
      <c r="AV143" s="221">
        <v>0</v>
      </c>
      <c r="AW143" s="221">
        <v>0</v>
      </c>
      <c r="AX143" s="221">
        <v>0</v>
      </c>
      <c r="AY143" s="222">
        <v>0</v>
      </c>
      <c r="AZ143" s="221">
        <v>0</v>
      </c>
      <c r="BA143" s="221">
        <v>0</v>
      </c>
      <c r="BB143" s="218">
        <f t="shared" ref="BB143:BB150" si="620">BA143+BB44</f>
        <v>0</v>
      </c>
      <c r="BC143" s="219">
        <f t="shared" ref="BC143:BC150" si="621">BB143+BC44</f>
        <v>0</v>
      </c>
      <c r="BD143" s="218">
        <f t="shared" ref="BD143:BD150" si="622">BD44</f>
        <v>0</v>
      </c>
      <c r="BE143" s="218">
        <f t="shared" ref="BE143:BE150" si="623">BD143+BE44</f>
        <v>0</v>
      </c>
      <c r="BF143" s="218">
        <f t="shared" ref="BF143:BF150" si="624">BE143+BF44</f>
        <v>0</v>
      </c>
      <c r="BG143" s="219">
        <f t="shared" ref="BG143:BG150" si="625">BF143+BG44</f>
        <v>0</v>
      </c>
      <c r="BH143" s="218">
        <f t="shared" ref="BH143:BH150" si="626">BH44</f>
        <v>0</v>
      </c>
      <c r="BI143" s="218">
        <f t="shared" ref="BI143:BI150" si="627">BH143+BI44</f>
        <v>0</v>
      </c>
      <c r="BJ143" s="218">
        <f t="shared" ref="BJ143:BJ150" si="628">BI143+BJ44</f>
        <v>0</v>
      </c>
      <c r="BK143" s="219">
        <f t="shared" ref="BK143:BK150" si="629">BJ143+BK44</f>
        <v>0</v>
      </c>
      <c r="BL143" s="185"/>
      <c r="BM143" s="218">
        <f t="shared" ref="BM143:BV143" si="630">BM44</f>
        <v>0</v>
      </c>
      <c r="BN143" s="218">
        <f t="shared" si="630"/>
        <v>0</v>
      </c>
      <c r="BO143" s="218">
        <f t="shared" si="630"/>
        <v>0</v>
      </c>
      <c r="BP143" s="218">
        <f t="shared" si="630"/>
        <v>0</v>
      </c>
      <c r="BQ143" s="218">
        <f t="shared" si="630"/>
        <v>0</v>
      </c>
      <c r="BR143" s="218">
        <f t="shared" si="630"/>
        <v>0</v>
      </c>
      <c r="BS143" s="218">
        <f t="shared" si="630"/>
        <v>0</v>
      </c>
      <c r="BT143" s="218">
        <f t="shared" si="630"/>
        <v>0</v>
      </c>
      <c r="BU143" s="218">
        <f t="shared" si="630"/>
        <v>0</v>
      </c>
      <c r="BV143" s="218">
        <f t="shared" si="630"/>
        <v>0</v>
      </c>
      <c r="BW143" s="218">
        <f t="shared" ref="BW143:BW150" si="631">BW44</f>
        <v>0</v>
      </c>
      <c r="BX143" s="218">
        <f t="shared" ref="BX143:BY150" si="632">BX44</f>
        <v>0</v>
      </c>
      <c r="BY143" s="218">
        <f t="shared" si="632"/>
        <v>0</v>
      </c>
      <c r="BZ143" s="218">
        <f t="shared" ref="BZ143:CA150" si="633">BZ44</f>
        <v>0</v>
      </c>
      <c r="CA143" s="219">
        <f t="shared" si="633"/>
        <v>0</v>
      </c>
      <c r="CB143" s="220"/>
      <c r="CC143" s="218"/>
      <c r="CD143" s="218"/>
      <c r="CE143" s="260"/>
      <c r="CF143" s="220">
        <f t="shared" ref="CF143:CN143" si="634">CF44</f>
        <v>0</v>
      </c>
      <c r="CG143" s="218">
        <f t="shared" si="634"/>
        <v>0</v>
      </c>
      <c r="CH143" s="218">
        <f t="shared" si="634"/>
        <v>0</v>
      </c>
      <c r="CI143" s="218">
        <f t="shared" si="634"/>
        <v>0</v>
      </c>
      <c r="CJ143" s="218">
        <f t="shared" si="634"/>
        <v>0</v>
      </c>
      <c r="CK143" s="218">
        <f t="shared" si="634"/>
        <v>0</v>
      </c>
      <c r="CL143" s="218">
        <f t="shared" si="634"/>
        <v>0</v>
      </c>
      <c r="CM143" s="218">
        <f t="shared" si="634"/>
        <v>0</v>
      </c>
      <c r="CN143" s="218">
        <f t="shared" si="634"/>
        <v>0</v>
      </c>
      <c r="CO143" s="218">
        <f t="shared" ref="CO143:CP150" si="635">CO44</f>
        <v>0</v>
      </c>
      <c r="CP143" s="218">
        <f t="shared" si="635"/>
        <v>0</v>
      </c>
      <c r="CQ143" s="218">
        <f t="shared" ref="CQ143:CR150" si="636">CQ44</f>
        <v>0</v>
      </c>
      <c r="CR143" s="218">
        <f t="shared" si="636"/>
        <v>0</v>
      </c>
      <c r="CS143" s="219">
        <f t="shared" ref="CS143:CS150" si="637">CS44</f>
        <v>0</v>
      </c>
      <c r="CT143" s="22"/>
    </row>
    <row r="144" spans="1:98" ht="14.25" customHeight="1" outlineLevel="1">
      <c r="A144" s="8">
        <v>2</v>
      </c>
      <c r="B144" s="28" t="s">
        <v>9</v>
      </c>
      <c r="C144" s="29"/>
      <c r="D144" s="223">
        <v>0</v>
      </c>
      <c r="E144" s="221">
        <v>0</v>
      </c>
      <c r="F144" s="221">
        <v>0</v>
      </c>
      <c r="G144" s="222">
        <v>0</v>
      </c>
      <c r="H144" s="223">
        <v>0</v>
      </c>
      <c r="I144" s="221">
        <v>0</v>
      </c>
      <c r="J144" s="221">
        <v>0</v>
      </c>
      <c r="K144" s="222">
        <v>3.347</v>
      </c>
      <c r="L144" s="223">
        <v>0</v>
      </c>
      <c r="M144" s="221">
        <v>0</v>
      </c>
      <c r="N144" s="221">
        <v>0</v>
      </c>
      <c r="O144" s="222">
        <v>0</v>
      </c>
      <c r="P144" s="223">
        <v>0</v>
      </c>
      <c r="Q144" s="221">
        <v>0</v>
      </c>
      <c r="R144" s="221">
        <v>0</v>
      </c>
      <c r="S144" s="222">
        <v>0</v>
      </c>
      <c r="T144" s="223">
        <v>0</v>
      </c>
      <c r="U144" s="221">
        <v>0</v>
      </c>
      <c r="V144" s="221">
        <v>0</v>
      </c>
      <c r="W144" s="222">
        <v>298.57799999999997</v>
      </c>
      <c r="X144" s="223">
        <v>0</v>
      </c>
      <c r="Y144" s="221">
        <v>0</v>
      </c>
      <c r="Z144" s="221">
        <v>0</v>
      </c>
      <c r="AA144" s="222">
        <v>0</v>
      </c>
      <c r="AB144" s="221">
        <v>0</v>
      </c>
      <c r="AC144" s="221">
        <v>0</v>
      </c>
      <c r="AD144" s="221">
        <v>0</v>
      </c>
      <c r="AE144" s="222">
        <v>0</v>
      </c>
      <c r="AF144" s="221">
        <v>0</v>
      </c>
      <c r="AG144" s="221">
        <v>0</v>
      </c>
      <c r="AH144" s="221">
        <v>0</v>
      </c>
      <c r="AI144" s="222">
        <f>494.395-3.921</f>
        <v>490.47399999999999</v>
      </c>
      <c r="AJ144" s="221">
        <v>0</v>
      </c>
      <c r="AK144" s="221">
        <f>497.895-3.431</f>
        <v>494.464</v>
      </c>
      <c r="AL144" s="221">
        <f>497.895-3.431</f>
        <v>494.464</v>
      </c>
      <c r="AM144" s="222">
        <f>497.895-3.431</f>
        <v>494.464</v>
      </c>
      <c r="AN144" s="221">
        <v>0</v>
      </c>
      <c r="AO144" s="221">
        <v>0</v>
      </c>
      <c r="AP144" s="221">
        <v>0</v>
      </c>
      <c r="AQ144" s="222">
        <v>0</v>
      </c>
      <c r="AR144" s="221">
        <v>0</v>
      </c>
      <c r="AS144" s="221">
        <v>0</v>
      </c>
      <c r="AT144" s="221">
        <v>0</v>
      </c>
      <c r="AU144" s="222">
        <v>249.71700000000001</v>
      </c>
      <c r="AV144" s="221">
        <v>0</v>
      </c>
      <c r="AW144" s="221">
        <v>0</v>
      </c>
      <c r="AX144" s="221">
        <v>0</v>
      </c>
      <c r="AY144" s="222">
        <v>500</v>
      </c>
      <c r="AZ144" s="221">
        <v>0</v>
      </c>
      <c r="BA144" s="221">
        <v>0</v>
      </c>
      <c r="BB144" s="218">
        <f t="shared" si="620"/>
        <v>0</v>
      </c>
      <c r="BC144" s="219">
        <f t="shared" si="621"/>
        <v>0</v>
      </c>
      <c r="BD144" s="218">
        <f t="shared" si="622"/>
        <v>0</v>
      </c>
      <c r="BE144" s="218">
        <f t="shared" si="623"/>
        <v>0</v>
      </c>
      <c r="BF144" s="218">
        <f t="shared" si="624"/>
        <v>0</v>
      </c>
      <c r="BG144" s="219">
        <f t="shared" si="625"/>
        <v>0</v>
      </c>
      <c r="BH144" s="218">
        <f t="shared" si="626"/>
        <v>0</v>
      </c>
      <c r="BI144" s="218">
        <f t="shared" si="627"/>
        <v>0</v>
      </c>
      <c r="BJ144" s="218">
        <f t="shared" si="628"/>
        <v>0</v>
      </c>
      <c r="BK144" s="219">
        <f t="shared" si="629"/>
        <v>0</v>
      </c>
      <c r="BL144" s="185"/>
      <c r="BM144" s="218">
        <f t="shared" ref="BM144:BV144" si="638">BM45</f>
        <v>0</v>
      </c>
      <c r="BN144" s="218">
        <f t="shared" si="638"/>
        <v>3.347</v>
      </c>
      <c r="BO144" s="218">
        <f t="shared" si="638"/>
        <v>0</v>
      </c>
      <c r="BP144" s="218">
        <f t="shared" si="638"/>
        <v>0</v>
      </c>
      <c r="BQ144" s="218">
        <f t="shared" si="638"/>
        <v>298.57799999999997</v>
      </c>
      <c r="BR144" s="218">
        <f t="shared" si="638"/>
        <v>0</v>
      </c>
      <c r="BS144" s="218">
        <f t="shared" si="638"/>
        <v>0</v>
      </c>
      <c r="BT144" s="218">
        <f t="shared" si="638"/>
        <v>490.47399999999999</v>
      </c>
      <c r="BU144" s="218">
        <f t="shared" si="638"/>
        <v>494.464</v>
      </c>
      <c r="BV144" s="218">
        <f t="shared" si="638"/>
        <v>0</v>
      </c>
      <c r="BW144" s="218">
        <f t="shared" si="631"/>
        <v>249.71700000000001</v>
      </c>
      <c r="BX144" s="218">
        <f t="shared" si="632"/>
        <v>500</v>
      </c>
      <c r="BY144" s="218">
        <f t="shared" si="632"/>
        <v>0</v>
      </c>
      <c r="BZ144" s="218">
        <f t="shared" si="633"/>
        <v>0</v>
      </c>
      <c r="CA144" s="219">
        <f t="shared" si="633"/>
        <v>0</v>
      </c>
      <c r="CB144" s="220"/>
      <c r="CC144" s="218"/>
      <c r="CD144" s="218"/>
      <c r="CE144" s="260"/>
      <c r="CF144" s="220">
        <f t="shared" ref="CF144:CN144" si="639">CF45</f>
        <v>0</v>
      </c>
      <c r="CG144" s="218">
        <f t="shared" si="639"/>
        <v>3.347</v>
      </c>
      <c r="CH144" s="218">
        <f t="shared" si="639"/>
        <v>0</v>
      </c>
      <c r="CI144" s="218">
        <f t="shared" si="639"/>
        <v>0</v>
      </c>
      <c r="CJ144" s="218">
        <f t="shared" si="639"/>
        <v>298.57799999999997</v>
      </c>
      <c r="CK144" s="218">
        <f t="shared" si="639"/>
        <v>0</v>
      </c>
      <c r="CL144" s="218">
        <f t="shared" si="639"/>
        <v>0</v>
      </c>
      <c r="CM144" s="218">
        <f t="shared" si="639"/>
        <v>984.93799999999999</v>
      </c>
      <c r="CN144" s="218">
        <f t="shared" si="639"/>
        <v>0</v>
      </c>
      <c r="CO144" s="218">
        <f t="shared" si="635"/>
        <v>0</v>
      </c>
      <c r="CP144" s="218">
        <f t="shared" si="635"/>
        <v>249.71700000000001</v>
      </c>
      <c r="CQ144" s="218">
        <f t="shared" si="636"/>
        <v>500</v>
      </c>
      <c r="CR144" s="218">
        <f t="shared" si="636"/>
        <v>0</v>
      </c>
      <c r="CS144" s="219">
        <f t="shared" si="637"/>
        <v>0</v>
      </c>
      <c r="CT144" s="22"/>
    </row>
    <row r="145" spans="1:104" ht="14.25" customHeight="1" outlineLevel="1">
      <c r="A145" s="8">
        <v>3</v>
      </c>
      <c r="B145" s="28" t="s">
        <v>34</v>
      </c>
      <c r="C145" s="29"/>
      <c r="D145" s="223">
        <v>0</v>
      </c>
      <c r="E145" s="221">
        <v>0</v>
      </c>
      <c r="F145" s="221">
        <v>0</v>
      </c>
      <c r="G145" s="222">
        <v>0</v>
      </c>
      <c r="H145" s="223">
        <v>0</v>
      </c>
      <c r="I145" s="221">
        <v>0</v>
      </c>
      <c r="J145" s="221">
        <v>0</v>
      </c>
      <c r="K145" s="222">
        <v>0</v>
      </c>
      <c r="L145" s="223">
        <v>-0.01</v>
      </c>
      <c r="M145" s="221">
        <v>-0.02</v>
      </c>
      <c r="N145" s="221">
        <v>-0.03</v>
      </c>
      <c r="O145" s="222">
        <v>-0.04</v>
      </c>
      <c r="P145" s="223">
        <f>-0.01-1.91</f>
        <v>-1.92</v>
      </c>
      <c r="Q145" s="221">
        <f>-0.02-2.673</f>
        <v>-2.6930000000000001</v>
      </c>
      <c r="R145" s="221">
        <f>-0.03-3.827</f>
        <v>-3.8569999999999998</v>
      </c>
      <c r="S145" s="222">
        <f>-0.04-3.827</f>
        <v>-3.867</v>
      </c>
      <c r="T145" s="223">
        <f>-0.01</f>
        <v>-0.01</v>
      </c>
      <c r="U145" s="221">
        <v>-0.02</v>
      </c>
      <c r="V145" s="221">
        <v>-0.03</v>
      </c>
      <c r="W145" s="222">
        <v>-0.04</v>
      </c>
      <c r="X145" s="223">
        <f>-1.422-3.237</f>
        <v>-4.6589999999999998</v>
      </c>
      <c r="Y145" s="221">
        <f>-3.237-1.422</f>
        <v>-4.6589999999999998</v>
      </c>
      <c r="Z145" s="221">
        <f>-3.237-1.422</f>
        <v>-4.6589999999999998</v>
      </c>
      <c r="AA145" s="222">
        <f>-3.237-1.422</f>
        <v>-4.6589999999999998</v>
      </c>
      <c r="AB145" s="221">
        <v>-16.216999999999999</v>
      </c>
      <c r="AC145" s="221">
        <v>-20.405999999999999</v>
      </c>
      <c r="AD145" s="221">
        <v>-20.405999999999999</v>
      </c>
      <c r="AE145" s="222">
        <v>-20.805999999999997</v>
      </c>
      <c r="AF145" s="221">
        <v>-0.224</v>
      </c>
      <c r="AG145" s="221">
        <v>-0.29799999999999999</v>
      </c>
      <c r="AH145" s="221">
        <v>-1.2010000000000001</v>
      </c>
      <c r="AI145" s="222">
        <v>-303.5</v>
      </c>
      <c r="AJ145" s="221">
        <v>0</v>
      </c>
      <c r="AK145" s="221">
        <v>-1.839</v>
      </c>
      <c r="AL145" s="221">
        <v>-2.278</v>
      </c>
      <c r="AM145" s="222">
        <v>-4.7080000000000002</v>
      </c>
      <c r="AN145" s="221">
        <v>-0.437</v>
      </c>
      <c r="AO145" s="221">
        <v>-0.437</v>
      </c>
      <c r="AP145" s="221">
        <v>-0.437</v>
      </c>
      <c r="AQ145" s="222">
        <v>-0.437</v>
      </c>
      <c r="AR145" s="221">
        <v>0</v>
      </c>
      <c r="AS145" s="221">
        <v>0</v>
      </c>
      <c r="AT145" s="221">
        <v>0</v>
      </c>
      <c r="AU145" s="222">
        <v>0</v>
      </c>
      <c r="AV145" s="221">
        <v>0</v>
      </c>
      <c r="AW145" s="221">
        <v>-250</v>
      </c>
      <c r="AX145" s="221">
        <v>-250</v>
      </c>
      <c r="AY145" s="222">
        <v>-250</v>
      </c>
      <c r="AZ145" s="221">
        <v>0</v>
      </c>
      <c r="BA145" s="221">
        <v>0</v>
      </c>
      <c r="BB145" s="218">
        <f t="shared" si="620"/>
        <v>0</v>
      </c>
      <c r="BC145" s="219">
        <f t="shared" si="621"/>
        <v>0</v>
      </c>
      <c r="BD145" s="218">
        <f t="shared" si="622"/>
        <v>0</v>
      </c>
      <c r="BE145" s="218">
        <f t="shared" si="623"/>
        <v>0</v>
      </c>
      <c r="BF145" s="218">
        <f t="shared" si="624"/>
        <v>0</v>
      </c>
      <c r="BG145" s="219">
        <f t="shared" si="625"/>
        <v>0</v>
      </c>
      <c r="BH145" s="218">
        <f t="shared" si="626"/>
        <v>0</v>
      </c>
      <c r="BI145" s="218">
        <f t="shared" si="627"/>
        <v>0</v>
      </c>
      <c r="BJ145" s="218">
        <f t="shared" si="628"/>
        <v>0</v>
      </c>
      <c r="BK145" s="219">
        <f t="shared" si="629"/>
        <v>0</v>
      </c>
      <c r="BL145" s="185"/>
      <c r="BM145" s="218">
        <f t="shared" ref="BM145:BV145" si="640">BM46</f>
        <v>0</v>
      </c>
      <c r="BN145" s="218">
        <f t="shared" si="640"/>
        <v>0</v>
      </c>
      <c r="BO145" s="218">
        <f t="shared" si="640"/>
        <v>-0.04</v>
      </c>
      <c r="BP145" s="218">
        <f t="shared" si="640"/>
        <v>-3.867</v>
      </c>
      <c r="BQ145" s="218">
        <f t="shared" si="640"/>
        <v>-0.04</v>
      </c>
      <c r="BR145" s="218">
        <f t="shared" si="640"/>
        <v>-4.6589999999999998</v>
      </c>
      <c r="BS145" s="218">
        <f t="shared" si="640"/>
        <v>-20.805999999999997</v>
      </c>
      <c r="BT145" s="218">
        <f t="shared" si="640"/>
        <v>-303.5</v>
      </c>
      <c r="BU145" s="218">
        <f t="shared" si="640"/>
        <v>-4.7080000000000002</v>
      </c>
      <c r="BV145" s="218">
        <f t="shared" si="640"/>
        <v>-0.437</v>
      </c>
      <c r="BW145" s="218">
        <f t="shared" si="631"/>
        <v>0</v>
      </c>
      <c r="BX145" s="218">
        <f t="shared" si="632"/>
        <v>-250</v>
      </c>
      <c r="BY145" s="218">
        <f t="shared" si="632"/>
        <v>0</v>
      </c>
      <c r="BZ145" s="218">
        <f t="shared" si="633"/>
        <v>0</v>
      </c>
      <c r="CA145" s="219">
        <f t="shared" si="633"/>
        <v>0</v>
      </c>
      <c r="CB145" s="220"/>
      <c r="CC145" s="218"/>
      <c r="CD145" s="218"/>
      <c r="CE145" s="260"/>
      <c r="CF145" s="220">
        <f t="shared" ref="CF145:CN145" si="641">CF46</f>
        <v>0</v>
      </c>
      <c r="CG145" s="218">
        <f t="shared" si="641"/>
        <v>-0.02</v>
      </c>
      <c r="CH145" s="218">
        <f t="shared" si="641"/>
        <v>-2.7130000000000001</v>
      </c>
      <c r="CI145" s="218">
        <f t="shared" si="641"/>
        <v>-1.194</v>
      </c>
      <c r="CJ145" s="218">
        <f t="shared" si="641"/>
        <v>-4.6789999999999994</v>
      </c>
      <c r="CK145" s="218">
        <f t="shared" si="641"/>
        <v>-20.405999999999999</v>
      </c>
      <c r="CL145" s="218">
        <f t="shared" si="641"/>
        <v>-0.69799999999999851</v>
      </c>
      <c r="CM145" s="218">
        <f t="shared" si="641"/>
        <v>-305.041</v>
      </c>
      <c r="CN145" s="218">
        <f t="shared" si="641"/>
        <v>-3.306</v>
      </c>
      <c r="CO145" s="218">
        <f t="shared" si="635"/>
        <v>0</v>
      </c>
      <c r="CP145" s="218">
        <f t="shared" si="635"/>
        <v>-250</v>
      </c>
      <c r="CQ145" s="218">
        <f t="shared" si="636"/>
        <v>0</v>
      </c>
      <c r="CR145" s="218">
        <f t="shared" si="636"/>
        <v>0</v>
      </c>
      <c r="CS145" s="219">
        <f t="shared" si="637"/>
        <v>0</v>
      </c>
      <c r="CT145" s="22"/>
    </row>
    <row r="146" spans="1:104" ht="14.25" customHeight="1" outlineLevel="1">
      <c r="A146" s="8">
        <v>6</v>
      </c>
      <c r="B146" s="28" t="s">
        <v>33</v>
      </c>
      <c r="C146" s="29"/>
      <c r="D146" s="223">
        <v>53.62</v>
      </c>
      <c r="E146" s="221">
        <v>82.775000000000006</v>
      </c>
      <c r="F146" s="221">
        <v>125.65300000000001</v>
      </c>
      <c r="G146" s="222">
        <v>148.792</v>
      </c>
      <c r="H146" s="223">
        <v>25.673999999999999</v>
      </c>
      <c r="I146" s="221">
        <v>25.673999999999999</v>
      </c>
      <c r="J146" s="221">
        <v>25.673999999999999</v>
      </c>
      <c r="K146" s="222">
        <v>25.675000000000001</v>
      </c>
      <c r="L146" s="223">
        <v>0</v>
      </c>
      <c r="M146" s="221">
        <v>0</v>
      </c>
      <c r="N146" s="221">
        <v>0</v>
      </c>
      <c r="O146" s="222">
        <v>0</v>
      </c>
      <c r="P146" s="223">
        <v>0</v>
      </c>
      <c r="Q146" s="511">
        <v>0</v>
      </c>
      <c r="R146" s="511">
        <v>0</v>
      </c>
      <c r="S146" s="512">
        <v>0</v>
      </c>
      <c r="T146" s="513">
        <v>0</v>
      </c>
      <c r="U146" s="511">
        <v>0</v>
      </c>
      <c r="V146" s="511">
        <v>0</v>
      </c>
      <c r="W146" s="512">
        <v>0</v>
      </c>
      <c r="X146" s="513">
        <v>0</v>
      </c>
      <c r="Y146" s="221">
        <v>9.6920000000000002</v>
      </c>
      <c r="Z146" s="221">
        <v>7.6280000000000001</v>
      </c>
      <c r="AA146" s="222">
        <v>24.83</v>
      </c>
      <c r="AB146" s="511">
        <v>0</v>
      </c>
      <c r="AC146" s="221">
        <v>16.077999999999999</v>
      </c>
      <c r="AD146" s="221">
        <f>14.906+36.559-22.661</f>
        <v>28.803999999999995</v>
      </c>
      <c r="AE146" s="222">
        <v>54.028999999999996</v>
      </c>
      <c r="AF146" s="221">
        <v>5.2190000000000003</v>
      </c>
      <c r="AG146" s="221">
        <f>16.768-13.645+39.214</f>
        <v>42.337000000000003</v>
      </c>
      <c r="AH146" s="221">
        <f>16.768+65.293-21.586</f>
        <v>60.475000000000009</v>
      </c>
      <c r="AI146" s="222">
        <f>71.342+36.297-29.042</f>
        <v>78.596999999999994</v>
      </c>
      <c r="AJ146" s="221">
        <v>1.6970000000000001</v>
      </c>
      <c r="AK146" s="221">
        <f>19.096+13.869-14.072</f>
        <v>18.893000000000004</v>
      </c>
      <c r="AL146" s="221">
        <f>19.096</f>
        <v>19.096</v>
      </c>
      <c r="AM146" s="222">
        <f>42.809-31.384+69.639</f>
        <v>81.063999999999993</v>
      </c>
      <c r="AN146" s="221">
        <v>0</v>
      </c>
      <c r="AO146" s="221">
        <f>-14.86+18.027+18.653</f>
        <v>21.82</v>
      </c>
      <c r="AP146" s="221">
        <v>18.652999999999999</v>
      </c>
      <c r="AQ146" s="222">
        <f>40.951-27.793+58.587</f>
        <v>71.745000000000005</v>
      </c>
      <c r="AR146" s="221">
        <f>-4.822+8.97</f>
        <v>4.1480000000000006</v>
      </c>
      <c r="AS146" s="221">
        <f>-12.544+57.447+14.35</f>
        <v>59.253000000000007</v>
      </c>
      <c r="AT146" s="221">
        <v>50.400000000000006</v>
      </c>
      <c r="AU146" s="222">
        <f>33.975-24.084+79.608</f>
        <v>89.499000000000009</v>
      </c>
      <c r="AV146" s="221">
        <v>0</v>
      </c>
      <c r="AW146" s="221">
        <f>27.066+17.658-9.445</f>
        <v>35.279000000000003</v>
      </c>
      <c r="AX146" s="221">
        <f>14.464+44.568-17.713</f>
        <v>41.318999999999996</v>
      </c>
      <c r="AY146" s="222">
        <f>34.269-25.183+63.003</f>
        <v>72.088999999999999</v>
      </c>
      <c r="AZ146" s="221">
        <v>0</v>
      </c>
      <c r="BA146" s="221">
        <f>18.667+14.975-11.52</f>
        <v>22.122000000000003</v>
      </c>
      <c r="BB146" s="218">
        <f t="shared" si="620"/>
        <v>22.122000000000003</v>
      </c>
      <c r="BC146" s="219">
        <f t="shared" si="621"/>
        <v>22.122000000000003</v>
      </c>
      <c r="BD146" s="218">
        <f t="shared" si="622"/>
        <v>0</v>
      </c>
      <c r="BE146" s="218">
        <f t="shared" si="623"/>
        <v>0</v>
      </c>
      <c r="BF146" s="218">
        <f t="shared" si="624"/>
        <v>0</v>
      </c>
      <c r="BG146" s="219">
        <f t="shared" si="625"/>
        <v>0</v>
      </c>
      <c r="BH146" s="218">
        <f t="shared" si="626"/>
        <v>0</v>
      </c>
      <c r="BI146" s="218">
        <f t="shared" si="627"/>
        <v>0</v>
      </c>
      <c r="BJ146" s="218">
        <f t="shared" si="628"/>
        <v>0</v>
      </c>
      <c r="BK146" s="219">
        <f t="shared" si="629"/>
        <v>0</v>
      </c>
      <c r="BL146" s="185"/>
      <c r="BM146" s="218">
        <f t="shared" ref="BM146:BV146" si="642">BM47</f>
        <v>148.792</v>
      </c>
      <c r="BN146" s="218">
        <f t="shared" si="642"/>
        <v>25.675000000000001</v>
      </c>
      <c r="BO146" s="218">
        <f t="shared" si="642"/>
        <v>0</v>
      </c>
      <c r="BP146" s="218">
        <f t="shared" si="642"/>
        <v>0</v>
      </c>
      <c r="BQ146" s="218">
        <f t="shared" si="642"/>
        <v>0</v>
      </c>
      <c r="BR146" s="218">
        <f t="shared" si="642"/>
        <v>24.83</v>
      </c>
      <c r="BS146" s="218">
        <f t="shared" si="642"/>
        <v>54.028999999999996</v>
      </c>
      <c r="BT146" s="218">
        <f t="shared" si="642"/>
        <v>78.596999999999994</v>
      </c>
      <c r="BU146" s="218">
        <f t="shared" si="642"/>
        <v>81.063999999999993</v>
      </c>
      <c r="BV146" s="218">
        <f t="shared" si="642"/>
        <v>71.745000000000005</v>
      </c>
      <c r="BW146" s="218">
        <f t="shared" si="631"/>
        <v>89.498999999999995</v>
      </c>
      <c r="BX146" s="218">
        <f t="shared" si="632"/>
        <v>72.088999999999999</v>
      </c>
      <c r="BY146" s="218">
        <f t="shared" si="632"/>
        <v>22.122000000000003</v>
      </c>
      <c r="BZ146" s="218">
        <f t="shared" si="633"/>
        <v>0</v>
      </c>
      <c r="CA146" s="219">
        <f t="shared" si="633"/>
        <v>0</v>
      </c>
      <c r="CB146" s="220"/>
      <c r="CC146" s="218"/>
      <c r="CD146" s="218"/>
      <c r="CE146" s="260"/>
      <c r="CF146" s="220">
        <f t="shared" ref="CF146:CN146" si="643">CF47</f>
        <v>91.691000000000003</v>
      </c>
      <c r="CG146" s="218">
        <f t="shared" si="643"/>
        <v>1.0000000000012221E-3</v>
      </c>
      <c r="CH146" s="218">
        <f t="shared" si="643"/>
        <v>0</v>
      </c>
      <c r="CI146" s="218">
        <f t="shared" si="643"/>
        <v>0</v>
      </c>
      <c r="CJ146" s="218">
        <f t="shared" si="643"/>
        <v>9.6920000000000002</v>
      </c>
      <c r="CK146" s="218">
        <f t="shared" si="643"/>
        <v>31.215999999999998</v>
      </c>
      <c r="CL146" s="218">
        <f t="shared" si="643"/>
        <v>80.287999999999997</v>
      </c>
      <c r="CM146" s="218">
        <f t="shared" si="643"/>
        <v>55.152999999999999</v>
      </c>
      <c r="CN146" s="218">
        <f t="shared" si="643"/>
        <v>83.990999999999985</v>
      </c>
      <c r="CO146" s="218">
        <f t="shared" si="635"/>
        <v>109.17800000000001</v>
      </c>
      <c r="CP146" s="218">
        <f t="shared" si="635"/>
        <v>65.525000000000006</v>
      </c>
      <c r="CQ146" s="218">
        <f t="shared" si="636"/>
        <v>58.932000000000002</v>
      </c>
      <c r="CR146" s="218">
        <f t="shared" si="636"/>
        <v>0</v>
      </c>
      <c r="CS146" s="219">
        <f t="shared" si="637"/>
        <v>0</v>
      </c>
      <c r="CT146" s="22"/>
    </row>
    <row r="147" spans="1:104" ht="14.25" customHeight="1" outlineLevel="1">
      <c r="A147" s="8">
        <v>5</v>
      </c>
      <c r="B147" s="28" t="s">
        <v>557</v>
      </c>
      <c r="C147" s="29"/>
      <c r="D147" s="223">
        <v>-81.308999999999997</v>
      </c>
      <c r="E147" s="221">
        <v>-415.91199999999998</v>
      </c>
      <c r="F147" s="221">
        <v>-503.673</v>
      </c>
      <c r="G147" s="222">
        <v>-580.38699999999994</v>
      </c>
      <c r="H147" s="223">
        <v>-60.767000000000003</v>
      </c>
      <c r="I147" s="221">
        <v>-60.767000000000003</v>
      </c>
      <c r="J147" s="221">
        <v>-60.767000000000003</v>
      </c>
      <c r="K147" s="222">
        <v>-60.767000000000003</v>
      </c>
      <c r="L147" s="223">
        <v>0</v>
      </c>
      <c r="M147" s="221">
        <v>0</v>
      </c>
      <c r="N147" s="221">
        <v>0</v>
      </c>
      <c r="O147" s="222">
        <v>0</v>
      </c>
      <c r="P147" s="223">
        <v>0</v>
      </c>
      <c r="Q147" s="221">
        <v>-235.131</v>
      </c>
      <c r="R147" s="221">
        <v>-235.131</v>
      </c>
      <c r="S147" s="222">
        <v>-235.13200000000001</v>
      </c>
      <c r="T147" s="223">
        <v>-17.568999999999999</v>
      </c>
      <c r="U147" s="221">
        <v>-64.47</v>
      </c>
      <c r="V147" s="221">
        <v>-113.616</v>
      </c>
      <c r="W147" s="222">
        <v>-190.905</v>
      </c>
      <c r="X147" s="223">
        <v>-84.483000000000004</v>
      </c>
      <c r="Y147" s="221">
        <v>-125.315</v>
      </c>
      <c r="Z147" s="221">
        <v>-172.00399999999999</v>
      </c>
      <c r="AA147" s="222">
        <v>-231.012</v>
      </c>
      <c r="AB147" s="221">
        <v>-88.674000000000007</v>
      </c>
      <c r="AC147" s="221">
        <v>-161.16</v>
      </c>
      <c r="AD147" s="221">
        <v>-190.13</v>
      </c>
      <c r="AE147" s="222">
        <v>-246.41199999999998</v>
      </c>
      <c r="AF147" s="221">
        <v>-65.149000000000001</v>
      </c>
      <c r="AG147" s="221">
        <v>-115.584</v>
      </c>
      <c r="AH147" s="221">
        <v>-181.91399999999999</v>
      </c>
      <c r="AI147" s="222">
        <v>-375.13499999999999</v>
      </c>
      <c r="AJ147" s="221">
        <v>-154.386</v>
      </c>
      <c r="AK147" s="221">
        <v>-213.48699999999999</v>
      </c>
      <c r="AL147" s="221">
        <v>-264.57</v>
      </c>
      <c r="AM147" s="222">
        <v>-305.31400000000002</v>
      </c>
      <c r="AN147" s="221">
        <v>-62.685000000000002</v>
      </c>
      <c r="AO147" s="221">
        <v>-122.351</v>
      </c>
      <c r="AP147" s="221">
        <v>-159.125</v>
      </c>
      <c r="AQ147" s="222">
        <v>-195.08799999999999</v>
      </c>
      <c r="AR147" s="221">
        <v>-39.697000000000003</v>
      </c>
      <c r="AS147" s="221">
        <v>-62.847000000000001</v>
      </c>
      <c r="AT147" s="221">
        <v>-146.648</v>
      </c>
      <c r="AU147" s="222">
        <v>-237.08600000000001</v>
      </c>
      <c r="AV147" s="221">
        <v>-57.709000000000003</v>
      </c>
      <c r="AW147" s="221">
        <v>-118.944</v>
      </c>
      <c r="AX147" s="221">
        <v>-175.94300000000001</v>
      </c>
      <c r="AY147" s="222">
        <v>-251.79900000000001</v>
      </c>
      <c r="AZ147" s="221">
        <v>-75.290999999999997</v>
      </c>
      <c r="BA147" s="221">
        <v>-152.244</v>
      </c>
      <c r="BB147" s="218">
        <f t="shared" si="620"/>
        <v>-279.94400000000002</v>
      </c>
      <c r="BC147" s="219">
        <f t="shared" si="621"/>
        <v>-407.64400000000001</v>
      </c>
      <c r="BD147" s="218">
        <f t="shared" si="622"/>
        <v>-127.7</v>
      </c>
      <c r="BE147" s="218">
        <f t="shared" si="623"/>
        <v>-255.4</v>
      </c>
      <c r="BF147" s="218">
        <f t="shared" si="624"/>
        <v>-383.1</v>
      </c>
      <c r="BG147" s="219">
        <f t="shared" si="625"/>
        <v>-510.8</v>
      </c>
      <c r="BH147" s="218">
        <f t="shared" si="626"/>
        <v>-127.7</v>
      </c>
      <c r="BI147" s="218">
        <f t="shared" si="627"/>
        <v>-255.4</v>
      </c>
      <c r="BJ147" s="218">
        <f t="shared" si="628"/>
        <v>-383.1</v>
      </c>
      <c r="BK147" s="219">
        <f t="shared" si="629"/>
        <v>-510.8</v>
      </c>
      <c r="BL147" s="185"/>
      <c r="BM147" s="218">
        <f t="shared" ref="BM147:BV147" si="644">BM48</f>
        <v>-580.38699999999994</v>
      </c>
      <c r="BN147" s="218">
        <f t="shared" si="644"/>
        <v>-60.767000000000003</v>
      </c>
      <c r="BO147" s="218">
        <f t="shared" si="644"/>
        <v>0</v>
      </c>
      <c r="BP147" s="218">
        <f t="shared" si="644"/>
        <v>-235.13200000000001</v>
      </c>
      <c r="BQ147" s="218">
        <f t="shared" si="644"/>
        <v>-190.90500000000003</v>
      </c>
      <c r="BR147" s="218">
        <f t="shared" si="644"/>
        <v>-231.012</v>
      </c>
      <c r="BS147" s="218">
        <f t="shared" si="644"/>
        <v>-246.41199999999998</v>
      </c>
      <c r="BT147" s="218">
        <f t="shared" si="644"/>
        <v>-375.13499999999999</v>
      </c>
      <c r="BU147" s="218">
        <f t="shared" si="644"/>
        <v>-305.31400000000002</v>
      </c>
      <c r="BV147" s="218">
        <f t="shared" si="644"/>
        <v>-195.08799999999999</v>
      </c>
      <c r="BW147" s="218">
        <f t="shared" si="631"/>
        <v>-237.08600000000001</v>
      </c>
      <c r="BX147" s="218">
        <f t="shared" si="632"/>
        <v>-251.79900000000001</v>
      </c>
      <c r="BY147" s="218">
        <f t="shared" si="632"/>
        <v>-407.64400000000001</v>
      </c>
      <c r="BZ147" s="218">
        <f t="shared" si="633"/>
        <v>-510.8</v>
      </c>
      <c r="CA147" s="219">
        <f t="shared" si="633"/>
        <v>-510.8</v>
      </c>
      <c r="CB147" s="220"/>
      <c r="CC147" s="218"/>
      <c r="CD147" s="218"/>
      <c r="CE147" s="260"/>
      <c r="CF147" s="220">
        <f t="shared" ref="CF147:CN147" si="645">CF48</f>
        <v>-225.24199999999996</v>
      </c>
      <c r="CG147" s="218">
        <f t="shared" si="645"/>
        <v>0</v>
      </c>
      <c r="CH147" s="218">
        <f t="shared" si="645"/>
        <v>-235.131</v>
      </c>
      <c r="CI147" s="218">
        <f t="shared" si="645"/>
        <v>-64.471000000000004</v>
      </c>
      <c r="CJ147" s="218">
        <f t="shared" si="645"/>
        <v>-251.75</v>
      </c>
      <c r="CK147" s="218">
        <f t="shared" si="645"/>
        <v>-266.85699999999997</v>
      </c>
      <c r="CL147" s="218">
        <f t="shared" si="645"/>
        <v>-200.83599999999998</v>
      </c>
      <c r="CM147" s="218">
        <f t="shared" si="645"/>
        <v>-473.03800000000001</v>
      </c>
      <c r="CN147" s="218">
        <f t="shared" si="645"/>
        <v>-214.17800000000003</v>
      </c>
      <c r="CO147" s="218">
        <f t="shared" si="635"/>
        <v>-135.584</v>
      </c>
      <c r="CP147" s="218">
        <f t="shared" si="635"/>
        <v>-293.18299999999999</v>
      </c>
      <c r="CQ147" s="218">
        <f t="shared" si="636"/>
        <v>-285.09900000000005</v>
      </c>
      <c r="CR147" s="218">
        <f t="shared" si="636"/>
        <v>-510.8</v>
      </c>
      <c r="CS147" s="219">
        <f t="shared" si="637"/>
        <v>-510.8</v>
      </c>
      <c r="CT147" s="22"/>
    </row>
    <row r="148" spans="1:104" ht="14.25" customHeight="1" outlineLevel="1">
      <c r="A148" s="8">
        <v>4</v>
      </c>
      <c r="B148" s="28" t="s">
        <v>32</v>
      </c>
      <c r="C148" s="29"/>
      <c r="D148" s="223">
        <v>-32.789000000000001</v>
      </c>
      <c r="E148" s="221">
        <v>-72.784000000000006</v>
      </c>
      <c r="F148" s="221">
        <v>-112.80800000000001</v>
      </c>
      <c r="G148" s="222">
        <v>-153</v>
      </c>
      <c r="H148" s="223">
        <v>-50.02</v>
      </c>
      <c r="I148" s="221">
        <v>-100.116</v>
      </c>
      <c r="J148" s="221">
        <v>-150.124</v>
      </c>
      <c r="K148" s="222">
        <v>-200.12899999999999</v>
      </c>
      <c r="L148" s="223">
        <v>-60.103999999999999</v>
      </c>
      <c r="M148" s="221">
        <v>-120.20699999999999</v>
      </c>
      <c r="N148" s="221">
        <v>-180.31100000000001</v>
      </c>
      <c r="O148" s="222">
        <v>-240.41499999999999</v>
      </c>
      <c r="P148" s="223">
        <v>-64.111000000000004</v>
      </c>
      <c r="Q148" s="221">
        <v>-126.414</v>
      </c>
      <c r="R148" s="221">
        <v>-187.375</v>
      </c>
      <c r="S148" s="222">
        <v>-248.501</v>
      </c>
      <c r="T148" s="223">
        <v>-61.377000000000002</v>
      </c>
      <c r="U148" s="221">
        <v>-122.39400000000001</v>
      </c>
      <c r="V148" s="221">
        <v>-183.34299999999999</v>
      </c>
      <c r="W148" s="222">
        <v>-243.755</v>
      </c>
      <c r="X148" s="223">
        <v>-62.466999999999999</v>
      </c>
      <c r="Y148" s="221">
        <v>-124.745</v>
      </c>
      <c r="Z148" s="221">
        <v>-187.06800000000001</v>
      </c>
      <c r="AA148" s="222">
        <v>-249.14500000000001</v>
      </c>
      <c r="AB148" s="221">
        <v>-64.781000000000006</v>
      </c>
      <c r="AC148" s="221">
        <v>-128.93899999999999</v>
      </c>
      <c r="AD148" s="221">
        <v>-193.32300000000001</v>
      </c>
      <c r="AE148" s="222">
        <v>-257.73099999999999</v>
      </c>
      <c r="AF148" s="221">
        <v>-70.198999999999998</v>
      </c>
      <c r="AG148" s="221">
        <v>-140.262</v>
      </c>
      <c r="AH148" s="221">
        <v>-210.68299999999999</v>
      </c>
      <c r="AI148" s="222">
        <v>-280.21499999999997</v>
      </c>
      <c r="AJ148" s="221">
        <v>-73.744</v>
      </c>
      <c r="AK148" s="221">
        <v>-147.06800000000001</v>
      </c>
      <c r="AL148" s="221">
        <v>-220.54900000000001</v>
      </c>
      <c r="AM148" s="222">
        <v>-294.17500000000001</v>
      </c>
      <c r="AN148" s="221">
        <v>-79.763000000000005</v>
      </c>
      <c r="AO148" s="221">
        <v>-158.93199999999999</v>
      </c>
      <c r="AP148" s="221">
        <v>-238.351</v>
      </c>
      <c r="AQ148" s="222">
        <v>-317.90899999999999</v>
      </c>
      <c r="AR148" s="221">
        <v>-85.387</v>
      </c>
      <c r="AS148" s="221">
        <v>-171.09899999999999</v>
      </c>
      <c r="AT148" s="221">
        <v>-256.81299999999999</v>
      </c>
      <c r="AU148" s="222">
        <v>-342.02300000000002</v>
      </c>
      <c r="AV148" s="221">
        <v>-93.626999999999995</v>
      </c>
      <c r="AW148" s="221">
        <v>-187.18899999999999</v>
      </c>
      <c r="AX148" s="221">
        <v>-280.57600000000002</v>
      </c>
      <c r="AY148" s="222">
        <v>-373.971</v>
      </c>
      <c r="AZ148" s="221">
        <v>-101.462</v>
      </c>
      <c r="BA148" s="221">
        <v>-202.88300000000001</v>
      </c>
      <c r="BB148" s="218">
        <f t="shared" si="620"/>
        <v>-320.76600000000002</v>
      </c>
      <c r="BC148" s="219">
        <f t="shared" si="621"/>
        <v>-440.71001999999999</v>
      </c>
      <c r="BD148" s="218">
        <f t="shared" si="622"/>
        <v>-119.81801999999998</v>
      </c>
      <c r="BE148" s="218">
        <f t="shared" si="623"/>
        <v>-239.51003999999995</v>
      </c>
      <c r="BF148" s="218">
        <f t="shared" si="624"/>
        <v>-359.07605999999993</v>
      </c>
      <c r="BG148" s="219">
        <f t="shared" si="625"/>
        <v>-478.51607999999987</v>
      </c>
      <c r="BH148" s="218">
        <f t="shared" si="626"/>
        <v>-119.31401999999996</v>
      </c>
      <c r="BI148" s="218">
        <f t="shared" si="627"/>
        <v>-238.50203999999991</v>
      </c>
      <c r="BJ148" s="218">
        <f t="shared" si="628"/>
        <v>-357.56405999999987</v>
      </c>
      <c r="BK148" s="219">
        <f t="shared" si="629"/>
        <v>-476.5000799999998</v>
      </c>
      <c r="BL148" s="185"/>
      <c r="BM148" s="218">
        <f t="shared" ref="BM148:BV148" si="646">BM49</f>
        <v>-153</v>
      </c>
      <c r="BN148" s="218">
        <f t="shared" si="646"/>
        <v>-200.12899999999999</v>
      </c>
      <c r="BO148" s="218">
        <f t="shared" si="646"/>
        <v>-240.41499999999999</v>
      </c>
      <c r="BP148" s="218">
        <f t="shared" si="646"/>
        <v>-248.50100000000003</v>
      </c>
      <c r="BQ148" s="218">
        <f t="shared" si="646"/>
        <v>-243.755</v>
      </c>
      <c r="BR148" s="218">
        <f t="shared" si="646"/>
        <v>-249.14500000000001</v>
      </c>
      <c r="BS148" s="218">
        <f t="shared" si="646"/>
        <v>-257.73099999999999</v>
      </c>
      <c r="BT148" s="218">
        <f t="shared" si="646"/>
        <v>-280.21499999999997</v>
      </c>
      <c r="BU148" s="218">
        <f t="shared" si="646"/>
        <v>-294.17500000000001</v>
      </c>
      <c r="BV148" s="218">
        <f t="shared" si="646"/>
        <v>-317.90899999999999</v>
      </c>
      <c r="BW148" s="218">
        <f t="shared" si="631"/>
        <v>-342.02300000000002</v>
      </c>
      <c r="BX148" s="218">
        <f t="shared" si="632"/>
        <v>-373.971</v>
      </c>
      <c r="BY148" s="218">
        <f t="shared" si="632"/>
        <v>-440.71001999999999</v>
      </c>
      <c r="BZ148" s="218">
        <f t="shared" si="633"/>
        <v>-478.51607999999987</v>
      </c>
      <c r="CA148" s="219">
        <f t="shared" si="633"/>
        <v>-476.5000799999998</v>
      </c>
      <c r="CB148" s="220"/>
      <c r="CC148" s="218"/>
      <c r="CD148" s="218"/>
      <c r="CE148" s="260"/>
      <c r="CF148" s="220">
        <f t="shared" ref="CF148:CN148" si="647">CF49</f>
        <v>-180.33199999999999</v>
      </c>
      <c r="CG148" s="218">
        <f t="shared" si="647"/>
        <v>-220.21999999999997</v>
      </c>
      <c r="CH148" s="218">
        <f t="shared" si="647"/>
        <v>-246.62200000000001</v>
      </c>
      <c r="CI148" s="218">
        <f t="shared" si="647"/>
        <v>-244.48100000000002</v>
      </c>
      <c r="CJ148" s="218">
        <f t="shared" si="647"/>
        <v>-246.10599999999999</v>
      </c>
      <c r="CK148" s="218">
        <f t="shared" si="647"/>
        <v>-253.339</v>
      </c>
      <c r="CL148" s="218">
        <f t="shared" si="647"/>
        <v>-269.05399999999997</v>
      </c>
      <c r="CM148" s="218">
        <f t="shared" si="647"/>
        <v>-287.02100000000002</v>
      </c>
      <c r="CN148" s="218">
        <f t="shared" si="647"/>
        <v>-306.03899999999999</v>
      </c>
      <c r="CO148" s="218">
        <f t="shared" si="635"/>
        <v>-330.07600000000002</v>
      </c>
      <c r="CP148" s="218">
        <f t="shared" si="635"/>
        <v>-358.11300000000006</v>
      </c>
      <c r="CQ148" s="218">
        <f t="shared" si="636"/>
        <v>-389.66500000000002</v>
      </c>
      <c r="CR148" s="218">
        <f t="shared" si="636"/>
        <v>-477.33705999999989</v>
      </c>
      <c r="CS148" s="219">
        <f t="shared" si="637"/>
        <v>-477.50807999999984</v>
      </c>
      <c r="CT148" s="22"/>
    </row>
    <row r="149" spans="1:104" ht="14.25" customHeight="1" outlineLevel="1">
      <c r="A149" s="8">
        <v>7</v>
      </c>
      <c r="B149" s="28" t="s">
        <v>586</v>
      </c>
      <c r="C149" s="29"/>
      <c r="D149" s="223">
        <v>0</v>
      </c>
      <c r="E149" s="221">
        <v>0</v>
      </c>
      <c r="F149" s="221">
        <v>0</v>
      </c>
      <c r="G149" s="222">
        <v>0</v>
      </c>
      <c r="H149" s="223">
        <v>0</v>
      </c>
      <c r="I149" s="221">
        <v>0</v>
      </c>
      <c r="J149" s="221">
        <v>0</v>
      </c>
      <c r="K149" s="222">
        <v>0</v>
      </c>
      <c r="L149" s="223">
        <v>0</v>
      </c>
      <c r="M149" s="221">
        <v>0</v>
      </c>
      <c r="N149" s="221">
        <v>0</v>
      </c>
      <c r="O149" s="222">
        <v>0</v>
      </c>
      <c r="P149" s="223">
        <v>0</v>
      </c>
      <c r="Q149" s="221">
        <v>0</v>
      </c>
      <c r="R149" s="221">
        <v>0</v>
      </c>
      <c r="S149" s="222">
        <v>0</v>
      </c>
      <c r="T149" s="223">
        <v>0</v>
      </c>
      <c r="U149" s="221">
        <v>0</v>
      </c>
      <c r="V149" s="221">
        <v>0</v>
      </c>
      <c r="W149" s="222">
        <v>0</v>
      </c>
      <c r="X149" s="223">
        <v>0</v>
      </c>
      <c r="Y149" s="221">
        <v>0</v>
      </c>
      <c r="Z149" s="221">
        <v>0</v>
      </c>
      <c r="AA149" s="222">
        <v>0</v>
      </c>
      <c r="AB149" s="221">
        <v>0</v>
      </c>
      <c r="AC149" s="221">
        <v>0</v>
      </c>
      <c r="AD149" s="221">
        <v>0</v>
      </c>
      <c r="AE149" s="222">
        <v>0</v>
      </c>
      <c r="AF149" s="221">
        <v>0</v>
      </c>
      <c r="AG149" s="221">
        <v>0</v>
      </c>
      <c r="AH149" s="221">
        <v>0</v>
      </c>
      <c r="AI149" s="222">
        <v>0</v>
      </c>
      <c r="AJ149" s="221">
        <v>0</v>
      </c>
      <c r="AK149" s="221">
        <v>0</v>
      </c>
      <c r="AL149" s="221">
        <v>0</v>
      </c>
      <c r="AM149" s="222">
        <v>0</v>
      </c>
      <c r="AN149" s="221">
        <v>0</v>
      </c>
      <c r="AO149" s="221">
        <v>0</v>
      </c>
      <c r="AP149" s="221">
        <v>0</v>
      </c>
      <c r="AQ149" s="222">
        <v>0</v>
      </c>
      <c r="AR149" s="221">
        <v>0</v>
      </c>
      <c r="AS149" s="221">
        <v>0</v>
      </c>
      <c r="AT149" s="221">
        <v>0</v>
      </c>
      <c r="AU149" s="222">
        <v>0</v>
      </c>
      <c r="AV149" s="221">
        <v>0</v>
      </c>
      <c r="AW149" s="221">
        <v>0</v>
      </c>
      <c r="AX149" s="221">
        <v>0</v>
      </c>
      <c r="AY149" s="222">
        <v>0</v>
      </c>
      <c r="AZ149" s="221">
        <v>0</v>
      </c>
      <c r="BA149" s="221">
        <v>0</v>
      </c>
      <c r="BB149" s="218">
        <f t="shared" si="620"/>
        <v>0</v>
      </c>
      <c r="BC149" s="219">
        <f t="shared" si="621"/>
        <v>0</v>
      </c>
      <c r="BD149" s="218">
        <f t="shared" si="622"/>
        <v>0</v>
      </c>
      <c r="BE149" s="218">
        <f t="shared" si="623"/>
        <v>0</v>
      </c>
      <c r="BF149" s="218">
        <f t="shared" si="624"/>
        <v>0</v>
      </c>
      <c r="BG149" s="219">
        <f t="shared" si="625"/>
        <v>0</v>
      </c>
      <c r="BH149" s="218">
        <f t="shared" si="626"/>
        <v>0</v>
      </c>
      <c r="BI149" s="218">
        <f t="shared" si="627"/>
        <v>0</v>
      </c>
      <c r="BJ149" s="218">
        <f t="shared" si="628"/>
        <v>0</v>
      </c>
      <c r="BK149" s="219">
        <f t="shared" si="629"/>
        <v>0</v>
      </c>
      <c r="BL149" s="185"/>
      <c r="BM149" s="218">
        <f t="shared" ref="BM149:BV149" si="648">BM50</f>
        <v>0</v>
      </c>
      <c r="BN149" s="218">
        <f t="shared" si="648"/>
        <v>0</v>
      </c>
      <c r="BO149" s="218">
        <f t="shared" si="648"/>
        <v>0</v>
      </c>
      <c r="BP149" s="218">
        <f t="shared" si="648"/>
        <v>0</v>
      </c>
      <c r="BQ149" s="218">
        <f t="shared" si="648"/>
        <v>0</v>
      </c>
      <c r="BR149" s="218">
        <f t="shared" si="648"/>
        <v>0</v>
      </c>
      <c r="BS149" s="218">
        <f t="shared" si="648"/>
        <v>0</v>
      </c>
      <c r="BT149" s="218">
        <f t="shared" si="648"/>
        <v>0</v>
      </c>
      <c r="BU149" s="218">
        <f t="shared" si="648"/>
        <v>0</v>
      </c>
      <c r="BV149" s="218">
        <f t="shared" si="648"/>
        <v>0</v>
      </c>
      <c r="BW149" s="218">
        <f t="shared" si="631"/>
        <v>0</v>
      </c>
      <c r="BX149" s="218">
        <f t="shared" si="632"/>
        <v>0</v>
      </c>
      <c r="BY149" s="218">
        <f t="shared" si="632"/>
        <v>0</v>
      </c>
      <c r="BZ149" s="218">
        <f t="shared" si="633"/>
        <v>0</v>
      </c>
      <c r="CA149" s="219">
        <f t="shared" si="633"/>
        <v>0</v>
      </c>
      <c r="CB149" s="220"/>
      <c r="CC149" s="218"/>
      <c r="CD149" s="218"/>
      <c r="CE149" s="260"/>
      <c r="CF149" s="220">
        <f t="shared" ref="CF149:CN149" si="649">CF50</f>
        <v>0</v>
      </c>
      <c r="CG149" s="218">
        <f t="shared" si="649"/>
        <v>0</v>
      </c>
      <c r="CH149" s="218">
        <f t="shared" si="649"/>
        <v>0</v>
      </c>
      <c r="CI149" s="218">
        <f t="shared" si="649"/>
        <v>0</v>
      </c>
      <c r="CJ149" s="218">
        <f t="shared" si="649"/>
        <v>0</v>
      </c>
      <c r="CK149" s="218">
        <f t="shared" si="649"/>
        <v>0</v>
      </c>
      <c r="CL149" s="218">
        <f t="shared" si="649"/>
        <v>0</v>
      </c>
      <c r="CM149" s="218">
        <f t="shared" si="649"/>
        <v>0</v>
      </c>
      <c r="CN149" s="218">
        <f t="shared" si="649"/>
        <v>0</v>
      </c>
      <c r="CO149" s="218">
        <f t="shared" si="635"/>
        <v>0</v>
      </c>
      <c r="CP149" s="218">
        <f t="shared" si="635"/>
        <v>0</v>
      </c>
      <c r="CQ149" s="218">
        <f t="shared" si="636"/>
        <v>0</v>
      </c>
      <c r="CR149" s="218">
        <f t="shared" si="636"/>
        <v>0</v>
      </c>
      <c r="CS149" s="219">
        <f t="shared" si="637"/>
        <v>0</v>
      </c>
      <c r="CT149" s="22"/>
    </row>
    <row r="150" spans="1:104" ht="14.25" customHeight="1" outlineLevel="1">
      <c r="A150" s="8">
        <v>8</v>
      </c>
      <c r="B150" s="28" t="s">
        <v>516</v>
      </c>
      <c r="C150" s="29"/>
      <c r="D150" s="223">
        <v>18.97</v>
      </c>
      <c r="E150" s="221">
        <v>25.327999999999999</v>
      </c>
      <c r="F150" s="221">
        <v>36.988</v>
      </c>
      <c r="G150" s="222">
        <v>44.66</v>
      </c>
      <c r="H150" s="223">
        <v>8.1430000000000007</v>
      </c>
      <c r="I150" s="221">
        <f>-2.254-10.148+8.145</f>
        <v>-4.2569999999999997</v>
      </c>
      <c r="J150" s="221">
        <f>8.149-4.181-20.865</f>
        <v>-16.896999999999998</v>
      </c>
      <c r="K150" s="222">
        <f>8.15-5.677-29.489</f>
        <v>-27.015999999999998</v>
      </c>
      <c r="L150" s="223">
        <f>0.003-1.531-9.037</f>
        <v>-10.565000000000001</v>
      </c>
      <c r="M150" s="221">
        <f>0.467-70.363-2.366-14.738</f>
        <v>-87</v>
      </c>
      <c r="N150" s="221">
        <f>0.479-72.604-3.167-20.563</f>
        <v>-95.855000000000004</v>
      </c>
      <c r="O150" s="222">
        <f>0.558-78.94-4.339-25.286</f>
        <v>-108.00699999999999</v>
      </c>
      <c r="P150" s="223">
        <f>0.052-4.997-8.202</f>
        <v>-13.147</v>
      </c>
      <c r="Q150" s="221">
        <f>0.461-35.578-13.66-15.174</f>
        <v>-63.951000000000001</v>
      </c>
      <c r="R150" s="221">
        <f>0.54-35.578-14.645-19.951</f>
        <v>-69.634000000000015</v>
      </c>
      <c r="S150" s="222">
        <f>0.67-50.432-20.587</f>
        <v>-70.349000000000004</v>
      </c>
      <c r="T150" s="223">
        <f>1.983+2.46-0.209-8.175</f>
        <v>-3.9410000000000007</v>
      </c>
      <c r="U150" s="221">
        <f>3.898-0.392+2.46-4.267</f>
        <v>1.6989999999999998</v>
      </c>
      <c r="V150" s="221">
        <f>5.463-0.588+2.46-12.127</f>
        <v>-4.7920000000000007</v>
      </c>
      <c r="W150" s="222">
        <f>7.005+2.46-0.784-4.7</f>
        <v>3.980999999999999</v>
      </c>
      <c r="X150" s="223">
        <f>1.038-5.059</f>
        <v>-4.0209999999999999</v>
      </c>
      <c r="Y150" s="221">
        <f>3.848-0.017</f>
        <v>3.831</v>
      </c>
      <c r="Z150" s="221">
        <f>8.077+0.012</f>
        <v>8.0890000000000004</v>
      </c>
      <c r="AA150" s="222">
        <f>12.869+0.026</f>
        <v>12.895</v>
      </c>
      <c r="AB150" s="221">
        <f>2.821-2.865</f>
        <v>-4.4000000000000039E-2</v>
      </c>
      <c r="AC150" s="221">
        <v>7.0629999999999997</v>
      </c>
      <c r="AD150" s="221">
        <f>12.235-0.007</f>
        <v>12.228</v>
      </c>
      <c r="AE150" s="222">
        <v>17.481999999999999</v>
      </c>
      <c r="AF150" s="221">
        <f>-7.107+19.864</f>
        <v>12.757000000000001</v>
      </c>
      <c r="AG150" s="221">
        <f>11.834-7.476</f>
        <v>4.3579999999999997</v>
      </c>
      <c r="AH150" s="221">
        <f>491.145-7.476+16.131</f>
        <v>499.79999999999995</v>
      </c>
      <c r="AI150" s="222">
        <f>18.923-13.781</f>
        <v>5.1419999999999977</v>
      </c>
      <c r="AJ150" s="221">
        <f>-6.966+5.247</f>
        <v>-1.7190000000000003</v>
      </c>
      <c r="AK150" s="221">
        <f>4.156-4.601</f>
        <v>-0.44500000000000028</v>
      </c>
      <c r="AL150" s="221">
        <f>9.295-4.705+43.407-22.462</f>
        <v>25.535</v>
      </c>
      <c r="AM150" s="222">
        <f>14.192-4.705</f>
        <v>9.4870000000000001</v>
      </c>
      <c r="AN150" s="221">
        <f>2.249-8.038+9.704</f>
        <v>3.9150000000000009</v>
      </c>
      <c r="AO150" s="221">
        <f>4.18</f>
        <v>4.18</v>
      </c>
      <c r="AP150" s="221">
        <f>10.177-23.229+49.125</f>
        <v>36.073</v>
      </c>
      <c r="AQ150" s="222">
        <v>12.548999999999999</v>
      </c>
      <c r="AR150" s="221">
        <f>2.249</f>
        <v>2.2490000000000001</v>
      </c>
      <c r="AS150" s="221">
        <f>6.169</f>
        <v>6.1689999999999996</v>
      </c>
      <c r="AT150" s="221">
        <v>17.548999999999999</v>
      </c>
      <c r="AU150" s="222">
        <v>9.5500000000000007</v>
      </c>
      <c r="AV150" s="221">
        <f>-5.206+19.911</f>
        <v>14.705000000000002</v>
      </c>
      <c r="AW150" s="221">
        <v>0</v>
      </c>
      <c r="AX150" s="221">
        <v>0</v>
      </c>
      <c r="AY150" s="222">
        <f>-3.688</f>
        <v>-3.6880000000000002</v>
      </c>
      <c r="AZ150" s="221">
        <f>-5.416+5.16</f>
        <v>-0.25600000000000023</v>
      </c>
      <c r="BA150" s="221">
        <v>0</v>
      </c>
      <c r="BB150" s="218">
        <f t="shared" si="620"/>
        <v>-1.9259999999999993</v>
      </c>
      <c r="BC150" s="219">
        <f t="shared" si="621"/>
        <v>-1.9259999999999993</v>
      </c>
      <c r="BD150" s="218">
        <f t="shared" si="622"/>
        <v>0</v>
      </c>
      <c r="BE150" s="218">
        <f t="shared" si="623"/>
        <v>0</v>
      </c>
      <c r="BF150" s="218">
        <f t="shared" si="624"/>
        <v>0</v>
      </c>
      <c r="BG150" s="219">
        <f t="shared" si="625"/>
        <v>0</v>
      </c>
      <c r="BH150" s="218">
        <f t="shared" si="626"/>
        <v>0</v>
      </c>
      <c r="BI150" s="218">
        <f t="shared" si="627"/>
        <v>0</v>
      </c>
      <c r="BJ150" s="218">
        <f t="shared" si="628"/>
        <v>0</v>
      </c>
      <c r="BK150" s="219">
        <f t="shared" si="629"/>
        <v>0</v>
      </c>
      <c r="BL150" s="185"/>
      <c r="BM150" s="218">
        <f t="shared" ref="BM150:BV150" si="650">BM51</f>
        <v>44.66</v>
      </c>
      <c r="BN150" s="218">
        <f t="shared" si="650"/>
        <v>-27.015999999999998</v>
      </c>
      <c r="BO150" s="218">
        <f t="shared" si="650"/>
        <v>-108.00699999999999</v>
      </c>
      <c r="BP150" s="218">
        <f t="shared" si="650"/>
        <v>-70.349000000000004</v>
      </c>
      <c r="BQ150" s="218">
        <f t="shared" si="650"/>
        <v>3.9809999999999999</v>
      </c>
      <c r="BR150" s="218">
        <f t="shared" si="650"/>
        <v>12.895</v>
      </c>
      <c r="BS150" s="218">
        <f t="shared" si="650"/>
        <v>17.481999999999999</v>
      </c>
      <c r="BT150" s="218">
        <f t="shared" si="650"/>
        <v>5.1419999999999959</v>
      </c>
      <c r="BU150" s="218">
        <f t="shared" si="650"/>
        <v>9.4869999999999983</v>
      </c>
      <c r="BV150" s="218">
        <f t="shared" si="650"/>
        <v>12.548999999999999</v>
      </c>
      <c r="BW150" s="218">
        <f t="shared" si="631"/>
        <v>9.5500000000000007</v>
      </c>
      <c r="BX150" s="218">
        <f t="shared" si="632"/>
        <v>-3.6880000000000006</v>
      </c>
      <c r="BY150" s="218">
        <f t="shared" si="632"/>
        <v>-1.9259999999999993</v>
      </c>
      <c r="BZ150" s="218">
        <f t="shared" si="633"/>
        <v>0</v>
      </c>
      <c r="CA150" s="219">
        <f t="shared" si="633"/>
        <v>0</v>
      </c>
      <c r="CB150" s="220"/>
      <c r="CC150" s="218"/>
      <c r="CD150" s="218"/>
      <c r="CE150" s="24"/>
      <c r="CF150" s="220">
        <f t="shared" ref="CF150:CN150" si="651">CF51</f>
        <v>15.075000000000001</v>
      </c>
      <c r="CG150" s="218">
        <f t="shared" si="651"/>
        <v>-109.759</v>
      </c>
      <c r="CH150" s="218">
        <f t="shared" si="651"/>
        <v>-84.957999999999984</v>
      </c>
      <c r="CI150" s="218">
        <f t="shared" si="651"/>
        <v>-4.6990000000000069</v>
      </c>
      <c r="CJ150" s="218">
        <f t="shared" si="651"/>
        <v>6.1130000000000004</v>
      </c>
      <c r="CK150" s="218">
        <f t="shared" si="651"/>
        <v>16.126999999999999</v>
      </c>
      <c r="CL150" s="218">
        <f t="shared" si="651"/>
        <v>14.777000000000001</v>
      </c>
      <c r="CM150" s="218">
        <f t="shared" si="651"/>
        <v>0.33899999999999153</v>
      </c>
      <c r="CN150" s="218">
        <f t="shared" si="651"/>
        <v>14.111999999999998</v>
      </c>
      <c r="CO150" s="218">
        <f t="shared" si="635"/>
        <v>14.538</v>
      </c>
      <c r="CP150" s="218">
        <f t="shared" si="635"/>
        <v>3.3810000000000002</v>
      </c>
      <c r="CQ150" s="218">
        <f t="shared" si="636"/>
        <v>-3.6880000000000006</v>
      </c>
      <c r="CR150" s="218">
        <f t="shared" si="636"/>
        <v>-1.9259999999999993</v>
      </c>
      <c r="CS150" s="219">
        <f t="shared" si="637"/>
        <v>0</v>
      </c>
      <c r="CT150" s="23"/>
    </row>
    <row r="151" spans="1:104" ht="14.25" customHeight="1" outlineLevel="1" thickBot="1">
      <c r="A151" s="8"/>
      <c r="B151" s="224" t="s">
        <v>494</v>
      </c>
      <c r="C151" s="225"/>
      <c r="D151" s="227">
        <f t="shared" ref="D151:AR151" si="652">SUM(D143:D150)</f>
        <v>-41.508000000000003</v>
      </c>
      <c r="E151" s="226">
        <f t="shared" si="652"/>
        <v>-380.59299999999996</v>
      </c>
      <c r="F151" s="226">
        <f t="shared" si="652"/>
        <v>-453.84</v>
      </c>
      <c r="G151" s="228">
        <f t="shared" si="652"/>
        <v>-539.93499999999995</v>
      </c>
      <c r="H151" s="227">
        <f t="shared" si="652"/>
        <v>-76.97</v>
      </c>
      <c r="I151" s="226">
        <f t="shared" si="652"/>
        <v>-139.46600000000001</v>
      </c>
      <c r="J151" s="226">
        <f t="shared" si="652"/>
        <v>-202.11399999999998</v>
      </c>
      <c r="K151" s="228">
        <f t="shared" si="652"/>
        <v>-258.89</v>
      </c>
      <c r="L151" s="227">
        <f t="shared" si="652"/>
        <v>-70.679000000000002</v>
      </c>
      <c r="M151" s="226">
        <f t="shared" si="652"/>
        <v>-207.22699999999998</v>
      </c>
      <c r="N151" s="226">
        <f t="shared" si="652"/>
        <v>-276.19600000000003</v>
      </c>
      <c r="O151" s="228">
        <f t="shared" si="652"/>
        <v>-348.46199999999999</v>
      </c>
      <c r="P151" s="227">
        <f t="shared" si="652"/>
        <v>-79.178000000000011</v>
      </c>
      <c r="Q151" s="226">
        <f t="shared" si="652"/>
        <v>-428.18900000000002</v>
      </c>
      <c r="R151" s="226">
        <f t="shared" si="652"/>
        <v>-495.99700000000001</v>
      </c>
      <c r="S151" s="228">
        <f t="shared" si="652"/>
        <v>-557.84900000000005</v>
      </c>
      <c r="T151" s="227">
        <f t="shared" si="652"/>
        <v>-82.897000000000006</v>
      </c>
      <c r="U151" s="226">
        <f t="shared" si="652"/>
        <v>-185.185</v>
      </c>
      <c r="V151" s="226">
        <f t="shared" si="652"/>
        <v>-301.78099999999995</v>
      </c>
      <c r="W151" s="228">
        <f t="shared" si="652"/>
        <v>-132.14100000000005</v>
      </c>
      <c r="X151" s="227">
        <f t="shared" si="652"/>
        <v>-155.63</v>
      </c>
      <c r="Y151" s="226">
        <f t="shared" si="652"/>
        <v>-241.196</v>
      </c>
      <c r="Z151" s="226">
        <f t="shared" si="652"/>
        <v>-348.01400000000001</v>
      </c>
      <c r="AA151" s="228">
        <f t="shared" si="652"/>
        <v>-447.09100000000001</v>
      </c>
      <c r="AB151" s="226">
        <f t="shared" si="652"/>
        <v>-169.71600000000004</v>
      </c>
      <c r="AC151" s="226">
        <f t="shared" si="652"/>
        <v>-287.36400000000003</v>
      </c>
      <c r="AD151" s="226">
        <f t="shared" si="652"/>
        <v>-362.827</v>
      </c>
      <c r="AE151" s="228">
        <f>SUM(AE143:AE150)</f>
        <v>-453.43799999999999</v>
      </c>
      <c r="AF151" s="226">
        <f>SUM(AF143:AF150)</f>
        <v>-117.596</v>
      </c>
      <c r="AG151" s="226">
        <f t="shared" si="652"/>
        <v>-209.44900000000001</v>
      </c>
      <c r="AH151" s="226">
        <f t="shared" si="652"/>
        <v>166.47699999999998</v>
      </c>
      <c r="AI151" s="228">
        <f t="shared" ref="AI151:AN151" si="653">SUM(AI143:AI150)</f>
        <v>-384.637</v>
      </c>
      <c r="AJ151" s="226">
        <f t="shared" si="653"/>
        <v>-228.05199999999999</v>
      </c>
      <c r="AK151" s="226">
        <f t="shared" si="653"/>
        <v>150.51800000000006</v>
      </c>
      <c r="AL151" s="226">
        <f t="shared" si="653"/>
        <v>51.697999999999979</v>
      </c>
      <c r="AM151" s="228">
        <f t="shared" si="653"/>
        <v>-19.182000000000095</v>
      </c>
      <c r="AN151" s="226">
        <f t="shared" si="653"/>
        <v>-138.97</v>
      </c>
      <c r="AO151" s="226">
        <f>SUM(AO143:AO150)</f>
        <v>-255.71999999999997</v>
      </c>
      <c r="AP151" s="226">
        <f t="shared" si="652"/>
        <v>-343.18700000000001</v>
      </c>
      <c r="AQ151" s="228">
        <f t="shared" si="652"/>
        <v>-429.14</v>
      </c>
      <c r="AR151" s="226">
        <f t="shared" si="652"/>
        <v>-118.68700000000001</v>
      </c>
      <c r="AS151" s="226">
        <f t="shared" ref="AS151:BC151" si="654">SUM(AS143:AS150)</f>
        <v>-168.52399999999997</v>
      </c>
      <c r="AT151" s="226">
        <f t="shared" si="654"/>
        <v>-335.512</v>
      </c>
      <c r="AU151" s="228">
        <f t="shared" si="654"/>
        <v>-230.34300000000002</v>
      </c>
      <c r="AV151" s="226">
        <f t="shared" si="654"/>
        <v>-136.631</v>
      </c>
      <c r="AW151" s="226">
        <f>SUM(AW143:AW150)</f>
        <v>-520.85400000000004</v>
      </c>
      <c r="AX151" s="226">
        <f>SUM(AX143:AX150)</f>
        <v>-665.2</v>
      </c>
      <c r="AY151" s="228">
        <f>SUM(AY143:AY150)</f>
        <v>-307.36900000000003</v>
      </c>
      <c r="AZ151" s="226">
        <f>SUM(AZ143:AZ150)</f>
        <v>-177.00899999999999</v>
      </c>
      <c r="BA151" s="226">
        <f>SUM(BA143:BA150)</f>
        <v>-333.005</v>
      </c>
      <c r="BB151" s="226">
        <f t="shared" si="654"/>
        <v>-580.51400000000001</v>
      </c>
      <c r="BC151" s="228">
        <f t="shared" si="654"/>
        <v>-828.15801999999996</v>
      </c>
      <c r="BD151" s="226">
        <f t="shared" ref="BD151:BK151" si="655">SUM(BD143:BD150)</f>
        <v>-247.51801999999998</v>
      </c>
      <c r="BE151" s="226">
        <f t="shared" si="655"/>
        <v>-494.91003999999998</v>
      </c>
      <c r="BF151" s="226">
        <f t="shared" si="655"/>
        <v>-742.17606000000001</v>
      </c>
      <c r="BG151" s="228">
        <f t="shared" si="655"/>
        <v>-989.31607999999983</v>
      </c>
      <c r="BH151" s="226">
        <f t="shared" si="655"/>
        <v>-247.01401999999996</v>
      </c>
      <c r="BI151" s="226">
        <f t="shared" si="655"/>
        <v>-493.90203999999994</v>
      </c>
      <c r="BJ151" s="226">
        <f t="shared" si="655"/>
        <v>-740.66405999999984</v>
      </c>
      <c r="BK151" s="228">
        <f t="shared" si="655"/>
        <v>-987.30007999999975</v>
      </c>
      <c r="BL151" s="185"/>
      <c r="BM151" s="226">
        <f t="shared" ref="BM151:BW151" si="656">SUM(BM143:BM150)</f>
        <v>-539.93499999999995</v>
      </c>
      <c r="BN151" s="226">
        <f t="shared" si="656"/>
        <v>-258.89</v>
      </c>
      <c r="BO151" s="226">
        <f t="shared" si="656"/>
        <v>-348.46199999999999</v>
      </c>
      <c r="BP151" s="226">
        <f t="shared" si="656"/>
        <v>-557.84900000000005</v>
      </c>
      <c r="BQ151" s="226">
        <f t="shared" si="656"/>
        <v>-132.14100000000008</v>
      </c>
      <c r="BR151" s="226">
        <f t="shared" si="656"/>
        <v>-447.09100000000001</v>
      </c>
      <c r="BS151" s="226">
        <f t="shared" si="656"/>
        <v>-453.43799999999999</v>
      </c>
      <c r="BT151" s="226">
        <f t="shared" si="656"/>
        <v>-384.637</v>
      </c>
      <c r="BU151" s="226">
        <f t="shared" si="656"/>
        <v>-19.182000000000098</v>
      </c>
      <c r="BV151" s="226">
        <f t="shared" si="656"/>
        <v>-429.14</v>
      </c>
      <c r="BW151" s="226">
        <f t="shared" si="656"/>
        <v>-230.34300000000002</v>
      </c>
      <c r="BX151" s="226">
        <f>SUM(BX143:BX150)</f>
        <v>-307.36900000000003</v>
      </c>
      <c r="BY151" s="226">
        <f>SUM(BY143:BY150)</f>
        <v>-828.15801999999996</v>
      </c>
      <c r="BZ151" s="226">
        <f>SUM(BZ143:BZ150)</f>
        <v>-989.31607999999983</v>
      </c>
      <c r="CA151" s="228">
        <f>SUM(CA143:CA150)</f>
        <v>-987.30007999999975</v>
      </c>
      <c r="CB151" s="233"/>
      <c r="CC151" s="232"/>
      <c r="CD151" s="232"/>
      <c r="CE151" s="260"/>
      <c r="CF151" s="227">
        <f t="shared" ref="CF151:CO151" si="657">SUM(CF143:CF150)</f>
        <v>-298.80799999999994</v>
      </c>
      <c r="CG151" s="226">
        <f t="shared" si="657"/>
        <v>-326.65099999999995</v>
      </c>
      <c r="CH151" s="226">
        <f t="shared" si="657"/>
        <v>-569.42399999999998</v>
      </c>
      <c r="CI151" s="226">
        <f t="shared" si="657"/>
        <v>-314.84500000000003</v>
      </c>
      <c r="CJ151" s="226">
        <f t="shared" si="657"/>
        <v>-188.15199999999999</v>
      </c>
      <c r="CK151" s="226">
        <f t="shared" si="657"/>
        <v>-493.25899999999996</v>
      </c>
      <c r="CL151" s="226">
        <f t="shared" si="657"/>
        <v>-375.52299999999997</v>
      </c>
      <c r="CM151" s="226">
        <f t="shared" si="657"/>
        <v>-24.67000000000008</v>
      </c>
      <c r="CN151" s="226">
        <f t="shared" si="657"/>
        <v>-425.42</v>
      </c>
      <c r="CO151" s="226">
        <f t="shared" si="657"/>
        <v>-341.94400000000002</v>
      </c>
      <c r="CP151" s="226">
        <f>SUM(CP143:CP150)</f>
        <v>-582.67300000000012</v>
      </c>
      <c r="CQ151" s="226">
        <f>SUM(CQ143:CQ150)</f>
        <v>-119.52000000000005</v>
      </c>
      <c r="CR151" s="226">
        <f>SUM(CR143:CR150)</f>
        <v>-990.06305999999995</v>
      </c>
      <c r="CS151" s="228">
        <f>SUM(CS143:CS150)</f>
        <v>-988.30807999999979</v>
      </c>
      <c r="CT151" s="22"/>
    </row>
    <row r="152" spans="1:104" ht="14.25" customHeight="1" outlineLevel="1" thickTop="1">
      <c r="A152" s="8"/>
      <c r="B152" s="47"/>
      <c r="C152" s="48"/>
      <c r="D152" s="233"/>
      <c r="E152" s="232"/>
      <c r="F152" s="232"/>
      <c r="G152" s="234"/>
      <c r="H152" s="233"/>
      <c r="I152" s="232"/>
      <c r="J152" s="232"/>
      <c r="K152" s="234"/>
      <c r="L152" s="233"/>
      <c r="M152" s="232"/>
      <c r="N152" s="232"/>
      <c r="O152" s="234"/>
      <c r="P152" s="233"/>
      <c r="Q152" s="232"/>
      <c r="R152" s="232"/>
      <c r="S152" s="234"/>
      <c r="T152" s="233"/>
      <c r="U152" s="232"/>
      <c r="V152" s="232"/>
      <c r="W152" s="234"/>
      <c r="X152" s="233"/>
      <c r="Y152" s="232"/>
      <c r="Z152" s="232"/>
      <c r="AA152" s="234"/>
      <c r="AB152" s="232"/>
      <c r="AC152" s="232"/>
      <c r="AD152" s="232"/>
      <c r="AE152" s="234"/>
      <c r="AF152" s="232"/>
      <c r="AG152" s="232"/>
      <c r="AH152" s="232"/>
      <c r="AI152" s="234"/>
      <c r="AJ152" s="232"/>
      <c r="AK152" s="232"/>
      <c r="AL152" s="232"/>
      <c r="AM152" s="234"/>
      <c r="AN152" s="232"/>
      <c r="AO152" s="232"/>
      <c r="AP152" s="232"/>
      <c r="AQ152" s="234"/>
      <c r="AR152" s="232"/>
      <c r="AS152" s="232"/>
      <c r="AT152" s="232"/>
      <c r="AU152" s="234"/>
      <c r="AV152" s="232"/>
      <c r="AW152" s="232"/>
      <c r="AX152" s="232"/>
      <c r="AY152" s="234"/>
      <c r="AZ152" s="232"/>
      <c r="BA152" s="232"/>
      <c r="BB152" s="232"/>
      <c r="BC152" s="234"/>
      <c r="BD152" s="232"/>
      <c r="BE152" s="232"/>
      <c r="BF152" s="232"/>
      <c r="BG152" s="234"/>
      <c r="BH152" s="232"/>
      <c r="BI152" s="232"/>
      <c r="BJ152" s="232"/>
      <c r="BK152" s="234"/>
      <c r="BL152" s="185"/>
      <c r="BM152" s="232"/>
      <c r="BN152" s="232"/>
      <c r="BO152" s="232"/>
      <c r="BP152" s="232"/>
      <c r="BQ152" s="232"/>
      <c r="BR152" s="232"/>
      <c r="BS152" s="232"/>
      <c r="BT152" s="232"/>
      <c r="BU152" s="232"/>
      <c r="BV152" s="232"/>
      <c r="BW152" s="232"/>
      <c r="BX152" s="232"/>
      <c r="BY152" s="232"/>
      <c r="BZ152" s="232"/>
      <c r="CA152" s="234"/>
      <c r="CB152" s="233"/>
      <c r="CC152" s="232"/>
      <c r="CD152" s="232"/>
      <c r="CE152" s="260"/>
      <c r="CF152" s="233"/>
      <c r="CG152" s="232"/>
      <c r="CH152" s="232"/>
      <c r="CI152" s="232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4"/>
      <c r="CT152" s="22"/>
    </row>
    <row r="153" spans="1:104" ht="14.25" customHeight="1" outlineLevel="1">
      <c r="A153" s="8"/>
      <c r="B153" s="47" t="s">
        <v>495</v>
      </c>
      <c r="C153" s="48"/>
      <c r="D153" s="223">
        <v>0</v>
      </c>
      <c r="E153" s="221">
        <v>0</v>
      </c>
      <c r="F153" s="221">
        <v>0</v>
      </c>
      <c r="G153" s="222">
        <v>0</v>
      </c>
      <c r="H153" s="223">
        <v>0</v>
      </c>
      <c r="I153" s="221">
        <v>0</v>
      </c>
      <c r="J153" s="221">
        <v>0</v>
      </c>
      <c r="K153" s="222">
        <v>0</v>
      </c>
      <c r="L153" s="223">
        <v>0</v>
      </c>
      <c r="M153" s="221">
        <v>0</v>
      </c>
      <c r="N153" s="221">
        <v>0</v>
      </c>
      <c r="O153" s="222">
        <v>0</v>
      </c>
      <c r="P153" s="223">
        <v>0</v>
      </c>
      <c r="Q153" s="221">
        <v>0</v>
      </c>
      <c r="R153" s="221">
        <v>0</v>
      </c>
      <c r="S153" s="222">
        <v>0</v>
      </c>
      <c r="T153" s="223">
        <v>0</v>
      </c>
      <c r="U153" s="221">
        <v>0</v>
      </c>
      <c r="V153" s="221">
        <v>0</v>
      </c>
      <c r="W153" s="222">
        <v>0</v>
      </c>
      <c r="X153" s="223">
        <v>0</v>
      </c>
      <c r="Y153" s="221">
        <v>0</v>
      </c>
      <c r="Z153" s="221">
        <v>0</v>
      </c>
      <c r="AA153" s="222">
        <v>0</v>
      </c>
      <c r="AB153" s="221">
        <v>0</v>
      </c>
      <c r="AC153" s="221">
        <v>0</v>
      </c>
      <c r="AD153" s="221">
        <v>0</v>
      </c>
      <c r="AE153" s="222">
        <v>0</v>
      </c>
      <c r="AF153" s="221">
        <v>0</v>
      </c>
      <c r="AG153" s="221">
        <v>0</v>
      </c>
      <c r="AH153" s="218">
        <v>0</v>
      </c>
      <c r="AI153" s="222">
        <v>0</v>
      </c>
      <c r="AJ153" s="221">
        <v>0</v>
      </c>
      <c r="AK153" s="221">
        <v>0</v>
      </c>
      <c r="AL153" s="218">
        <v>0</v>
      </c>
      <c r="AM153" s="222">
        <v>0</v>
      </c>
      <c r="AN153" s="221">
        <v>0</v>
      </c>
      <c r="AO153" s="221">
        <v>0</v>
      </c>
      <c r="AP153" s="218">
        <v>0</v>
      </c>
      <c r="AQ153" s="222">
        <v>0</v>
      </c>
      <c r="AR153" s="221">
        <v>0</v>
      </c>
      <c r="AS153" s="221">
        <v>0</v>
      </c>
      <c r="AT153" s="218">
        <v>0</v>
      </c>
      <c r="AU153" s="222">
        <v>0</v>
      </c>
      <c r="AV153" s="221">
        <v>0</v>
      </c>
      <c r="AW153" s="221">
        <v>0</v>
      </c>
      <c r="AX153" s="218">
        <v>0</v>
      </c>
      <c r="AY153" s="222">
        <v>0</v>
      </c>
      <c r="AZ153" s="221">
        <v>0</v>
      </c>
      <c r="BA153" s="221">
        <v>0</v>
      </c>
      <c r="BB153" s="218">
        <f>BA153+BB54</f>
        <v>0</v>
      </c>
      <c r="BC153" s="219">
        <f>BB153+BC54</f>
        <v>0</v>
      </c>
      <c r="BD153" s="218">
        <f>BD54</f>
        <v>0</v>
      </c>
      <c r="BE153" s="218">
        <f>BD153+BE54</f>
        <v>0</v>
      </c>
      <c r="BF153" s="218">
        <f>BE153+BF54</f>
        <v>0</v>
      </c>
      <c r="BG153" s="219">
        <f>BF153+BG54</f>
        <v>0</v>
      </c>
      <c r="BH153" s="218">
        <f>BH54</f>
        <v>0</v>
      </c>
      <c r="BI153" s="218">
        <f>BH153+BI54</f>
        <v>0</v>
      </c>
      <c r="BJ153" s="218">
        <f>BI153+BJ54</f>
        <v>0</v>
      </c>
      <c r="BK153" s="219">
        <f>BJ153+BK54</f>
        <v>0</v>
      </c>
      <c r="BL153" s="185"/>
      <c r="BM153" s="218">
        <f t="shared" ref="BM153:BV153" si="658">BM54</f>
        <v>0</v>
      </c>
      <c r="BN153" s="218">
        <f t="shared" si="658"/>
        <v>0</v>
      </c>
      <c r="BO153" s="218">
        <f t="shared" si="658"/>
        <v>0</v>
      </c>
      <c r="BP153" s="218">
        <f t="shared" si="658"/>
        <v>0</v>
      </c>
      <c r="BQ153" s="218">
        <f t="shared" si="658"/>
        <v>0</v>
      </c>
      <c r="BR153" s="218">
        <f t="shared" si="658"/>
        <v>0</v>
      </c>
      <c r="BS153" s="218">
        <f t="shared" si="658"/>
        <v>0</v>
      </c>
      <c r="BT153" s="218">
        <f t="shared" si="658"/>
        <v>0</v>
      </c>
      <c r="BU153" s="218">
        <f t="shared" si="658"/>
        <v>0</v>
      </c>
      <c r="BV153" s="218">
        <f t="shared" si="658"/>
        <v>0</v>
      </c>
      <c r="BW153" s="218">
        <f>BW54</f>
        <v>0</v>
      </c>
      <c r="BX153" s="218">
        <f>BX54</f>
        <v>0</v>
      </c>
      <c r="BY153" s="218">
        <f>BY54</f>
        <v>0</v>
      </c>
      <c r="BZ153" s="218">
        <f>BZ54</f>
        <v>0</v>
      </c>
      <c r="CA153" s="219">
        <f>CA54</f>
        <v>0</v>
      </c>
      <c r="CB153" s="220"/>
      <c r="CC153" s="218"/>
      <c r="CD153" s="218"/>
      <c r="CE153" s="260"/>
      <c r="CF153" s="220">
        <f t="shared" ref="CF153:CN153" si="659">CF54</f>
        <v>0</v>
      </c>
      <c r="CG153" s="218">
        <f t="shared" si="659"/>
        <v>0</v>
      </c>
      <c r="CH153" s="218">
        <f t="shared" si="659"/>
        <v>0</v>
      </c>
      <c r="CI153" s="218">
        <f t="shared" si="659"/>
        <v>0</v>
      </c>
      <c r="CJ153" s="218">
        <f t="shared" si="659"/>
        <v>0</v>
      </c>
      <c r="CK153" s="218">
        <f t="shared" si="659"/>
        <v>0</v>
      </c>
      <c r="CL153" s="218">
        <f t="shared" si="659"/>
        <v>0</v>
      </c>
      <c r="CM153" s="218">
        <f t="shared" si="659"/>
        <v>0</v>
      </c>
      <c r="CN153" s="218">
        <f t="shared" si="659"/>
        <v>0</v>
      </c>
      <c r="CO153" s="218">
        <f>CO54</f>
        <v>0</v>
      </c>
      <c r="CP153" s="218">
        <f>CP54</f>
        <v>0</v>
      </c>
      <c r="CQ153" s="218">
        <f>CQ54</f>
        <v>0</v>
      </c>
      <c r="CR153" s="218">
        <f>CR54</f>
        <v>0</v>
      </c>
      <c r="CS153" s="219">
        <f>CS54</f>
        <v>0</v>
      </c>
      <c r="CT153" s="22"/>
    </row>
    <row r="154" spans="1:104" ht="14.25" customHeight="1" outlineLevel="1">
      <c r="A154" s="8"/>
      <c r="B154" s="47"/>
      <c r="C154" s="48"/>
      <c r="D154" s="237"/>
      <c r="E154" s="235"/>
      <c r="F154" s="235"/>
      <c r="G154" s="236"/>
      <c r="H154" s="237"/>
      <c r="I154" s="235"/>
      <c r="J154" s="235"/>
      <c r="K154" s="236"/>
      <c r="L154" s="237"/>
      <c r="M154" s="235"/>
      <c r="N154" s="235"/>
      <c r="O154" s="236"/>
      <c r="P154" s="237"/>
      <c r="Q154" s="235"/>
      <c r="R154" s="235"/>
      <c r="S154" s="236"/>
      <c r="T154" s="237"/>
      <c r="U154" s="235"/>
      <c r="V154" s="235"/>
      <c r="W154" s="236"/>
      <c r="X154" s="237"/>
      <c r="Y154" s="235"/>
      <c r="Z154" s="235"/>
      <c r="AA154" s="236"/>
      <c r="AB154" s="235"/>
      <c r="AC154" s="235"/>
      <c r="AD154" s="235"/>
      <c r="AE154" s="236"/>
      <c r="AF154" s="235"/>
      <c r="AG154" s="235"/>
      <c r="AH154" s="235"/>
      <c r="AI154" s="236"/>
      <c r="AJ154" s="235"/>
      <c r="AK154" s="235"/>
      <c r="AL154" s="235"/>
      <c r="AM154" s="236"/>
      <c r="AN154" s="235"/>
      <c r="AO154" s="235"/>
      <c r="AP154" s="235"/>
      <c r="AQ154" s="236"/>
      <c r="AR154" s="235"/>
      <c r="AS154" s="235"/>
      <c r="AT154" s="235"/>
      <c r="AU154" s="236"/>
      <c r="AV154" s="235"/>
      <c r="AW154" s="235"/>
      <c r="AX154" s="235"/>
      <c r="AY154" s="236"/>
      <c r="AZ154" s="235"/>
      <c r="BA154" s="235"/>
      <c r="BB154" s="235"/>
      <c r="BC154" s="236"/>
      <c r="BD154" s="237"/>
      <c r="BE154" s="235"/>
      <c r="BF154" s="235"/>
      <c r="BG154" s="236"/>
      <c r="BH154" s="237"/>
      <c r="BI154" s="235"/>
      <c r="BJ154" s="235"/>
      <c r="BK154" s="236"/>
      <c r="BL154" s="185"/>
      <c r="BM154" s="235"/>
      <c r="BN154" s="235"/>
      <c r="BO154" s="235"/>
      <c r="BP154" s="235"/>
      <c r="BQ154" s="235"/>
      <c r="BR154" s="235"/>
      <c r="BS154" s="235"/>
      <c r="BT154" s="235"/>
      <c r="BU154" s="235"/>
      <c r="BV154" s="235"/>
      <c r="BW154" s="235"/>
      <c r="BX154" s="235"/>
      <c r="BY154" s="235"/>
      <c r="BZ154" s="235"/>
      <c r="CA154" s="236"/>
      <c r="CB154" s="237"/>
      <c r="CC154" s="235"/>
      <c r="CD154" s="235"/>
      <c r="CE154" s="260"/>
      <c r="CF154" s="237"/>
      <c r="CG154" s="235"/>
      <c r="CH154" s="235"/>
      <c r="CI154" s="235"/>
      <c r="CJ154" s="235"/>
      <c r="CK154" s="235"/>
      <c r="CL154" s="235"/>
      <c r="CM154" s="235"/>
      <c r="CN154" s="235"/>
      <c r="CO154" s="235"/>
      <c r="CP154" s="235"/>
      <c r="CQ154" s="235"/>
      <c r="CR154" s="235"/>
      <c r="CS154" s="236"/>
      <c r="CT154" s="22"/>
    </row>
    <row r="155" spans="1:104" ht="14.25" customHeight="1" outlineLevel="1">
      <c r="A155" s="8"/>
      <c r="B155" s="47" t="s">
        <v>496</v>
      </c>
      <c r="C155" s="48"/>
      <c r="D155" s="237">
        <v>185.55099999999999</v>
      </c>
      <c r="E155" s="232">
        <f>D155</f>
        <v>185.55099999999999</v>
      </c>
      <c r="F155" s="232">
        <f>D155</f>
        <v>185.55099999999999</v>
      </c>
      <c r="G155" s="234">
        <f>D155</f>
        <v>185.55099999999999</v>
      </c>
      <c r="H155" s="233">
        <f>G158</f>
        <v>422.33300000000003</v>
      </c>
      <c r="I155" s="232">
        <f>H155</f>
        <v>422.33300000000003</v>
      </c>
      <c r="J155" s="232">
        <f>H155</f>
        <v>422.33300000000003</v>
      </c>
      <c r="K155" s="234">
        <f>H155</f>
        <v>422.33300000000003</v>
      </c>
      <c r="L155" s="233">
        <f>K158</f>
        <v>577.06799999999976</v>
      </c>
      <c r="M155" s="232">
        <f>L155</f>
        <v>577.06799999999976</v>
      </c>
      <c r="N155" s="232">
        <f>L155</f>
        <v>577.06799999999976</v>
      </c>
      <c r="O155" s="234">
        <f>L155</f>
        <v>577.06799999999976</v>
      </c>
      <c r="P155" s="233">
        <f>O158</f>
        <v>1013.1189999999997</v>
      </c>
      <c r="Q155" s="232">
        <f>P155</f>
        <v>1013.1189999999997</v>
      </c>
      <c r="R155" s="232">
        <f>P155</f>
        <v>1013.1189999999997</v>
      </c>
      <c r="S155" s="234">
        <f>P155</f>
        <v>1013.1189999999997</v>
      </c>
      <c r="T155" s="233">
        <f>S158</f>
        <v>709.34800000000007</v>
      </c>
      <c r="U155" s="232">
        <f>T155</f>
        <v>709.34800000000007</v>
      </c>
      <c r="V155" s="232">
        <f>T155</f>
        <v>709.34800000000007</v>
      </c>
      <c r="W155" s="234">
        <f>T155</f>
        <v>709.34800000000007</v>
      </c>
      <c r="X155" s="233">
        <f>W158</f>
        <v>826.51199999999994</v>
      </c>
      <c r="Y155" s="232">
        <f>X155</f>
        <v>826.51199999999994</v>
      </c>
      <c r="Z155" s="232">
        <f>X155</f>
        <v>826.51199999999994</v>
      </c>
      <c r="AA155" s="234">
        <f>X155</f>
        <v>826.51199999999994</v>
      </c>
      <c r="AB155" s="232">
        <f>AA158</f>
        <v>962.54099999999983</v>
      </c>
      <c r="AC155" s="232">
        <f>AB155</f>
        <v>962.54099999999983</v>
      </c>
      <c r="AD155" s="232">
        <f>AB155</f>
        <v>962.54099999999983</v>
      </c>
      <c r="AE155" s="234">
        <f>AB155</f>
        <v>962.54099999999983</v>
      </c>
      <c r="AF155" s="232">
        <f>AE158</f>
        <v>881.05999999999983</v>
      </c>
      <c r="AG155" s="232">
        <f>AF155</f>
        <v>881.05999999999983</v>
      </c>
      <c r="AH155" s="232">
        <f>AF155</f>
        <v>881.05999999999983</v>
      </c>
      <c r="AI155" s="234">
        <f>AF155</f>
        <v>881.05999999999983</v>
      </c>
      <c r="AJ155" s="232">
        <f>AI158</f>
        <v>1174.9859999999999</v>
      </c>
      <c r="AK155" s="232">
        <f>AJ155</f>
        <v>1174.9859999999999</v>
      </c>
      <c r="AL155" s="232">
        <f>AJ155</f>
        <v>1174.9859999999999</v>
      </c>
      <c r="AM155" s="234">
        <f>AJ155</f>
        <v>1174.9859999999999</v>
      </c>
      <c r="AN155" s="232">
        <f>AM158</f>
        <v>1322.4719999999998</v>
      </c>
      <c r="AO155" s="232">
        <f>AN155</f>
        <v>1322.4719999999998</v>
      </c>
      <c r="AP155" s="232">
        <f>AN155</f>
        <v>1322.4719999999998</v>
      </c>
      <c r="AQ155" s="234">
        <f>AN155</f>
        <v>1322.4719999999998</v>
      </c>
      <c r="AR155" s="232">
        <f>AQ158</f>
        <v>1550.9649999999999</v>
      </c>
      <c r="AS155" s="232">
        <f>AR155</f>
        <v>1550.9649999999999</v>
      </c>
      <c r="AT155" s="232">
        <f>AR155</f>
        <v>1550.9649999999999</v>
      </c>
      <c r="AU155" s="234">
        <f>AR155</f>
        <v>1550.9649999999999</v>
      </c>
      <c r="AV155" s="232">
        <f>AU158</f>
        <v>2105.2289999999998</v>
      </c>
      <c r="AW155" s="232">
        <f>AV155</f>
        <v>2105.2289999999998</v>
      </c>
      <c r="AX155" s="232">
        <f>AV155</f>
        <v>2105.2289999999998</v>
      </c>
      <c r="AY155" s="234">
        <f>AV155</f>
        <v>2105.2289999999998</v>
      </c>
      <c r="AZ155" s="232">
        <f>AY158</f>
        <v>2246.1209999999996</v>
      </c>
      <c r="BA155" s="232">
        <f>AZ155</f>
        <v>2246.1209999999996</v>
      </c>
      <c r="BB155" s="232">
        <f>AZ155</f>
        <v>2246.1209999999996</v>
      </c>
      <c r="BC155" s="234">
        <f>AZ155</f>
        <v>2246.1209999999996</v>
      </c>
      <c r="BD155" s="233">
        <f>BC158</f>
        <v>1591.7021048845131</v>
      </c>
      <c r="BE155" s="232">
        <f>BD155</f>
        <v>1591.7021048845131</v>
      </c>
      <c r="BF155" s="232">
        <f>BD155</f>
        <v>1591.7021048845131</v>
      </c>
      <c r="BG155" s="234">
        <f>BD155</f>
        <v>1591.7021048845131</v>
      </c>
      <c r="BH155" s="233">
        <f>BG158</f>
        <v>1557.048059686932</v>
      </c>
      <c r="BI155" s="232">
        <f>BH155</f>
        <v>1557.048059686932</v>
      </c>
      <c r="BJ155" s="232">
        <f>BH155</f>
        <v>1557.048059686932</v>
      </c>
      <c r="BK155" s="234">
        <f>BH155</f>
        <v>1557.048059686932</v>
      </c>
      <c r="BL155" s="185"/>
      <c r="BM155" s="232">
        <f>BM56</f>
        <v>185.55099999999999</v>
      </c>
      <c r="BN155" s="232">
        <f t="shared" ref="BN155:BS155" si="660">BM158</f>
        <v>422.33299999999991</v>
      </c>
      <c r="BO155" s="232">
        <f t="shared" si="660"/>
        <v>577.06799999999976</v>
      </c>
      <c r="BP155" s="232">
        <f t="shared" si="660"/>
        <v>1013.1189999999997</v>
      </c>
      <c r="BQ155" s="232">
        <f t="shared" si="660"/>
        <v>709.34799999999996</v>
      </c>
      <c r="BR155" s="232">
        <f t="shared" si="660"/>
        <v>826.51199999999983</v>
      </c>
      <c r="BS155" s="232">
        <f t="shared" si="660"/>
        <v>962.54099999999971</v>
      </c>
      <c r="BT155" s="232">
        <f t="shared" ref="BT155:CA155" si="661">BS158</f>
        <v>881.05999999999972</v>
      </c>
      <c r="BU155" s="232">
        <f t="shared" si="661"/>
        <v>1174.9859999999999</v>
      </c>
      <c r="BV155" s="232">
        <f t="shared" si="661"/>
        <v>1322.4719999999998</v>
      </c>
      <c r="BW155" s="232">
        <f t="shared" si="661"/>
        <v>1550.9649999999999</v>
      </c>
      <c r="BX155" s="232">
        <f t="shared" si="661"/>
        <v>2105.2289999999998</v>
      </c>
      <c r="BY155" s="232">
        <f t="shared" si="661"/>
        <v>2246.1209999999996</v>
      </c>
      <c r="BZ155" s="232">
        <f t="shared" si="661"/>
        <v>1591.7021048845131</v>
      </c>
      <c r="CA155" s="234">
        <f t="shared" si="661"/>
        <v>1557.048059686932</v>
      </c>
      <c r="CB155" s="233"/>
      <c r="CC155" s="232"/>
      <c r="CD155" s="232"/>
      <c r="CE155" s="260"/>
      <c r="CF155" s="233">
        <f>CF56</f>
        <v>148.46600000000004</v>
      </c>
      <c r="CG155" s="232">
        <f t="shared" ref="CG155:CL155" si="662">CF158</f>
        <v>370.71399999999983</v>
      </c>
      <c r="CH155" s="232">
        <f t="shared" si="662"/>
        <v>1007.4259999999996</v>
      </c>
      <c r="CI155" s="232">
        <f t="shared" si="662"/>
        <v>718.1999999999997</v>
      </c>
      <c r="CJ155" s="232">
        <f t="shared" si="662"/>
        <v>737.52199999999993</v>
      </c>
      <c r="CK155" s="232">
        <f t="shared" si="662"/>
        <v>798.34400000000005</v>
      </c>
      <c r="CL155" s="232">
        <f t="shared" si="662"/>
        <v>741.16</v>
      </c>
      <c r="CM155" s="232">
        <f t="shared" ref="CM155:CS155" si="663">CL158</f>
        <v>955.10700000000008</v>
      </c>
      <c r="CN155" s="232">
        <f t="shared" si="663"/>
        <v>1149.9090000000001</v>
      </c>
      <c r="CO155" s="232">
        <f t="shared" si="663"/>
        <v>1305.8699999999999</v>
      </c>
      <c r="CP155" s="232">
        <f t="shared" si="663"/>
        <v>1648.518</v>
      </c>
      <c r="CQ155" s="232">
        <f t="shared" si="663"/>
        <v>1687.4349999999999</v>
      </c>
      <c r="CR155" s="232">
        <f t="shared" si="663"/>
        <v>1631.5089999999996</v>
      </c>
      <c r="CS155" s="234">
        <f t="shared" si="663"/>
        <v>1579.1487920038016</v>
      </c>
      <c r="CT155" s="22"/>
    </row>
    <row r="156" spans="1:104" s="302" customFormat="1" ht="14.25" customHeight="1" outlineLevel="1">
      <c r="A156" s="308"/>
      <c r="B156" s="365" t="s">
        <v>497</v>
      </c>
      <c r="C156" s="492"/>
      <c r="D156" s="493"/>
      <c r="E156" s="494"/>
      <c r="F156" s="494"/>
      <c r="G156" s="495"/>
      <c r="H156" s="493"/>
      <c r="I156" s="494"/>
      <c r="J156" s="494"/>
      <c r="K156" s="495"/>
      <c r="L156" s="493"/>
      <c r="M156" s="494"/>
      <c r="N156" s="494"/>
      <c r="O156" s="495"/>
      <c r="P156" s="493"/>
      <c r="Q156" s="494"/>
      <c r="R156" s="494"/>
      <c r="S156" s="495"/>
      <c r="T156" s="493"/>
      <c r="U156" s="494"/>
      <c r="V156" s="494"/>
      <c r="W156" s="495"/>
      <c r="X156" s="493"/>
      <c r="Y156" s="494"/>
      <c r="Z156" s="494"/>
      <c r="AA156" s="495"/>
      <c r="AB156" s="494"/>
      <c r="AC156" s="494"/>
      <c r="AD156" s="494"/>
      <c r="AE156" s="495"/>
      <c r="AF156" s="494"/>
      <c r="AG156" s="494"/>
      <c r="AH156" s="494"/>
      <c r="AI156" s="495"/>
      <c r="AJ156" s="494"/>
      <c r="AK156" s="494"/>
      <c r="AL156" s="494"/>
      <c r="AM156" s="495">
        <v>0</v>
      </c>
      <c r="AN156" s="494">
        <v>0</v>
      </c>
      <c r="AO156" s="494"/>
      <c r="AP156" s="494">
        <v>0</v>
      </c>
      <c r="AQ156" s="495"/>
      <c r="AR156" s="494"/>
      <c r="AS156" s="494"/>
      <c r="AT156" s="494"/>
      <c r="AU156" s="495"/>
      <c r="AV156" s="494"/>
      <c r="AW156" s="494"/>
      <c r="AX156" s="494"/>
      <c r="AY156" s="495"/>
      <c r="AZ156" s="494"/>
      <c r="BA156" s="218">
        <v>1.0000000004311005E-3</v>
      </c>
      <c r="BB156" s="494"/>
      <c r="BC156" s="495"/>
      <c r="BD156" s="494"/>
      <c r="BE156" s="494"/>
      <c r="BF156" s="494"/>
      <c r="BG156" s="495"/>
      <c r="BH156" s="494"/>
      <c r="BI156" s="494"/>
      <c r="BJ156" s="494"/>
      <c r="BK156" s="495"/>
      <c r="BL156" s="496"/>
      <c r="BM156" s="499">
        <f t="shared" ref="BM156:BS156" si="664">BM57</f>
        <v>0</v>
      </c>
      <c r="BN156" s="499">
        <f t="shared" si="664"/>
        <v>0</v>
      </c>
      <c r="BO156" s="499">
        <f t="shared" si="664"/>
        <v>0</v>
      </c>
      <c r="BP156" s="499">
        <f t="shared" si="664"/>
        <v>0</v>
      </c>
      <c r="BQ156" s="499">
        <f t="shared" si="664"/>
        <v>0</v>
      </c>
      <c r="BR156" s="499">
        <f t="shared" si="664"/>
        <v>0</v>
      </c>
      <c r="BS156" s="499">
        <f t="shared" si="664"/>
        <v>0</v>
      </c>
      <c r="BT156" s="499"/>
      <c r="BU156" s="499"/>
      <c r="BV156" s="499">
        <f>AQ156</f>
        <v>0</v>
      </c>
      <c r="BW156" s="499"/>
      <c r="BX156" s="499"/>
      <c r="BY156" s="499"/>
      <c r="BZ156" s="499"/>
      <c r="CA156" s="500"/>
      <c r="CB156" s="493"/>
      <c r="CC156" s="494"/>
      <c r="CD156" s="494"/>
      <c r="CE156" s="941"/>
      <c r="CF156" s="498">
        <f t="shared" ref="CF156:CL156" si="665">CF57</f>
        <v>0</v>
      </c>
      <c r="CG156" s="499">
        <f t="shared" si="665"/>
        <v>0</v>
      </c>
      <c r="CH156" s="499">
        <f t="shared" si="665"/>
        <v>0</v>
      </c>
      <c r="CI156" s="499">
        <f t="shared" si="665"/>
        <v>0</v>
      </c>
      <c r="CJ156" s="499">
        <f t="shared" si="665"/>
        <v>0</v>
      </c>
      <c r="CK156" s="499">
        <f t="shared" si="665"/>
        <v>0</v>
      </c>
      <c r="CL156" s="499">
        <f t="shared" si="665"/>
        <v>0</v>
      </c>
      <c r="CM156" s="499"/>
      <c r="CN156" s="499"/>
      <c r="CO156" s="499"/>
      <c r="CP156" s="499"/>
      <c r="CQ156" s="494"/>
      <c r="CR156" s="494"/>
      <c r="CS156" s="495"/>
      <c r="CT156" s="354"/>
      <c r="CU156"/>
      <c r="CV156"/>
      <c r="CW156"/>
      <c r="CX156"/>
      <c r="CY156"/>
      <c r="CZ156"/>
    </row>
    <row r="157" spans="1:104" ht="14.25" customHeight="1" outlineLevel="1">
      <c r="A157" s="8"/>
      <c r="B157" s="229" t="s">
        <v>498</v>
      </c>
      <c r="C157" s="230"/>
      <c r="D157" s="233">
        <f t="shared" ref="D157:AP157" si="666">D151+D140+D130+D153</f>
        <v>17.249000000000024</v>
      </c>
      <c r="E157" s="232">
        <f t="shared" si="666"/>
        <v>-37.08499999999998</v>
      </c>
      <c r="F157" s="232">
        <f t="shared" si="666"/>
        <v>57.759000000000185</v>
      </c>
      <c r="G157" s="234">
        <f t="shared" si="666"/>
        <v>236.78200000000004</v>
      </c>
      <c r="H157" s="233">
        <f t="shared" si="666"/>
        <v>44.484999999999985</v>
      </c>
      <c r="I157" s="232">
        <f t="shared" si="666"/>
        <v>-51.618999999999971</v>
      </c>
      <c r="J157" s="232">
        <f t="shared" si="666"/>
        <v>-39.271999999999991</v>
      </c>
      <c r="K157" s="234">
        <f t="shared" si="666"/>
        <v>154.73499999999979</v>
      </c>
      <c r="L157" s="233">
        <f t="shared" si="666"/>
        <v>236.60500000000005</v>
      </c>
      <c r="M157" s="232">
        <f t="shared" si="666"/>
        <v>430.35799999999995</v>
      </c>
      <c r="N157" s="232">
        <f t="shared" si="666"/>
        <v>611.98299999999995</v>
      </c>
      <c r="O157" s="234">
        <f t="shared" si="666"/>
        <v>436.05099999999993</v>
      </c>
      <c r="P157" s="233">
        <f t="shared" si="666"/>
        <v>38.075000000000045</v>
      </c>
      <c r="Q157" s="232">
        <f t="shared" si="666"/>
        <v>-294.91899999999993</v>
      </c>
      <c r="R157" s="232">
        <f t="shared" si="666"/>
        <v>-320.29399999999998</v>
      </c>
      <c r="S157" s="234">
        <f t="shared" si="666"/>
        <v>-303.77099999999962</v>
      </c>
      <c r="T157" s="233">
        <f t="shared" si="666"/>
        <v>126.68099999999998</v>
      </c>
      <c r="U157" s="232">
        <f t="shared" si="666"/>
        <v>28.173999999999978</v>
      </c>
      <c r="V157" s="232">
        <f t="shared" si="666"/>
        <v>49.088000000000022</v>
      </c>
      <c r="W157" s="234">
        <f t="shared" si="666"/>
        <v>117.16399999999987</v>
      </c>
      <c r="X157" s="233">
        <f t="shared" si="666"/>
        <v>-108.23199999999991</v>
      </c>
      <c r="Y157" s="232">
        <f t="shared" si="666"/>
        <v>-28.167999999999893</v>
      </c>
      <c r="Z157" s="232">
        <f t="shared" si="666"/>
        <v>42.411000000000058</v>
      </c>
      <c r="AA157" s="234">
        <f t="shared" si="666"/>
        <v>136.02899999999988</v>
      </c>
      <c r="AB157" s="232">
        <f t="shared" si="666"/>
        <v>-252.50000000000011</v>
      </c>
      <c r="AC157" s="232">
        <f>AC151+AC140+AC130+AC153</f>
        <v>-221.38099999999997</v>
      </c>
      <c r="AD157" s="232">
        <f>AD151+AD140+AD130+AD153</f>
        <v>-101.99000000000001</v>
      </c>
      <c r="AE157" s="234">
        <f t="shared" si="666"/>
        <v>-81.480999999999995</v>
      </c>
      <c r="AF157" s="232">
        <f t="shared" si="666"/>
        <v>-31.210000000000008</v>
      </c>
      <c r="AG157" s="232">
        <f t="shared" si="666"/>
        <v>74.047000000000025</v>
      </c>
      <c r="AH157" s="232">
        <f t="shared" ref="AH157:AM157" si="667">AH151+AH140+AH130+AH153</f>
        <v>666.92000000000007</v>
      </c>
      <c r="AI157" s="234">
        <f t="shared" si="667"/>
        <v>293.92599999999993</v>
      </c>
      <c r="AJ157" s="232">
        <f t="shared" si="667"/>
        <v>-165.43899999999991</v>
      </c>
      <c r="AK157" s="232">
        <f t="shared" si="667"/>
        <v>-25.076999999999884</v>
      </c>
      <c r="AL157" s="232">
        <f t="shared" si="667"/>
        <v>56.262000000000057</v>
      </c>
      <c r="AM157" s="234">
        <f t="shared" si="667"/>
        <v>147.48599999999988</v>
      </c>
      <c r="AN157" s="232">
        <f>AN151+AN140+AN130+AN153</f>
        <v>-78.588999999999984</v>
      </c>
      <c r="AO157" s="232">
        <f>AO151+AO140+AO130+AO153</f>
        <v>-16.601999999999975</v>
      </c>
      <c r="AP157" s="232">
        <f t="shared" si="666"/>
        <v>69.724999999999966</v>
      </c>
      <c r="AQ157" s="234">
        <f t="shared" ref="AQ157:BC157" si="668">AQ151+AQ140+AQ130+AQ153</f>
        <v>228.49300000000017</v>
      </c>
      <c r="AR157" s="232">
        <f t="shared" si="668"/>
        <v>-42.617999999999981</v>
      </c>
      <c r="AS157" s="232">
        <f t="shared" si="668"/>
        <v>97.553000000000054</v>
      </c>
      <c r="AT157" s="232">
        <f t="shared" si="668"/>
        <v>159.37499999999989</v>
      </c>
      <c r="AU157" s="234">
        <f t="shared" ref="AU157:AZ157" si="669">AU151+AU140+AU130+AU153</f>
        <v>554.2639999999999</v>
      </c>
      <c r="AV157" s="232">
        <f t="shared" si="669"/>
        <v>-13.156000000000077</v>
      </c>
      <c r="AW157" s="232">
        <f t="shared" si="669"/>
        <v>-417.79399999999998</v>
      </c>
      <c r="AX157" s="232">
        <f t="shared" si="669"/>
        <v>-448.50200000000007</v>
      </c>
      <c r="AY157" s="234">
        <f t="shared" si="669"/>
        <v>140.89199999999994</v>
      </c>
      <c r="AZ157" s="232">
        <f t="shared" si="669"/>
        <v>-668.9609999999999</v>
      </c>
      <c r="BA157" s="232">
        <f t="shared" ref="BA157" si="670">BA151+BA140+BA130+BA153</f>
        <v>-614.61200000000008</v>
      </c>
      <c r="BB157" s="232">
        <f t="shared" si="668"/>
        <v>-616.52900000000011</v>
      </c>
      <c r="BC157" s="234">
        <f t="shared" si="668"/>
        <v>-654.41889511548652</v>
      </c>
      <c r="BD157" s="232">
        <f t="shared" ref="BD157:BK157" si="671">BD151+BD140+BD130+BD153</f>
        <v>4.2456865144168319</v>
      </c>
      <c r="BE157" s="232">
        <f t="shared" si="671"/>
        <v>-12.553312880711815</v>
      </c>
      <c r="BF157" s="232">
        <f t="shared" si="671"/>
        <v>-36.866150363948009</v>
      </c>
      <c r="BG157" s="234">
        <f t="shared" si="671"/>
        <v>-34.654045197581013</v>
      </c>
      <c r="BH157" s="232">
        <f t="shared" si="671"/>
        <v>8.6115439692919153</v>
      </c>
      <c r="BI157" s="232">
        <f t="shared" si="671"/>
        <v>9.5783775703192759</v>
      </c>
      <c r="BJ157" s="232">
        <f t="shared" si="671"/>
        <v>3.6095032502537379</v>
      </c>
      <c r="BK157" s="234">
        <f t="shared" si="671"/>
        <v>14.431266327164849</v>
      </c>
      <c r="BL157" s="185"/>
      <c r="BM157" s="232">
        <f t="shared" ref="BM157:BV157" si="672">BM151+BM140+BM130+BM153</f>
        <v>236.78199999999993</v>
      </c>
      <c r="BN157" s="232">
        <f t="shared" si="672"/>
        <v>154.73499999999979</v>
      </c>
      <c r="BO157" s="232">
        <f t="shared" si="672"/>
        <v>436.05099999999999</v>
      </c>
      <c r="BP157" s="232">
        <f t="shared" si="672"/>
        <v>-303.77099999999973</v>
      </c>
      <c r="BQ157" s="232">
        <f t="shared" si="672"/>
        <v>117.16399999999987</v>
      </c>
      <c r="BR157" s="232">
        <f t="shared" si="672"/>
        <v>136.02899999999988</v>
      </c>
      <c r="BS157" s="232">
        <f t="shared" si="672"/>
        <v>-81.480999999999995</v>
      </c>
      <c r="BT157" s="232">
        <f t="shared" si="672"/>
        <v>293.92600000000004</v>
      </c>
      <c r="BU157" s="232">
        <f t="shared" si="672"/>
        <v>147.48599999999988</v>
      </c>
      <c r="BV157" s="232">
        <f t="shared" si="672"/>
        <v>228.49300000000017</v>
      </c>
      <c r="BW157" s="232">
        <f>BW151+BW140+BW130+BW153</f>
        <v>554.2639999999999</v>
      </c>
      <c r="BX157" s="232">
        <f>BX151+BX140+BX130+BX153</f>
        <v>140.89199999999994</v>
      </c>
      <c r="BY157" s="232">
        <f>BY151+BY140+BY130+BY153</f>
        <v>-654.41889511548652</v>
      </c>
      <c r="BZ157" s="232">
        <f>BZ151+BZ140+BZ130+BZ153</f>
        <v>-34.654045197581013</v>
      </c>
      <c r="CA157" s="234">
        <f>CA151+CA140+CA130+CA153</f>
        <v>14.431266327164849</v>
      </c>
      <c r="CB157" s="233"/>
      <c r="CC157" s="232"/>
      <c r="CD157" s="232"/>
      <c r="CE157" s="260"/>
      <c r="CF157" s="233">
        <f t="shared" ref="CF157:CN157" si="673">CF151+CF140+CF130+CF153</f>
        <v>222.24799999999982</v>
      </c>
      <c r="CG157" s="232">
        <f t="shared" si="673"/>
        <v>636.71199999999976</v>
      </c>
      <c r="CH157" s="232">
        <f t="shared" si="673"/>
        <v>-289.22599999999989</v>
      </c>
      <c r="CI157" s="232">
        <f t="shared" si="673"/>
        <v>19.322000000000173</v>
      </c>
      <c r="CJ157" s="232">
        <f t="shared" si="673"/>
        <v>60.822000000000116</v>
      </c>
      <c r="CK157" s="232">
        <f t="shared" si="673"/>
        <v>-57.184000000000083</v>
      </c>
      <c r="CL157" s="232">
        <f t="shared" si="673"/>
        <v>213.94700000000012</v>
      </c>
      <c r="CM157" s="232">
        <f t="shared" si="673"/>
        <v>194.80200000000013</v>
      </c>
      <c r="CN157" s="232">
        <f t="shared" si="673"/>
        <v>155.9609999999999</v>
      </c>
      <c r="CO157" s="232">
        <f>CO151+CO140+CO130+CO153</f>
        <v>342.64800000000008</v>
      </c>
      <c r="CP157" s="232">
        <f>CP151+CP140+CP130+CP153</f>
        <v>38.916999999999803</v>
      </c>
      <c r="CQ157" s="232">
        <f>CQ151+CQ140+CQ130+CQ153</f>
        <v>-55.926000000000272</v>
      </c>
      <c r="CR157" s="232">
        <f>CR151+CR140+CR130+CR153</f>
        <v>-52.360207996198028</v>
      </c>
      <c r="CS157" s="234">
        <f>CS151+CS140+CS130+CS153</f>
        <v>-12.522354746549809</v>
      </c>
      <c r="CT157" s="22"/>
    </row>
    <row r="158" spans="1:104" ht="14.25" customHeight="1" outlineLevel="1">
      <c r="A158" s="8"/>
      <c r="B158" s="407" t="s">
        <v>499</v>
      </c>
      <c r="C158" s="238"/>
      <c r="D158" s="240">
        <f t="shared" ref="D158:W158" si="674">D157+D155+D156</f>
        <v>202.8</v>
      </c>
      <c r="E158" s="239">
        <f t="shared" si="674"/>
        <v>148.46600000000001</v>
      </c>
      <c r="F158" s="239">
        <f t="shared" si="674"/>
        <v>243.31000000000017</v>
      </c>
      <c r="G158" s="241">
        <f t="shared" si="674"/>
        <v>422.33300000000003</v>
      </c>
      <c r="H158" s="240">
        <f t="shared" si="674"/>
        <v>466.81799999999998</v>
      </c>
      <c r="I158" s="239">
        <f t="shared" si="674"/>
        <v>370.71400000000006</v>
      </c>
      <c r="J158" s="239">
        <f t="shared" si="674"/>
        <v>383.06100000000004</v>
      </c>
      <c r="K158" s="241">
        <f t="shared" si="674"/>
        <v>577.06799999999976</v>
      </c>
      <c r="L158" s="240">
        <f t="shared" si="674"/>
        <v>813.67299999999977</v>
      </c>
      <c r="M158" s="239">
        <f t="shared" si="674"/>
        <v>1007.4259999999997</v>
      </c>
      <c r="N158" s="239">
        <f t="shared" si="674"/>
        <v>1189.0509999999997</v>
      </c>
      <c r="O158" s="241">
        <f t="shared" si="674"/>
        <v>1013.1189999999997</v>
      </c>
      <c r="P158" s="240">
        <f t="shared" si="674"/>
        <v>1051.1939999999997</v>
      </c>
      <c r="Q158" s="239">
        <f t="shared" si="674"/>
        <v>718.19999999999982</v>
      </c>
      <c r="R158" s="239">
        <f t="shared" si="674"/>
        <v>692.8249999999997</v>
      </c>
      <c r="S158" s="241">
        <f t="shared" si="674"/>
        <v>709.34800000000007</v>
      </c>
      <c r="T158" s="240">
        <f t="shared" si="674"/>
        <v>836.029</v>
      </c>
      <c r="U158" s="239">
        <f t="shared" si="674"/>
        <v>737.52200000000005</v>
      </c>
      <c r="V158" s="239">
        <f t="shared" si="674"/>
        <v>758.43600000000015</v>
      </c>
      <c r="W158" s="241">
        <f t="shared" si="674"/>
        <v>826.51199999999994</v>
      </c>
      <c r="X158" s="240">
        <f t="shared" ref="X158:AP158" si="675">X157+X155+X156</f>
        <v>718.28</v>
      </c>
      <c r="Y158" s="239">
        <f t="shared" si="675"/>
        <v>798.34400000000005</v>
      </c>
      <c r="Z158" s="239">
        <f t="shared" si="675"/>
        <v>868.923</v>
      </c>
      <c r="AA158" s="241">
        <f t="shared" si="675"/>
        <v>962.54099999999983</v>
      </c>
      <c r="AB158" s="239">
        <f t="shared" si="675"/>
        <v>710.04099999999971</v>
      </c>
      <c r="AC158" s="239">
        <f t="shared" si="675"/>
        <v>741.15999999999985</v>
      </c>
      <c r="AD158" s="239">
        <f t="shared" si="675"/>
        <v>860.55099999999982</v>
      </c>
      <c r="AE158" s="241">
        <f t="shared" si="675"/>
        <v>881.05999999999983</v>
      </c>
      <c r="AF158" s="239">
        <f t="shared" si="675"/>
        <v>849.8499999999998</v>
      </c>
      <c r="AG158" s="239">
        <f t="shared" si="675"/>
        <v>955.10699999999986</v>
      </c>
      <c r="AH158" s="239">
        <f t="shared" si="675"/>
        <v>1547.98</v>
      </c>
      <c r="AI158" s="241">
        <f t="shared" si="675"/>
        <v>1174.9859999999999</v>
      </c>
      <c r="AJ158" s="239">
        <f t="shared" si="675"/>
        <v>1009.547</v>
      </c>
      <c r="AK158" s="239">
        <f>AK157+AK155+AK156</f>
        <v>1149.9090000000001</v>
      </c>
      <c r="AL158" s="239">
        <f>AL157+AL155+AL156</f>
        <v>1231.248</v>
      </c>
      <c r="AM158" s="241">
        <f>AM157+AM155+AM156</f>
        <v>1322.4719999999998</v>
      </c>
      <c r="AN158" s="239">
        <f>AN157+AN155+AN156</f>
        <v>1243.8829999999998</v>
      </c>
      <c r="AO158" s="239">
        <f>AO157+AO155+AO156</f>
        <v>1305.8699999999999</v>
      </c>
      <c r="AP158" s="239">
        <f t="shared" si="675"/>
        <v>1392.1969999999997</v>
      </c>
      <c r="AQ158" s="241">
        <f t="shared" ref="AQ158:AV158" si="676">AQ157+AQ155+AQ156</f>
        <v>1550.9649999999999</v>
      </c>
      <c r="AR158" s="239">
        <f t="shared" si="676"/>
        <v>1508.347</v>
      </c>
      <c r="AS158" s="239">
        <f t="shared" si="676"/>
        <v>1648.518</v>
      </c>
      <c r="AT158" s="239">
        <f t="shared" si="676"/>
        <v>1710.3399999999997</v>
      </c>
      <c r="AU158" s="241">
        <f t="shared" si="676"/>
        <v>2105.2289999999998</v>
      </c>
      <c r="AV158" s="239">
        <f t="shared" si="676"/>
        <v>2092.0729999999999</v>
      </c>
      <c r="AW158" s="239">
        <f t="shared" ref="AW158:BG158" si="677">AW157+AW155+AW156</f>
        <v>1687.4349999999999</v>
      </c>
      <c r="AX158" s="239">
        <f t="shared" si="677"/>
        <v>1656.7269999999999</v>
      </c>
      <c r="AY158" s="241">
        <f t="shared" si="677"/>
        <v>2246.1209999999996</v>
      </c>
      <c r="AZ158" s="239">
        <f t="shared" si="677"/>
        <v>1577.1599999999999</v>
      </c>
      <c r="BA158" s="239">
        <f t="shared" ref="BA158" si="678">BA157+BA155+BA156</f>
        <v>1631.51</v>
      </c>
      <c r="BB158" s="239">
        <f t="shared" si="677"/>
        <v>1629.5919999999996</v>
      </c>
      <c r="BC158" s="241">
        <f t="shared" si="677"/>
        <v>1591.7021048845131</v>
      </c>
      <c r="BD158" s="239">
        <f t="shared" si="677"/>
        <v>1595.9477913989299</v>
      </c>
      <c r="BE158" s="239">
        <f t="shared" si="677"/>
        <v>1579.1487920038012</v>
      </c>
      <c r="BF158" s="239">
        <f t="shared" si="677"/>
        <v>1554.8359545205651</v>
      </c>
      <c r="BG158" s="241">
        <f t="shared" si="677"/>
        <v>1557.048059686932</v>
      </c>
      <c r="BH158" s="239">
        <f>BH157+BH155+BH156</f>
        <v>1565.6596036562239</v>
      </c>
      <c r="BI158" s="239">
        <f>BI157+BI155+BI156</f>
        <v>1566.6264372572514</v>
      </c>
      <c r="BJ158" s="239">
        <f>BJ157+BJ155+BJ156</f>
        <v>1560.6575629371857</v>
      </c>
      <c r="BK158" s="241">
        <f>BK157+BK155+BK156</f>
        <v>1571.4793260140968</v>
      </c>
      <c r="BL158" s="185"/>
      <c r="BM158" s="239">
        <f t="shared" ref="BM158:BS158" si="679">BM157+BM155+BM156</f>
        <v>422.33299999999991</v>
      </c>
      <c r="BN158" s="239">
        <f t="shared" si="679"/>
        <v>577.06799999999976</v>
      </c>
      <c r="BO158" s="239">
        <f t="shared" si="679"/>
        <v>1013.1189999999997</v>
      </c>
      <c r="BP158" s="239">
        <f t="shared" si="679"/>
        <v>709.34799999999996</v>
      </c>
      <c r="BQ158" s="239">
        <f t="shared" si="679"/>
        <v>826.51199999999983</v>
      </c>
      <c r="BR158" s="239">
        <f t="shared" si="679"/>
        <v>962.54099999999971</v>
      </c>
      <c r="BS158" s="239">
        <f t="shared" si="679"/>
        <v>881.05999999999972</v>
      </c>
      <c r="BT158" s="239">
        <f t="shared" ref="BT158:CA158" si="680">BT157+BT155+BT156</f>
        <v>1174.9859999999999</v>
      </c>
      <c r="BU158" s="239">
        <f t="shared" si="680"/>
        <v>1322.4719999999998</v>
      </c>
      <c r="BV158" s="239">
        <f t="shared" si="680"/>
        <v>1550.9649999999999</v>
      </c>
      <c r="BW158" s="239">
        <f t="shared" si="680"/>
        <v>2105.2289999999998</v>
      </c>
      <c r="BX158" s="239">
        <f t="shared" si="680"/>
        <v>2246.1209999999996</v>
      </c>
      <c r="BY158" s="239">
        <f t="shared" si="680"/>
        <v>1591.7021048845131</v>
      </c>
      <c r="BZ158" s="239">
        <f t="shared" si="680"/>
        <v>1557.048059686932</v>
      </c>
      <c r="CA158" s="241">
        <f t="shared" si="680"/>
        <v>1571.4793260140968</v>
      </c>
      <c r="CB158" s="233"/>
      <c r="CC158" s="232"/>
      <c r="CD158" s="232"/>
      <c r="CE158" s="260"/>
      <c r="CF158" s="240">
        <f t="shared" ref="CF158:CL158" si="681">CF157+CF155+CF156</f>
        <v>370.71399999999983</v>
      </c>
      <c r="CG158" s="239">
        <f t="shared" si="681"/>
        <v>1007.4259999999996</v>
      </c>
      <c r="CH158" s="239">
        <f t="shared" si="681"/>
        <v>718.1999999999997</v>
      </c>
      <c r="CI158" s="239">
        <f t="shared" si="681"/>
        <v>737.52199999999993</v>
      </c>
      <c r="CJ158" s="239">
        <f t="shared" si="681"/>
        <v>798.34400000000005</v>
      </c>
      <c r="CK158" s="239">
        <f t="shared" si="681"/>
        <v>741.16</v>
      </c>
      <c r="CL158" s="239">
        <f t="shared" si="681"/>
        <v>955.10700000000008</v>
      </c>
      <c r="CM158" s="239">
        <f t="shared" ref="CM158:CR158" si="682">CM157+CM155+CM156</f>
        <v>1149.9090000000001</v>
      </c>
      <c r="CN158" s="239">
        <f t="shared" si="682"/>
        <v>1305.8699999999999</v>
      </c>
      <c r="CO158" s="239">
        <f t="shared" si="682"/>
        <v>1648.518</v>
      </c>
      <c r="CP158" s="239">
        <f t="shared" si="682"/>
        <v>1687.4349999999999</v>
      </c>
      <c r="CQ158" s="239">
        <f t="shared" si="682"/>
        <v>1631.5089999999996</v>
      </c>
      <c r="CR158" s="239">
        <f t="shared" si="682"/>
        <v>1579.1487920038016</v>
      </c>
      <c r="CS158" s="241">
        <f>CS157+CS155+CS156</f>
        <v>1566.6264372572518</v>
      </c>
      <c r="CT158" s="22"/>
    </row>
    <row r="159" spans="1:104" ht="14.25" customHeight="1" outlineLevel="1">
      <c r="A159" s="8"/>
      <c r="B159" s="304"/>
      <c r="C159" s="305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  <c r="S159" s="232"/>
      <c r="T159" s="232"/>
      <c r="U159" s="232"/>
      <c r="V159" s="232"/>
      <c r="W159" s="232"/>
      <c r="X159" s="232"/>
      <c r="Y159" s="232"/>
      <c r="Z159" s="232"/>
      <c r="AA159" s="232"/>
      <c r="AB159" s="232"/>
      <c r="AC159" s="232"/>
      <c r="AD159" s="232"/>
      <c r="AE159" s="232"/>
      <c r="AF159" s="232"/>
      <c r="AG159" s="232"/>
      <c r="AH159" s="232"/>
      <c r="AI159" s="232"/>
      <c r="AJ159" s="232"/>
      <c r="AK159" s="232"/>
      <c r="AL159" s="232"/>
      <c r="AM159" s="232"/>
      <c r="AN159" s="232"/>
      <c r="AO159" s="232"/>
      <c r="AP159" s="232"/>
      <c r="AQ159" s="232"/>
      <c r="AR159" s="232"/>
      <c r="AS159" s="232"/>
      <c r="AT159" s="232"/>
      <c r="AU159" s="232"/>
      <c r="AV159" s="232"/>
      <c r="AW159" s="232"/>
      <c r="AX159" s="232"/>
      <c r="AY159" s="232"/>
      <c r="AZ159" s="232"/>
      <c r="BA159" s="232"/>
      <c r="BB159" s="232"/>
      <c r="BC159" s="232"/>
      <c r="BD159" s="232"/>
      <c r="BE159" s="232"/>
      <c r="BF159" s="232"/>
      <c r="BG159" s="232"/>
      <c r="BH159" s="232"/>
      <c r="BI159" s="232"/>
      <c r="BJ159" s="232"/>
      <c r="BK159" s="232"/>
      <c r="BL159" s="74"/>
      <c r="BM159" s="232"/>
      <c r="BN159" s="232"/>
      <c r="BO159" s="232"/>
      <c r="BP159" s="232"/>
      <c r="BQ159" s="232"/>
      <c r="BR159" s="232"/>
      <c r="BS159" s="232"/>
      <c r="BT159" s="232"/>
      <c r="BU159" s="232"/>
      <c r="BV159" s="232"/>
      <c r="BW159" s="232"/>
      <c r="BX159" s="232"/>
      <c r="BY159" s="232"/>
      <c r="BZ159" s="232"/>
      <c r="CA159" s="232"/>
      <c r="CB159" s="232"/>
      <c r="CC159" s="232"/>
      <c r="CD159" s="232"/>
      <c r="CE159" s="8"/>
      <c r="CF159" s="232"/>
      <c r="CG159" s="232"/>
      <c r="CH159" s="232"/>
      <c r="CI159" s="232"/>
      <c r="CJ159" s="232"/>
      <c r="CK159" s="232"/>
      <c r="CL159" s="232"/>
      <c r="CM159" s="232"/>
      <c r="CN159" s="232"/>
      <c r="CO159" s="232"/>
      <c r="CP159" s="232"/>
      <c r="CQ159" s="232"/>
      <c r="CR159" s="232"/>
      <c r="CS159" s="232"/>
      <c r="CT159" s="8"/>
    </row>
    <row r="160" spans="1:104" ht="14.25" customHeight="1" outlineLevel="1">
      <c r="A160" s="8"/>
      <c r="B160" s="79" t="s">
        <v>472</v>
      </c>
      <c r="C160" s="80"/>
      <c r="D160" s="183">
        <f>BS!D11</f>
        <v>202.8</v>
      </c>
      <c r="E160" s="181">
        <f>BS!E11</f>
        <v>148.46600000000001</v>
      </c>
      <c r="F160" s="181">
        <f>BS!F11</f>
        <v>243.31</v>
      </c>
      <c r="G160" s="184">
        <f>BS!G11</f>
        <v>422.33300000000003</v>
      </c>
      <c r="H160" s="183">
        <f>BS!H11</f>
        <v>466.81799999999998</v>
      </c>
      <c r="I160" s="181">
        <f>BS!I11</f>
        <v>370.714</v>
      </c>
      <c r="J160" s="181">
        <f>BS!J11</f>
        <v>383.06099999999998</v>
      </c>
      <c r="K160" s="184">
        <f>BS!K11</f>
        <v>577.06799999999998</v>
      </c>
      <c r="L160" s="183">
        <f>BS!L11</f>
        <v>813.673</v>
      </c>
      <c r="M160" s="181">
        <f>BS!M11</f>
        <v>1007.426</v>
      </c>
      <c r="N160" s="181">
        <f>BS!N11</f>
        <v>1189.0509999999999</v>
      </c>
      <c r="O160" s="184">
        <f>BS!O11</f>
        <v>1013.119</v>
      </c>
      <c r="P160" s="183">
        <f>BS!P11</f>
        <v>1051.194</v>
      </c>
      <c r="Q160" s="181">
        <f>BS!Q11</f>
        <v>718.2</v>
      </c>
      <c r="R160" s="181">
        <f>BS!R11</f>
        <v>692.82500000000005</v>
      </c>
      <c r="S160" s="184">
        <f>BS!S11</f>
        <v>709.34799999999996</v>
      </c>
      <c r="T160" s="183">
        <f>BS!T11</f>
        <v>836.029</v>
      </c>
      <c r="U160" s="181">
        <f>BS!U11</f>
        <v>737.52200000000005</v>
      </c>
      <c r="V160" s="181">
        <f>BS!V11</f>
        <v>758.43600000000004</v>
      </c>
      <c r="W160" s="184">
        <f>BS!W11</f>
        <v>826.51199999999994</v>
      </c>
      <c r="X160" s="183">
        <f>BS!X11</f>
        <v>718.28</v>
      </c>
      <c r="Y160" s="181">
        <f>BS!Y11</f>
        <v>798.34400000000005</v>
      </c>
      <c r="Z160" s="181">
        <f>BS!Z11</f>
        <v>868.923</v>
      </c>
      <c r="AA160" s="184">
        <f>BS!AA11</f>
        <v>962.54100000000005</v>
      </c>
      <c r="AB160" s="181">
        <f>BS!AB11</f>
        <v>710.04100000000005</v>
      </c>
      <c r="AC160" s="181">
        <f>BS!AC11</f>
        <v>741.16</v>
      </c>
      <c r="AD160" s="181">
        <f>BS!AD11</f>
        <v>860.55100000000004</v>
      </c>
      <c r="AE160" s="182">
        <f>BS!AE11</f>
        <v>881.06</v>
      </c>
      <c r="AF160" s="181">
        <f>BS!AF11</f>
        <v>849.85</v>
      </c>
      <c r="AG160" s="181">
        <f>BS!AG11</f>
        <v>955.10699999999997</v>
      </c>
      <c r="AH160" s="181">
        <f>BS!AH11</f>
        <v>1547.98</v>
      </c>
      <c r="AI160" s="182">
        <f>BS!AI11</f>
        <v>1174.9860000000001</v>
      </c>
      <c r="AJ160" s="181">
        <f>BS!AJ11</f>
        <v>1009.547</v>
      </c>
      <c r="AK160" s="181">
        <f>BS!AK11</f>
        <v>1149.9090000000001</v>
      </c>
      <c r="AL160" s="181">
        <v>1231.248</v>
      </c>
      <c r="AM160" s="182">
        <f>BS!AM11</f>
        <v>1322.472</v>
      </c>
      <c r="AN160" s="181">
        <f>BS!AN11</f>
        <v>1243.883</v>
      </c>
      <c r="AO160" s="181">
        <f>BS!AO11</f>
        <v>1305.8699999999999</v>
      </c>
      <c r="AP160" s="181">
        <f>BS!AP11</f>
        <v>1392.1969999999999</v>
      </c>
      <c r="AQ160" s="182">
        <f>BS!AQ11</f>
        <v>1550.9649999999999</v>
      </c>
      <c r="AR160" s="181">
        <f>BS!AR11</f>
        <v>1508.347</v>
      </c>
      <c r="AS160" s="181">
        <f>BS!AS11</f>
        <v>1648.518</v>
      </c>
      <c r="AT160" s="181">
        <f>BS!AT11</f>
        <v>1710.34</v>
      </c>
      <c r="AU160" s="182">
        <f>BS!AU11</f>
        <v>2105.2289999999998</v>
      </c>
      <c r="AV160" s="181">
        <f>BS!AV11</f>
        <v>2092.0729999999999</v>
      </c>
      <c r="AW160" s="181">
        <f>BS!AW11</f>
        <v>1687.4349999999999</v>
      </c>
      <c r="AX160" s="181">
        <f>BS!AX11</f>
        <v>1656.7270000000001</v>
      </c>
      <c r="AY160" s="182">
        <f>BS!AY11</f>
        <v>2246.1210000000001</v>
      </c>
      <c r="AZ160" s="181">
        <f>BS!AZ11</f>
        <v>1577.16</v>
      </c>
      <c r="BA160" s="181">
        <f>BS!BA11</f>
        <v>1631.51</v>
      </c>
      <c r="BB160" s="181">
        <f>BS!BB11</f>
        <v>1629.5930000000001</v>
      </c>
      <c r="BC160" s="182">
        <f>BS!BC11</f>
        <v>1591.7031048845136</v>
      </c>
      <c r="BD160" s="181">
        <f>BS!BD11</f>
        <v>1595.9487913989303</v>
      </c>
      <c r="BE160" s="181">
        <f>BS!BE11</f>
        <v>1579.1497920038016</v>
      </c>
      <c r="BF160" s="181">
        <f>BS!BF11</f>
        <v>1554.8369545205655</v>
      </c>
      <c r="BG160" s="182">
        <f>BS!BG11</f>
        <v>1557.0490596869327</v>
      </c>
      <c r="BH160" s="181">
        <f>BS!BH11</f>
        <v>1565.6606036562246</v>
      </c>
      <c r="BI160" s="181">
        <f>BS!BI11</f>
        <v>1566.627437257252</v>
      </c>
      <c r="BJ160" s="181">
        <f>BS!BJ11</f>
        <v>1560.6585629371862</v>
      </c>
      <c r="BK160" s="182">
        <f>BS!BK11</f>
        <v>1571.4803260140973</v>
      </c>
      <c r="BL160" s="185"/>
      <c r="BM160" s="181">
        <f>BS!BM11</f>
        <v>422.33300000000003</v>
      </c>
      <c r="BN160" s="181">
        <f>BS!BN11</f>
        <v>577.06799999999998</v>
      </c>
      <c r="BO160" s="181">
        <f>BS!BO11</f>
        <v>1013.119</v>
      </c>
      <c r="BP160" s="181">
        <f>BS!BP11</f>
        <v>709.34799999999996</v>
      </c>
      <c r="BQ160" s="181">
        <f>BS!BQ11</f>
        <v>826.51199999999994</v>
      </c>
      <c r="BR160" s="181">
        <f>BS!BR11</f>
        <v>962.54100000000005</v>
      </c>
      <c r="BS160" s="181">
        <f>BS!BS11</f>
        <v>881.06</v>
      </c>
      <c r="BT160" s="181">
        <f>BS!BT11</f>
        <v>1174.9860000000001</v>
      </c>
      <c r="BU160" s="181">
        <f>BS!BU11</f>
        <v>1322.472</v>
      </c>
      <c r="BV160" s="181">
        <f>BS!BV11</f>
        <v>1550.9649999999999</v>
      </c>
      <c r="BW160" s="181">
        <f>BS!BW11</f>
        <v>2105.2289999999998</v>
      </c>
      <c r="BX160" s="181">
        <f>BS!BX11</f>
        <v>2246.1210000000001</v>
      </c>
      <c r="BY160" s="181">
        <f>BS!BY11</f>
        <v>1591.7031048845136</v>
      </c>
      <c r="BZ160" s="181">
        <f>BS!BZ11</f>
        <v>1557.0490596869327</v>
      </c>
      <c r="CA160" s="184">
        <f>BS!CA11</f>
        <v>1571.4803260140973</v>
      </c>
      <c r="CB160" s="278"/>
      <c r="CC160" s="277"/>
      <c r="CD160" s="277"/>
      <c r="CE160" s="260"/>
      <c r="CF160" s="183">
        <f>BS!CF11</f>
        <v>370.714</v>
      </c>
      <c r="CG160" s="181">
        <f>BS!CG11</f>
        <v>1007.426</v>
      </c>
      <c r="CH160" s="181">
        <f>BS!CH11</f>
        <v>718.2</v>
      </c>
      <c r="CI160" s="181">
        <f>BS!CI11</f>
        <v>737.52200000000005</v>
      </c>
      <c r="CJ160" s="181">
        <f>BS!CJ11</f>
        <v>798.34400000000005</v>
      </c>
      <c r="CK160" s="181">
        <f>BS!CK11</f>
        <v>741.16</v>
      </c>
      <c r="CL160" s="181">
        <f>BS!CL11</f>
        <v>955.10699999999997</v>
      </c>
      <c r="CM160" s="181">
        <f>BS!CM11</f>
        <v>1149.9090000000001</v>
      </c>
      <c r="CN160" s="181">
        <f>BS!CN11</f>
        <v>1305.8699999999999</v>
      </c>
      <c r="CO160" s="181">
        <f>BS!CO11</f>
        <v>1648.518</v>
      </c>
      <c r="CP160" s="181">
        <f>BS!CP11</f>
        <v>1687.4349999999999</v>
      </c>
      <c r="CQ160" s="181">
        <f>BS!CQ11</f>
        <v>1631.51</v>
      </c>
      <c r="CR160" s="181">
        <f>BS!CR11</f>
        <v>1579.1497920038016</v>
      </c>
      <c r="CS160" s="184">
        <f>BS!CS11</f>
        <v>1566.627437257252</v>
      </c>
      <c r="CT160" s="22"/>
    </row>
    <row r="161" spans="1:98" ht="14.25" customHeight="1" outlineLevel="1">
      <c r="A161" s="8"/>
      <c r="B161" s="152" t="s">
        <v>454</v>
      </c>
      <c r="C161" s="153"/>
      <c r="D161" s="156">
        <f t="shared" ref="D161:AD161" si="683">IF(ROUND(D160,4)=ROUND(D158,4),0,(D160-D158))</f>
        <v>0</v>
      </c>
      <c r="E161" s="154">
        <f t="shared" si="683"/>
        <v>0</v>
      </c>
      <c r="F161" s="186">
        <f t="shared" si="683"/>
        <v>0</v>
      </c>
      <c r="G161" s="155">
        <f t="shared" si="683"/>
        <v>0</v>
      </c>
      <c r="H161" s="156">
        <f t="shared" si="683"/>
        <v>0</v>
      </c>
      <c r="I161" s="154">
        <f t="shared" si="683"/>
        <v>0</v>
      </c>
      <c r="J161" s="186">
        <f t="shared" si="683"/>
        <v>0</v>
      </c>
      <c r="K161" s="155">
        <f t="shared" si="683"/>
        <v>0</v>
      </c>
      <c r="L161" s="156">
        <f t="shared" si="683"/>
        <v>0</v>
      </c>
      <c r="M161" s="154">
        <f t="shared" si="683"/>
        <v>0</v>
      </c>
      <c r="N161" s="186">
        <f t="shared" si="683"/>
        <v>0</v>
      </c>
      <c r="O161" s="155">
        <f t="shared" si="683"/>
        <v>0</v>
      </c>
      <c r="P161" s="156">
        <f t="shared" si="683"/>
        <v>0</v>
      </c>
      <c r="Q161" s="154">
        <f t="shared" si="683"/>
        <v>0</v>
      </c>
      <c r="R161" s="186">
        <f t="shared" si="683"/>
        <v>0</v>
      </c>
      <c r="S161" s="155">
        <f t="shared" si="683"/>
        <v>0</v>
      </c>
      <c r="T161" s="156">
        <f t="shared" si="683"/>
        <v>0</v>
      </c>
      <c r="U161" s="154">
        <f t="shared" si="683"/>
        <v>0</v>
      </c>
      <c r="V161" s="186">
        <f t="shared" si="683"/>
        <v>0</v>
      </c>
      <c r="W161" s="155">
        <f t="shared" si="683"/>
        <v>0</v>
      </c>
      <c r="X161" s="156">
        <f t="shared" si="683"/>
        <v>0</v>
      </c>
      <c r="Y161" s="154">
        <f t="shared" si="683"/>
        <v>0</v>
      </c>
      <c r="Z161" s="186">
        <f t="shared" si="683"/>
        <v>0</v>
      </c>
      <c r="AA161" s="155">
        <f t="shared" si="683"/>
        <v>0</v>
      </c>
      <c r="AB161" s="156">
        <f t="shared" si="683"/>
        <v>0</v>
      </c>
      <c r="AC161" s="154">
        <f t="shared" si="683"/>
        <v>0</v>
      </c>
      <c r="AD161" s="186">
        <f t="shared" si="683"/>
        <v>0</v>
      </c>
      <c r="AE161" s="155">
        <f t="shared" ref="AE161:AR161" si="684">IF(ROUND(AE160,4)=ROUND(AE158,4),0,(AE160-AE158))</f>
        <v>0</v>
      </c>
      <c r="AF161" s="156">
        <f t="shared" si="684"/>
        <v>0</v>
      </c>
      <c r="AG161" s="154">
        <f t="shared" si="684"/>
        <v>0</v>
      </c>
      <c r="AH161" s="154">
        <f t="shared" si="684"/>
        <v>0</v>
      </c>
      <c r="AI161" s="155">
        <f t="shared" si="684"/>
        <v>0</v>
      </c>
      <c r="AJ161" s="156">
        <f t="shared" si="684"/>
        <v>0</v>
      </c>
      <c r="AK161" s="154">
        <f t="shared" si="684"/>
        <v>0</v>
      </c>
      <c r="AL161" s="154">
        <f t="shared" si="684"/>
        <v>0</v>
      </c>
      <c r="AM161" s="155">
        <f>IF(ROUND(AM160,4)=ROUND(AM158,4),0,(AM160-AM158))</f>
        <v>0</v>
      </c>
      <c r="AN161" s="156">
        <f>IF(ROUND(AN160,4)=ROUND(AN158,4),0,(AN160-AN158))</f>
        <v>0</v>
      </c>
      <c r="AO161" s="154">
        <f>IF(ROUND(AO160,4)=ROUND(AO158,4),0,(AO160-AO158))</f>
        <v>0</v>
      </c>
      <c r="AP161" s="154">
        <f t="shared" si="684"/>
        <v>0</v>
      </c>
      <c r="AQ161" s="1352">
        <f>IF(ROUND(AQ160,4)=ROUND(AQ158,4),0,(AQ160-AQ158))</f>
        <v>0</v>
      </c>
      <c r="AR161" s="156">
        <f t="shared" si="684"/>
        <v>0</v>
      </c>
      <c r="AS161" s="154">
        <f t="shared" ref="AS161:AX161" si="685">IF(ROUND(AS160,4)=ROUND(AS158,4),0,(AS160-AS158))</f>
        <v>0</v>
      </c>
      <c r="AT161" s="154">
        <f t="shared" si="685"/>
        <v>0</v>
      </c>
      <c r="AU161" s="1352">
        <f t="shared" si="685"/>
        <v>0</v>
      </c>
      <c r="AV161" s="156">
        <f t="shared" si="685"/>
        <v>0</v>
      </c>
      <c r="AW161" s="154">
        <f t="shared" si="685"/>
        <v>0</v>
      </c>
      <c r="AX161" s="154">
        <f t="shared" si="685"/>
        <v>0</v>
      </c>
      <c r="AY161" s="1352">
        <f>IF(ROUND(AY160,4)=ROUND(AY158,4),0,(AY160-AY158))</f>
        <v>0</v>
      </c>
      <c r="AZ161" s="156">
        <f>IF(ROUND(AZ160,4)=ROUND(AZ158,4),0,(AZ160-AZ158))</f>
        <v>0</v>
      </c>
      <c r="BA161" s="154">
        <f t="shared" ref="BA161:BG161" si="686">IF(ROUND(BA160,4)=ROUND(BA158,4),0,(BA160-BA158))</f>
        <v>0</v>
      </c>
      <c r="BB161" s="154">
        <f t="shared" si="686"/>
        <v>1.0000000004311005E-3</v>
      </c>
      <c r="BC161" s="155">
        <f t="shared" si="686"/>
        <v>1.0000000004311005E-3</v>
      </c>
      <c r="BD161" s="156">
        <f t="shared" si="686"/>
        <v>1.0000000004311005E-3</v>
      </c>
      <c r="BE161" s="154">
        <f t="shared" si="686"/>
        <v>1.0000000004311005E-3</v>
      </c>
      <c r="BF161" s="154">
        <f t="shared" si="686"/>
        <v>1.0000000004311005E-3</v>
      </c>
      <c r="BG161" s="155">
        <f t="shared" si="686"/>
        <v>1.0000000006584742E-3</v>
      </c>
      <c r="BH161" s="156">
        <f>IF(ROUND(BH160,4)=ROUND(BH158,4),0,(BH160-BH158))</f>
        <v>1.0000000006584742E-3</v>
      </c>
      <c r="BI161" s="154">
        <f>IF(ROUND(BI160,4)=ROUND(BI158,4),0,(BI160-BI158))</f>
        <v>1.0000000006584742E-3</v>
      </c>
      <c r="BJ161" s="154">
        <f>IF(ROUND(BJ160,4)=ROUND(BJ158,4),0,(BJ160-BJ158))</f>
        <v>1.0000000004311005E-3</v>
      </c>
      <c r="BK161" s="155">
        <f>IF(ROUND(BK160,4)=ROUND(BK158,4),0,(BK160-BK158))</f>
        <v>1.0000000004311005E-3</v>
      </c>
      <c r="BL161" s="185"/>
      <c r="BM161" s="154">
        <f t="shared" ref="BM161:BS161" si="687">IF(ROUND(BM160,4)=ROUND(BM158,4),0,(BM160-BM158))</f>
        <v>0</v>
      </c>
      <c r="BN161" s="154">
        <f t="shared" si="687"/>
        <v>0</v>
      </c>
      <c r="BO161" s="154">
        <f t="shared" si="687"/>
        <v>0</v>
      </c>
      <c r="BP161" s="154">
        <f t="shared" si="687"/>
        <v>0</v>
      </c>
      <c r="BQ161" s="154">
        <f t="shared" si="687"/>
        <v>0</v>
      </c>
      <c r="BR161" s="154">
        <f t="shared" si="687"/>
        <v>0</v>
      </c>
      <c r="BS161" s="154">
        <f t="shared" si="687"/>
        <v>0</v>
      </c>
      <c r="BT161" s="154">
        <f t="shared" ref="BT161:CA161" si="688">IF(ROUND(BT160,4)=ROUND(BT158,4),0,(BT160-BT158))</f>
        <v>0</v>
      </c>
      <c r="BU161" s="154">
        <f t="shared" si="688"/>
        <v>0</v>
      </c>
      <c r="BV161" s="154">
        <f t="shared" si="688"/>
        <v>0</v>
      </c>
      <c r="BW161" s="154">
        <f t="shared" si="688"/>
        <v>0</v>
      </c>
      <c r="BX161" s="154">
        <f t="shared" si="688"/>
        <v>0</v>
      </c>
      <c r="BY161" s="154">
        <f t="shared" si="688"/>
        <v>1.0000000004311005E-3</v>
      </c>
      <c r="BZ161" s="154">
        <f t="shared" si="688"/>
        <v>1.0000000006584742E-3</v>
      </c>
      <c r="CA161" s="155">
        <f t="shared" si="688"/>
        <v>1.0000000004311005E-3</v>
      </c>
      <c r="CB161" s="1481"/>
      <c r="CC161" s="1433"/>
      <c r="CD161" s="1433"/>
      <c r="CE161" s="260"/>
      <c r="CF161" s="156">
        <f t="shared" ref="CF161:CL161" si="689">IF(ROUND(CF160,4)=ROUND(CF158,4),0,(CF160-CF158))</f>
        <v>0</v>
      </c>
      <c r="CG161" s="154">
        <f t="shared" si="689"/>
        <v>0</v>
      </c>
      <c r="CH161" s="154">
        <f t="shared" si="689"/>
        <v>0</v>
      </c>
      <c r="CI161" s="154">
        <f t="shared" si="689"/>
        <v>0</v>
      </c>
      <c r="CJ161" s="154">
        <f t="shared" si="689"/>
        <v>0</v>
      </c>
      <c r="CK161" s="154">
        <f t="shared" si="689"/>
        <v>0</v>
      </c>
      <c r="CL161" s="154">
        <f t="shared" si="689"/>
        <v>0</v>
      </c>
      <c r="CM161" s="154">
        <f t="shared" ref="CM161:CR161" si="690">IF(ROUND(CM160,4)=ROUND(CM158,4),0,(CM160-CM158))</f>
        <v>0</v>
      </c>
      <c r="CN161" s="154">
        <f t="shared" si="690"/>
        <v>0</v>
      </c>
      <c r="CO161" s="154">
        <f t="shared" si="690"/>
        <v>0</v>
      </c>
      <c r="CP161" s="154">
        <f t="shared" si="690"/>
        <v>0</v>
      </c>
      <c r="CQ161" s="154">
        <f t="shared" si="690"/>
        <v>1.0000000004311005E-3</v>
      </c>
      <c r="CR161" s="154">
        <f t="shared" si="690"/>
        <v>9.9999999997635314E-4</v>
      </c>
      <c r="CS161" s="155">
        <f>IF(ROUND(CS160,4)=ROUND(CS158,4),0,(CS160-CS158))</f>
        <v>1.0000000002037268E-3</v>
      </c>
      <c r="CT161" s="22"/>
    </row>
    <row r="162" spans="1:98" ht="14.25" customHeight="1" outlineLevel="1">
      <c r="A162" s="8"/>
      <c r="B162" s="248"/>
      <c r="C162" s="248"/>
      <c r="D162" s="249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49"/>
      <c r="AC162" s="249"/>
      <c r="AD162" s="249"/>
      <c r="AE162" s="249"/>
      <c r="AF162" s="249"/>
      <c r="AG162" s="249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  <c r="AR162" s="249"/>
      <c r="AS162" s="249"/>
      <c r="AT162" s="249"/>
      <c r="AU162" s="249"/>
      <c r="AV162" s="249"/>
      <c r="AW162" s="249"/>
      <c r="AX162" s="249"/>
      <c r="AY162" s="249"/>
      <c r="AZ162" s="249"/>
      <c r="BA162" s="249"/>
      <c r="BB162" s="249"/>
      <c r="BC162" s="249"/>
      <c r="BD162" s="249"/>
      <c r="BE162" s="249"/>
      <c r="BF162" s="249"/>
      <c r="BG162" s="249"/>
      <c r="BH162" s="249"/>
      <c r="BI162" s="249"/>
      <c r="BJ162" s="249"/>
      <c r="BK162" s="249"/>
      <c r="BL162" s="74"/>
      <c r="BM162" s="249"/>
      <c r="BN162" s="249"/>
      <c r="BO162" s="249"/>
      <c r="BP162" s="249"/>
      <c r="BQ162" s="249"/>
      <c r="BR162" s="249"/>
      <c r="BS162" s="249"/>
      <c r="BT162" s="249"/>
      <c r="BU162" s="249"/>
      <c r="BV162" s="249"/>
      <c r="BW162" s="249"/>
      <c r="BX162" s="249"/>
      <c r="BY162" s="249"/>
      <c r="BZ162" s="249"/>
      <c r="CA162" s="249"/>
      <c r="CB162" s="249"/>
      <c r="CC162" s="249"/>
      <c r="CD162" s="249"/>
      <c r="CE162" s="8"/>
      <c r="CF162" s="249"/>
      <c r="CG162" s="249"/>
      <c r="CH162" s="249"/>
      <c r="CI162" s="249"/>
      <c r="CJ162" s="249"/>
      <c r="CK162" s="249"/>
      <c r="CL162" s="249"/>
      <c r="CM162" s="249"/>
      <c r="CN162" s="249"/>
      <c r="CO162" s="249"/>
      <c r="CP162" s="249"/>
      <c r="CQ162" s="249"/>
      <c r="CR162" s="249"/>
      <c r="CS162" s="249"/>
      <c r="CT162" s="8"/>
    </row>
    <row r="163" spans="1:98" ht="14.25" customHeight="1" outlineLevel="1">
      <c r="A163" s="8"/>
      <c r="B163" s="74"/>
      <c r="C163" s="14"/>
      <c r="D163" s="250"/>
      <c r="E163" s="250"/>
      <c r="F163" s="250"/>
      <c r="G163" s="250"/>
      <c r="H163" s="250"/>
      <c r="I163" s="250"/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250"/>
      <c r="AA163" s="250"/>
      <c r="AB163" s="250"/>
      <c r="AC163" s="250"/>
      <c r="AD163" s="250"/>
      <c r="AE163" s="250"/>
      <c r="AF163" s="250"/>
      <c r="AG163" s="250"/>
      <c r="AH163" s="250"/>
      <c r="AI163" s="250"/>
      <c r="AJ163" s="250"/>
      <c r="AK163" s="250"/>
      <c r="AL163" s="250"/>
      <c r="AM163" s="250"/>
      <c r="AN163" s="250"/>
      <c r="AO163" s="250"/>
      <c r="AP163" s="250"/>
      <c r="AQ163" s="250"/>
      <c r="AR163" s="250"/>
      <c r="AS163" s="250"/>
      <c r="AT163" s="250"/>
      <c r="AU163" s="250"/>
      <c r="AV163" s="250"/>
      <c r="AW163" s="250"/>
      <c r="AX163" s="250"/>
      <c r="AY163" s="343"/>
      <c r="AZ163" s="250"/>
      <c r="BA163" s="250"/>
      <c r="BB163" s="250"/>
      <c r="BC163" s="250"/>
      <c r="BD163" s="250"/>
      <c r="BE163" s="250"/>
      <c r="BF163" s="250"/>
      <c r="BG163" s="250"/>
      <c r="BH163" s="250"/>
      <c r="BI163" s="250"/>
      <c r="BJ163" s="250"/>
      <c r="BK163" s="250"/>
      <c r="BL163" s="8"/>
      <c r="BM163" s="250"/>
      <c r="BN163" s="250"/>
      <c r="BO163" s="250"/>
      <c r="BP163" s="250"/>
      <c r="BQ163" s="250"/>
      <c r="BR163" s="250"/>
      <c r="BS163" s="250"/>
      <c r="BT163" s="250"/>
      <c r="BU163" s="250"/>
      <c r="BV163" s="250"/>
      <c r="BW163" s="250"/>
      <c r="BX163" s="250"/>
      <c r="BY163" s="250"/>
      <c r="BZ163" s="250"/>
      <c r="CA163" s="250"/>
      <c r="CB163" s="124"/>
      <c r="CC163" s="124"/>
      <c r="CD163" s="124"/>
      <c r="CE163" s="8"/>
      <c r="CF163" s="250"/>
      <c r="CG163" s="250"/>
      <c r="CH163" s="250"/>
      <c r="CI163" s="250"/>
      <c r="CJ163" s="250"/>
      <c r="CK163" s="250"/>
      <c r="CL163" s="250"/>
      <c r="CM163" s="250"/>
      <c r="CN163" s="250"/>
      <c r="CO163" s="250"/>
      <c r="CP163" s="250"/>
      <c r="CQ163" s="250"/>
      <c r="CR163" s="250"/>
      <c r="CS163" s="250"/>
      <c r="CT163" s="8"/>
    </row>
    <row r="164" spans="1:98" ht="14.25" customHeight="1" outlineLevel="1">
      <c r="A164" s="8"/>
      <c r="B164" s="74"/>
      <c r="C164" s="14"/>
      <c r="D164" s="250"/>
      <c r="E164" s="250"/>
      <c r="F164" s="250"/>
      <c r="G164" s="250"/>
      <c r="H164" s="250"/>
      <c r="I164" s="250"/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  <c r="U164" s="250"/>
      <c r="V164" s="250"/>
      <c r="W164" s="250"/>
      <c r="X164" s="250"/>
      <c r="Y164" s="250"/>
      <c r="Z164" s="250"/>
      <c r="AA164" s="250"/>
      <c r="AB164" s="250"/>
      <c r="AC164" s="250"/>
      <c r="AD164" s="250"/>
      <c r="AE164" s="250"/>
      <c r="AF164" s="250"/>
      <c r="AG164" s="250"/>
      <c r="AH164" s="250"/>
      <c r="AI164" s="250"/>
      <c r="AJ164" s="250"/>
      <c r="AK164" s="250"/>
      <c r="AL164" s="250"/>
      <c r="AM164" s="250"/>
      <c r="AN164" s="250"/>
      <c r="AO164" s="250"/>
      <c r="AP164" s="250"/>
      <c r="AQ164" s="250"/>
      <c r="AR164" s="250"/>
      <c r="AS164" s="250"/>
      <c r="AT164" s="250"/>
      <c r="AU164" s="250"/>
      <c r="AV164" s="250"/>
      <c r="AW164" s="250"/>
      <c r="AX164" s="250"/>
      <c r="AY164" s="250"/>
      <c r="AZ164" s="250"/>
      <c r="BA164" s="250"/>
      <c r="BB164" s="250"/>
      <c r="BC164" s="250"/>
      <c r="BD164" s="250"/>
      <c r="BE164" s="250"/>
      <c r="BF164" s="250"/>
      <c r="BG164" s="250"/>
      <c r="BH164" s="250"/>
      <c r="BI164" s="250"/>
      <c r="BJ164" s="250"/>
      <c r="BK164" s="250"/>
      <c r="BL164" s="8"/>
      <c r="BM164" s="250"/>
      <c r="BN164" s="250"/>
      <c r="BO164" s="250"/>
      <c r="BP164" s="250"/>
      <c r="BQ164" s="250"/>
      <c r="BR164" s="250"/>
      <c r="BS164" s="250"/>
      <c r="BT164" s="250"/>
      <c r="BU164" s="250"/>
      <c r="BV164" s="250"/>
      <c r="BW164" s="250"/>
      <c r="BX164" s="250"/>
      <c r="BY164" s="250"/>
      <c r="BZ164" s="250"/>
      <c r="CA164" s="250"/>
      <c r="CB164" s="124"/>
      <c r="CC164" s="124"/>
      <c r="CD164" s="124"/>
      <c r="CE164" s="8"/>
      <c r="CF164" s="250"/>
      <c r="CG164" s="250"/>
      <c r="CH164" s="250"/>
      <c r="CI164" s="250"/>
      <c r="CJ164" s="250"/>
      <c r="CK164" s="250"/>
      <c r="CL164" s="250"/>
      <c r="CM164" s="250"/>
      <c r="CN164" s="250"/>
      <c r="CO164" s="250"/>
      <c r="CP164" s="250"/>
      <c r="CQ164" s="250"/>
      <c r="CR164" s="250"/>
      <c r="CS164" s="250"/>
      <c r="CT164" s="8"/>
    </row>
    <row r="165" spans="1:98" ht="14.25" customHeight="1" outlineLevel="1">
      <c r="A165" s="1"/>
      <c r="B165" s="5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302"/>
      <c r="BN165" s="302"/>
      <c r="BO165" s="302"/>
      <c r="BP165" s="302"/>
      <c r="BQ165" s="302"/>
      <c r="BR165" s="302"/>
      <c r="BS165" s="302"/>
      <c r="BT165" s="302"/>
      <c r="BU165" s="302"/>
      <c r="BV165" s="302"/>
      <c r="BW165" s="302"/>
      <c r="BX165" s="302"/>
      <c r="BY165" s="302"/>
      <c r="BZ165" s="302"/>
      <c r="CA165" s="302"/>
      <c r="CB165" s="1444"/>
      <c r="CC165" s="1444"/>
      <c r="CD165" s="1444"/>
      <c r="CE165" s="5"/>
      <c r="CF165" s="302"/>
      <c r="CG165" s="302"/>
      <c r="CH165" s="302"/>
      <c r="CI165" s="302"/>
      <c r="CJ165" s="302"/>
      <c r="CK165" s="302"/>
      <c r="CL165" s="302"/>
      <c r="CM165" s="302"/>
      <c r="CN165" s="302"/>
      <c r="CO165" s="302"/>
      <c r="CP165" s="302"/>
      <c r="CQ165" s="302"/>
      <c r="CR165" s="302"/>
      <c r="CS165" s="302"/>
      <c r="CT165" s="5"/>
    </row>
    <row r="166" spans="1:98" ht="14.25" customHeight="1" outlineLevel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311"/>
      <c r="CC166" s="311"/>
      <c r="CD166" s="31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</row>
    <row r="167" spans="1:98" ht="14.25" customHeight="1" outlineLevel="1">
      <c r="CB167"/>
      <c r="CC167"/>
      <c r="CD167"/>
    </row>
    <row r="168" spans="1:98" ht="14.25" customHeight="1" outlineLevel="1">
      <c r="A168" s="1"/>
      <c r="B168" s="205" t="s">
        <v>416</v>
      </c>
      <c r="C168" s="205"/>
      <c r="D168" s="307" t="e">
        <f>IS!D182</f>
        <v>#NAME?</v>
      </c>
      <c r="E168" s="307" t="e">
        <f>IS!E182</f>
        <v>#NAME?</v>
      </c>
      <c r="F168" s="307" t="e">
        <f>IS!F182</f>
        <v>#NAME?</v>
      </c>
      <c r="G168" s="307" t="e">
        <f>IS!G182</f>
        <v>#NAME?</v>
      </c>
      <c r="H168" s="307" t="e">
        <f>IS!H182</f>
        <v>#NAME?</v>
      </c>
      <c r="I168" s="307" t="e">
        <f>IS!I182</f>
        <v>#NAME?</v>
      </c>
      <c r="J168" s="307" t="e">
        <f>IS!J182</f>
        <v>#NAME?</v>
      </c>
      <c r="K168" s="307" t="e">
        <f>IS!K182</f>
        <v>#NAME?</v>
      </c>
      <c r="L168" s="307" t="e">
        <f>IS!L182</f>
        <v>#NAME?</v>
      </c>
      <c r="M168" s="307" t="e">
        <f>IS!M182</f>
        <v>#NAME?</v>
      </c>
      <c r="N168" s="307" t="e">
        <f>IS!N182</f>
        <v>#NAME?</v>
      </c>
      <c r="O168" s="307" t="e">
        <f>IS!O182</f>
        <v>#NAME?</v>
      </c>
      <c r="P168" s="307" t="e">
        <f>IS!P182</f>
        <v>#NAME?</v>
      </c>
      <c r="Q168" s="307" t="e">
        <f>IS!Q182</f>
        <v>#NAME?</v>
      </c>
      <c r="R168" s="307" t="e">
        <f>IS!R182</f>
        <v>#NAME?</v>
      </c>
      <c r="S168" s="307" t="e">
        <f>IS!S182</f>
        <v>#NAME?</v>
      </c>
      <c r="T168" s="307" t="e">
        <f>IS!T182</f>
        <v>#NAME?</v>
      </c>
      <c r="U168" s="307" t="e">
        <f>IS!U182</f>
        <v>#NAME?</v>
      </c>
      <c r="V168" s="307" t="e">
        <f>IS!V182</f>
        <v>#NAME?</v>
      </c>
      <c r="W168" s="307" t="e">
        <f>IS!W182</f>
        <v>#NAME?</v>
      </c>
      <c r="X168" s="307" t="e">
        <f>IS!X182</f>
        <v>#NAME?</v>
      </c>
      <c r="Y168" s="307" t="e">
        <f>IS!Y182</f>
        <v>#NAME?</v>
      </c>
      <c r="Z168" s="307" t="e">
        <f>IS!Z182</f>
        <v>#NAME?</v>
      </c>
      <c r="AA168" s="307" t="e">
        <f>IS!AA182</f>
        <v>#NAME?</v>
      </c>
      <c r="AB168" s="307" t="e">
        <f>IS!AB182</f>
        <v>#NAME?</v>
      </c>
      <c r="AC168" s="307" t="e">
        <f>IS!AC182</f>
        <v>#NAME?</v>
      </c>
      <c r="AD168" s="307" t="e">
        <f>IS!AD182</f>
        <v>#NAME?</v>
      </c>
      <c r="AE168" s="307" t="e">
        <f>IS!AE182</f>
        <v>#NAME?</v>
      </c>
      <c r="AF168" s="307" t="e">
        <f>IS!AF182</f>
        <v>#NAME?</v>
      </c>
      <c r="AG168" s="307" t="e">
        <f>IS!AG182</f>
        <v>#NAME?</v>
      </c>
      <c r="AH168" s="307" t="e">
        <f>IS!AH182</f>
        <v>#NAME?</v>
      </c>
      <c r="AI168" s="307" t="e">
        <f>IS!AI182</f>
        <v>#NAME?</v>
      </c>
      <c r="AJ168" s="307" t="e">
        <f>IS!AJ182</f>
        <v>#NAME?</v>
      </c>
      <c r="AK168" s="307" t="e">
        <f>IS!AK182</f>
        <v>#NAME?</v>
      </c>
      <c r="AL168" s="307" t="e">
        <f>IS!AL182</f>
        <v>#NAME?</v>
      </c>
      <c r="AM168" s="307" t="e">
        <f>IS!AM182</f>
        <v>#NAME?</v>
      </c>
      <c r="AN168" s="307" t="e">
        <f>IS!AN182</f>
        <v>#NAME?</v>
      </c>
      <c r="AO168" s="307" t="e">
        <f>IS!AO182</f>
        <v>#NAME?</v>
      </c>
      <c r="AP168" s="307" t="e">
        <f>IS!AP182</f>
        <v>#NAME?</v>
      </c>
      <c r="AQ168" s="307" t="e">
        <f>IS!AQ182</f>
        <v>#NAME?</v>
      </c>
      <c r="AR168" s="307" t="e">
        <f>IS!AR182</f>
        <v>#NAME?</v>
      </c>
      <c r="AS168" s="307" t="e">
        <f>IS!AS182</f>
        <v>#NAME?</v>
      </c>
      <c r="AT168" s="307" t="e">
        <f>IS!AT182</f>
        <v>#NAME?</v>
      </c>
      <c r="AU168" s="307" t="e">
        <f>IS!AU182</f>
        <v>#NAME?</v>
      </c>
      <c r="AV168" s="307" t="e">
        <f>IS!AV182</f>
        <v>#NAME?</v>
      </c>
      <c r="AW168" s="307" t="e">
        <f>IS!AW182</f>
        <v>#NAME?</v>
      </c>
      <c r="AX168" s="307" t="e">
        <f>IS!AX182</f>
        <v>#NAME?</v>
      </c>
      <c r="AY168" s="307" t="e">
        <f>IS!AY182</f>
        <v>#NAME?</v>
      </c>
      <c r="AZ168" s="307" t="e">
        <f>IS!AZ182</f>
        <v>#NAME?</v>
      </c>
      <c r="BA168" s="307" t="e">
        <f>IS!BA182</f>
        <v>#NAME?</v>
      </c>
      <c r="BB168" s="307" t="e">
        <f>IS!BB182</f>
        <v>#NAME?</v>
      </c>
      <c r="BC168" s="307" t="e">
        <f>IS!BC182</f>
        <v>#NAME?</v>
      </c>
      <c r="BD168" s="307" t="e">
        <f>IS!BD182</f>
        <v>#NAME?</v>
      </c>
      <c r="BE168" s="307" t="e">
        <f>IS!BE182</f>
        <v>#NAME?</v>
      </c>
      <c r="BF168" s="307" t="e">
        <f>IS!BF182</f>
        <v>#NAME?</v>
      </c>
      <c r="BG168" s="307" t="e">
        <f>IS!BG182</f>
        <v>#NAME?</v>
      </c>
      <c r="BH168" s="307" t="e">
        <f>IS!BH182</f>
        <v>#NAME?</v>
      </c>
      <c r="BI168" s="307" t="e">
        <f>IS!BI182</f>
        <v>#NAME?</v>
      </c>
      <c r="BJ168" s="307" t="e">
        <f>IS!BJ182</f>
        <v>#NAME?</v>
      </c>
      <c r="BK168" s="307" t="e">
        <f>IS!BK182</f>
        <v>#NAME?</v>
      </c>
      <c r="BL168" s="1"/>
      <c r="BM168" s="1" t="e">
        <f>IS!BM182</f>
        <v>#NAME?</v>
      </c>
      <c r="BN168" s="1" t="e">
        <f>IS!BN182</f>
        <v>#NAME?</v>
      </c>
      <c r="BO168" s="1" t="e">
        <f>IS!BO182</f>
        <v>#NAME?</v>
      </c>
      <c r="BP168" s="1" t="e">
        <f>IS!BP182</f>
        <v>#NAME?</v>
      </c>
      <c r="BQ168" s="1" t="e">
        <f>IS!BQ182</f>
        <v>#NAME?</v>
      </c>
      <c r="BR168" s="1" t="e">
        <f>IS!BR182</f>
        <v>#NAME?</v>
      </c>
      <c r="BS168" s="1" t="e">
        <f>IS!BS182</f>
        <v>#NAME?</v>
      </c>
      <c r="BT168" s="1" t="e">
        <f>IS!BT182</f>
        <v>#NAME?</v>
      </c>
      <c r="BU168" s="1" t="e">
        <f>IS!BU182</f>
        <v>#NAME?</v>
      </c>
      <c r="BV168" s="1" t="e">
        <f>IS!BV182</f>
        <v>#NAME?</v>
      </c>
      <c r="BW168" s="1" t="e">
        <f>IS!BW182</f>
        <v>#NAME?</v>
      </c>
      <c r="BX168" s="1" t="e">
        <f>IS!BX182</f>
        <v>#NAME?</v>
      </c>
      <c r="BY168" s="1" t="e">
        <f>IS!BY182</f>
        <v>#NAME?</v>
      </c>
      <c r="BZ168" s="1" t="e">
        <f>IS!BZ182</f>
        <v>#NAME?</v>
      </c>
      <c r="CA168" s="1" t="e">
        <f>IS!CA182</f>
        <v>#NAME?</v>
      </c>
      <c r="CB168" s="311"/>
      <c r="CC168" s="311"/>
      <c r="CD168" s="311"/>
      <c r="CE168" s="1"/>
      <c r="CF168" s="1" t="e">
        <f>IS!CF182</f>
        <v>#NAME?</v>
      </c>
      <c r="CG168" s="1" t="e">
        <f>IS!CG182</f>
        <v>#NAME?</v>
      </c>
      <c r="CH168" s="1" t="e">
        <f>IS!CH182</f>
        <v>#NAME?</v>
      </c>
      <c r="CI168" s="1" t="e">
        <f>IS!CI182</f>
        <v>#NAME?</v>
      </c>
      <c r="CJ168" s="1" t="e">
        <f>IS!CJ182</f>
        <v>#NAME?</v>
      </c>
      <c r="CK168" s="1" t="e">
        <f>IS!CK182</f>
        <v>#NAME?</v>
      </c>
      <c r="CL168" s="1" t="e">
        <f>IS!CL182</f>
        <v>#NAME?</v>
      </c>
      <c r="CM168" s="1" t="e">
        <f>IS!CM182</f>
        <v>#NAME?</v>
      </c>
      <c r="CN168" s="1" t="e">
        <f>IS!CN182</f>
        <v>#NAME?</v>
      </c>
      <c r="CO168" s="1" t="e">
        <f>IS!CO182</f>
        <v>#NAME?</v>
      </c>
      <c r="CP168" s="1" t="e">
        <f>IS!CP182</f>
        <v>#NAME?</v>
      </c>
      <c r="CQ168" s="1" t="e">
        <f>IS!CQ182</f>
        <v>#NAME?</v>
      </c>
      <c r="CR168" s="1" t="str">
        <f>IS!CR182</f>
        <v>E</v>
      </c>
      <c r="CS168" s="1" t="str">
        <f>IS!CS182</f>
        <v>E</v>
      </c>
      <c r="CT168" s="1"/>
    </row>
    <row r="169" spans="1:98" ht="14.25" customHeight="1" outlineLevel="1"/>
    <row r="170" spans="1:98" ht="14.25" customHeight="1" outlineLevel="1"/>
  </sheetData>
  <phoneticPr fontId="24" type="noConversion"/>
  <conditionalFormatting sqref="B6">
    <cfRule type="cellIs" dxfId="18" priority="2" stopIfTrue="1" operator="equal">
      <formula>"Bear Case"</formula>
    </cfRule>
    <cfRule type="cellIs" dxfId="17" priority="3" stopIfTrue="1" operator="equal">
      <formula>"Bull Case"</formula>
    </cfRule>
    <cfRule type="cellIs" dxfId="16" priority="4" stopIfTrue="1" operator="equal">
      <formula>"Base Case"</formula>
    </cfRule>
  </conditionalFormatting>
  <pageMargins left="0" right="0" top="0" bottom="0" header="0" footer="0"/>
  <pageSetup paperSize="5" scale="61" orientation="landscape" r:id="rId1"/>
  <headerFooter alignWithMargins="0"/>
  <rowBreaks count="1" manualBreakCount="1">
    <brk id="73" max="76" man="1"/>
  </rowBreaks>
  <colBreaks count="1" manualBreakCount="1">
    <brk id="73" max="1048575" man="1"/>
  </colBreaks>
  <ignoredErrors>
    <ignoredError sqref="AD263:AN306 AR159:AR166 AR168" formula="1"/>
    <ignoredError sqref="CE8:CE12 CE13 B9:B12 CF8:CN10 B13:C13 C8:C12 D8:AB10 CF12:CN12 BL8:BV12 AG8:AQ10 CE47:CE48 B20:C20 B29:C34 B23:C26 B15:AB19 B112:C142 B143:P166 BT49:BV49 CE49 BL47:BS49 X151:X164 D112:U129 AA153:AA158 AA143:AA151 D133:U139 AB70 W112:Z129 AD64:AE65 AA160:AA161 CE15:CK33 AD164:AD165 AA112:AA130 U57:AB57 D57:S57 K72 G72 O72 S72:Z72 AA76 B21:AB21 CE71 G70 AB72 B35:AB38 W133:AB139 K70 X169:AC171 S70:Z70 BQ103:BQ166 O70 AE78:AE79 CE34:CE46 B27:AB28 B22:Z22 CE50:CE51 D46:AB50 CE72:CN77 AD69 AE140:AE142 AD71 Y143:Z164 AB147:AB149 T56:T57 AC165 AB151:AB164 B108:B111 Q151:W166 AB143:AB145 W143:X145 AE154:AF165 V112:V145 C102:C111 AB112:AB127 B102:B106 AA70:AA73 D70:F72 H70:J72 L70:N72 P70:R72 AE151:AE152 BL71 D69:AB69 AE130:AE132 AE102:AE111 Q143:U145 Q147:X149 CL15:CN43 D172:AC174 CF34:CK43 CF44:CN51 AE82:AE88 AO85:AQ88 CE64:CN70 AD73:AD79 B39:C88 BQ78:BQ87 BQ65:BT70 CE162:CN166 BL102:BP166 CE78:CN88 BL78:BP88 CE52:CN63 BL52:BP70 BQ52:BU62 AO102:AQ106 BW15:BW66 BV52:BV56 BR78:BV88 BR102:BV155 BU65:BV70 BL72:BV77 BL50:BV51 BL34:BV41 BU24:BU33 BT47:BV48 BL13:BV13 BY8:BY10 BR175:BV199 AO175:AQ199 BL175:BP199 CE175:CN199 D175:AC199 BQ175:BQ199 BL15:BT33 BV15:BV33 BU15:BU22 BQ200:BQ262 D200:AC262 CE200:CN262 BL200:BP262 AO200:AQ262 BR200:BV262 CO15:CO166 AO77:AQ79 AO162:AQ166 BR157:BV166 BR156:BU156 BV58:BV62 AO63:AQ65 AP110:AP111 AP157:AP161 AP74:AQ76 AQ84 BL44:BV46 BL42:BU42 BL43:BU43 AP121 AP130:AP132 AP140:AP142 AP151:AP152 AP154:AP155 AQ73 AO108:AQ109 AO107:AP107 AQ71 CE102:CN161 BY200:BY262 BY175:BY199 BY162:BY166 BW68:BW166 B168:P171 BQ168:BQ174 Q168:W171 CE168:CN174 BL168:BP174 CO168:CO199 AO168:AQ174 BR168:BV174 BY168:BY174 BW168:BW174" formulaRange="1"/>
    <ignoredError sqref="D12:AB13 AA22:AB25 D20:AB20 U56:AB56 D23:Z25 O71 G71 K71 D26:AB26 AG102:AG108 D29:AB34 AJ63 AG130 AB165:AB166 D130:U132 X168:AC168 AA159 AA152 D140:U142 X165:Z166 AB71 W130:Z132 W140:AB142 AA162:AA166 AC166:AF166 BM71:BV71 AA74:AA75 AB130:AB132 AD168:AN262 AB78:AB80 AA131:AA132 AA78:AA80 AF78:AF79 S71:Z71 D56:S56 CF71:CN71 AG62:AG63 D102:AB111 AH64:AH65 D51:AB55 AF71 AG78:AG79 AF102:AF111 AF151:AF152 AJ77 AI86:AI88 AG140 AH102:AH111 AG142 AI164:AI166 AG64:AG65 AG110:AG111 AI102:AI106 AF64:AF65 D39:AB45 AH162:AH166 AI65 AG132 D78:Z80 D58:AB63 AF140:AF142 D64:AB68 AF130:AF132 AG151 AF121 AJ85:AJ88 AI73:AI77 AH77 D81:AB88 AH63 AF73:AF77 AA77 AB73:AB77 D73:Z77 AF60:AF63 AG154:AG166 AJ102:AJ109 AF82:AH88 AK63 AH78:AH79 AJ162:AJ166 AJ78 AJ64:AJ65 AK163:AK166 AK78:AN79 AK102:AK109 AL77 AK85:AK88 AL64:AL65 AL162:AL166 AL85:AN88 AL102:AL109 AK64:AK65 AL63 AM162:AN166 AM102:AN109 AM64:AN65 AM77:AN77 AM63:AN63 AM74:AM76" formula="1" formulaRange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 enableFormatConditionsCalculation="0">
    <tabColor indexed="51"/>
    <pageSetUpPr fitToPage="1"/>
  </sheetPr>
  <dimension ref="A1:IV326"/>
  <sheetViews>
    <sheetView showGridLines="0" zoomScale="85" zoomScaleNormal="85" workbookViewId="0">
      <pane xSplit="3" ySplit="9" topLeftCell="BA10" activePane="bottomRight" state="frozen"/>
      <selection activeCell="AZ6" sqref="AZ6:BC9"/>
      <selection pane="topRight" activeCell="AZ6" sqref="AZ6:BC9"/>
      <selection pane="bottomLeft" activeCell="AZ6" sqref="AZ6:BC9"/>
      <selection pane="bottomRight" activeCell="CC31" sqref="CC31"/>
    </sheetView>
  </sheetViews>
  <sheetFormatPr defaultRowHeight="14.25" customHeight="1" outlineLevelRow="4" outlineLevelCol="1"/>
  <cols>
    <col min="1" max="1" width="1.7109375" customWidth="1"/>
    <col min="2" max="2" width="56" customWidth="1"/>
    <col min="3" max="3" width="1.7109375" customWidth="1"/>
    <col min="4" max="27" width="11.42578125" hidden="1" customWidth="1" outlineLevel="1"/>
    <col min="28" max="28" width="11.42578125" hidden="1" customWidth="1" outlineLevel="1" collapsed="1"/>
    <col min="29" max="35" width="11.42578125" hidden="1" customWidth="1" outlineLevel="1"/>
    <col min="36" max="36" width="11.42578125" hidden="1" customWidth="1" outlineLevel="1" collapsed="1"/>
    <col min="37" max="39" width="11.42578125" hidden="1" customWidth="1" outlineLevel="1"/>
    <col min="40" max="40" width="11.42578125" hidden="1" customWidth="1" outlineLevel="1" collapsed="1"/>
    <col min="41" max="47" width="11.42578125" hidden="1" customWidth="1" outlineLevel="1"/>
    <col min="48" max="48" width="11.42578125" customWidth="1" collapsed="1"/>
    <col min="49" max="59" width="11.42578125" customWidth="1"/>
    <col min="60" max="63" width="11.42578125" hidden="1" customWidth="1" outlineLevel="1"/>
    <col min="64" max="64" width="4.85546875" customWidth="1" collapsed="1"/>
    <col min="65" max="73" width="11.42578125" hidden="1" customWidth="1" outlineLevel="1"/>
    <col min="74" max="74" width="11.28515625" hidden="1" customWidth="1" outlineLevel="1"/>
    <col min="75" max="75" width="11.42578125" hidden="1" customWidth="1" outlineLevel="1"/>
    <col min="76" max="76" width="11.42578125" customWidth="1" collapsed="1"/>
    <col min="77" max="78" width="11.42578125" customWidth="1"/>
    <col min="79" max="79" width="13.85546875" hidden="1" customWidth="1" outlineLevel="1"/>
    <col min="80" max="80" width="13.85546875" style="1425" customWidth="1" collapsed="1"/>
    <col min="81" max="83" width="13.85546875" style="1425" customWidth="1"/>
    <col min="84" max="84" width="2.85546875" customWidth="1"/>
    <col min="85" max="94" width="11.42578125" hidden="1" customWidth="1" outlineLevel="1"/>
    <col min="95" max="95" width="11.42578125" customWidth="1" collapsed="1"/>
    <col min="96" max="97" width="11.42578125" customWidth="1"/>
  </cols>
  <sheetData>
    <row r="1" spans="1:98" ht="67.5" customHeight="1">
      <c r="A1" s="5"/>
      <c r="B1" s="332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/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 t="str">
        <f>IF(SUM(BS)&lt;&gt;0,"BS BREAK","")</f>
        <v/>
      </c>
      <c r="BE1" s="1"/>
      <c r="BF1" s="2" t="str">
        <f>IF(SUM(BS)&lt;&gt;0,"BS BREAK","")</f>
        <v/>
      </c>
      <c r="BG1" s="1"/>
      <c r="BH1" s="2" t="str">
        <f>IF(SUM(BS)&lt;&gt;0,"BS BREAK","")</f>
        <v/>
      </c>
      <c r="BI1" s="1"/>
      <c r="BJ1" s="2" t="str">
        <f>IF(SUM(BS)&lt;&gt;0,"BS BREAK","")</f>
        <v/>
      </c>
      <c r="BK1" s="1"/>
      <c r="BL1" s="2" t="str">
        <f>IF(SUM(BS)&lt;&gt;0,"BS BREAK","")</f>
        <v/>
      </c>
      <c r="BM1" s="2" t="str">
        <f>IF(SUM(BS)&lt;&gt;0,"BS BREAK","")</f>
        <v/>
      </c>
      <c r="BN1" s="1"/>
      <c r="BO1" s="1"/>
      <c r="BP1" s="1"/>
      <c r="BQ1" s="2" t="str">
        <f>IF(SUM(BS)&lt;&gt;0,"BS BREAK","")</f>
        <v/>
      </c>
      <c r="BR1" s="1"/>
      <c r="BS1" s="2" t="str">
        <f>IF(SUM(BS)&lt;&gt;0,"BS BREAK","")</f>
        <v/>
      </c>
      <c r="BT1" s="1"/>
      <c r="BU1" s="2" t="str">
        <f>IF(SUM(BS)&lt;&gt;0,"BS BREAK","")</f>
        <v/>
      </c>
      <c r="BV1" s="1"/>
      <c r="BW1" s="1"/>
      <c r="BX1" s="1"/>
      <c r="BY1" s="1" t="str">
        <f>IF(SUM(BS)&lt;&gt;0,"BS BREAK","")</f>
        <v/>
      </c>
      <c r="BZ1" s="1"/>
      <c r="CA1" s="2" t="str">
        <f>IF(SUM(BS)&lt;&gt;0,"BS BREAK","")</f>
        <v/>
      </c>
      <c r="CB1" s="1374"/>
      <c r="CC1" s="1374"/>
      <c r="CD1" s="1374"/>
      <c r="CE1" s="1374"/>
      <c r="CF1" s="1"/>
      <c r="CG1" s="1"/>
      <c r="CH1" s="1"/>
      <c r="CI1" s="1"/>
      <c r="CJ1" s="2" t="str">
        <f>IF(SUM(BS)&lt;&gt;0,"BS BREAK","")</f>
        <v/>
      </c>
      <c r="CK1" s="1"/>
      <c r="CL1" s="1" t="str">
        <f>IF(SUM(BS)&lt;&gt;0,"BS BREAK","")</f>
        <v/>
      </c>
      <c r="CM1" s="1"/>
      <c r="CN1" s="1" t="str">
        <f t="shared" ref="CN1:CS1" si="0">IF(SUM(BS)&lt;&gt;0,"BS BREAK","")</f>
        <v/>
      </c>
      <c r="CO1" s="1" t="str">
        <f t="shared" si="0"/>
        <v/>
      </c>
      <c r="CP1" s="2" t="str">
        <f t="shared" si="0"/>
        <v/>
      </c>
      <c r="CQ1" s="2" t="str">
        <f t="shared" si="0"/>
        <v/>
      </c>
      <c r="CR1" s="2" t="str">
        <f t="shared" si="0"/>
        <v/>
      </c>
      <c r="CS1" s="2" t="str">
        <f t="shared" si="0"/>
        <v/>
      </c>
    </row>
    <row r="2" spans="1:98" ht="18" customHeight="1">
      <c r="A2" s="1"/>
      <c r="B2" s="4" t="s">
        <v>22</v>
      </c>
      <c r="C2" s="4"/>
      <c r="S2" s="1"/>
      <c r="AI2" s="700"/>
      <c r="AK2" s="834"/>
      <c r="AW2" s="1286"/>
      <c r="BB2" s="1285"/>
    </row>
    <row r="3" spans="1:98" ht="2.25" customHeight="1">
      <c r="Q3" s="518"/>
      <c r="AB3" s="379"/>
      <c r="AC3" s="379"/>
      <c r="AD3" s="379"/>
      <c r="AE3" s="379"/>
      <c r="AF3" s="379"/>
      <c r="AG3" s="379"/>
      <c r="AH3" s="379"/>
      <c r="AI3" s="379"/>
      <c r="AJ3" s="379"/>
      <c r="AW3" s="1286"/>
      <c r="BV3" s="347"/>
      <c r="BW3" s="347"/>
      <c r="BX3" s="347"/>
      <c r="BY3" s="347"/>
      <c r="BZ3" s="347"/>
    </row>
    <row r="4" spans="1:98" ht="2.25" customHeight="1">
      <c r="AB4" s="379"/>
      <c r="AC4" s="379"/>
      <c r="AD4" s="379"/>
      <c r="AE4" s="379"/>
      <c r="AF4" s="379"/>
      <c r="AG4" s="379"/>
      <c r="AH4" s="379"/>
      <c r="AI4" s="379"/>
      <c r="AJ4" s="379"/>
      <c r="AO4" s="1285"/>
      <c r="AQ4" s="1344"/>
      <c r="AT4" s="1285"/>
      <c r="AU4" s="1285"/>
      <c r="AV4" s="1285"/>
      <c r="AW4" s="1286"/>
    </row>
    <row r="5" spans="1:98" ht="14.25" hidden="1" customHeight="1">
      <c r="A5" s="311"/>
      <c r="B5" s="312"/>
      <c r="C5" s="31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R5" s="1"/>
      <c r="S5" s="1"/>
      <c r="T5" s="1"/>
      <c r="U5" s="1"/>
      <c r="V5" s="1"/>
      <c r="W5" s="1"/>
      <c r="X5" s="1"/>
      <c r="Y5" s="1"/>
      <c r="Z5" s="1"/>
      <c r="AA5" s="1"/>
      <c r="AB5" s="6"/>
      <c r="AC5" s="6"/>
      <c r="AD5" s="6"/>
      <c r="AE5" s="6"/>
      <c r="AF5" s="6"/>
      <c r="AG5" s="6"/>
      <c r="AH5" s="6"/>
      <c r="AI5" s="6"/>
      <c r="AJ5" s="379"/>
      <c r="AK5" s="379"/>
      <c r="AL5" s="379"/>
      <c r="AM5" s="379"/>
      <c r="AO5" s="1"/>
      <c r="AP5" s="1"/>
      <c r="AQ5" s="1196"/>
      <c r="AR5" s="1356"/>
      <c r="AS5" s="1356"/>
      <c r="AT5" s="1356"/>
      <c r="AU5" s="779"/>
      <c r="AV5" s="1356"/>
      <c r="AW5" s="779"/>
      <c r="AX5" s="1356"/>
      <c r="AY5" s="1356"/>
      <c r="AZ5" s="1356"/>
      <c r="BA5" s="1356"/>
      <c r="BB5" s="1356"/>
      <c r="BC5" s="1356"/>
      <c r="BD5" s="1356"/>
      <c r="BE5" s="1356"/>
      <c r="BF5" s="1356"/>
      <c r="BG5" s="1356"/>
      <c r="BH5" s="1356"/>
      <c r="BI5" s="1356"/>
      <c r="BJ5" s="1356"/>
      <c r="BK5" s="1356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311"/>
      <c r="CC5" s="311"/>
      <c r="CD5" s="311"/>
      <c r="CE5" s="311"/>
    </row>
    <row r="6" spans="1:98" s="8" customFormat="1" ht="14.25" customHeight="1">
      <c r="A6" s="74"/>
      <c r="B6" s="377" t="str">
        <f>IS!$B$6</f>
        <v>Base Case</v>
      </c>
      <c r="C6" s="348"/>
      <c r="AB6" s="350"/>
      <c r="AC6" s="350"/>
      <c r="AD6" s="350"/>
      <c r="AE6" s="350"/>
      <c r="AF6" s="350"/>
      <c r="AG6" s="350"/>
      <c r="AH6" s="350"/>
      <c r="AI6" s="350"/>
      <c r="AJ6" s="350"/>
      <c r="AM6" s="349"/>
      <c r="AN6" s="370"/>
      <c r="AR6" s="1196"/>
      <c r="AS6" s="1196"/>
      <c r="AT6" s="1196"/>
      <c r="AU6" s="1196"/>
      <c r="AV6" s="1196"/>
      <c r="AW6" s="1196"/>
      <c r="AX6" s="1196"/>
      <c r="AY6" s="1196"/>
      <c r="AZ6" s="1196"/>
      <c r="BA6" s="1196"/>
      <c r="BB6" s="1196"/>
      <c r="BC6" s="1196"/>
      <c r="BD6" s="1196"/>
      <c r="BE6" s="1196"/>
      <c r="BF6" s="1196"/>
      <c r="BG6" s="1196"/>
      <c r="BH6" s="1196"/>
      <c r="BI6" s="1196"/>
      <c r="BJ6" s="1196"/>
      <c r="BK6" s="1196"/>
      <c r="BR6" s="350"/>
      <c r="BS6" s="350"/>
      <c r="BT6" s="350"/>
      <c r="BV6" s="856"/>
      <c r="BW6" s="856"/>
      <c r="BX6" s="856"/>
      <c r="BY6" s="856"/>
      <c r="BZ6" s="856"/>
      <c r="CB6" s="74"/>
      <c r="CC6" s="74"/>
      <c r="CD6" s="74"/>
      <c r="CE6" s="74"/>
      <c r="CP6" s="1211"/>
      <c r="CQ6" s="1211"/>
      <c r="CR6" s="1211"/>
      <c r="CS6" s="1211"/>
    </row>
    <row r="7" spans="1:98" s="8" customFormat="1" ht="14.25" customHeight="1">
      <c r="B7" s="9" t="s">
        <v>75</v>
      </c>
      <c r="C7" s="10"/>
      <c r="D7" s="757" t="str">
        <f>IS!D7</f>
        <v>C3Q05A</v>
      </c>
      <c r="E7" s="758" t="str">
        <f>IS!E7</f>
        <v>C4Q05A</v>
      </c>
      <c r="F7" s="758" t="str">
        <f>IS!F7</f>
        <v>C1Q06A</v>
      </c>
      <c r="G7" s="759" t="str">
        <f>IS!G7</f>
        <v>C2Q06A</v>
      </c>
      <c r="H7" s="757" t="str">
        <f>IS!H7</f>
        <v>C3Q06A</v>
      </c>
      <c r="I7" s="758" t="str">
        <f>IS!I7</f>
        <v>C4Q06A</v>
      </c>
      <c r="J7" s="758" t="str">
        <f>IS!J7</f>
        <v>C1Q07A</v>
      </c>
      <c r="K7" s="759" t="str">
        <f>IS!K7</f>
        <v>C2Q07A</v>
      </c>
      <c r="L7" s="757" t="str">
        <f>IS!L7</f>
        <v>C3Q07A</v>
      </c>
      <c r="M7" s="758" t="str">
        <f>IS!M7</f>
        <v>C4Q07A</v>
      </c>
      <c r="N7" s="758" t="str">
        <f>IS!N7</f>
        <v>C1Q08A</v>
      </c>
      <c r="O7" s="759" t="str">
        <f>IS!O7</f>
        <v>C2Q08A</v>
      </c>
      <c r="P7" s="757" t="str">
        <f>IS!P7</f>
        <v>C3Q08A</v>
      </c>
      <c r="Q7" s="758" t="str">
        <f>IS!Q7</f>
        <v>C4Q08A</v>
      </c>
      <c r="R7" s="758" t="str">
        <f>IS!R7</f>
        <v>C1Q09A</v>
      </c>
      <c r="S7" s="759" t="str">
        <f>IS!S7</f>
        <v>C2Q09A</v>
      </c>
      <c r="T7" s="757" t="str">
        <f>IS!T7</f>
        <v>C3Q09A</v>
      </c>
      <c r="U7" s="758" t="str">
        <f>IS!U7</f>
        <v>C4Q09A</v>
      </c>
      <c r="V7" s="758" t="str">
        <f>IS!V7</f>
        <v>C1Q10A</v>
      </c>
      <c r="W7" s="759" t="str">
        <f>IS!W7</f>
        <v>C2Q10A</v>
      </c>
      <c r="X7" s="757" t="str">
        <f>IS!X7</f>
        <v>C3Q10A</v>
      </c>
      <c r="Y7" s="758" t="str">
        <f>IS!Y7</f>
        <v>C4Q10A</v>
      </c>
      <c r="Z7" s="758" t="str">
        <f>IS!Z7</f>
        <v>C1Q11A</v>
      </c>
      <c r="AA7" s="759" t="str">
        <f>IS!AA7</f>
        <v>C2Q11A</v>
      </c>
      <c r="AB7" s="757" t="str">
        <f>IS!AB7</f>
        <v>C3Q11A</v>
      </c>
      <c r="AC7" s="758" t="str">
        <f>IS!AC7</f>
        <v>C4Q11A</v>
      </c>
      <c r="AD7" s="758" t="str">
        <f>IS!AD7</f>
        <v>C1Q12A</v>
      </c>
      <c r="AE7" s="759" t="str">
        <f>IS!AE7</f>
        <v>C2Q12A</v>
      </c>
      <c r="AF7" s="757" t="str">
        <f>IS!AF7</f>
        <v>C3Q12A</v>
      </c>
      <c r="AG7" s="758" t="str">
        <f>IS!AG7</f>
        <v>C4Q12A</v>
      </c>
      <c r="AH7" s="758" t="str">
        <f>IS!AH7</f>
        <v>C1Q13A</v>
      </c>
      <c r="AI7" s="759" t="str">
        <f>IS!AI7</f>
        <v>C2Q13A</v>
      </c>
      <c r="AJ7" s="757" t="str">
        <f>IS!AJ7</f>
        <v>C3Q13A</v>
      </c>
      <c r="AK7" s="758" t="str">
        <f>IS!AK7</f>
        <v>C4Q13</v>
      </c>
      <c r="AL7" s="758" t="str">
        <f>IS!AL7</f>
        <v>C1Q14E</v>
      </c>
      <c r="AM7" s="759" t="str">
        <f>IS!AM7</f>
        <v>C2Q14A</v>
      </c>
      <c r="AN7" s="757" t="str">
        <f>IS!AN7</f>
        <v>C3Q14A</v>
      </c>
      <c r="AO7" s="758" t="str">
        <f>IS!AO7</f>
        <v>C4Q14A</v>
      </c>
      <c r="AP7" s="758" t="str">
        <f>IS!AP7</f>
        <v>C1Q15A</v>
      </c>
      <c r="AQ7" s="759" t="str">
        <f>IS!AQ7</f>
        <v>C2Q15A</v>
      </c>
      <c r="AR7" s="757" t="str">
        <f>IS!AR7</f>
        <v>C3Q15A</v>
      </c>
      <c r="AS7" s="758" t="str">
        <f>IS!AS7</f>
        <v>C4Q15A</v>
      </c>
      <c r="AT7" s="758" t="str">
        <f>IS!AT7</f>
        <v>C1Q16A</v>
      </c>
      <c r="AU7" s="759" t="str">
        <f>IS!AU7</f>
        <v>C2Q16A</v>
      </c>
      <c r="AV7" s="758" t="str">
        <f>IS!AV7</f>
        <v>C3Q16A</v>
      </c>
      <c r="AW7" s="758" t="str">
        <f>IS!AW7</f>
        <v>C4Q16A</v>
      </c>
      <c r="AX7" s="758" t="str">
        <f>IS!AX7</f>
        <v>C1Q17A</v>
      </c>
      <c r="AY7" s="759" t="str">
        <f>IS!AY7</f>
        <v>C2Q17A</v>
      </c>
      <c r="AZ7" s="757" t="str">
        <f>IS!AZ7</f>
        <v>C3Q17A</v>
      </c>
      <c r="BA7" s="758" t="str">
        <f>IS!BA7</f>
        <v>C4Q17A</v>
      </c>
      <c r="BB7" s="758" t="str">
        <f>IS!BB7</f>
        <v>C1Q18A</v>
      </c>
      <c r="BC7" s="759" t="str">
        <f>IS!BC7</f>
        <v>C2Q18E</v>
      </c>
      <c r="BD7" s="757" t="str">
        <f>IS!BD7</f>
        <v>C3Q18E</v>
      </c>
      <c r="BE7" s="758" t="str">
        <f>IS!BE7</f>
        <v>C4Q18E</v>
      </c>
      <c r="BF7" s="758" t="str">
        <f>IS!BF7</f>
        <v>C1Q19E</v>
      </c>
      <c r="BG7" s="759" t="str">
        <f>IS!BG7</f>
        <v>C2Q19E</v>
      </c>
      <c r="BH7" s="757" t="str">
        <f>IS!BH7</f>
        <v>C3Q19E</v>
      </c>
      <c r="BI7" s="758" t="str">
        <f>IS!BI7</f>
        <v>C4Q19E</v>
      </c>
      <c r="BJ7" s="758" t="str">
        <f>IS!BJ7</f>
        <v>C1Q20E</v>
      </c>
      <c r="BK7" s="759" t="str">
        <f>IS!BK7</f>
        <v>C2Q20E</v>
      </c>
      <c r="BR7" s="350"/>
      <c r="BS7" s="350"/>
      <c r="CB7" s="74"/>
      <c r="CC7" s="74"/>
      <c r="CD7" s="74"/>
      <c r="CE7" s="74"/>
    </row>
    <row r="8" spans="1:98" s="8" customFormat="1" ht="14.25" customHeight="1">
      <c r="B8" s="12" t="s">
        <v>63</v>
      </c>
      <c r="C8" s="313"/>
      <c r="D8" s="757">
        <f>IS!D8</f>
        <v>38625</v>
      </c>
      <c r="E8" s="758">
        <f>IS!E8</f>
        <v>38717</v>
      </c>
      <c r="F8" s="758">
        <f>IS!F8</f>
        <v>38807</v>
      </c>
      <c r="G8" s="759">
        <f>IS!G8</f>
        <v>38898</v>
      </c>
      <c r="H8" s="757">
        <f>IS!H8</f>
        <v>38990</v>
      </c>
      <c r="I8" s="758">
        <f>IS!I8</f>
        <v>39082</v>
      </c>
      <c r="J8" s="758">
        <f>IS!J8</f>
        <v>39172</v>
      </c>
      <c r="K8" s="759">
        <f>IS!K8</f>
        <v>39263</v>
      </c>
      <c r="L8" s="757">
        <f>IS!L8</f>
        <v>39355</v>
      </c>
      <c r="M8" s="758">
        <f>IS!M8</f>
        <v>39447</v>
      </c>
      <c r="N8" s="758">
        <f>IS!N8</f>
        <v>39538</v>
      </c>
      <c r="O8" s="759">
        <f>IS!O8</f>
        <v>39629</v>
      </c>
      <c r="P8" s="757">
        <f>IS!P8</f>
        <v>39721</v>
      </c>
      <c r="Q8" s="758">
        <f>IS!Q8</f>
        <v>39813</v>
      </c>
      <c r="R8" s="758">
        <f>IS!R8</f>
        <v>39903</v>
      </c>
      <c r="S8" s="759">
        <f>IS!S8</f>
        <v>39994</v>
      </c>
      <c r="T8" s="757">
        <f>IS!T8</f>
        <v>40086</v>
      </c>
      <c r="U8" s="758">
        <f>IS!U8</f>
        <v>40178</v>
      </c>
      <c r="V8" s="758">
        <f>IS!V8</f>
        <v>40268</v>
      </c>
      <c r="W8" s="759">
        <f>IS!W8</f>
        <v>40359</v>
      </c>
      <c r="X8" s="757">
        <f>IS!X8</f>
        <v>40451</v>
      </c>
      <c r="Y8" s="758">
        <f>IS!Y8</f>
        <v>40543</v>
      </c>
      <c r="Z8" s="758">
        <f>IS!Z8</f>
        <v>40633</v>
      </c>
      <c r="AA8" s="759">
        <f>IS!AA8</f>
        <v>40724</v>
      </c>
      <c r="AB8" s="757">
        <f>IS!AB8</f>
        <v>40816</v>
      </c>
      <c r="AC8" s="758">
        <f>IS!AC8</f>
        <v>40908</v>
      </c>
      <c r="AD8" s="758">
        <f>IS!AD8</f>
        <v>40999</v>
      </c>
      <c r="AE8" s="759">
        <f>IS!AE8</f>
        <v>41090</v>
      </c>
      <c r="AF8" s="757">
        <f>IS!AF8</f>
        <v>41182</v>
      </c>
      <c r="AG8" s="758">
        <f>IS!AG8</f>
        <v>41274</v>
      </c>
      <c r="AH8" s="758">
        <f>IS!AH8</f>
        <v>41364</v>
      </c>
      <c r="AI8" s="759">
        <f>IS!AI8</f>
        <v>41455</v>
      </c>
      <c r="AJ8" s="757">
        <f>IS!AJ8</f>
        <v>41547</v>
      </c>
      <c r="AK8" s="758">
        <f>IS!AK8</f>
        <v>41639</v>
      </c>
      <c r="AL8" s="758">
        <f>IS!AL8</f>
        <v>41729</v>
      </c>
      <c r="AM8" s="759">
        <f>IS!AM8</f>
        <v>41820</v>
      </c>
      <c r="AN8" s="757">
        <f>IS!AN8</f>
        <v>41912</v>
      </c>
      <c r="AO8" s="758">
        <f>IS!AO8</f>
        <v>42004</v>
      </c>
      <c r="AP8" s="758">
        <f>IS!AP8</f>
        <v>42094</v>
      </c>
      <c r="AQ8" s="759">
        <f>IS!AQ8</f>
        <v>42185</v>
      </c>
      <c r="AR8" s="757">
        <f>IS!AR8</f>
        <v>42277</v>
      </c>
      <c r="AS8" s="758">
        <f>IS!AS8</f>
        <v>42369</v>
      </c>
      <c r="AT8" s="758">
        <f>IS!AT8</f>
        <v>42460</v>
      </c>
      <c r="AU8" s="759">
        <f>IS!AU8</f>
        <v>42551</v>
      </c>
      <c r="AV8" s="758">
        <f>IS!AV8</f>
        <v>42643</v>
      </c>
      <c r="AW8" s="758">
        <f>IS!AW8</f>
        <v>42735</v>
      </c>
      <c r="AX8" s="758">
        <f>IS!AX8</f>
        <v>42825</v>
      </c>
      <c r="AY8" s="759">
        <f>IS!AY8</f>
        <v>42916</v>
      </c>
      <c r="AZ8" s="757">
        <f>IS!AZ8</f>
        <v>43008</v>
      </c>
      <c r="BA8" s="758">
        <f>IS!BA8</f>
        <v>43100</v>
      </c>
      <c r="BB8" s="758">
        <f>IS!BB8</f>
        <v>43190</v>
      </c>
      <c r="BC8" s="759">
        <f>IS!BC8</f>
        <v>43281</v>
      </c>
      <c r="BD8" s="757">
        <f>IS!BD8</f>
        <v>43373</v>
      </c>
      <c r="BE8" s="758">
        <f>IS!BE8</f>
        <v>43465</v>
      </c>
      <c r="BF8" s="758">
        <f>IS!BF8</f>
        <v>43555</v>
      </c>
      <c r="BG8" s="759">
        <f>IS!BG8</f>
        <v>43646</v>
      </c>
      <c r="BH8" s="757">
        <f>IS!BH8</f>
        <v>43738</v>
      </c>
      <c r="BI8" s="758">
        <f>IS!BI8</f>
        <v>43830</v>
      </c>
      <c r="BJ8" s="758">
        <f>IS!BJ8</f>
        <v>43921</v>
      </c>
      <c r="BK8" s="759">
        <f>IS!BK8</f>
        <v>44012</v>
      </c>
      <c r="BL8" s="22"/>
      <c r="CB8" s="74"/>
      <c r="CC8" s="74"/>
      <c r="CD8" s="74"/>
      <c r="CE8" s="74"/>
      <c r="CJ8" s="785"/>
      <c r="CK8" s="786"/>
      <c r="CL8" s="786"/>
      <c r="CM8" s="786"/>
      <c r="CN8" s="786"/>
      <c r="CO8" s="786"/>
    </row>
    <row r="9" spans="1:98" s="8" customFormat="1" ht="14.25" customHeight="1">
      <c r="B9" s="289"/>
      <c r="C9" s="310"/>
      <c r="D9" s="766" t="str">
        <f>IS!D9</f>
        <v>F1Q06A</v>
      </c>
      <c r="E9" s="767" t="str">
        <f>IS!E9</f>
        <v>F2Q06A</v>
      </c>
      <c r="F9" s="767" t="str">
        <f>IS!F9</f>
        <v>F3Q06A</v>
      </c>
      <c r="G9" s="767" t="str">
        <f>IS!G9</f>
        <v>F4Q06A</v>
      </c>
      <c r="H9" s="766" t="str">
        <f>IS!H9</f>
        <v>F1Q07A</v>
      </c>
      <c r="I9" s="767" t="str">
        <f>IS!I9</f>
        <v>F2Q07A</v>
      </c>
      <c r="J9" s="767" t="str">
        <f>IS!J9</f>
        <v>F3Q07A</v>
      </c>
      <c r="K9" s="767" t="str">
        <f>IS!K9</f>
        <v>F4Q07A</v>
      </c>
      <c r="L9" s="766" t="str">
        <f>IS!L9</f>
        <v>F1Q08A</v>
      </c>
      <c r="M9" s="767" t="str">
        <f>IS!M9</f>
        <v>F2Q08A</v>
      </c>
      <c r="N9" s="767" t="str">
        <f>IS!N9</f>
        <v>F3Q08A</v>
      </c>
      <c r="O9" s="767" t="str">
        <f>IS!O9</f>
        <v>F4Q08A</v>
      </c>
      <c r="P9" s="766" t="str">
        <f>IS!P9</f>
        <v>F1Q09A</v>
      </c>
      <c r="Q9" s="767" t="str">
        <f>IS!Q9</f>
        <v>F2Q09A</v>
      </c>
      <c r="R9" s="767" t="str">
        <f>IS!R9</f>
        <v>F3Q09A</v>
      </c>
      <c r="S9" s="767" t="str">
        <f>IS!S9</f>
        <v>F4Q09A</v>
      </c>
      <c r="T9" s="766" t="str">
        <f>IS!T9</f>
        <v>F1Q10A</v>
      </c>
      <c r="U9" s="767" t="str">
        <f>IS!U9</f>
        <v>F2Q10A</v>
      </c>
      <c r="V9" s="767" t="str">
        <f>IS!V9</f>
        <v>F3Q10A</v>
      </c>
      <c r="W9" s="767" t="str">
        <f>IS!W9</f>
        <v>F4Q10A</v>
      </c>
      <c r="X9" s="766" t="str">
        <f>IS!X9</f>
        <v>F1Q11A</v>
      </c>
      <c r="Y9" s="767" t="str">
        <f>IS!Y9</f>
        <v>F2Q11A</v>
      </c>
      <c r="Z9" s="767" t="str">
        <f>IS!Z9</f>
        <v>F3Q11A</v>
      </c>
      <c r="AA9" s="767" t="str">
        <f>IS!AA9</f>
        <v>F4Q11A</v>
      </c>
      <c r="AB9" s="766" t="str">
        <f>IS!AB9</f>
        <v>F1Q12A</v>
      </c>
      <c r="AC9" s="767" t="str">
        <f>IS!AC9</f>
        <v>F2Q12A</v>
      </c>
      <c r="AD9" s="767" t="str">
        <f>IS!AD9</f>
        <v>F3Q12A</v>
      </c>
      <c r="AE9" s="767" t="str">
        <f>IS!AE9</f>
        <v>F4Q12A</v>
      </c>
      <c r="AF9" s="766" t="str">
        <f>IS!AF9</f>
        <v>F1Q13A</v>
      </c>
      <c r="AG9" s="767" t="str">
        <f>IS!AG9</f>
        <v>F2Q13A</v>
      </c>
      <c r="AH9" s="767" t="str">
        <f>IS!AH9</f>
        <v>F3Q13A</v>
      </c>
      <c r="AI9" s="767" t="str">
        <f>IS!AI9</f>
        <v>F4Q13A</v>
      </c>
      <c r="AJ9" s="766" t="str">
        <f>IS!AJ9</f>
        <v>F1Q14A</v>
      </c>
      <c r="AK9" s="767" t="str">
        <f>IS!AK9</f>
        <v>F2Q14</v>
      </c>
      <c r="AL9" s="767" t="str">
        <f>IS!AL9</f>
        <v>F3Q14A</v>
      </c>
      <c r="AM9" s="767" t="str">
        <f>IS!AM9</f>
        <v>F4Q14A</v>
      </c>
      <c r="AN9" s="766" t="str">
        <f>IS!AN9</f>
        <v>F1Q15A</v>
      </c>
      <c r="AO9" s="767" t="str">
        <f>IS!AO9</f>
        <v>F2Q15A</v>
      </c>
      <c r="AP9" s="767" t="str">
        <f>IS!AP9</f>
        <v>F3Q15A</v>
      </c>
      <c r="AQ9" s="768" t="str">
        <f>IS!AQ9</f>
        <v>F4Q15A</v>
      </c>
      <c r="AR9" s="766" t="str">
        <f>IS!AR9</f>
        <v>F1Q16A</v>
      </c>
      <c r="AS9" s="767" t="str">
        <f>IS!AS9</f>
        <v>F2Q16A</v>
      </c>
      <c r="AT9" s="767" t="str">
        <f>IS!AT9</f>
        <v>F3Q16A</v>
      </c>
      <c r="AU9" s="768" t="str">
        <f>IS!AU9</f>
        <v>F4Q16A</v>
      </c>
      <c r="AV9" s="767" t="str">
        <f>IS!AV9</f>
        <v>F1Q17A</v>
      </c>
      <c r="AW9" s="767" t="str">
        <f>IS!AW9</f>
        <v>F2Q17A</v>
      </c>
      <c r="AX9" s="767" t="str">
        <f>IS!AX9</f>
        <v>F3Q17A</v>
      </c>
      <c r="AY9" s="768" t="str">
        <f>IS!AY9</f>
        <v>F4Q17A</v>
      </c>
      <c r="AZ9" s="766" t="str">
        <f>IS!AZ9</f>
        <v>F1Q18A</v>
      </c>
      <c r="BA9" s="767" t="str">
        <f>IS!BA9</f>
        <v>F2Q18A</v>
      </c>
      <c r="BB9" s="767" t="str">
        <f>IS!BB9</f>
        <v>F3Q18A</v>
      </c>
      <c r="BC9" s="768" t="str">
        <f>IS!BC9</f>
        <v>F4Q18E</v>
      </c>
      <c r="BD9" s="766" t="str">
        <f>IS!BD9</f>
        <v>F1Q19E</v>
      </c>
      <c r="BE9" s="767" t="str">
        <f>IS!BE9</f>
        <v>F2Q19E</v>
      </c>
      <c r="BF9" s="767" t="str">
        <f>IS!BF9</f>
        <v>F3Q19E</v>
      </c>
      <c r="BG9" s="768" t="str">
        <f>IS!BG9</f>
        <v>F4Q19E</v>
      </c>
      <c r="BH9" s="766" t="str">
        <f>IS!BH9</f>
        <v>F1Q20E</v>
      </c>
      <c r="BI9" s="767" t="str">
        <f>IS!BI9</f>
        <v>F2Q20E</v>
      </c>
      <c r="BJ9" s="767" t="str">
        <f>IS!BJ9</f>
        <v>F3Q20E</v>
      </c>
      <c r="BK9" s="768" t="str">
        <f>IS!BK9</f>
        <v>F4Q20E</v>
      </c>
      <c r="BL9" s="20"/>
      <c r="BM9" s="766" t="str">
        <f>IS!BM9</f>
        <v>FY2006A</v>
      </c>
      <c r="BN9" s="767" t="str">
        <f>IS!BN9</f>
        <v>FY2007A</v>
      </c>
      <c r="BO9" s="767" t="str">
        <f>IS!BO9</f>
        <v>FY2008A</v>
      </c>
      <c r="BP9" s="767" t="str">
        <f>IS!BP9</f>
        <v>FY2009A</v>
      </c>
      <c r="BQ9" s="767" t="str">
        <f>IS!BQ9</f>
        <v>FY2010A</v>
      </c>
      <c r="BR9" s="767" t="str">
        <f>IS!BR9</f>
        <v>FY2011A</v>
      </c>
      <c r="BS9" s="767" t="str">
        <f>IS!BS9</f>
        <v>FY2012A</v>
      </c>
      <c r="BT9" s="767" t="str">
        <f>IS!BT9</f>
        <v>FY2013A</v>
      </c>
      <c r="BU9" s="767" t="str">
        <f>IS!BU9</f>
        <v>FY2014A</v>
      </c>
      <c r="BV9" s="767" t="str">
        <f>IS!BV9</f>
        <v>FY2015A</v>
      </c>
      <c r="BW9" s="767" t="str">
        <f>IS!BW9</f>
        <v>FY2016A</v>
      </c>
      <c r="BX9" s="767" t="str">
        <f>IS!BX9</f>
        <v>FY2017A</v>
      </c>
      <c r="BY9" s="767" t="str">
        <f>IS!BY9</f>
        <v>FY2018E</v>
      </c>
      <c r="BZ9" s="767" t="str">
        <f>IS!BZ9</f>
        <v>FY2019E</v>
      </c>
      <c r="CA9" s="798" t="str">
        <f>IS!CA9</f>
        <v>FY2020E</v>
      </c>
      <c r="CB9" s="1046"/>
      <c r="CC9" s="1037"/>
      <c r="CD9" s="1037"/>
      <c r="CE9" s="1037"/>
      <c r="CF9" s="260"/>
      <c r="CG9" s="806" t="str">
        <f>+IS!CG7</f>
        <v>CY2007</v>
      </c>
      <c r="CH9" s="787" t="str">
        <f>+IS!CH7</f>
        <v>CY2008</v>
      </c>
      <c r="CI9" s="787" t="str">
        <f>+IS!CI7</f>
        <v>CY2009</v>
      </c>
      <c r="CJ9" s="787" t="str">
        <f>+IS!CJ7</f>
        <v>CY2010</v>
      </c>
      <c r="CK9" s="787" t="str">
        <f>+IS!CK7</f>
        <v>CY2011</v>
      </c>
      <c r="CL9" s="787" t="str">
        <f>+IS!CL7</f>
        <v>CY2012</v>
      </c>
      <c r="CM9" s="787" t="str">
        <f>+IS!CM7</f>
        <v>CY2013</v>
      </c>
      <c r="CN9" s="787" t="str">
        <f>+IS!CN7</f>
        <v>CY2014A</v>
      </c>
      <c r="CO9" s="787" t="str">
        <f>+IS!CO7</f>
        <v>CY2015A</v>
      </c>
      <c r="CP9" s="787" t="str">
        <f>+IS!CP7</f>
        <v>CY2016A</v>
      </c>
      <c r="CQ9" s="787" t="str">
        <f>+IS!CQ7</f>
        <v>CY2017E</v>
      </c>
      <c r="CR9" s="787" t="str">
        <f>+IS!CR7</f>
        <v>CY2018E</v>
      </c>
      <c r="CS9" s="788" t="str">
        <f>+IS!CS7</f>
        <v>CY2019E</v>
      </c>
    </row>
    <row r="10" spans="1:98" s="8" customFormat="1" ht="14.25" customHeight="1">
      <c r="B10" s="356" t="s">
        <v>528</v>
      </c>
      <c r="C10" s="357"/>
      <c r="D10" s="358"/>
      <c r="E10" s="358"/>
      <c r="F10" s="358"/>
      <c r="G10" s="358"/>
      <c r="H10" s="358"/>
      <c r="I10" s="358"/>
      <c r="J10" s="358"/>
      <c r="K10" s="358"/>
      <c r="L10" s="358"/>
      <c r="M10" s="358"/>
      <c r="N10" s="358"/>
      <c r="O10" s="358"/>
      <c r="P10" s="358"/>
      <c r="Q10" s="358"/>
      <c r="R10" s="358"/>
      <c r="S10" s="358"/>
      <c r="T10" s="358"/>
      <c r="U10" s="358"/>
      <c r="V10" s="358"/>
      <c r="W10" s="358"/>
      <c r="X10" s="358"/>
      <c r="Y10" s="358"/>
      <c r="Z10" s="358"/>
      <c r="AA10" s="358"/>
      <c r="AB10" s="358"/>
      <c r="AC10" s="358"/>
      <c r="AD10" s="358"/>
      <c r="AE10" s="358"/>
      <c r="AF10" s="358"/>
      <c r="AG10" s="358"/>
      <c r="AH10" s="358"/>
      <c r="AI10" s="358"/>
      <c r="AJ10" s="358"/>
      <c r="AK10" s="358"/>
      <c r="AL10" s="358"/>
      <c r="AM10" s="358"/>
      <c r="AN10" s="358"/>
      <c r="AO10" s="358"/>
      <c r="AP10" s="358"/>
      <c r="AQ10" s="359"/>
      <c r="AR10" s="1377"/>
      <c r="AS10" s="358"/>
      <c r="AT10" s="358"/>
      <c r="AU10" s="359"/>
      <c r="AV10" s="358"/>
      <c r="AW10" s="358"/>
      <c r="AX10" s="358"/>
      <c r="AY10" s="359"/>
      <c r="AZ10" s="358"/>
      <c r="BA10" s="358"/>
      <c r="BB10" s="358"/>
      <c r="BC10" s="359"/>
      <c r="BD10" s="358"/>
      <c r="BE10" s="358"/>
      <c r="BF10" s="358"/>
      <c r="BG10" s="359"/>
      <c r="BH10" s="358"/>
      <c r="BI10" s="358"/>
      <c r="BJ10" s="358"/>
      <c r="BK10" s="359"/>
      <c r="BL10" s="20"/>
      <c r="BM10" s="360"/>
      <c r="BN10" s="360"/>
      <c r="BO10" s="360"/>
      <c r="BP10" s="360"/>
      <c r="BQ10" s="360"/>
      <c r="BR10" s="360"/>
      <c r="BS10" s="729"/>
      <c r="BT10" s="729"/>
      <c r="BU10" s="360"/>
      <c r="BV10" s="729"/>
      <c r="BW10" s="360"/>
      <c r="BX10" s="360"/>
      <c r="BY10" s="360"/>
      <c r="BZ10" s="360"/>
      <c r="CA10" s="361"/>
      <c r="CB10" s="1493"/>
      <c r="CC10" s="1445"/>
      <c r="CD10" s="1445"/>
      <c r="CE10" s="1445"/>
      <c r="CF10" s="260"/>
      <c r="CG10" s="807"/>
      <c r="CH10" s="805"/>
      <c r="CI10" s="805"/>
      <c r="CJ10" s="805"/>
      <c r="CK10" s="805"/>
      <c r="CL10" s="805"/>
      <c r="CM10" s="805"/>
      <c r="CN10" s="805"/>
      <c r="CO10" s="805"/>
      <c r="CP10" s="1277"/>
      <c r="CQ10" s="1277"/>
      <c r="CR10" s="1277"/>
      <c r="CS10" s="1278"/>
    </row>
    <row r="11" spans="1:98" s="8" customFormat="1" ht="14.25" customHeight="1">
      <c r="B11" s="519" t="s">
        <v>64</v>
      </c>
      <c r="C11" s="520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782"/>
      <c r="AG11" s="521"/>
      <c r="AH11" s="521"/>
      <c r="AI11" s="521"/>
      <c r="AJ11" s="1212"/>
      <c r="AK11" s="1212"/>
      <c r="AL11" s="1212"/>
      <c r="AM11" s="1212"/>
      <c r="AN11" s="521"/>
      <c r="AO11" s="521"/>
      <c r="AP11" s="521"/>
      <c r="AQ11" s="522"/>
      <c r="AR11" s="1378"/>
      <c r="AS11" s="521"/>
      <c r="AT11" s="521"/>
      <c r="AU11" s="522"/>
      <c r="AV11" s="521"/>
      <c r="AW11" s="521"/>
      <c r="AX11" s="521"/>
      <c r="AY11" s="522"/>
      <c r="AZ11" s="521"/>
      <c r="BA11" s="521"/>
      <c r="BB11" s="521"/>
      <c r="BC11" s="522"/>
      <c r="BD11" s="521"/>
      <c r="BE11" s="521"/>
      <c r="BF11" s="521"/>
      <c r="BG11" s="522"/>
      <c r="BH11" s="521"/>
      <c r="BI11" s="521"/>
      <c r="BJ11" s="521"/>
      <c r="BK11" s="522"/>
      <c r="BL11" s="20"/>
      <c r="BM11" s="523"/>
      <c r="BN11" s="524"/>
      <c r="BO11" s="524"/>
      <c r="BP11" s="524"/>
      <c r="BQ11" s="524"/>
      <c r="BR11" s="524"/>
      <c r="BS11" s="524"/>
      <c r="BT11" s="524"/>
      <c r="BU11" s="524"/>
      <c r="BV11" s="524"/>
      <c r="BW11" s="524"/>
      <c r="BX11" s="524"/>
      <c r="BY11" s="524"/>
      <c r="BZ11" s="524"/>
      <c r="CA11" s="525"/>
      <c r="CB11" s="1493"/>
      <c r="CC11" s="1445"/>
      <c r="CD11" s="1445"/>
      <c r="CE11" s="1445"/>
      <c r="CF11" s="260"/>
      <c r="CG11" s="789"/>
      <c r="CH11" s="790"/>
      <c r="CI11" s="790"/>
      <c r="CJ11" s="790"/>
      <c r="CK11" s="790"/>
      <c r="CL11" s="790"/>
      <c r="CM11" s="790"/>
      <c r="CN11" s="790"/>
      <c r="CO11" s="790"/>
      <c r="CP11" s="790"/>
      <c r="CQ11" s="790"/>
      <c r="CR11" s="790"/>
      <c r="CS11" s="791"/>
    </row>
    <row r="12" spans="1:98" s="122" customFormat="1" ht="14.25" customHeight="1">
      <c r="A12" s="794"/>
      <c r="B12" s="47" t="s">
        <v>52</v>
      </c>
      <c r="C12" s="531"/>
      <c r="D12" s="795"/>
      <c r="E12" s="482"/>
      <c r="F12" s="482"/>
      <c r="G12" s="796"/>
      <c r="H12" s="795"/>
      <c r="I12" s="482"/>
      <c r="J12" s="482"/>
      <c r="K12" s="481"/>
      <c r="L12" s="795"/>
      <c r="M12" s="482"/>
      <c r="N12" s="482"/>
      <c r="O12" s="481"/>
      <c r="P12" s="795"/>
      <c r="Q12" s="482"/>
      <c r="R12" s="482"/>
      <c r="S12" s="481"/>
      <c r="T12" s="795"/>
      <c r="U12" s="482"/>
      <c r="V12" s="482"/>
      <c r="W12" s="481"/>
      <c r="X12" s="795">
        <f t="shared" ref="X12:AX12" si="1">X$119</f>
        <v>206.62587000000002</v>
      </c>
      <c r="Y12" s="482">
        <f t="shared" si="1"/>
        <v>196.13952</v>
      </c>
      <c r="Z12" s="482">
        <f t="shared" si="1"/>
        <v>194.16800000000001</v>
      </c>
      <c r="AA12" s="481">
        <f t="shared" si="1"/>
        <v>225.53675999999987</v>
      </c>
      <c r="AB12" s="795">
        <f t="shared" si="1"/>
        <v>260.76081999999997</v>
      </c>
      <c r="AC12" s="482">
        <f t="shared" si="1"/>
        <v>242.45719</v>
      </c>
      <c r="AD12" s="482">
        <f t="shared" si="1"/>
        <v>234.19691999999998</v>
      </c>
      <c r="AE12" s="504">
        <f t="shared" si="1"/>
        <v>260.13108</v>
      </c>
      <c r="AF12" s="959">
        <f t="shared" si="1"/>
        <v>292.84525000000002</v>
      </c>
      <c r="AG12" s="504">
        <f t="shared" si="1"/>
        <v>278.44076000000001</v>
      </c>
      <c r="AH12" s="504">
        <f t="shared" si="1"/>
        <v>296.39316000000002</v>
      </c>
      <c r="AI12" s="797">
        <f t="shared" si="1"/>
        <v>267.60535999999996</v>
      </c>
      <c r="AJ12" s="959">
        <f t="shared" si="1"/>
        <v>251.65362999999999</v>
      </c>
      <c r="AK12" s="504">
        <f t="shared" si="1"/>
        <v>241.90685999999999</v>
      </c>
      <c r="AL12" s="504">
        <f t="shared" si="1"/>
        <v>230.15878000000001</v>
      </c>
      <c r="AM12" s="504">
        <f t="shared" si="1"/>
        <v>224.86344999999997</v>
      </c>
      <c r="AN12" s="959">
        <f t="shared" si="1"/>
        <v>174.08249999999998</v>
      </c>
      <c r="AO12" s="504">
        <f t="shared" si="1"/>
        <v>187.04696999999999</v>
      </c>
      <c r="AP12" s="504">
        <f t="shared" si="1"/>
        <v>178.95153000000002</v>
      </c>
      <c r="AQ12" s="504">
        <f>AQ$119</f>
        <v>186.40544000000003</v>
      </c>
      <c r="AR12" s="959">
        <f t="shared" si="1"/>
        <v>180.00319999999999</v>
      </c>
      <c r="AS12" s="504">
        <f t="shared" si="1"/>
        <v>145.58683499999998</v>
      </c>
      <c r="AT12" s="504">
        <f t="shared" si="1"/>
        <v>161.02307999999996</v>
      </c>
      <c r="AU12" s="797">
        <f>AU$119</f>
        <v>164.17653999999999</v>
      </c>
      <c r="AV12" s="959">
        <f t="shared" si="1"/>
        <v>174.03276</v>
      </c>
      <c r="AW12" s="504">
        <f t="shared" si="1"/>
        <v>169.156386</v>
      </c>
      <c r="AX12" s="504">
        <f t="shared" si="1"/>
        <v>148.79129600000002</v>
      </c>
      <c r="AY12" s="797">
        <f>AY$119</f>
        <v>146.58821749999998</v>
      </c>
      <c r="AZ12" s="504">
        <f>AZ$119</f>
        <v>161.18928000000002</v>
      </c>
      <c r="BA12" s="504">
        <f>BA$119</f>
        <v>161.88561999999999</v>
      </c>
      <c r="BB12" s="504">
        <f>BB$119</f>
        <v>201.06569000000002</v>
      </c>
      <c r="BC12" s="797">
        <f t="shared" ref="BC12:BG12" si="2">BC17+BC20</f>
        <v>144.7672968</v>
      </c>
      <c r="BD12" s="504">
        <f t="shared" si="2"/>
        <v>152.00566164</v>
      </c>
      <c r="BE12" s="504">
        <f t="shared" si="2"/>
        <v>148.9655484072</v>
      </c>
      <c r="BF12" s="504">
        <f t="shared" si="2"/>
        <v>163.86210324792</v>
      </c>
      <c r="BG12" s="797">
        <f t="shared" si="2"/>
        <v>157.3076191180032</v>
      </c>
      <c r="BH12" s="504">
        <f>BH17+BH20</f>
        <v>160.45377150036327</v>
      </c>
      <c r="BI12" s="504">
        <f>BI17+BI20</f>
        <v>155.64015835535238</v>
      </c>
      <c r="BJ12" s="504">
        <f>BJ17+BJ20</f>
        <v>161.86576468956648</v>
      </c>
      <c r="BK12" s="797">
        <f>BK17+BK20</f>
        <v>163.48442233646213</v>
      </c>
      <c r="BL12" s="353"/>
      <c r="BM12" s="409"/>
      <c r="BN12" s="409"/>
      <c r="BO12" s="409"/>
      <c r="BP12" s="409"/>
      <c r="BQ12" s="409"/>
      <c r="BR12" s="409">
        <f>SUM(X12:AA12)</f>
        <v>822.47014999999988</v>
      </c>
      <c r="BS12" s="409">
        <f>SUM(AB12:AE12)</f>
        <v>997.54600999999991</v>
      </c>
      <c r="BT12" s="409">
        <f>SUM(AF12:AI12)</f>
        <v>1135.2845300000001</v>
      </c>
      <c r="BU12" s="409">
        <f>SUM(AJ12:AM12)</f>
        <v>948.58271999999988</v>
      </c>
      <c r="BV12" s="409">
        <f>SUM(AN12:AQ12)</f>
        <v>726.48644000000002</v>
      </c>
      <c r="BW12" s="409">
        <f>SUM(AR12:AU12)</f>
        <v>650.78965499999981</v>
      </c>
      <c r="BX12" s="409">
        <f>SUM(AV12:AY12)</f>
        <v>638.56865949999997</v>
      </c>
      <c r="BY12" s="409">
        <f>SUM(AZ12:BC12)</f>
        <v>668.90788679999991</v>
      </c>
      <c r="BZ12" s="409">
        <f>SUM(BD12:BG12)</f>
        <v>622.14093241312321</v>
      </c>
      <c r="CA12" s="1454">
        <f>SUM(BH12:BK12)</f>
        <v>641.44411688174421</v>
      </c>
      <c r="CB12" s="795"/>
      <c r="CC12" s="482"/>
      <c r="CD12" s="482"/>
      <c r="CE12" s="482"/>
      <c r="CF12" s="531"/>
      <c r="CG12" s="527"/>
      <c r="CH12" s="409"/>
      <c r="CI12" s="409"/>
      <c r="CJ12" s="409">
        <f>+SUM(V12:Y12)</f>
        <v>402.76539000000002</v>
      </c>
      <c r="CK12" s="409">
        <f>+SUM(Z12:AC12)</f>
        <v>922.92276999999979</v>
      </c>
      <c r="CL12" s="409">
        <f>+SUM(AD12:AG12)</f>
        <v>1065.61401</v>
      </c>
      <c r="CM12" s="409">
        <f>+SUM(AH12:AK12)</f>
        <v>1057.5590099999999</v>
      </c>
      <c r="CN12" s="409">
        <f>+SUM(AL12:AO12)</f>
        <v>816.15170000000001</v>
      </c>
      <c r="CO12" s="409">
        <f>+SUM(AP12:AS12)</f>
        <v>690.94700499999999</v>
      </c>
      <c r="CP12" s="409">
        <f>+SUM(AT12:AW12)</f>
        <v>668.38876600000003</v>
      </c>
      <c r="CQ12" s="409">
        <f>+SUM(AX12:BA12)</f>
        <v>618.4544135000001</v>
      </c>
      <c r="CR12" s="409">
        <f>+SUM(BB12:BE12)</f>
        <v>646.80419684720005</v>
      </c>
      <c r="CS12" s="410">
        <f>+SUM(BF12:BI12)</f>
        <v>637.26365222163884</v>
      </c>
      <c r="CT12" s="1381"/>
    </row>
    <row r="13" spans="1:98" s="8" customFormat="1" ht="14.25" customHeight="1">
      <c r="A13" s="538"/>
      <c r="B13" s="35" t="s">
        <v>517</v>
      </c>
      <c r="C13" s="268"/>
      <c r="D13" s="165"/>
      <c r="E13" s="104"/>
      <c r="F13" s="104"/>
      <c r="G13" s="105"/>
      <c r="H13" s="165"/>
      <c r="I13" s="104"/>
      <c r="J13" s="104"/>
      <c r="K13" s="105"/>
      <c r="L13" s="165"/>
      <c r="M13" s="104"/>
      <c r="N13" s="104"/>
      <c r="O13" s="105"/>
      <c r="P13" s="165"/>
      <c r="Q13" s="104"/>
      <c r="R13" s="104"/>
      <c r="S13" s="105"/>
      <c r="T13" s="165"/>
      <c r="U13" s="104"/>
      <c r="V13" s="104"/>
      <c r="W13" s="105"/>
      <c r="X13" s="165"/>
      <c r="Y13" s="104">
        <f t="shared" ref="Y13:AF13" si="3">Y12/X12-1</f>
        <v>-5.075042152272613E-2</v>
      </c>
      <c r="Z13" s="104">
        <f t="shared" si="3"/>
        <v>-1.0051620397561911E-2</v>
      </c>
      <c r="AA13" s="105">
        <f t="shared" si="3"/>
        <v>0.16155473610481574</v>
      </c>
      <c r="AB13" s="165">
        <f t="shared" si="3"/>
        <v>0.1561787976381328</v>
      </c>
      <c r="AC13" s="104">
        <f t="shared" si="3"/>
        <v>-7.0193175493158733E-2</v>
      </c>
      <c r="AD13" s="104">
        <f t="shared" si="3"/>
        <v>-3.4068983477041903E-2</v>
      </c>
      <c r="AE13" s="104">
        <f t="shared" si="3"/>
        <v>0.11073655452001674</v>
      </c>
      <c r="AF13" s="830">
        <f t="shared" si="3"/>
        <v>0.12576032821606709</v>
      </c>
      <c r="AG13" s="480">
        <f t="shared" ref="AG13:BB13" si="4">AG12/AF12-1</f>
        <v>-4.9188060929791444E-2</v>
      </c>
      <c r="AH13" s="480">
        <f t="shared" si="4"/>
        <v>6.4474755779290405E-2</v>
      </c>
      <c r="AI13" s="105">
        <f t="shared" si="4"/>
        <v>-9.7127072703027451E-2</v>
      </c>
      <c r="AJ13" s="830">
        <f t="shared" si="4"/>
        <v>-5.9609157305369309E-2</v>
      </c>
      <c r="AK13" s="480">
        <f t="shared" si="4"/>
        <v>-3.8730893728812887E-2</v>
      </c>
      <c r="AL13" s="480">
        <f t="shared" si="4"/>
        <v>-4.8564476427001679E-2</v>
      </c>
      <c r="AM13" s="480">
        <f t="shared" si="4"/>
        <v>-2.3007290879800579E-2</v>
      </c>
      <c r="AN13" s="830">
        <f t="shared" si="4"/>
        <v>-0.22583016492898245</v>
      </c>
      <c r="AO13" s="480">
        <f t="shared" si="4"/>
        <v>7.447313773641806E-2</v>
      </c>
      <c r="AP13" s="480">
        <f t="shared" si="4"/>
        <v>-4.3280252013705223E-2</v>
      </c>
      <c r="AQ13" s="480">
        <f t="shared" si="4"/>
        <v>4.1653234258461014E-2</v>
      </c>
      <c r="AR13" s="830">
        <f t="shared" si="4"/>
        <v>-3.4345778749804934E-2</v>
      </c>
      <c r="AS13" s="480">
        <f t="shared" si="4"/>
        <v>-0.19119862869104554</v>
      </c>
      <c r="AT13" s="480">
        <f t="shared" si="4"/>
        <v>0.10602775312754065</v>
      </c>
      <c r="AU13" s="1236">
        <f t="shared" si="4"/>
        <v>1.9583900643311614E-2</v>
      </c>
      <c r="AV13" s="830">
        <f t="shared" si="4"/>
        <v>6.0034277735418362E-2</v>
      </c>
      <c r="AW13" s="480">
        <f t="shared" si="4"/>
        <v>-2.8019862467273393E-2</v>
      </c>
      <c r="AX13" s="480">
        <f t="shared" si="4"/>
        <v>-0.12039208499051279</v>
      </c>
      <c r="AY13" s="1236">
        <f t="shared" si="4"/>
        <v>-1.4806501181359621E-2</v>
      </c>
      <c r="AZ13" s="830">
        <f t="shared" si="4"/>
        <v>9.9605976176086797E-2</v>
      </c>
      <c r="BA13" s="480">
        <f t="shared" si="4"/>
        <v>4.3200143334591878E-3</v>
      </c>
      <c r="BB13" s="480">
        <f t="shared" si="4"/>
        <v>0.24202316425634374</v>
      </c>
      <c r="BC13" s="1236">
        <f t="shared" ref="BC13:BG13" si="5">BC12/BB12-1</f>
        <v>-0.28000000000000003</v>
      </c>
      <c r="BD13" s="830">
        <f t="shared" si="5"/>
        <v>5.0000000000000044E-2</v>
      </c>
      <c r="BE13" s="480">
        <f t="shared" si="5"/>
        <v>-2.0000000000000018E-2</v>
      </c>
      <c r="BF13" s="480">
        <f t="shared" si="5"/>
        <v>0.10000000000000009</v>
      </c>
      <c r="BG13" s="1236">
        <f t="shared" si="5"/>
        <v>-4.0000000000000036E-2</v>
      </c>
      <c r="BH13" s="830">
        <f>BH12/BG12-1</f>
        <v>2.0000000000000018E-2</v>
      </c>
      <c r="BI13" s="480">
        <f>BI12/BH12-1</f>
        <v>-2.9999999999999916E-2</v>
      </c>
      <c r="BJ13" s="480">
        <f>BJ12/BI12-1</f>
        <v>4.0000000000000036E-2</v>
      </c>
      <c r="BK13" s="1236">
        <f>BK12/BJ12-1</f>
        <v>1.0000000000000009E-2</v>
      </c>
      <c r="BL13" s="20"/>
      <c r="BM13" s="270"/>
      <c r="BN13" s="270"/>
      <c r="BO13" s="270"/>
      <c r="BP13" s="270"/>
      <c r="BQ13" s="270"/>
      <c r="BR13" s="270"/>
      <c r="BS13" s="270"/>
      <c r="BT13" s="270"/>
      <c r="BU13" s="270"/>
      <c r="BV13" s="270"/>
      <c r="BW13" s="270"/>
      <c r="BX13" s="270"/>
      <c r="BY13" s="270"/>
      <c r="BZ13" s="270"/>
      <c r="CA13" s="24"/>
      <c r="CB13" s="23"/>
      <c r="CC13" s="74"/>
      <c r="CD13" s="74"/>
      <c r="CE13" s="74"/>
      <c r="CF13" s="260"/>
      <c r="CG13" s="22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260"/>
      <c r="CT13" s="1381"/>
    </row>
    <row r="14" spans="1:98" s="8" customFormat="1" ht="14.25" customHeight="1">
      <c r="A14" s="538"/>
      <c r="B14" s="35" t="s">
        <v>96</v>
      </c>
      <c r="C14" s="268"/>
      <c r="D14" s="165"/>
      <c r="E14" s="104"/>
      <c r="F14" s="104"/>
      <c r="G14" s="105"/>
      <c r="H14" s="165"/>
      <c r="I14" s="104"/>
      <c r="J14" s="104"/>
      <c r="K14" s="105"/>
      <c r="L14" s="165"/>
      <c r="M14" s="104"/>
      <c r="N14" s="104"/>
      <c r="O14" s="105"/>
      <c r="P14" s="165"/>
      <c r="Q14" s="104"/>
      <c r="R14" s="104"/>
      <c r="S14" s="105"/>
      <c r="T14" s="165"/>
      <c r="U14" s="104"/>
      <c r="V14" s="104"/>
      <c r="W14" s="105"/>
      <c r="X14" s="165"/>
      <c r="Y14" s="104"/>
      <c r="Z14" s="104"/>
      <c r="AA14" s="105"/>
      <c r="AB14" s="165"/>
      <c r="AC14" s="104"/>
      <c r="AD14" s="104"/>
      <c r="AE14" s="104">
        <f t="shared" ref="AE14:AU14" si="6">AVERAGE(AA13,W13,S13,O13)</f>
        <v>0.16155473610481574</v>
      </c>
      <c r="AF14" s="830">
        <f t="shared" si="6"/>
        <v>0.1561787976381328</v>
      </c>
      <c r="AG14" s="480">
        <f t="shared" si="6"/>
        <v>-6.0471798507942431E-2</v>
      </c>
      <c r="AH14" s="480">
        <f t="shared" si="6"/>
        <v>-2.2060301937301907E-2</v>
      </c>
      <c r="AI14" s="105">
        <f t="shared" si="6"/>
        <v>0.13614564531241624</v>
      </c>
      <c r="AJ14" s="830">
        <f t="shared" si="6"/>
        <v>0.14096956292709995</v>
      </c>
      <c r="AK14" s="480">
        <f t="shared" si="6"/>
        <v>-5.6710552648558767E-2</v>
      </c>
      <c r="AL14" s="480">
        <f t="shared" si="6"/>
        <v>6.7847173015621971E-3</v>
      </c>
      <c r="AM14" s="480">
        <f t="shared" si="6"/>
        <v>5.8388072640601675E-2</v>
      </c>
      <c r="AN14" s="830">
        <f t="shared" si="6"/>
        <v>7.4109989516276856E-2</v>
      </c>
      <c r="AO14" s="480">
        <f t="shared" si="6"/>
        <v>-5.2215637918622299E-2</v>
      </c>
      <c r="AP14" s="480">
        <f t="shared" si="6"/>
        <v>-7.0525811305787722E-3</v>
      </c>
      <c r="AQ14" s="480">
        <f t="shared" si="6"/>
        <v>3.8039231760501113E-2</v>
      </c>
      <c r="AR14" s="830">
        <f t="shared" si="6"/>
        <v>-8.7504909503796635E-4</v>
      </c>
      <c r="AS14" s="480">
        <f t="shared" si="6"/>
        <v>-2.0909748103836251E-2</v>
      </c>
      <c r="AT14" s="480">
        <f t="shared" si="6"/>
        <v>-1.53597390346146E-2</v>
      </c>
      <c r="AU14" s="1236">
        <f t="shared" si="6"/>
        <v>8.0638562989124307E-3</v>
      </c>
      <c r="AV14" s="830">
        <f>AVERAGE(AR13,AN13,AJ13,AF13,AB13)</f>
        <v>-7.56919502599136E-3</v>
      </c>
      <c r="AW14" s="480">
        <f t="shared" ref="AW14:BG14" si="7">AVERAGE(AS13,AO13,AK13,AG13,AC13)</f>
        <v>-5.4967524221278111E-2</v>
      </c>
      <c r="AX14" s="480">
        <f>AVERAGE(AT13,AP13,AL13,AH13)</f>
        <v>1.9664445116531037E-2</v>
      </c>
      <c r="AY14" s="1236">
        <f>AVERAGE(AU13,AQ13,AM13,AI13)</f>
        <v>-1.4724307170263851E-2</v>
      </c>
      <c r="AZ14" s="104">
        <f>AVERAGE(AV13,AR13,AN13,AJ13)</f>
        <v>-6.4937705812184582E-2</v>
      </c>
      <c r="BA14" s="104">
        <f>AVERAGE(AW13,AS13,AO13,AK13)</f>
        <v>-4.5869061787678439E-2</v>
      </c>
      <c r="BB14" s="104">
        <f>AVERAGE(AX13,AT13,AP13,AL13)</f>
        <v>-2.6552265075919762E-2</v>
      </c>
      <c r="BC14" s="105">
        <f t="shared" si="7"/>
        <v>-1.4740745972483005E-2</v>
      </c>
      <c r="BD14" s="104">
        <f t="shared" si="7"/>
        <v>-3.2028969414530303E-2</v>
      </c>
      <c r="BE14" s="104">
        <f t="shared" si="7"/>
        <v>-3.5831246563450915E-2</v>
      </c>
      <c r="BF14" s="104">
        <f t="shared" si="7"/>
        <v>2.7162820790532938E-2</v>
      </c>
      <c r="BG14" s="105">
        <f t="shared" si="7"/>
        <v>-5.1315331431877519E-2</v>
      </c>
      <c r="BH14" s="104">
        <f>AVERAGE(BD13,AZ13,AV13,AR13,AN13)</f>
        <v>-1.0107137953456436E-2</v>
      </c>
      <c r="BI14" s="104">
        <f>AVERAGE(BE13,BA13,AW13,AS13,AO13)</f>
        <v>-3.2085067817688342E-2</v>
      </c>
      <c r="BJ14" s="104">
        <f>AVERAGE(BF13,BB13,AX13,AT13,AP13)</f>
        <v>5.6875716075933294E-2</v>
      </c>
      <c r="BK14" s="105">
        <f>AVERAGE(BG13,BC13,AY13,AU13,AQ13)</f>
        <v>-5.4713873255917408E-2</v>
      </c>
      <c r="BL14" s="2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4"/>
      <c r="CB14" s="23"/>
      <c r="CC14" s="74"/>
      <c r="CD14" s="74"/>
      <c r="CE14" s="74"/>
      <c r="CF14" s="260"/>
      <c r="CG14" s="22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260"/>
      <c r="CT14" s="1381"/>
    </row>
    <row r="15" spans="1:98" s="8" customFormat="1" ht="14.25" customHeight="1">
      <c r="A15" s="538"/>
      <c r="B15" s="35" t="s">
        <v>518</v>
      </c>
      <c r="C15" s="36"/>
      <c r="D15" s="165"/>
      <c r="E15" s="104"/>
      <c r="F15" s="104"/>
      <c r="G15" s="105"/>
      <c r="H15" s="165"/>
      <c r="I15" s="104"/>
      <c r="J15" s="104"/>
      <c r="K15" s="105"/>
      <c r="L15" s="165"/>
      <c r="M15" s="104"/>
      <c r="N15" s="104"/>
      <c r="O15" s="105"/>
      <c r="P15" s="165"/>
      <c r="Q15" s="104"/>
      <c r="R15" s="104"/>
      <c r="S15" s="105"/>
      <c r="T15" s="165"/>
      <c r="U15" s="104"/>
      <c r="V15" s="104"/>
      <c r="W15" s="105"/>
      <c r="X15" s="165"/>
      <c r="Y15" s="104"/>
      <c r="Z15" s="104"/>
      <c r="AA15" s="105"/>
      <c r="AB15" s="165">
        <f t="shared" ref="AB15:BB15" si="8">AB12/X12-1</f>
        <v>0.2619950251147154</v>
      </c>
      <c r="AC15" s="104">
        <f t="shared" si="8"/>
        <v>0.23614654507158983</v>
      </c>
      <c r="AD15" s="104">
        <f t="shared" si="8"/>
        <v>0.20615611223270558</v>
      </c>
      <c r="AE15" s="104">
        <f t="shared" si="8"/>
        <v>0.15338661422643529</v>
      </c>
      <c r="AF15" s="830">
        <f t="shared" si="8"/>
        <v>0.12304160571361922</v>
      </c>
      <c r="AG15" s="480">
        <f>AG12/AC12-1</f>
        <v>0.14841205575301775</v>
      </c>
      <c r="AH15" s="480">
        <f t="shared" si="8"/>
        <v>0.26557240804020843</v>
      </c>
      <c r="AI15" s="105">
        <f t="shared" si="8"/>
        <v>2.873274504530543E-2</v>
      </c>
      <c r="AJ15" s="830">
        <f t="shared" si="8"/>
        <v>-0.14066002436440417</v>
      </c>
      <c r="AK15" s="480">
        <f t="shared" si="8"/>
        <v>-0.131208879044864</v>
      </c>
      <c r="AL15" s="480">
        <f t="shared" si="8"/>
        <v>-0.22346797746614666</v>
      </c>
      <c r="AM15" s="480">
        <f t="shared" si="8"/>
        <v>-0.15971993236607818</v>
      </c>
      <c r="AN15" s="830">
        <f t="shared" si="8"/>
        <v>-0.30824562316069115</v>
      </c>
      <c r="AO15" s="480">
        <f t="shared" si="8"/>
        <v>-0.22678104291874979</v>
      </c>
      <c r="AP15" s="480">
        <f t="shared" si="8"/>
        <v>-0.22248662423393095</v>
      </c>
      <c r="AQ15" s="480">
        <f t="shared" si="8"/>
        <v>-0.17102828405416692</v>
      </c>
      <c r="AR15" s="830">
        <f t="shared" si="8"/>
        <v>3.4010885643301458E-2</v>
      </c>
      <c r="AS15" s="480">
        <f t="shared" si="8"/>
        <v>-0.22165627703030966</v>
      </c>
      <c r="AT15" s="480">
        <f t="shared" si="8"/>
        <v>-0.10018606714343292</v>
      </c>
      <c r="AU15" s="1236">
        <f t="shared" si="8"/>
        <v>-0.11925027509926767</v>
      </c>
      <c r="AV15" s="830">
        <f t="shared" si="8"/>
        <v>-3.3168521448507571E-2</v>
      </c>
      <c r="AW15" s="480">
        <f t="shared" si="8"/>
        <v>0.16189342257491912</v>
      </c>
      <c r="AX15" s="480">
        <f t="shared" si="8"/>
        <v>-7.5962924072747517E-2</v>
      </c>
      <c r="AY15" s="1236">
        <f t="shared" si="8"/>
        <v>-0.10713054678823175</v>
      </c>
      <c r="AZ15" s="104">
        <f t="shared" si="8"/>
        <v>-7.3799208838611574E-2</v>
      </c>
      <c r="BA15" s="104">
        <f t="shared" si="8"/>
        <v>-4.2982509687810477E-2</v>
      </c>
      <c r="BB15" s="104">
        <f t="shared" si="8"/>
        <v>0.35132696202874669</v>
      </c>
      <c r="BC15" s="105">
        <f t="shared" ref="BC15:BG15" si="9">BC12/AY12-1</f>
        <v>-1.2422012703715346E-2</v>
      </c>
      <c r="BD15" s="104">
        <f t="shared" si="9"/>
        <v>-5.697412607091501E-2</v>
      </c>
      <c r="BE15" s="104">
        <f t="shared" si="9"/>
        <v>-7.980987806576012E-2</v>
      </c>
      <c r="BF15" s="104">
        <f t="shared" si="9"/>
        <v>-0.18503200000000009</v>
      </c>
      <c r="BG15" s="105">
        <f t="shared" si="9"/>
        <v>8.6624000000000034E-2</v>
      </c>
      <c r="BH15" s="104">
        <f>BH12/BD12-1</f>
        <v>5.5577600000000116E-2</v>
      </c>
      <c r="BI15" s="104">
        <f>BI12/BE12-1</f>
        <v>4.4806400000000135E-2</v>
      </c>
      <c r="BJ15" s="104">
        <f>BJ12/BF12-1</f>
        <v>-1.2183039999999923E-2</v>
      </c>
      <c r="BK15" s="105">
        <f>BK12/BG12-1</f>
        <v>3.9265759999999927E-2</v>
      </c>
      <c r="BL15" s="20"/>
      <c r="BM15" s="415"/>
      <c r="BN15" s="415"/>
      <c r="BO15" s="415"/>
      <c r="BP15" s="415"/>
      <c r="BQ15" s="415"/>
      <c r="BR15" s="415"/>
      <c r="BS15" s="415">
        <f t="shared" ref="BS15:BZ15" si="10">BS12/BR12-1</f>
        <v>0.21286591373559283</v>
      </c>
      <c r="BT15" s="415">
        <f t="shared" si="10"/>
        <v>0.13807736046179997</v>
      </c>
      <c r="BU15" s="415">
        <f t="shared" si="10"/>
        <v>-0.16445376032737824</v>
      </c>
      <c r="BV15" s="415">
        <f t="shared" si="10"/>
        <v>-0.23413485752723795</v>
      </c>
      <c r="BW15" s="415">
        <f t="shared" si="10"/>
        <v>-0.1041957300675842</v>
      </c>
      <c r="BX15" s="415">
        <f t="shared" si="10"/>
        <v>-1.8778718140502471E-2</v>
      </c>
      <c r="BY15" s="415">
        <f t="shared" si="10"/>
        <v>4.7511300231607878E-2</v>
      </c>
      <c r="BZ15" s="415">
        <f t="shared" si="10"/>
        <v>-6.9915387917768412E-2</v>
      </c>
      <c r="CA15" s="1455">
        <f>CA12/BZ12-1</f>
        <v>3.1027028544398982E-2</v>
      </c>
      <c r="CB15" s="1494"/>
      <c r="CC15" s="1446"/>
      <c r="CD15" s="1446"/>
      <c r="CE15" s="1446"/>
      <c r="CF15" s="260"/>
      <c r="CG15" s="22"/>
      <c r="CH15" s="14"/>
      <c r="CI15" s="415"/>
      <c r="CJ15" s="415"/>
      <c r="CK15" s="415">
        <f t="shared" ref="CK15:CS15" si="11">+CK12/CJ12-1</f>
        <v>1.2914649394278883</v>
      </c>
      <c r="CL15" s="415">
        <f t="shared" si="11"/>
        <v>0.15460799607317122</v>
      </c>
      <c r="CM15" s="415">
        <f t="shared" si="11"/>
        <v>-7.5590222392065698E-3</v>
      </c>
      <c r="CN15" s="415">
        <f t="shared" si="11"/>
        <v>-0.22826840650716973</v>
      </c>
      <c r="CO15" s="415">
        <f t="shared" si="11"/>
        <v>-0.15340860651273536</v>
      </c>
      <c r="CP15" s="415">
        <f t="shared" si="11"/>
        <v>-3.2648291166700871E-2</v>
      </c>
      <c r="CQ15" s="415">
        <f t="shared" si="11"/>
        <v>-7.4708545445540842E-2</v>
      </c>
      <c r="CR15" s="415">
        <f t="shared" si="11"/>
        <v>4.5839730024337388E-2</v>
      </c>
      <c r="CS15" s="414">
        <f t="shared" si="11"/>
        <v>-1.4750282499813583E-2</v>
      </c>
      <c r="CT15" s="1381"/>
    </row>
    <row r="16" spans="1:98" s="8" customFormat="1" ht="14.25" customHeight="1">
      <c r="A16" s="538"/>
      <c r="B16" s="35" t="s">
        <v>519</v>
      </c>
      <c r="C16" s="268"/>
      <c r="D16" s="165"/>
      <c r="E16" s="104"/>
      <c r="F16" s="104"/>
      <c r="G16" s="105"/>
      <c r="H16" s="165"/>
      <c r="I16" s="104"/>
      <c r="J16" s="104"/>
      <c r="K16" s="105"/>
      <c r="L16" s="165"/>
      <c r="M16" s="104"/>
      <c r="N16" s="104"/>
      <c r="O16" s="105"/>
      <c r="P16" s="165"/>
      <c r="Q16" s="104"/>
      <c r="R16" s="104"/>
      <c r="S16" s="105"/>
      <c r="T16" s="165"/>
      <c r="U16" s="104"/>
      <c r="V16" s="104"/>
      <c r="W16" s="105"/>
      <c r="X16" s="165">
        <f t="shared" ref="X16:AD16" si="12">X12/X100</f>
        <v>0.33</v>
      </c>
      <c r="Y16" s="104">
        <f t="shared" si="12"/>
        <v>0.32</v>
      </c>
      <c r="Z16" s="104">
        <f t="shared" si="12"/>
        <v>0.32</v>
      </c>
      <c r="AA16" s="105">
        <f t="shared" si="12"/>
        <v>0.36</v>
      </c>
      <c r="AB16" s="165">
        <f t="shared" si="12"/>
        <v>0.40999999999999992</v>
      </c>
      <c r="AC16" s="104">
        <f t="shared" si="12"/>
        <v>0.41</v>
      </c>
      <c r="AD16" s="104">
        <f t="shared" si="12"/>
        <v>0.41</v>
      </c>
      <c r="AE16" s="104">
        <f>AE12/IS!AE10</f>
        <v>0.43</v>
      </c>
      <c r="AF16" s="830">
        <f>AF12/AF100</f>
        <v>0.47</v>
      </c>
      <c r="AG16" s="480">
        <f>AG12/AG100</f>
        <v>0.45999999999999996</v>
      </c>
      <c r="AH16" s="480">
        <f>AH12/IS!AH10</f>
        <v>0.49000000000000005</v>
      </c>
      <c r="AI16" s="105">
        <f>AI12/IS!AI10</f>
        <v>0.43999999999999995</v>
      </c>
      <c r="AJ16" s="830">
        <f t="shared" ref="AJ16:AY16" si="13">AJ12/AJ100</f>
        <v>0.43</v>
      </c>
      <c r="AK16" s="480">
        <f t="shared" si="13"/>
        <v>0.39</v>
      </c>
      <c r="AL16" s="480">
        <f t="shared" si="13"/>
        <v>0.38</v>
      </c>
      <c r="AM16" s="480">
        <f t="shared" si="13"/>
        <v>0.35</v>
      </c>
      <c r="AN16" s="830">
        <f t="shared" si="13"/>
        <v>0.3</v>
      </c>
      <c r="AO16" s="480">
        <f t="shared" si="13"/>
        <v>0.33</v>
      </c>
      <c r="AP16" s="480">
        <f t="shared" si="13"/>
        <v>0.30999999999999994</v>
      </c>
      <c r="AQ16" s="480">
        <f t="shared" si="13"/>
        <v>0.32</v>
      </c>
      <c r="AR16" s="830">
        <f t="shared" si="13"/>
        <v>0.32</v>
      </c>
      <c r="AS16" s="480">
        <f t="shared" si="13"/>
        <v>0.28499999999999998</v>
      </c>
      <c r="AT16" s="480">
        <f t="shared" si="13"/>
        <v>0.28999999999999998</v>
      </c>
      <c r="AU16" s="1236">
        <f t="shared" si="13"/>
        <v>0.28999999999999998</v>
      </c>
      <c r="AV16" s="830">
        <f t="shared" si="13"/>
        <v>0.31</v>
      </c>
      <c r="AW16" s="480">
        <f t="shared" si="13"/>
        <v>0.307</v>
      </c>
      <c r="AX16" s="480">
        <f t="shared" si="13"/>
        <v>0.25600000000000001</v>
      </c>
      <c r="AY16" s="1236">
        <f t="shared" si="13"/>
        <v>0.24350000000000002</v>
      </c>
      <c r="AZ16" s="104">
        <f>AZ12/AZ100</f>
        <v>0.28000000000000003</v>
      </c>
      <c r="BA16" s="104">
        <f>BA12/BA100</f>
        <v>0.26</v>
      </c>
      <c r="BB16" s="104">
        <f>BB12/BB100</f>
        <v>0.30999999999999994</v>
      </c>
      <c r="BC16" s="105">
        <f>BC12/IS!BC10</f>
        <v>0.22983061319054726</v>
      </c>
      <c r="BD16" s="104">
        <f>BD12/IS!BD10</f>
        <v>0.24740413564789987</v>
      </c>
      <c r="BE16" s="104">
        <f>BE12/IS!BE10</f>
        <v>0.24200280925094217</v>
      </c>
      <c r="BF16" s="104">
        <f>BF12/IS!BF10</f>
        <v>0.25297756461888876</v>
      </c>
      <c r="BG16" s="105">
        <f>BG12/IS!BG10</f>
        <v>0.2403170127924264</v>
      </c>
      <c r="BH16" s="104">
        <f>BH12/IS!BH10</f>
        <v>0.24912083484957767</v>
      </c>
      <c r="BI16" s="104">
        <f>BI12/IS!BI10</f>
        <v>0.24183296340053054</v>
      </c>
      <c r="BJ16" s="104">
        <f>BJ12/IS!BJ10</f>
        <v>0.24167556246272467</v>
      </c>
      <c r="BK16" s="105">
        <f>BK12/IS!BK10</f>
        <v>0.2377708316682699</v>
      </c>
      <c r="BL16" s="20"/>
      <c r="BM16" s="480"/>
      <c r="BN16" s="415"/>
      <c r="BO16" s="415"/>
      <c r="BP16" s="415"/>
      <c r="BQ16" s="415"/>
      <c r="BR16" s="415">
        <f t="shared" ref="BR16:BY16" si="14">BR12/BR100</f>
        <v>0.33266857201332667</v>
      </c>
      <c r="BS16" s="415">
        <f t="shared" si="14"/>
        <v>0.41503389807237606</v>
      </c>
      <c r="BT16" s="415">
        <f t="shared" si="14"/>
        <v>0.46500249645806052</v>
      </c>
      <c r="BU16" s="415">
        <f t="shared" si="14"/>
        <v>0.38659861602836243</v>
      </c>
      <c r="BV16" s="415">
        <f t="shared" si="14"/>
        <v>0.3149238273257548</v>
      </c>
      <c r="BW16" s="415">
        <f t="shared" si="14"/>
        <v>0.29652527498964548</v>
      </c>
      <c r="BX16" s="415">
        <f t="shared" si="14"/>
        <v>0.27816888263058048</v>
      </c>
      <c r="BY16" s="415">
        <f t="shared" si="14"/>
        <v>0.27006951662857626</v>
      </c>
      <c r="BZ16" s="415">
        <f>BZ12/BZ100</f>
        <v>0.24568480260540368</v>
      </c>
      <c r="CA16" s="105">
        <f>CA12/CA100</f>
        <v>0.24251180827794666</v>
      </c>
      <c r="CB16" s="830"/>
      <c r="CC16" s="480"/>
      <c r="CD16" s="480"/>
      <c r="CE16" s="480"/>
      <c r="CF16" s="260"/>
      <c r="CG16" s="22"/>
      <c r="CH16" s="14"/>
      <c r="CI16" s="14"/>
      <c r="CJ16" s="14"/>
      <c r="CK16" s="862">
        <f t="shared" ref="CK16:CR16" si="15">CK12/CK$110</f>
        <v>0.3750762590185347</v>
      </c>
      <c r="CL16" s="862">
        <f t="shared" si="15"/>
        <v>0.44316585355507415</v>
      </c>
      <c r="CM16" s="862">
        <f t="shared" si="15"/>
        <v>0.43726208171445136</v>
      </c>
      <c r="CN16" s="862">
        <f t="shared" si="15"/>
        <v>0.34074014542223885</v>
      </c>
      <c r="CO16" s="862">
        <f t="shared" si="15"/>
        <v>0.30940867288427271</v>
      </c>
      <c r="CP16" s="862">
        <f t="shared" si="15"/>
        <v>0.29921977981638237</v>
      </c>
      <c r="CQ16" s="862">
        <f t="shared" si="15"/>
        <v>0.25968741722771971</v>
      </c>
      <c r="CR16" s="862">
        <f t="shared" si="15"/>
        <v>0.2578510542536922</v>
      </c>
      <c r="CS16" s="864">
        <f>CS12/CS$110</f>
        <v>0.2460493580640937</v>
      </c>
      <c r="CT16" s="1381"/>
    </row>
    <row r="17" spans="1:98" s="8" customFormat="1" ht="14.25" customHeight="1">
      <c r="A17" s="538"/>
      <c r="B17" s="1399" t="s">
        <v>624</v>
      </c>
      <c r="C17" s="1400"/>
      <c r="D17" s="1401"/>
      <c r="E17" s="1402"/>
      <c r="F17" s="1402"/>
      <c r="G17" s="1403"/>
      <c r="H17" s="1401"/>
      <c r="I17" s="1402"/>
      <c r="J17" s="1402"/>
      <c r="K17" s="1403"/>
      <c r="L17" s="1401"/>
      <c r="M17" s="1402"/>
      <c r="N17" s="1402"/>
      <c r="O17" s="1403"/>
      <c r="P17" s="1401"/>
      <c r="Q17" s="1402"/>
      <c r="R17" s="1402"/>
      <c r="S17" s="1403"/>
      <c r="T17" s="1401"/>
      <c r="U17" s="1402"/>
      <c r="V17" s="1402"/>
      <c r="W17" s="1403"/>
      <c r="X17" s="1401"/>
      <c r="Y17" s="1402"/>
      <c r="Z17" s="1402"/>
      <c r="AA17" s="1403"/>
      <c r="AB17" s="1401"/>
      <c r="AC17" s="1402"/>
      <c r="AD17" s="1402"/>
      <c r="AE17" s="1402"/>
      <c r="AF17" s="1404"/>
      <c r="AG17" s="1405"/>
      <c r="AH17" s="1405"/>
      <c r="AI17" s="1403"/>
      <c r="AJ17" s="1404"/>
      <c r="AK17" s="1405"/>
      <c r="AL17" s="1405"/>
      <c r="AM17" s="1405"/>
      <c r="AN17" s="1404"/>
      <c r="AO17" s="1405"/>
      <c r="AP17" s="1405"/>
      <c r="AQ17" s="1405"/>
      <c r="AR17" s="1404"/>
      <c r="AS17" s="1405"/>
      <c r="AT17" s="1405"/>
      <c r="AU17" s="1406"/>
      <c r="AV17" s="1404"/>
      <c r="AW17" s="1405"/>
      <c r="AX17" s="1405"/>
      <c r="AY17" s="1407">
        <f>AY12-AY20</f>
        <v>144.68821749999998</v>
      </c>
      <c r="AZ17" s="1408">
        <f>AZ12-AZ20</f>
        <v>161.18928000000002</v>
      </c>
      <c r="BA17" s="1409">
        <f>BA12-BA20</f>
        <v>152.08561999999998</v>
      </c>
      <c r="BB17" s="1409">
        <f>BB12-BB20</f>
        <v>201.06569000000002</v>
      </c>
      <c r="BC17" s="1407">
        <f t="shared" ref="BC17:BG17" si="16">BB17*(1+BC18)</f>
        <v>144.7672968</v>
      </c>
      <c r="BD17" s="1408">
        <f t="shared" si="16"/>
        <v>152.00566164</v>
      </c>
      <c r="BE17" s="1409">
        <f t="shared" si="16"/>
        <v>148.9655484072</v>
      </c>
      <c r="BF17" s="1409">
        <f t="shared" si="16"/>
        <v>163.86210324792</v>
      </c>
      <c r="BG17" s="1407">
        <f t="shared" si="16"/>
        <v>157.3076191180032</v>
      </c>
      <c r="BH17" s="1408">
        <f>BG17*(1+BH18)</f>
        <v>160.45377150036327</v>
      </c>
      <c r="BI17" s="1409">
        <f>BH17*(1+BI18)</f>
        <v>155.64015835535238</v>
      </c>
      <c r="BJ17" s="1409">
        <f>BI17*(1+BJ18)</f>
        <v>161.86576468956648</v>
      </c>
      <c r="BK17" s="1407">
        <f>BJ17*(1+BK18)</f>
        <v>163.48442233646213</v>
      </c>
      <c r="BL17" s="20"/>
      <c r="BM17" s="480"/>
      <c r="BN17" s="415"/>
      <c r="BO17" s="415"/>
      <c r="BP17" s="415"/>
      <c r="BQ17" s="415"/>
      <c r="BR17" s="415"/>
      <c r="BS17" s="415"/>
      <c r="BT17" s="415"/>
      <c r="BU17" s="415"/>
      <c r="BV17" s="415"/>
      <c r="BW17" s="415"/>
      <c r="BX17" s="415"/>
      <c r="BY17" s="415"/>
      <c r="BZ17" s="415"/>
      <c r="CA17" s="105"/>
      <c r="CB17" s="830"/>
      <c r="CC17" s="480"/>
      <c r="CD17" s="480"/>
      <c r="CE17" s="480"/>
      <c r="CF17" s="260"/>
      <c r="CG17" s="22"/>
      <c r="CH17" s="14"/>
      <c r="CI17" s="14"/>
      <c r="CJ17" s="14"/>
      <c r="CK17" s="862"/>
      <c r="CL17" s="862"/>
      <c r="CM17" s="862"/>
      <c r="CN17" s="862"/>
      <c r="CO17" s="862"/>
      <c r="CP17" s="862"/>
      <c r="CQ17" s="862"/>
      <c r="CR17" s="862"/>
      <c r="CS17" s="864"/>
      <c r="CT17" s="1381"/>
    </row>
    <row r="18" spans="1:98" s="8" customFormat="1" ht="14.25" customHeight="1">
      <c r="A18" s="538"/>
      <c r="B18" s="1410" t="s">
        <v>517</v>
      </c>
      <c r="C18" s="1400"/>
      <c r="D18" s="1401"/>
      <c r="E18" s="1402"/>
      <c r="F18" s="1402"/>
      <c r="G18" s="1403"/>
      <c r="H18" s="1401"/>
      <c r="I18" s="1402"/>
      <c r="J18" s="1402"/>
      <c r="K18" s="1403"/>
      <c r="L18" s="1401"/>
      <c r="M18" s="1402"/>
      <c r="N18" s="1402"/>
      <c r="O18" s="1403"/>
      <c r="P18" s="1401"/>
      <c r="Q18" s="1402"/>
      <c r="R18" s="1402"/>
      <c r="S18" s="1403"/>
      <c r="T18" s="1401"/>
      <c r="U18" s="1402"/>
      <c r="V18" s="1402"/>
      <c r="W18" s="1403"/>
      <c r="X18" s="1401"/>
      <c r="Y18" s="1402"/>
      <c r="Z18" s="1402"/>
      <c r="AA18" s="1403"/>
      <c r="AB18" s="1401"/>
      <c r="AC18" s="1402"/>
      <c r="AD18" s="1402"/>
      <c r="AE18" s="1402"/>
      <c r="AF18" s="1404"/>
      <c r="AG18" s="1405"/>
      <c r="AH18" s="1405"/>
      <c r="AI18" s="1403"/>
      <c r="AJ18" s="1404"/>
      <c r="AK18" s="1405"/>
      <c r="AL18" s="1405"/>
      <c r="AM18" s="1405"/>
      <c r="AN18" s="1404"/>
      <c r="AO18" s="1405"/>
      <c r="AP18" s="1405"/>
      <c r="AQ18" s="1405"/>
      <c r="AR18" s="1404"/>
      <c r="AS18" s="1405"/>
      <c r="AT18" s="1405"/>
      <c r="AU18" s="1406"/>
      <c r="AV18" s="1404"/>
      <c r="AW18" s="1405"/>
      <c r="AX18" s="1405"/>
      <c r="AY18" s="1406">
        <f>AY17/AX12-1</f>
        <v>-2.7576065336510247E-2</v>
      </c>
      <c r="AZ18" s="1462">
        <f>AZ17/AY12-1</f>
        <v>9.9605976176086797E-2</v>
      </c>
      <c r="BA18" s="1504">
        <f>BA17/AZ12-1</f>
        <v>-5.6478073479824698E-2</v>
      </c>
      <c r="BB18" s="1504">
        <f>BB17/BA12-1</f>
        <v>0.24202316425634374</v>
      </c>
      <c r="BC18" s="1413">
        <v>-0.28000000000000003</v>
      </c>
      <c r="BD18" s="1411">
        <v>0.05</v>
      </c>
      <c r="BE18" s="1412">
        <v>-0.02</v>
      </c>
      <c r="BF18" s="1412">
        <v>0.1</v>
      </c>
      <c r="BG18" s="1413">
        <v>-0.04</v>
      </c>
      <c r="BH18" s="1411">
        <v>0.02</v>
      </c>
      <c r="BI18" s="1412">
        <v>-0.03</v>
      </c>
      <c r="BJ18" s="1412">
        <v>0.04</v>
      </c>
      <c r="BK18" s="1413">
        <v>0.01</v>
      </c>
      <c r="BL18" s="20"/>
      <c r="BM18" s="480"/>
      <c r="BN18" s="415"/>
      <c r="BO18" s="415"/>
      <c r="BP18" s="415"/>
      <c r="BQ18" s="415"/>
      <c r="BR18" s="415"/>
      <c r="BS18" s="415"/>
      <c r="BT18" s="415"/>
      <c r="BU18" s="415"/>
      <c r="BV18" s="415"/>
      <c r="BW18" s="415"/>
      <c r="BX18" s="415"/>
      <c r="BY18" s="415"/>
      <c r="BZ18" s="415"/>
      <c r="CA18" s="105"/>
      <c r="CB18" s="830"/>
      <c r="CC18" s="480"/>
      <c r="CD18" s="480"/>
      <c r="CE18" s="480"/>
      <c r="CF18" s="260"/>
      <c r="CG18" s="22"/>
      <c r="CH18" s="14"/>
      <c r="CI18" s="14"/>
      <c r="CJ18" s="14"/>
      <c r="CK18" s="862"/>
      <c r="CL18" s="862"/>
      <c r="CM18" s="862"/>
      <c r="CN18" s="862"/>
      <c r="CO18" s="862"/>
      <c r="CP18" s="862"/>
      <c r="CQ18" s="862"/>
      <c r="CR18" s="862"/>
      <c r="CS18" s="864"/>
      <c r="CT18" s="1381"/>
    </row>
    <row r="19" spans="1:98" s="8" customFormat="1" ht="14.25" customHeight="1">
      <c r="A19" s="538"/>
      <c r="B19" s="1410" t="s">
        <v>518</v>
      </c>
      <c r="C19" s="1400"/>
      <c r="D19" s="1401"/>
      <c r="E19" s="1402"/>
      <c r="F19" s="1402"/>
      <c r="G19" s="1403"/>
      <c r="H19" s="1401"/>
      <c r="I19" s="1402"/>
      <c r="J19" s="1402"/>
      <c r="K19" s="1403"/>
      <c r="L19" s="1401"/>
      <c r="M19" s="1402"/>
      <c r="N19" s="1402"/>
      <c r="O19" s="1403"/>
      <c r="P19" s="1401"/>
      <c r="Q19" s="1402"/>
      <c r="R19" s="1402"/>
      <c r="S19" s="1403"/>
      <c r="T19" s="1401"/>
      <c r="U19" s="1402"/>
      <c r="V19" s="1402"/>
      <c r="W19" s="1403"/>
      <c r="X19" s="1401"/>
      <c r="Y19" s="1402"/>
      <c r="Z19" s="1402"/>
      <c r="AA19" s="1403"/>
      <c r="AB19" s="1401"/>
      <c r="AC19" s="1402"/>
      <c r="AD19" s="1402"/>
      <c r="AE19" s="1402"/>
      <c r="AF19" s="1404"/>
      <c r="AG19" s="1405"/>
      <c r="AH19" s="1405"/>
      <c r="AI19" s="1403"/>
      <c r="AJ19" s="1404"/>
      <c r="AK19" s="1405"/>
      <c r="AL19" s="1405"/>
      <c r="AM19" s="1405"/>
      <c r="AN19" s="1404"/>
      <c r="AO19" s="1405"/>
      <c r="AP19" s="1405"/>
      <c r="AQ19" s="1405"/>
      <c r="AR19" s="1404"/>
      <c r="AS19" s="1405"/>
      <c r="AT19" s="1405"/>
      <c r="AU19" s="1406"/>
      <c r="AV19" s="1404"/>
      <c r="AW19" s="1405"/>
      <c r="AX19" s="1405"/>
      <c r="AY19" s="1406">
        <f>AY17/AU12-1</f>
        <v>-0.11870345482978273</v>
      </c>
      <c r="AZ19" s="1404">
        <f>AZ17/AV12-1</f>
        <v>-7.3799208838611574E-2</v>
      </c>
      <c r="BA19" s="1405">
        <f>BA17/AW12-1</f>
        <v>-0.10091706499333708</v>
      </c>
      <c r="BB19" s="1405">
        <f>BB17/AX12-1</f>
        <v>0.35132696202874669</v>
      </c>
      <c r="BC19" s="1403">
        <f t="shared" ref="BC19:BK19" si="17">BC17/AY17-1</f>
        <v>5.4654968708844898E-4</v>
      </c>
      <c r="BD19" s="1404">
        <f t="shared" si="17"/>
        <v>-5.697412607091501E-2</v>
      </c>
      <c r="BE19" s="1405">
        <f t="shared" si="17"/>
        <v>-2.0515230781187443E-2</v>
      </c>
      <c r="BF19" s="1405">
        <f t="shared" si="17"/>
        <v>-0.18503200000000009</v>
      </c>
      <c r="BG19" s="1403">
        <f t="shared" si="17"/>
        <v>8.6624000000000034E-2</v>
      </c>
      <c r="BH19" s="1404">
        <f t="shared" si="17"/>
        <v>5.5577600000000116E-2</v>
      </c>
      <c r="BI19" s="1405">
        <f t="shared" si="17"/>
        <v>4.4806400000000135E-2</v>
      </c>
      <c r="BJ19" s="1405">
        <f t="shared" si="17"/>
        <v>-1.2183039999999923E-2</v>
      </c>
      <c r="BK19" s="1403">
        <f t="shared" si="17"/>
        <v>3.9265759999999927E-2</v>
      </c>
      <c r="BL19" s="20"/>
      <c r="BM19" s="480"/>
      <c r="BN19" s="415"/>
      <c r="BO19" s="415"/>
      <c r="BP19" s="415"/>
      <c r="BQ19" s="415"/>
      <c r="BR19" s="415"/>
      <c r="BS19" s="415"/>
      <c r="BT19" s="415"/>
      <c r="BU19" s="415"/>
      <c r="BV19" s="415"/>
      <c r="BW19" s="415"/>
      <c r="BX19" s="415"/>
      <c r="BY19" s="415"/>
      <c r="BZ19" s="415"/>
      <c r="CA19" s="105"/>
      <c r="CB19" s="830"/>
      <c r="CC19" s="480"/>
      <c r="CD19" s="480"/>
      <c r="CE19" s="480"/>
      <c r="CF19" s="260"/>
      <c r="CG19" s="22"/>
      <c r="CH19" s="14"/>
      <c r="CI19" s="14"/>
      <c r="CJ19" s="14"/>
      <c r="CK19" s="862"/>
      <c r="CL19" s="862"/>
      <c r="CM19" s="862"/>
      <c r="CN19" s="862"/>
      <c r="CO19" s="862"/>
      <c r="CP19" s="862"/>
      <c r="CQ19" s="862"/>
      <c r="CR19" s="862"/>
      <c r="CS19" s="864"/>
      <c r="CT19" s="1381"/>
    </row>
    <row r="20" spans="1:98" s="8" customFormat="1" ht="14.25" customHeight="1">
      <c r="A20" s="538"/>
      <c r="B20" s="1399" t="s">
        <v>646</v>
      </c>
      <c r="C20" s="1400"/>
      <c r="D20" s="1401"/>
      <c r="E20" s="1402"/>
      <c r="F20" s="1402"/>
      <c r="G20" s="1403"/>
      <c r="H20" s="1401"/>
      <c r="I20" s="1402"/>
      <c r="J20" s="1402"/>
      <c r="K20" s="1403"/>
      <c r="L20" s="1401"/>
      <c r="M20" s="1402"/>
      <c r="N20" s="1402"/>
      <c r="O20" s="1403"/>
      <c r="P20" s="1401"/>
      <c r="Q20" s="1402"/>
      <c r="R20" s="1402"/>
      <c r="S20" s="1403"/>
      <c r="T20" s="1401"/>
      <c r="U20" s="1402"/>
      <c r="V20" s="1402"/>
      <c r="W20" s="1403"/>
      <c r="X20" s="1401"/>
      <c r="Y20" s="1402"/>
      <c r="Z20" s="1402"/>
      <c r="AA20" s="1403"/>
      <c r="AB20" s="1401"/>
      <c r="AC20" s="1402"/>
      <c r="AD20" s="1402"/>
      <c r="AE20" s="1402"/>
      <c r="AF20" s="1404"/>
      <c r="AG20" s="1405"/>
      <c r="AH20" s="1405"/>
      <c r="AI20" s="1403"/>
      <c r="AJ20" s="1404"/>
      <c r="AK20" s="1405"/>
      <c r="AL20" s="1405"/>
      <c r="AM20" s="1405"/>
      <c r="AN20" s="1404"/>
      <c r="AO20" s="1405"/>
      <c r="AP20" s="1405"/>
      <c r="AQ20" s="1405"/>
      <c r="AR20" s="1404"/>
      <c r="AS20" s="1405"/>
      <c r="AT20" s="1405"/>
      <c r="AU20" s="1406"/>
      <c r="AV20" s="1404"/>
      <c r="AW20" s="1405"/>
      <c r="AX20" s="1405"/>
      <c r="AY20" s="1407">
        <f>AY308</f>
        <v>1.9000000000000001</v>
      </c>
      <c r="AZ20" s="1414">
        <f t="shared" ref="AZ20:BK20" si="18">AZ308</f>
        <v>0</v>
      </c>
      <c r="BA20" s="1414">
        <f>BA308</f>
        <v>9.8000000000000007</v>
      </c>
      <c r="BB20" s="1414">
        <f>BB308</f>
        <v>0</v>
      </c>
      <c r="BC20" s="1407">
        <f t="shared" si="18"/>
        <v>0</v>
      </c>
      <c r="BD20" s="1414">
        <f t="shared" si="18"/>
        <v>0</v>
      </c>
      <c r="BE20" s="1409">
        <f t="shared" si="18"/>
        <v>0</v>
      </c>
      <c r="BF20" s="1409">
        <f t="shared" si="18"/>
        <v>0</v>
      </c>
      <c r="BG20" s="1407">
        <f t="shared" si="18"/>
        <v>0</v>
      </c>
      <c r="BH20" s="1414">
        <f t="shared" si="18"/>
        <v>0</v>
      </c>
      <c r="BI20" s="1409">
        <f t="shared" si="18"/>
        <v>0</v>
      </c>
      <c r="BJ20" s="1409">
        <f t="shared" si="18"/>
        <v>0</v>
      </c>
      <c r="BK20" s="1407">
        <f t="shared" si="18"/>
        <v>0</v>
      </c>
      <c r="BL20" s="20"/>
      <c r="BM20" s="480"/>
      <c r="BN20" s="415"/>
      <c r="BO20" s="415"/>
      <c r="BP20" s="415"/>
      <c r="BQ20" s="415"/>
      <c r="BR20" s="415"/>
      <c r="BS20" s="415"/>
      <c r="BT20" s="415"/>
      <c r="BU20" s="415"/>
      <c r="BV20" s="415"/>
      <c r="BW20" s="415"/>
      <c r="BX20" s="415"/>
      <c r="BY20" s="415"/>
      <c r="BZ20" s="415"/>
      <c r="CA20" s="105"/>
      <c r="CB20" s="830"/>
      <c r="CC20" s="480"/>
      <c r="CD20" s="480"/>
      <c r="CE20" s="480"/>
      <c r="CF20" s="260"/>
      <c r="CG20" s="22"/>
      <c r="CH20" s="14"/>
      <c r="CI20" s="14"/>
      <c r="CJ20" s="14"/>
      <c r="CK20" s="862"/>
      <c r="CL20" s="862"/>
      <c r="CM20" s="862"/>
      <c r="CN20" s="862"/>
      <c r="CO20" s="862"/>
      <c r="CP20" s="862"/>
      <c r="CQ20" s="862"/>
      <c r="CR20" s="862"/>
      <c r="CS20" s="864"/>
      <c r="CT20" s="1381"/>
    </row>
    <row r="21" spans="1:98" s="713" customFormat="1" ht="14.25" hidden="1" customHeight="1" outlineLevel="1">
      <c r="A21" s="703"/>
      <c r="B21" s="704" t="s">
        <v>98</v>
      </c>
      <c r="C21" s="705"/>
      <c r="D21" s="706"/>
      <c r="E21" s="707"/>
      <c r="F21" s="707"/>
      <c r="G21" s="708"/>
      <c r="H21" s="706"/>
      <c r="I21" s="707"/>
      <c r="J21" s="707"/>
      <c r="K21" s="708"/>
      <c r="L21" s="706"/>
      <c r="M21" s="707"/>
      <c r="N21" s="707"/>
      <c r="O21" s="708"/>
      <c r="P21" s="706"/>
      <c r="Q21" s="707"/>
      <c r="R21" s="707"/>
      <c r="S21" s="708"/>
      <c r="T21" s="706"/>
      <c r="U21" s="707"/>
      <c r="V21" s="707"/>
      <c r="W21" s="708"/>
      <c r="X21" s="706"/>
      <c r="Y21" s="707">
        <f>0.14*0.3*Y100</f>
        <v>25.743312000000003</v>
      </c>
      <c r="Z21" s="707"/>
      <c r="AA21" s="708">
        <f>0.19*0.33*AA100</f>
        <v>39.280985699999981</v>
      </c>
      <c r="AB21" s="706"/>
      <c r="AC21" s="707"/>
      <c r="AD21" s="707"/>
      <c r="AE21" s="707"/>
      <c r="AF21" s="824"/>
      <c r="AG21" s="710"/>
      <c r="AH21" s="710"/>
      <c r="AI21" s="708"/>
      <c r="AJ21" s="824"/>
      <c r="AK21" s="707"/>
      <c r="AL21" s="707"/>
      <c r="AM21" s="708"/>
      <c r="AN21" s="824"/>
      <c r="AO21" s="707"/>
      <c r="AP21" s="707"/>
      <c r="AQ21" s="708"/>
      <c r="AR21" s="706"/>
      <c r="AS21" s="707"/>
      <c r="AT21" s="707"/>
      <c r="AU21" s="708"/>
      <c r="AV21" s="706"/>
      <c r="AW21" s="707"/>
      <c r="AX21" s="707"/>
      <c r="AY21" s="708"/>
      <c r="AZ21" s="707"/>
      <c r="BA21" s="707"/>
      <c r="BB21" s="707"/>
      <c r="BC21" s="708"/>
      <c r="BD21" s="707"/>
      <c r="BE21" s="707"/>
      <c r="BF21" s="707"/>
      <c r="BG21" s="708"/>
      <c r="BH21" s="707"/>
      <c r="BI21" s="707"/>
      <c r="BJ21" s="707"/>
      <c r="BK21" s="708"/>
      <c r="BL21" s="709"/>
      <c r="BM21" s="710"/>
      <c r="BN21" s="711"/>
      <c r="BO21" s="711"/>
      <c r="BP21" s="711"/>
      <c r="BQ21" s="711"/>
      <c r="BR21" s="711"/>
      <c r="BS21" s="711"/>
      <c r="BT21" s="711"/>
      <c r="BU21" s="711"/>
      <c r="BV21" s="711"/>
      <c r="BW21" s="711"/>
      <c r="BX21" s="711"/>
      <c r="BY21" s="711"/>
      <c r="BZ21" s="711"/>
      <c r="CA21" s="708"/>
      <c r="CB21" s="824"/>
      <c r="CC21" s="710"/>
      <c r="CD21" s="710"/>
      <c r="CE21" s="710"/>
      <c r="CF21" s="793"/>
      <c r="CG21" s="712"/>
      <c r="CH21" s="792"/>
      <c r="CI21" s="792"/>
      <c r="CJ21" s="792"/>
      <c r="CK21" s="792"/>
      <c r="CL21" s="792"/>
      <c r="CM21" s="792"/>
      <c r="CN21" s="792"/>
      <c r="CO21" s="792"/>
      <c r="CP21" s="792"/>
      <c r="CQ21" s="792"/>
      <c r="CR21" s="792"/>
      <c r="CS21" s="793"/>
      <c r="CT21" s="1381"/>
    </row>
    <row r="22" spans="1:98" s="713" customFormat="1" ht="14.25" hidden="1" customHeight="1" outlineLevel="1">
      <c r="A22" s="703"/>
      <c r="B22" s="704" t="s">
        <v>99</v>
      </c>
      <c r="C22" s="705"/>
      <c r="D22" s="706"/>
      <c r="E22" s="707"/>
      <c r="F22" s="707"/>
      <c r="G22" s="708"/>
      <c r="H22" s="706"/>
      <c r="I22" s="707"/>
      <c r="J22" s="707"/>
      <c r="K22" s="708"/>
      <c r="L22" s="706"/>
      <c r="M22" s="707"/>
      <c r="N22" s="707"/>
      <c r="O22" s="708"/>
      <c r="P22" s="706"/>
      <c r="Q22" s="707"/>
      <c r="R22" s="707"/>
      <c r="S22" s="708"/>
      <c r="T22" s="706"/>
      <c r="U22" s="707"/>
      <c r="V22" s="707"/>
      <c r="W22" s="708"/>
      <c r="X22" s="706"/>
      <c r="Y22" s="707">
        <f>Y12-Y21</f>
        <v>170.396208</v>
      </c>
      <c r="Z22" s="707"/>
      <c r="AA22" s="708">
        <f>AA12-AA21</f>
        <v>186.2557742999999</v>
      </c>
      <c r="AB22" s="706"/>
      <c r="AC22" s="707"/>
      <c r="AD22" s="707"/>
      <c r="AE22" s="707"/>
      <c r="AF22" s="830"/>
      <c r="AG22" s="710"/>
      <c r="AH22" s="710"/>
      <c r="AI22" s="708"/>
      <c r="AJ22" s="830"/>
      <c r="AK22" s="707"/>
      <c r="AL22" s="707"/>
      <c r="AM22" s="708"/>
      <c r="AN22" s="706"/>
      <c r="AO22" s="707"/>
      <c r="AP22" s="707"/>
      <c r="AQ22" s="708"/>
      <c r="AR22" s="706"/>
      <c r="AS22" s="707"/>
      <c r="AT22" s="707"/>
      <c r="AU22" s="708"/>
      <c r="AV22" s="706"/>
      <c r="AW22" s="707"/>
      <c r="AX22" s="707"/>
      <c r="AY22" s="708"/>
      <c r="AZ22" s="707"/>
      <c r="BA22" s="707"/>
      <c r="BB22" s="707"/>
      <c r="BC22" s="708"/>
      <c r="BD22" s="707"/>
      <c r="BE22" s="707"/>
      <c r="BF22" s="707"/>
      <c r="BG22" s="708"/>
      <c r="BH22" s="707"/>
      <c r="BI22" s="707"/>
      <c r="BJ22" s="707"/>
      <c r="BK22" s="708"/>
      <c r="BL22" s="709"/>
      <c r="BM22" s="710"/>
      <c r="BN22" s="711"/>
      <c r="BO22" s="711"/>
      <c r="BP22" s="711"/>
      <c r="BQ22" s="711"/>
      <c r="BR22" s="711"/>
      <c r="BS22" s="711"/>
      <c r="BT22" s="711"/>
      <c r="BU22" s="711"/>
      <c r="BV22" s="711"/>
      <c r="BW22" s="711"/>
      <c r="BX22" s="711"/>
      <c r="BY22" s="711"/>
      <c r="BZ22" s="711"/>
      <c r="CA22" s="708"/>
      <c r="CB22" s="824"/>
      <c r="CC22" s="710"/>
      <c r="CD22" s="710"/>
      <c r="CE22" s="710"/>
      <c r="CF22" s="793"/>
      <c r="CG22" s="712"/>
      <c r="CH22" s="792"/>
      <c r="CI22" s="792"/>
      <c r="CJ22" s="792"/>
      <c r="CK22" s="792"/>
      <c r="CL22" s="792"/>
      <c r="CM22" s="792"/>
      <c r="CN22" s="792"/>
      <c r="CO22" s="792"/>
      <c r="CP22" s="792"/>
      <c r="CQ22" s="792"/>
      <c r="CR22" s="792"/>
      <c r="CS22" s="793"/>
      <c r="CT22" s="1381"/>
    </row>
    <row r="23" spans="1:98" s="8" customFormat="1" ht="14.25" hidden="1" customHeight="1" outlineLevel="1">
      <c r="A23" s="538"/>
      <c r="B23" s="35"/>
      <c r="C23" s="268"/>
      <c r="D23" s="165"/>
      <c r="E23" s="104"/>
      <c r="F23" s="104"/>
      <c r="G23" s="105"/>
      <c r="H23" s="165"/>
      <c r="I23" s="104"/>
      <c r="J23" s="104"/>
      <c r="K23" s="105"/>
      <c r="L23" s="165"/>
      <c r="M23" s="104"/>
      <c r="N23" s="104"/>
      <c r="O23" s="105"/>
      <c r="P23" s="165"/>
      <c r="Q23" s="104"/>
      <c r="R23" s="104"/>
      <c r="S23" s="105"/>
      <c r="T23" s="165"/>
      <c r="U23" s="104"/>
      <c r="V23" s="104"/>
      <c r="W23" s="105"/>
      <c r="X23" s="165"/>
      <c r="Y23" s="104"/>
      <c r="Z23" s="104"/>
      <c r="AA23" s="105"/>
      <c r="AB23" s="165"/>
      <c r="AC23" s="104"/>
      <c r="AD23" s="104"/>
      <c r="AE23" s="106"/>
      <c r="AF23" s="830"/>
      <c r="AG23" s="480"/>
      <c r="AH23" s="480"/>
      <c r="AI23" s="107"/>
      <c r="AJ23" s="830"/>
      <c r="AK23" s="106"/>
      <c r="AL23" s="106"/>
      <c r="AM23" s="107"/>
      <c r="AN23" s="108"/>
      <c r="AO23" s="106"/>
      <c r="AP23" s="106"/>
      <c r="AQ23" s="107"/>
      <c r="AR23" s="108"/>
      <c r="AS23" s="106"/>
      <c r="AT23" s="106"/>
      <c r="AU23" s="107"/>
      <c r="AV23" s="108"/>
      <c r="AW23" s="106"/>
      <c r="AX23" s="106"/>
      <c r="AY23" s="107"/>
      <c r="AZ23" s="106"/>
      <c r="BA23" s="106"/>
      <c r="BB23" s="106"/>
      <c r="BC23" s="107"/>
      <c r="BD23" s="106"/>
      <c r="BE23" s="106"/>
      <c r="BF23" s="106"/>
      <c r="BG23" s="107"/>
      <c r="BH23" s="106"/>
      <c r="BI23" s="106"/>
      <c r="BJ23" s="106"/>
      <c r="BK23" s="107"/>
      <c r="BL23" s="20"/>
      <c r="BM23" s="270"/>
      <c r="BN23" s="270"/>
      <c r="BO23" s="270"/>
      <c r="BP23" s="270"/>
      <c r="BQ23" s="270"/>
      <c r="BR23" s="270"/>
      <c r="BS23" s="270"/>
      <c r="BT23" s="270"/>
      <c r="BU23" s="270"/>
      <c r="BV23" s="270"/>
      <c r="BW23" s="270"/>
      <c r="BX23" s="270"/>
      <c r="BY23" s="270"/>
      <c r="BZ23" s="270"/>
      <c r="CA23" s="24"/>
      <c r="CB23" s="23"/>
      <c r="CC23" s="74"/>
      <c r="CD23" s="74"/>
      <c r="CE23" s="74"/>
      <c r="CF23" s="260"/>
      <c r="CG23" s="22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260"/>
      <c r="CT23" s="1381"/>
    </row>
    <row r="24" spans="1:98" s="8" customFormat="1" ht="14.25" hidden="1" customHeight="1" outlineLevel="1">
      <c r="A24" s="538"/>
      <c r="B24" s="47" t="s">
        <v>565</v>
      </c>
      <c r="C24" s="268"/>
      <c r="D24" s="486"/>
      <c r="E24" s="416"/>
      <c r="F24" s="416"/>
      <c r="G24" s="417"/>
      <c r="H24" s="486"/>
      <c r="I24" s="416"/>
      <c r="J24" s="416"/>
      <c r="K24" s="417"/>
      <c r="L24" s="486"/>
      <c r="M24" s="416"/>
      <c r="N24" s="416"/>
      <c r="O24" s="417"/>
      <c r="P24" s="486"/>
      <c r="Q24" s="416"/>
      <c r="R24" s="416"/>
      <c r="S24" s="417"/>
      <c r="T24" s="486"/>
      <c r="U24" s="416"/>
      <c r="V24" s="416"/>
      <c r="W24" s="417"/>
      <c r="X24" s="486">
        <f t="shared" ref="X24:AR24" si="19">X$111*X16</f>
        <v>127.45062</v>
      </c>
      <c r="Y24" s="416">
        <f t="shared" si="19"/>
        <v>121.68800000000002</v>
      </c>
      <c r="Z24" s="416">
        <f t="shared" si="19"/>
        <v>119.24799999999999</v>
      </c>
      <c r="AA24" s="417">
        <f t="shared" si="19"/>
        <v>140.69699999999989</v>
      </c>
      <c r="AB24" s="486">
        <f t="shared" si="19"/>
        <v>162.14392999999995</v>
      </c>
      <c r="AC24" s="416">
        <f t="shared" si="19"/>
        <v>142.6636</v>
      </c>
      <c r="AD24" s="416">
        <f t="shared" si="19"/>
        <v>137.52629999999996</v>
      </c>
      <c r="AE24" s="416">
        <f t="shared" si="19"/>
        <v>159.95527000000001</v>
      </c>
      <c r="AF24" s="486">
        <f t="shared" si="19"/>
        <v>181.27477000000002</v>
      </c>
      <c r="AG24" s="416">
        <f t="shared" si="19"/>
        <v>167.15249999999997</v>
      </c>
      <c r="AH24" s="416">
        <f t="shared" si="19"/>
        <v>184.28998000000001</v>
      </c>
      <c r="AI24" s="417">
        <f t="shared" si="19"/>
        <v>163.41555999999997</v>
      </c>
      <c r="AJ24" s="486">
        <f t="shared" si="19"/>
        <v>149.29428000000001</v>
      </c>
      <c r="AK24" s="416">
        <f t="shared" si="19"/>
        <v>128.18208000000001</v>
      </c>
      <c r="AL24" s="416">
        <f t="shared" si="19"/>
        <v>129.17606000000001</v>
      </c>
      <c r="AM24" s="416">
        <f t="shared" si="19"/>
        <v>129.136</v>
      </c>
      <c r="AN24" s="486">
        <f t="shared" si="19"/>
        <v>101.619</v>
      </c>
      <c r="AO24" s="416">
        <f t="shared" si="19"/>
        <v>103.64541</v>
      </c>
      <c r="AP24" s="416">
        <f t="shared" si="19"/>
        <v>97.733079999999987</v>
      </c>
      <c r="AQ24" s="416">
        <f t="shared" si="19"/>
        <v>97.184320000000028</v>
      </c>
      <c r="AR24" s="486">
        <f t="shared" si="19"/>
        <v>91.632320000000007</v>
      </c>
      <c r="AS24" s="416">
        <f>AS27*AS12</f>
        <v>83.268164999999968</v>
      </c>
      <c r="AT24" s="416">
        <f>AT27*AT12</f>
        <v>92.463889999999978</v>
      </c>
      <c r="AU24" s="417">
        <f>AU$111*AU16</f>
        <v>100.63782999999999</v>
      </c>
      <c r="AV24" s="486">
        <f>AV$111*AV16</f>
        <v>107.17692</v>
      </c>
      <c r="AW24" s="416">
        <f>AW27*AW12</f>
        <v>104.434646</v>
      </c>
      <c r="AX24" s="416">
        <f>AX27*AX12</f>
        <v>93.927424000000002</v>
      </c>
      <c r="AY24" s="417">
        <f>AY$111*AY16</f>
        <v>95.857671000000011</v>
      </c>
      <c r="AZ24" s="416">
        <f>AZ$111*AZ16</f>
        <v>104.67268000000001</v>
      </c>
      <c r="BA24" s="416">
        <f>BA$111*BA16</f>
        <v>106.51575999999999</v>
      </c>
      <c r="BB24" s="416">
        <f>BB$111*BB16</f>
        <v>131.42325999999997</v>
      </c>
      <c r="BC24" s="417">
        <f t="shared" ref="BC24:BG24" si="20">BC27*BC12</f>
        <v>94.46595211090397</v>
      </c>
      <c r="BD24" s="416">
        <f t="shared" si="20"/>
        <v>101.84379329880001</v>
      </c>
      <c r="BE24" s="416">
        <f t="shared" si="20"/>
        <v>99.955882981231213</v>
      </c>
      <c r="BF24" s="416">
        <f t="shared" si="20"/>
        <v>110.27919548585017</v>
      </c>
      <c r="BG24" s="417">
        <f t="shared" si="20"/>
        <v>106.33995052377017</v>
      </c>
      <c r="BH24" s="416">
        <f>BH27*BH12</f>
        <v>108.30629576274522</v>
      </c>
      <c r="BI24" s="416">
        <f>BI27*BI12</f>
        <v>105.05710688986287</v>
      </c>
      <c r="BJ24" s="416">
        <f>BJ27*BJ12</f>
        <v>109.5831226948365</v>
      </c>
      <c r="BK24" s="417">
        <f>BK27*BK12</f>
        <v>111.0059227664578</v>
      </c>
      <c r="BL24" s="319"/>
      <c r="BM24" s="409"/>
      <c r="BN24" s="409"/>
      <c r="BO24" s="409"/>
      <c r="BP24" s="409"/>
      <c r="BQ24" s="409"/>
      <c r="BR24" s="409">
        <f>SUM(X24:AA24)</f>
        <v>509.08361999999988</v>
      </c>
      <c r="BS24" s="409">
        <f>SUM(AB24:AE24)</f>
        <v>602.28909999999996</v>
      </c>
      <c r="BT24" s="409">
        <f>SUM(AF24:AI24)</f>
        <v>696.13281000000006</v>
      </c>
      <c r="BU24" s="409">
        <f>SUM(AJ24:AM24)</f>
        <v>535.78841999999997</v>
      </c>
      <c r="BV24" s="409">
        <f>SUM(AN24:AQ24)</f>
        <v>400.18180999999998</v>
      </c>
      <c r="BW24" s="409">
        <f>SUM(AR24:AU24)</f>
        <v>368.00220499999995</v>
      </c>
      <c r="BX24" s="409">
        <f>SUM(AV24:AY24)</f>
        <v>401.39666099999999</v>
      </c>
      <c r="BY24" s="409">
        <f>SUM(AZ24:BC24)</f>
        <v>437.07765211090395</v>
      </c>
      <c r="BZ24" s="409">
        <f>SUM(BA24:BD24)</f>
        <v>434.24876540970394</v>
      </c>
      <c r="CA24" s="51">
        <f>SUM(BB24:BE24)</f>
        <v>427.68888839093518</v>
      </c>
      <c r="CB24" s="528"/>
      <c r="CC24" s="529"/>
      <c r="CD24" s="529"/>
      <c r="CE24" s="529"/>
      <c r="CF24" s="260"/>
      <c r="CG24" s="22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260"/>
      <c r="CT24" s="1381"/>
    </row>
    <row r="25" spans="1:98" s="8" customFormat="1" ht="14.25" hidden="1" customHeight="1" outlineLevel="1">
      <c r="A25" s="538"/>
      <c r="B25" s="35" t="s">
        <v>517</v>
      </c>
      <c r="C25" s="268"/>
      <c r="D25" s="165"/>
      <c r="E25" s="104"/>
      <c r="F25" s="104"/>
      <c r="G25" s="105"/>
      <c r="H25" s="165"/>
      <c r="I25" s="104"/>
      <c r="J25" s="104"/>
      <c r="K25" s="105"/>
      <c r="L25" s="165"/>
      <c r="M25" s="104"/>
      <c r="N25" s="104"/>
      <c r="O25" s="105"/>
      <c r="P25" s="165"/>
      <c r="Q25" s="104"/>
      <c r="R25" s="104"/>
      <c r="S25" s="105"/>
      <c r="T25" s="165"/>
      <c r="U25" s="104"/>
      <c r="V25" s="104"/>
      <c r="W25" s="105"/>
      <c r="X25" s="165"/>
      <c r="Y25" s="104">
        <f t="shared" ref="Y25:AR25" si="21">Y24/X24-1</f>
        <v>-4.5214530929704289E-2</v>
      </c>
      <c r="Z25" s="104">
        <f t="shared" si="21"/>
        <v>-2.0051278679902862E-2</v>
      </c>
      <c r="AA25" s="105">
        <f t="shared" si="21"/>
        <v>0.17986884476049836</v>
      </c>
      <c r="AB25" s="165">
        <f t="shared" si="21"/>
        <v>0.15243345629260108</v>
      </c>
      <c r="AC25" s="104">
        <f t="shared" si="21"/>
        <v>-0.12014220945551246</v>
      </c>
      <c r="AD25" s="104">
        <f t="shared" si="21"/>
        <v>-3.6009886193815621E-2</v>
      </c>
      <c r="AE25" s="104">
        <f t="shared" si="21"/>
        <v>0.16308858741927956</v>
      </c>
      <c r="AF25" s="830">
        <f t="shared" si="21"/>
        <v>0.13328413624633928</v>
      </c>
      <c r="AG25" s="480">
        <f>AG24/AF24-1</f>
        <v>-7.7905325710798223E-2</v>
      </c>
      <c r="AH25" s="480">
        <f t="shared" si="21"/>
        <v>0.10252601666143213</v>
      </c>
      <c r="AI25" s="105">
        <f t="shared" si="21"/>
        <v>-0.11326942463176803</v>
      </c>
      <c r="AJ25" s="165">
        <f t="shared" si="21"/>
        <v>-8.6413313395615199E-2</v>
      </c>
      <c r="AK25" s="104">
        <f t="shared" si="21"/>
        <v>-0.1414133213944968</v>
      </c>
      <c r="AL25" s="104">
        <f t="shared" si="21"/>
        <v>7.7544380618570496E-3</v>
      </c>
      <c r="AM25" s="104">
        <f t="shared" si="21"/>
        <v>-3.1011938280212092E-4</v>
      </c>
      <c r="AN25" s="165">
        <f t="shared" si="21"/>
        <v>-0.21308542931483088</v>
      </c>
      <c r="AO25" s="104">
        <f t="shared" si="21"/>
        <v>1.9941251143978933E-2</v>
      </c>
      <c r="AP25" s="104">
        <f t="shared" si="21"/>
        <v>-5.7043818920683664E-2</v>
      </c>
      <c r="AQ25" s="104">
        <f t="shared" si="21"/>
        <v>-5.6148849499060294E-3</v>
      </c>
      <c r="AR25" s="165">
        <f t="shared" si="21"/>
        <v>-5.7128557363986476E-2</v>
      </c>
      <c r="AS25" s="104">
        <f t="shared" ref="AS25:BB25" si="22">AS24/AR24-1</f>
        <v>-9.1279528882385996E-2</v>
      </c>
      <c r="AT25" s="104">
        <f t="shared" si="22"/>
        <v>0.11043506242751966</v>
      </c>
      <c r="AU25" s="105">
        <f t="shared" si="22"/>
        <v>8.840142892538938E-2</v>
      </c>
      <c r="AV25" s="165">
        <f t="shared" si="22"/>
        <v>6.497646064109297E-2</v>
      </c>
      <c r="AW25" s="104">
        <f t="shared" si="22"/>
        <v>-2.5586422897765582E-2</v>
      </c>
      <c r="AX25" s="104">
        <f t="shared" si="22"/>
        <v>-0.10061050046552555</v>
      </c>
      <c r="AY25" s="105">
        <f t="shared" si="22"/>
        <v>2.0550409218078824E-2</v>
      </c>
      <c r="AZ25" s="104">
        <f t="shared" si="22"/>
        <v>9.1959348772410632E-2</v>
      </c>
      <c r="BA25" s="104">
        <f t="shared" si="22"/>
        <v>1.7608032965239495E-2</v>
      </c>
      <c r="BB25" s="104">
        <f t="shared" si="22"/>
        <v>0.23383863570987051</v>
      </c>
      <c r="BC25" s="105">
        <f t="shared" ref="BC25:BG25" si="23">BC24/BB24-1</f>
        <v>-0.28120827233395373</v>
      </c>
      <c r="BD25" s="104">
        <f t="shared" si="23"/>
        <v>7.8100532763745178E-2</v>
      </c>
      <c r="BE25" s="104">
        <f t="shared" si="23"/>
        <v>-1.8537313432835822E-2</v>
      </c>
      <c r="BF25" s="104">
        <f t="shared" si="23"/>
        <v>0.10327868852458999</v>
      </c>
      <c r="BG25" s="105">
        <f t="shared" si="23"/>
        <v>-3.5720653789004464E-2</v>
      </c>
      <c r="BH25" s="104">
        <f>BH24/BG24-1</f>
        <v>1.8491124260355152E-2</v>
      </c>
      <c r="BI25" s="104">
        <f>BI24/BH24-1</f>
        <v>-3.0000000000000027E-2</v>
      </c>
      <c r="BJ25" s="104">
        <f>BJ24/BI24-1</f>
        <v>4.3081481481481498E-2</v>
      </c>
      <c r="BK25" s="105">
        <f>BK24/BJ24-1</f>
        <v>1.298375184638112E-2</v>
      </c>
      <c r="BL25" s="20"/>
      <c r="BM25" s="270"/>
      <c r="BN25" s="270"/>
      <c r="BO25" s="270"/>
      <c r="BP25" s="270"/>
      <c r="BQ25" s="270"/>
      <c r="BR25" s="270"/>
      <c r="BS25" s="270"/>
      <c r="BT25" s="270"/>
      <c r="BU25" s="270"/>
      <c r="BV25" s="270"/>
      <c r="BW25" s="270"/>
      <c r="BX25" s="270"/>
      <c r="BY25" s="270"/>
      <c r="BZ25" s="270"/>
      <c r="CA25" s="24"/>
      <c r="CB25" s="23"/>
      <c r="CC25" s="74"/>
      <c r="CD25" s="74"/>
      <c r="CE25" s="74"/>
      <c r="CF25" s="260"/>
      <c r="CG25" s="22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260"/>
      <c r="CT25" s="1381"/>
    </row>
    <row r="26" spans="1:98" s="8" customFormat="1" ht="14.25" hidden="1" customHeight="1" outlineLevel="1">
      <c r="A26" s="538"/>
      <c r="B26" s="35" t="s">
        <v>518</v>
      </c>
      <c r="C26" s="268"/>
      <c r="D26" s="165"/>
      <c r="E26" s="104"/>
      <c r="F26" s="104"/>
      <c r="G26" s="105"/>
      <c r="H26" s="165"/>
      <c r="I26" s="104"/>
      <c r="J26" s="104"/>
      <c r="K26" s="105"/>
      <c r="L26" s="165"/>
      <c r="M26" s="104"/>
      <c r="N26" s="104"/>
      <c r="O26" s="105"/>
      <c r="P26" s="165"/>
      <c r="Q26" s="104"/>
      <c r="R26" s="104"/>
      <c r="S26" s="105"/>
      <c r="T26" s="165"/>
      <c r="U26" s="104"/>
      <c r="V26" s="104"/>
      <c r="W26" s="105"/>
      <c r="X26" s="165"/>
      <c r="Y26" s="104"/>
      <c r="Z26" s="104"/>
      <c r="AA26" s="105"/>
      <c r="AB26" s="165">
        <f t="shared" ref="AB26:AR26" si="24">AB24/X24-1</f>
        <v>0.27220981741791417</v>
      </c>
      <c r="AC26" s="104">
        <f t="shared" si="24"/>
        <v>0.17237196765498641</v>
      </c>
      <c r="AD26" s="104">
        <f t="shared" si="24"/>
        <v>0.15327971957600939</v>
      </c>
      <c r="AE26" s="104">
        <f t="shared" si="24"/>
        <v>0.13687761643816243</v>
      </c>
      <c r="AF26" s="830">
        <f t="shared" si="24"/>
        <v>0.11798677878351693</v>
      </c>
      <c r="AG26" s="480">
        <f>AG24/AC24-1</f>
        <v>0.17165485800162039</v>
      </c>
      <c r="AH26" s="480">
        <f t="shared" si="24"/>
        <v>0.34003445159216872</v>
      </c>
      <c r="AI26" s="105">
        <f t="shared" si="24"/>
        <v>2.1632860236489693E-2</v>
      </c>
      <c r="AJ26" s="165">
        <f t="shared" si="24"/>
        <v>-0.17641997284012556</v>
      </c>
      <c r="AK26" s="104">
        <f t="shared" si="24"/>
        <v>-0.23314290842194985</v>
      </c>
      <c r="AL26" s="104">
        <f t="shared" si="24"/>
        <v>-0.29906086049822134</v>
      </c>
      <c r="AM26" s="104">
        <f t="shared" si="24"/>
        <v>-0.20976925330733487</v>
      </c>
      <c r="AN26" s="165">
        <f t="shared" si="24"/>
        <v>-0.31933761963284868</v>
      </c>
      <c r="AO26" s="104">
        <f t="shared" si="24"/>
        <v>-0.19142043880080595</v>
      </c>
      <c r="AP26" s="104">
        <f t="shared" si="24"/>
        <v>-0.24341182104485937</v>
      </c>
      <c r="AQ26" s="104">
        <f t="shared" si="24"/>
        <v>-0.24742658902242576</v>
      </c>
      <c r="AR26" s="165">
        <f t="shared" si="24"/>
        <v>-9.8275716155443282E-2</v>
      </c>
      <c r="AS26" s="104">
        <f t="shared" ref="AS26:BB26" si="25">AS24/AO24-1</f>
        <v>-0.19660537789372468</v>
      </c>
      <c r="AT26" s="104">
        <f t="shared" si="25"/>
        <v>-5.3914089272537047E-2</v>
      </c>
      <c r="AU26" s="105">
        <f t="shared" si="25"/>
        <v>3.5535670774873518E-2</v>
      </c>
      <c r="AV26" s="165">
        <f t="shared" si="25"/>
        <v>0.16964101749251781</v>
      </c>
      <c r="AW26" s="104">
        <f t="shared" si="25"/>
        <v>0.25419655879290781</v>
      </c>
      <c r="AX26" s="104">
        <f t="shared" si="25"/>
        <v>1.5828168163809941E-2</v>
      </c>
      <c r="AY26" s="105">
        <f t="shared" si="25"/>
        <v>-4.7498629491514066E-2</v>
      </c>
      <c r="AZ26" s="104">
        <f t="shared" si="25"/>
        <v>-2.336547831380098E-2</v>
      </c>
      <c r="BA26" s="104">
        <f t="shared" si="25"/>
        <v>1.9927429064105606E-2</v>
      </c>
      <c r="BB26" s="104">
        <f t="shared" si="25"/>
        <v>0.39920008878344171</v>
      </c>
      <c r="BC26" s="105">
        <f t="shared" ref="BC26:BG26" si="26">BC24/AY24-1</f>
        <v>-1.4518596942502793E-2</v>
      </c>
      <c r="BD26" s="104">
        <f t="shared" si="26"/>
        <v>-2.7026027242256556E-2</v>
      </c>
      <c r="BE26" s="104">
        <f t="shared" si="26"/>
        <v>-6.1585975810234839E-2</v>
      </c>
      <c r="BF26" s="104">
        <f t="shared" si="26"/>
        <v>-0.16088525360084516</v>
      </c>
      <c r="BG26" s="105">
        <f t="shared" si="26"/>
        <v>0.12569606453472271</v>
      </c>
      <c r="BH26" s="104">
        <f>BH24/BD24-1</f>
        <v>6.3455044776119518E-2</v>
      </c>
      <c r="BI26" s="104">
        <f>BI24/BE24-1</f>
        <v>5.1034754098360668E-2</v>
      </c>
      <c r="BJ26" s="104">
        <f>BJ24/BF24-1</f>
        <v>-6.3119139375927835E-3</v>
      </c>
      <c r="BK26" s="105">
        <f>BK24/BG24-1</f>
        <v>4.3877886153846246E-2</v>
      </c>
      <c r="BL26" s="20"/>
      <c r="BM26" s="415"/>
      <c r="BN26" s="480"/>
      <c r="BO26" s="415"/>
      <c r="BP26" s="415"/>
      <c r="BQ26" s="415"/>
      <c r="BR26" s="415" t="e">
        <f t="shared" ref="BR26:CA26" si="27">BR24/BQ24-1</f>
        <v>#DIV/0!</v>
      </c>
      <c r="BS26" s="415">
        <f t="shared" si="27"/>
        <v>0.18308481423935841</v>
      </c>
      <c r="BT26" s="415">
        <f t="shared" si="27"/>
        <v>0.1558117355934221</v>
      </c>
      <c r="BU26" s="415">
        <f t="shared" si="27"/>
        <v>-0.23033591822801758</v>
      </c>
      <c r="BV26" s="415">
        <f t="shared" si="27"/>
        <v>-0.25309731404795943</v>
      </c>
      <c r="BW26" s="415">
        <f t="shared" si="27"/>
        <v>-8.0412463025243519E-2</v>
      </c>
      <c r="BX26" s="415">
        <f t="shared" si="27"/>
        <v>9.0745260616033718E-2</v>
      </c>
      <c r="BY26" s="415">
        <f t="shared" si="27"/>
        <v>8.8892097462923259E-2</v>
      </c>
      <c r="BZ26" s="415">
        <f t="shared" si="27"/>
        <v>-6.4722748636030225E-3</v>
      </c>
      <c r="CA26" s="503">
        <f t="shared" si="27"/>
        <v>-1.5106265213165715E-2</v>
      </c>
      <c r="CB26" s="1234"/>
      <c r="CC26" s="809"/>
      <c r="CD26" s="809"/>
      <c r="CE26" s="809"/>
      <c r="CF26" s="260"/>
      <c r="CG26" s="22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260"/>
      <c r="CT26" s="1381"/>
    </row>
    <row r="27" spans="1:98" s="8" customFormat="1" ht="14.25" hidden="1" customHeight="1" outlineLevel="1">
      <c r="A27" s="538"/>
      <c r="B27" s="35" t="s">
        <v>538</v>
      </c>
      <c r="C27" s="268"/>
      <c r="D27" s="165"/>
      <c r="E27" s="104"/>
      <c r="F27" s="104"/>
      <c r="G27" s="105"/>
      <c r="H27" s="165"/>
      <c r="I27" s="104"/>
      <c r="J27" s="104"/>
      <c r="K27" s="105"/>
      <c r="L27" s="165"/>
      <c r="M27" s="104"/>
      <c r="N27" s="104"/>
      <c r="O27" s="105"/>
      <c r="P27" s="165"/>
      <c r="Q27" s="104"/>
      <c r="R27" s="104"/>
      <c r="S27" s="105"/>
      <c r="T27" s="165"/>
      <c r="U27" s="104"/>
      <c r="V27" s="104"/>
      <c r="W27" s="105"/>
      <c r="X27" s="165">
        <f t="shared" ref="X27:AC27" si="28">X24/X12</f>
        <v>0.61681831031128864</v>
      </c>
      <c r="Y27" s="104">
        <f t="shared" si="28"/>
        <v>0.62041550830755587</v>
      </c>
      <c r="Z27" s="104">
        <f t="shared" si="28"/>
        <v>0.61414857237031839</v>
      </c>
      <c r="AA27" s="105">
        <f t="shared" si="28"/>
        <v>0.62383178688919694</v>
      </c>
      <c r="AB27" s="165">
        <f t="shared" si="28"/>
        <v>0.62181093770145368</v>
      </c>
      <c r="AC27" s="104">
        <f t="shared" si="28"/>
        <v>0.58840738028845418</v>
      </c>
      <c r="AD27" s="104">
        <f>AD24/AD12</f>
        <v>0.58722505829709448</v>
      </c>
      <c r="AE27" s="104">
        <f>AE24/AE12</f>
        <v>0.61490257142668237</v>
      </c>
      <c r="AF27" s="830">
        <f>AF24/AF12</f>
        <v>0.61901215744493043</v>
      </c>
      <c r="AG27" s="480">
        <f>AG24/AG12</f>
        <v>0.60031620370523331</v>
      </c>
      <c r="AH27" s="480">
        <v>0.6</v>
      </c>
      <c r="AI27" s="105">
        <f t="shared" ref="AI27:AN27" si="29">AI24/AI12</f>
        <v>0.61065877006349945</v>
      </c>
      <c r="AJ27" s="165">
        <f t="shared" si="29"/>
        <v>0.59325303592878842</v>
      </c>
      <c r="AK27" s="104">
        <f t="shared" si="29"/>
        <v>0.52988195539390659</v>
      </c>
      <c r="AL27" s="104">
        <f t="shared" si="29"/>
        <v>0.56124758742638448</v>
      </c>
      <c r="AM27" s="104">
        <f t="shared" si="29"/>
        <v>0.5742863057557821</v>
      </c>
      <c r="AN27" s="165">
        <f t="shared" si="29"/>
        <v>0.58374046788160794</v>
      </c>
      <c r="AO27" s="104">
        <f>AO24/AO12</f>
        <v>0.55411434892529943</v>
      </c>
      <c r="AP27" s="104">
        <f>AP24/AP12</f>
        <v>0.54614274602737389</v>
      </c>
      <c r="AQ27" s="104">
        <f>AQ24/AQ12</f>
        <v>0.5213598916426474</v>
      </c>
      <c r="AR27" s="165">
        <f>AR24/AR12</f>
        <v>0.50905939449965343</v>
      </c>
      <c r="AS27" s="104">
        <f>IS!AS32</f>
        <v>0.57194845261935934</v>
      </c>
      <c r="AT27" s="104">
        <f>IS!AT32</f>
        <v>0.57422755793765712</v>
      </c>
      <c r="AU27" s="105">
        <f>AU24/AU12</f>
        <v>0.61298544846906877</v>
      </c>
      <c r="AV27" s="165">
        <f>AV24/AV12</f>
        <v>0.61584336190496547</v>
      </c>
      <c r="AW27" s="104">
        <f>IS!AW32</f>
        <v>0.61738518107143769</v>
      </c>
      <c r="AX27" s="104">
        <f>IS!AX32</f>
        <v>0.63126961405054227</v>
      </c>
      <c r="AY27" s="105">
        <f>AY24/AY12</f>
        <v>0.65392480128902597</v>
      </c>
      <c r="AZ27" s="104">
        <f>AZ24/AZ12</f>
        <v>0.64937742758079198</v>
      </c>
      <c r="BA27" s="104">
        <f>BA24/BA12</f>
        <v>0.65796925014093277</v>
      </c>
      <c r="BB27" s="104">
        <f>BB24/BB12</f>
        <v>0.65363344686007818</v>
      </c>
      <c r="BC27" s="105">
        <f>IS!BC32</f>
        <v>0.65253654795676186</v>
      </c>
      <c r="BD27" s="104">
        <f>IS!BD32</f>
        <v>0.67</v>
      </c>
      <c r="BE27" s="104">
        <f>IS!BE32</f>
        <v>0.67100000000000004</v>
      </c>
      <c r="BF27" s="104">
        <f>IS!BF32</f>
        <v>0.67300000000000004</v>
      </c>
      <c r="BG27" s="105">
        <f>IS!BG32</f>
        <v>0.67600000000000005</v>
      </c>
      <c r="BH27" s="104">
        <f>IS!BH32</f>
        <v>0.67500000000000004</v>
      </c>
      <c r="BI27" s="104">
        <f>IS!BI32</f>
        <v>0.67500000000000004</v>
      </c>
      <c r="BJ27" s="104">
        <f>IS!BJ32</f>
        <v>0.67700000000000005</v>
      </c>
      <c r="BK27" s="105">
        <f>IS!BK32</f>
        <v>0.67900000000000005</v>
      </c>
      <c r="BL27" s="20"/>
      <c r="BM27" s="480"/>
      <c r="BN27" s="415"/>
      <c r="BO27" s="415"/>
      <c r="BP27" s="415"/>
      <c r="BQ27" s="415"/>
      <c r="BR27" s="415">
        <f t="shared" ref="BR27:BW27" si="30">BR24/BR12</f>
        <v>0.61896911395507781</v>
      </c>
      <c r="BS27" s="415">
        <f t="shared" si="30"/>
        <v>0.60377074737635417</v>
      </c>
      <c r="BT27" s="415">
        <f t="shared" si="30"/>
        <v>0.61317915606583662</v>
      </c>
      <c r="BU27" s="415">
        <f t="shared" si="30"/>
        <v>0.56483046623493205</v>
      </c>
      <c r="BV27" s="415">
        <f t="shared" si="30"/>
        <v>0.55084553264338976</v>
      </c>
      <c r="BW27" s="415">
        <f t="shared" si="30"/>
        <v>0.56547027472340516</v>
      </c>
      <c r="BX27" s="415">
        <f>BX24/BX12</f>
        <v>0.62858810094797646</v>
      </c>
      <c r="BY27" s="415">
        <f>BY24/BY12</f>
        <v>0.65341979177708209</v>
      </c>
      <c r="BZ27" s="415">
        <f>BZ24/BZ12</f>
        <v>0.69799099012078447</v>
      </c>
      <c r="CA27" s="1455">
        <f>CA24/CA12</f>
        <v>0.66675939046734345</v>
      </c>
      <c r="CB27" s="1494"/>
      <c r="CC27" s="1446"/>
      <c r="CD27" s="1446"/>
      <c r="CE27" s="1446"/>
      <c r="CF27" s="260"/>
      <c r="CG27" s="22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260"/>
      <c r="CT27" s="1381"/>
    </row>
    <row r="28" spans="1:98" s="8" customFormat="1" ht="14.25" customHeight="1" collapsed="1">
      <c r="A28" s="538"/>
      <c r="B28" s="366"/>
      <c r="C28" s="291"/>
      <c r="D28" s="392"/>
      <c r="E28" s="271"/>
      <c r="F28" s="271"/>
      <c r="G28" s="272"/>
      <c r="H28" s="392"/>
      <c r="I28" s="271"/>
      <c r="J28" s="271"/>
      <c r="K28" s="272"/>
      <c r="L28" s="392"/>
      <c r="M28" s="271"/>
      <c r="N28" s="271"/>
      <c r="O28" s="272"/>
      <c r="P28" s="392"/>
      <c r="Q28" s="271"/>
      <c r="R28" s="271"/>
      <c r="S28" s="272"/>
      <c r="T28" s="392"/>
      <c r="U28" s="271"/>
      <c r="V28" s="271"/>
      <c r="W28" s="272"/>
      <c r="X28" s="392"/>
      <c r="Y28" s="271"/>
      <c r="Z28" s="271"/>
      <c r="AA28" s="272"/>
      <c r="AB28" s="392"/>
      <c r="AC28" s="271"/>
      <c r="AD28" s="271"/>
      <c r="AE28" s="362"/>
      <c r="AF28" s="831"/>
      <c r="AG28" s="832"/>
      <c r="AH28" s="1415"/>
      <c r="AI28" s="1416"/>
      <c r="AJ28" s="831"/>
      <c r="AK28" s="77"/>
      <c r="AL28" s="77"/>
      <c r="AM28" s="72"/>
      <c r="AN28" s="71"/>
      <c r="AO28" s="77"/>
      <c r="AP28" s="77"/>
      <c r="AQ28" s="72"/>
      <c r="AR28" s="71"/>
      <c r="AS28" s="77"/>
      <c r="AT28" s="77"/>
      <c r="AU28" s="72"/>
      <c r="AV28" s="71"/>
      <c r="AW28" s="77"/>
      <c r="AX28" s="77"/>
      <c r="AY28" s="72"/>
      <c r="AZ28" s="77"/>
      <c r="BA28" s="74"/>
      <c r="BB28" s="74"/>
      <c r="BC28" s="24"/>
      <c r="BD28" s="74"/>
      <c r="BE28" s="74"/>
      <c r="BF28" s="74"/>
      <c r="BG28" s="24"/>
      <c r="BH28" s="74"/>
      <c r="BI28" s="74"/>
      <c r="BJ28" s="74"/>
      <c r="BK28" s="24"/>
      <c r="BL28" s="20"/>
      <c r="BM28" s="251"/>
      <c r="BN28" s="251"/>
      <c r="BO28" s="251"/>
      <c r="BP28" s="251"/>
      <c r="BQ28" s="251"/>
      <c r="BR28" s="251"/>
      <c r="BS28" s="251"/>
      <c r="BT28" s="251"/>
      <c r="BU28" s="251"/>
      <c r="BV28" s="251"/>
      <c r="BW28" s="251"/>
      <c r="BX28" s="251"/>
      <c r="BY28" s="251"/>
      <c r="BZ28" s="251"/>
      <c r="CA28" s="72"/>
      <c r="CB28" s="23"/>
      <c r="CC28" s="74"/>
      <c r="CD28" s="74"/>
      <c r="CE28" s="74"/>
      <c r="CF28" s="260"/>
      <c r="CG28" s="15"/>
      <c r="CH28" s="251"/>
      <c r="CI28" s="251"/>
      <c r="CJ28" s="251"/>
      <c r="CK28" s="251"/>
      <c r="CL28" s="251"/>
      <c r="CM28" s="251"/>
      <c r="CN28" s="251"/>
      <c r="CO28" s="251"/>
      <c r="CP28" s="251"/>
      <c r="CQ28" s="251"/>
      <c r="CR28" s="251"/>
      <c r="CS28" s="16"/>
      <c r="CT28" s="1381"/>
    </row>
    <row r="29" spans="1:98" s="122" customFormat="1" ht="14.25" customHeight="1">
      <c r="A29" s="1233"/>
      <c r="B29" s="365" t="str">
        <f>B120</f>
        <v>Industrial</v>
      </c>
      <c r="C29" s="531"/>
      <c r="D29" s="799"/>
      <c r="E29" s="799"/>
      <c r="F29" s="799"/>
      <c r="G29" s="796"/>
      <c r="H29" s="482"/>
      <c r="I29" s="482"/>
      <c r="J29" s="482"/>
      <c r="K29" s="481"/>
      <c r="L29" s="482"/>
      <c r="M29" s="482"/>
      <c r="N29" s="482"/>
      <c r="O29" s="481"/>
      <c r="P29" s="482"/>
      <c r="Q29" s="482"/>
      <c r="R29" s="482"/>
      <c r="S29" s="481"/>
      <c r="T29" s="482"/>
      <c r="U29" s="482"/>
      <c r="V29" s="482"/>
      <c r="W29" s="481"/>
      <c r="X29" s="482">
        <f t="shared" ref="X29:BB29" si="31">X$120</f>
        <v>156.53475</v>
      </c>
      <c r="Y29" s="482">
        <f t="shared" si="31"/>
        <v>165.49272000000002</v>
      </c>
      <c r="Z29" s="482">
        <f t="shared" si="31"/>
        <v>175.96474999999998</v>
      </c>
      <c r="AA29" s="481">
        <f t="shared" si="31"/>
        <v>175.41747999999993</v>
      </c>
      <c r="AB29" s="482">
        <f t="shared" si="31"/>
        <v>159.00049999999999</v>
      </c>
      <c r="AC29" s="482">
        <f t="shared" si="31"/>
        <v>147.83975000000001</v>
      </c>
      <c r="AD29" s="482">
        <f t="shared" si="31"/>
        <v>142.803</v>
      </c>
      <c r="AE29" s="482">
        <f t="shared" si="31"/>
        <v>145.18943999999999</v>
      </c>
      <c r="AF29" s="795">
        <f t="shared" si="31"/>
        <v>143.30725000000001</v>
      </c>
      <c r="AG29" s="482">
        <f t="shared" si="31"/>
        <v>145.27343999999999</v>
      </c>
      <c r="AH29" s="482">
        <f t="shared" si="31"/>
        <v>133.07447999999999</v>
      </c>
      <c r="AI29" s="481">
        <f t="shared" si="31"/>
        <v>152.04849999999999</v>
      </c>
      <c r="AJ29" s="795">
        <f t="shared" si="31"/>
        <v>152.16265999999999</v>
      </c>
      <c r="AK29" s="482">
        <f t="shared" si="31"/>
        <v>148.86575999999999</v>
      </c>
      <c r="AL29" s="482">
        <f t="shared" si="31"/>
        <v>151.42025000000001</v>
      </c>
      <c r="AM29" s="482">
        <f t="shared" si="31"/>
        <v>173.46609000000001</v>
      </c>
      <c r="AN29" s="795">
        <f t="shared" si="31"/>
        <v>162.477</v>
      </c>
      <c r="AO29" s="482">
        <f t="shared" si="31"/>
        <v>153.03843000000001</v>
      </c>
      <c r="AP29" s="482">
        <f t="shared" si="31"/>
        <v>155.86101000000002</v>
      </c>
      <c r="AQ29" s="482">
        <f t="shared" si="31"/>
        <v>157.27959000000001</v>
      </c>
      <c r="AR29" s="795">
        <f t="shared" si="31"/>
        <v>151.8777</v>
      </c>
      <c r="AS29" s="482">
        <f t="shared" si="31"/>
        <v>145.58683499999998</v>
      </c>
      <c r="AT29" s="482">
        <f t="shared" si="31"/>
        <v>154.91530800000001</v>
      </c>
      <c r="AU29" s="481">
        <f t="shared" si="31"/>
        <v>151.155642</v>
      </c>
      <c r="AV29" s="795">
        <f t="shared" si="31"/>
        <v>145.96295999999998</v>
      </c>
      <c r="AW29" s="482">
        <f t="shared" si="31"/>
        <v>139.95349200000001</v>
      </c>
      <c r="AX29" s="482">
        <f t="shared" si="31"/>
        <v>165.355952</v>
      </c>
      <c r="AY29" s="481">
        <f t="shared" si="31"/>
        <v>177.29047249999999</v>
      </c>
      <c r="AZ29" s="482">
        <f t="shared" si="31"/>
        <v>161.18928000000002</v>
      </c>
      <c r="BA29" s="504">
        <f t="shared" si="31"/>
        <v>180.56472999999997</v>
      </c>
      <c r="BB29" s="504">
        <f t="shared" si="31"/>
        <v>175.12173000000001</v>
      </c>
      <c r="BC29" s="797">
        <f t="shared" ref="BC29:BG29" si="32">BC34+BC37</f>
        <v>195.26072895000001</v>
      </c>
      <c r="BD29" s="504">
        <f t="shared" si="32"/>
        <v>179.63987063400003</v>
      </c>
      <c r="BE29" s="504">
        <f t="shared" si="32"/>
        <v>177.84347192766003</v>
      </c>
      <c r="BF29" s="504">
        <f t="shared" si="32"/>
        <v>188.51408024331965</v>
      </c>
      <c r="BG29" s="797">
        <f t="shared" si="32"/>
        <v>197.93978425548565</v>
      </c>
      <c r="BH29" s="504">
        <f>BH34+BH37</f>
        <v>188.04279504271136</v>
      </c>
      <c r="BI29" s="504">
        <f>BI34+BI37</f>
        <v>188.04279504271136</v>
      </c>
      <c r="BJ29" s="504">
        <f>BJ34+BJ37</f>
        <v>197.44493479484694</v>
      </c>
      <c r="BK29" s="797">
        <f>BK34+BK37</f>
        <v>205.34273218664083</v>
      </c>
      <c r="BL29" s="531"/>
      <c r="BM29" s="409"/>
      <c r="BN29" s="409"/>
      <c r="BO29" s="409"/>
      <c r="BP29" s="409"/>
      <c r="BQ29" s="409"/>
      <c r="BR29" s="409">
        <f>SUM(X29:AA29)</f>
        <v>673.40969999999993</v>
      </c>
      <c r="BS29" s="409">
        <f>SUM(AB29:AE29)</f>
        <v>594.83268999999996</v>
      </c>
      <c r="BT29" s="409">
        <f>SUM(AF29:AI29)</f>
        <v>573.70366999999999</v>
      </c>
      <c r="BU29" s="409">
        <f>SUM(AJ29:AM29)</f>
        <v>625.91476</v>
      </c>
      <c r="BV29" s="409">
        <f>SUM(AN29:AQ29)</f>
        <v>628.6560300000001</v>
      </c>
      <c r="BW29" s="409">
        <f>SUM(AR29:AU29)</f>
        <v>603.53548499999988</v>
      </c>
      <c r="BX29" s="409">
        <f>SUM(AV29:AY29)</f>
        <v>628.56287650000002</v>
      </c>
      <c r="BY29" s="409">
        <f>SUM(AZ29:BC29)</f>
        <v>712.13646894999999</v>
      </c>
      <c r="BZ29" s="409">
        <f>SUM(BD29:BG29)</f>
        <v>743.93720706046531</v>
      </c>
      <c r="CA29" s="417">
        <f>SUM(BH29:BK29)</f>
        <v>778.87325706691058</v>
      </c>
      <c r="CB29" s="795"/>
      <c r="CC29" s="482"/>
      <c r="CD29" s="482"/>
      <c r="CE29" s="482"/>
      <c r="CF29" s="531"/>
      <c r="CG29" s="527"/>
      <c r="CH29" s="409"/>
      <c r="CI29" s="409"/>
      <c r="CJ29" s="409">
        <f>+SUM(V29:Y29)</f>
        <v>322.02746999999999</v>
      </c>
      <c r="CK29" s="409">
        <f>+SUM(Z29:AC29)</f>
        <v>658.2224799999999</v>
      </c>
      <c r="CL29" s="409">
        <f>+SUM(AD29:AG29)</f>
        <v>576.57312999999999</v>
      </c>
      <c r="CM29" s="409">
        <f>+SUM(AH29:AK29)</f>
        <v>586.15139999999997</v>
      </c>
      <c r="CN29" s="409">
        <f>+SUM(AL29:AO29)</f>
        <v>640.40176999999994</v>
      </c>
      <c r="CO29" s="409">
        <f>+SUM(AP29:AS29)</f>
        <v>610.60513500000002</v>
      </c>
      <c r="CP29" s="409">
        <f>+SUM(AT29:AW29)</f>
        <v>591.98740199999997</v>
      </c>
      <c r="CQ29" s="409">
        <f>+SUM(AX29:BA29)</f>
        <v>684.40043449999996</v>
      </c>
      <c r="CR29" s="409">
        <f>+SUM(BB29:BE29)</f>
        <v>727.86580151166015</v>
      </c>
      <c r="CS29" s="410">
        <f>+SUM(BF29:BI29)</f>
        <v>762.539454584228</v>
      </c>
      <c r="CT29" s="1381"/>
    </row>
    <row r="30" spans="1:98" s="8" customFormat="1" ht="14.25" customHeight="1">
      <c r="A30" s="1232"/>
      <c r="B30" s="267" t="s">
        <v>517</v>
      </c>
      <c r="C30" s="268"/>
      <c r="D30" s="104"/>
      <c r="E30" s="104"/>
      <c r="F30" s="104"/>
      <c r="G30" s="105"/>
      <c r="H30" s="165"/>
      <c r="I30" s="104"/>
      <c r="J30" s="104"/>
      <c r="K30" s="105"/>
      <c r="L30" s="165"/>
      <c r="M30" s="104"/>
      <c r="N30" s="104"/>
      <c r="O30" s="105"/>
      <c r="P30" s="165"/>
      <c r="Q30" s="104"/>
      <c r="R30" s="104"/>
      <c r="S30" s="105"/>
      <c r="T30" s="165"/>
      <c r="U30" s="104"/>
      <c r="V30" s="104"/>
      <c r="W30" s="105"/>
      <c r="X30" s="165"/>
      <c r="Y30" s="104">
        <f t="shared" ref="Y30:AF30" si="33">Y29/X29-1</f>
        <v>5.7226718029063983E-2</v>
      </c>
      <c r="Z30" s="104">
        <f t="shared" si="33"/>
        <v>6.3277889202618454E-2</v>
      </c>
      <c r="AA30" s="105">
        <f t="shared" si="33"/>
        <v>-3.1101115422268455E-3</v>
      </c>
      <c r="AB30" s="165">
        <f t="shared" si="33"/>
        <v>-9.3588050632125941E-2</v>
      </c>
      <c r="AC30" s="104">
        <f t="shared" si="33"/>
        <v>-7.0193175493158733E-2</v>
      </c>
      <c r="AD30" s="104">
        <f t="shared" si="33"/>
        <v>-3.4068983477041903E-2</v>
      </c>
      <c r="AE30" s="104">
        <f t="shared" si="33"/>
        <v>1.6711413625764227E-2</v>
      </c>
      <c r="AF30" s="830">
        <f t="shared" si="33"/>
        <v>-1.2963683860203523E-2</v>
      </c>
      <c r="AG30" s="480">
        <f t="shared" ref="AG30:BB30" si="34">AG29/AF29-1</f>
        <v>1.3720101390543693E-2</v>
      </c>
      <c r="AH30" s="480">
        <f t="shared" si="34"/>
        <v>-8.397240404027051E-2</v>
      </c>
      <c r="AI30" s="105">
        <f t="shared" si="34"/>
        <v>0.14258195861445411</v>
      </c>
      <c r="AJ30" s="830">
        <f t="shared" si="34"/>
        <v>7.5081306293722783E-4</v>
      </c>
      <c r="AK30" s="480">
        <f t="shared" si="34"/>
        <v>-2.166694509677991E-2</v>
      </c>
      <c r="AL30" s="480">
        <f t="shared" si="34"/>
        <v>1.7159688030343734E-2</v>
      </c>
      <c r="AM30" s="480">
        <f t="shared" si="34"/>
        <v>0.14559373663694264</v>
      </c>
      <c r="AN30" s="830">
        <f t="shared" si="34"/>
        <v>-6.3350076086917118E-2</v>
      </c>
      <c r="AO30" s="480">
        <f t="shared" si="34"/>
        <v>-5.809172990638678E-2</v>
      </c>
      <c r="AP30" s="480">
        <f t="shared" si="34"/>
        <v>1.8443602695087824E-2</v>
      </c>
      <c r="AQ30" s="480">
        <f t="shared" si="34"/>
        <v>9.1015706878840863E-3</v>
      </c>
      <c r="AR30" s="830">
        <f t="shared" si="34"/>
        <v>-3.4345778749804823E-2</v>
      </c>
      <c r="AS30" s="480">
        <f t="shared" si="34"/>
        <v>-4.1420596967165157E-2</v>
      </c>
      <c r="AT30" s="480">
        <f t="shared" si="34"/>
        <v>6.40749762847721E-2</v>
      </c>
      <c r="AU30" s="1236">
        <f t="shared" si="34"/>
        <v>-2.4269170352099856E-2</v>
      </c>
      <c r="AV30" s="830">
        <f t="shared" si="34"/>
        <v>-3.4353213226404167E-2</v>
      </c>
      <c r="AW30" s="480">
        <f t="shared" si="34"/>
        <v>-4.1171184799211891E-2</v>
      </c>
      <c r="AX30" s="480">
        <f t="shared" si="34"/>
        <v>0.18150643929627708</v>
      </c>
      <c r="AY30" s="1236">
        <f t="shared" si="34"/>
        <v>7.2174725830250086E-2</v>
      </c>
      <c r="AZ30" s="830">
        <f t="shared" si="34"/>
        <v>-9.0818148730468118E-2</v>
      </c>
      <c r="BA30" s="480">
        <f t="shared" si="34"/>
        <v>0.12020309291039655</v>
      </c>
      <c r="BB30" s="480">
        <f t="shared" si="34"/>
        <v>-3.0144314451664767E-2</v>
      </c>
      <c r="BC30" s="1236">
        <f t="shared" ref="BC30:BG30" si="35">BC29/BB29-1</f>
        <v>0.11499999999999999</v>
      </c>
      <c r="BD30" s="830">
        <f t="shared" si="35"/>
        <v>-7.9999999999999849E-2</v>
      </c>
      <c r="BE30" s="480">
        <f t="shared" si="35"/>
        <v>-1.0000000000000009E-2</v>
      </c>
      <c r="BF30" s="480">
        <f t="shared" si="35"/>
        <v>6.0000000000000053E-2</v>
      </c>
      <c r="BG30" s="1236">
        <f t="shared" si="35"/>
        <v>5.0000000000000044E-2</v>
      </c>
      <c r="BH30" s="830">
        <f>BH29/BG29-1</f>
        <v>-5.0000000000000044E-2</v>
      </c>
      <c r="BI30" s="480">
        <f>BI29/BH29-1</f>
        <v>0</v>
      </c>
      <c r="BJ30" s="480">
        <f>BJ29/BI29-1</f>
        <v>5.0000000000000044E-2</v>
      </c>
      <c r="BK30" s="1236">
        <f>BK29/BJ29-1</f>
        <v>4.0000000000000036E-2</v>
      </c>
      <c r="BL30" s="260"/>
      <c r="BM30" s="270"/>
      <c r="BN30" s="270"/>
      <c r="BO30" s="270"/>
      <c r="BP30" s="270"/>
      <c r="BQ30" s="270"/>
      <c r="BR30" s="270"/>
      <c r="BS30" s="270"/>
      <c r="BT30" s="270"/>
      <c r="BU30" s="270"/>
      <c r="BV30" s="270"/>
      <c r="BW30" s="270"/>
      <c r="BX30" s="270"/>
      <c r="BY30" s="270"/>
      <c r="BZ30" s="270"/>
      <c r="CA30" s="24"/>
      <c r="CB30" s="23"/>
      <c r="CC30" s="74"/>
      <c r="CD30" s="74"/>
      <c r="CE30" s="74"/>
      <c r="CF30" s="260"/>
      <c r="CG30" s="22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260"/>
      <c r="CT30" s="1381"/>
    </row>
    <row r="31" spans="1:98" s="8" customFormat="1" ht="14.25" customHeight="1">
      <c r="A31" s="538"/>
      <c r="B31" s="35" t="s">
        <v>96</v>
      </c>
      <c r="C31" s="268"/>
      <c r="D31" s="165"/>
      <c r="E31" s="104"/>
      <c r="F31" s="104"/>
      <c r="G31" s="105"/>
      <c r="H31" s="165"/>
      <c r="I31" s="104"/>
      <c r="J31" s="104"/>
      <c r="K31" s="105"/>
      <c r="L31" s="165"/>
      <c r="M31" s="104"/>
      <c r="N31" s="104"/>
      <c r="O31" s="105"/>
      <c r="P31" s="165"/>
      <c r="Q31" s="104"/>
      <c r="R31" s="104"/>
      <c r="S31" s="105"/>
      <c r="T31" s="165"/>
      <c r="U31" s="104"/>
      <c r="V31" s="104"/>
      <c r="W31" s="105"/>
      <c r="X31" s="165"/>
      <c r="Y31" s="104"/>
      <c r="Z31" s="104"/>
      <c r="AA31" s="105"/>
      <c r="AB31" s="165"/>
      <c r="AC31" s="104"/>
      <c r="AD31" s="104"/>
      <c r="AE31" s="104">
        <f t="shared" ref="AE31:AU31" si="36">AVERAGE(AA30,W30,S30,O30)</f>
        <v>-3.1101115422268455E-3</v>
      </c>
      <c r="AF31" s="830">
        <f t="shared" si="36"/>
        <v>-9.3588050632125941E-2</v>
      </c>
      <c r="AG31" s="480">
        <f t="shared" si="36"/>
        <v>-6.4832287320473747E-3</v>
      </c>
      <c r="AH31" s="480">
        <f t="shared" si="36"/>
        <v>1.4604452862788275E-2</v>
      </c>
      <c r="AI31" s="105">
        <f t="shared" si="36"/>
        <v>6.8006510417686905E-3</v>
      </c>
      <c r="AJ31" s="830">
        <f t="shared" si="36"/>
        <v>-5.3275867246164732E-2</v>
      </c>
      <c r="AK31" s="480">
        <f t="shared" si="36"/>
        <v>2.5121464214964789E-4</v>
      </c>
      <c r="AL31" s="480">
        <f t="shared" si="36"/>
        <v>-1.825449943823132E-2</v>
      </c>
      <c r="AM31" s="480">
        <f t="shared" si="36"/>
        <v>5.2061086899330498E-2</v>
      </c>
      <c r="AN31" s="830">
        <f t="shared" si="36"/>
        <v>-3.526697380979741E-2</v>
      </c>
      <c r="AO31" s="480">
        <f t="shared" si="36"/>
        <v>-5.2283252925827417E-3</v>
      </c>
      <c r="AP31" s="480">
        <f t="shared" si="36"/>
        <v>-9.4009525710875563E-3</v>
      </c>
      <c r="AQ31" s="480">
        <f t="shared" si="36"/>
        <v>7.5444249333733532E-2</v>
      </c>
      <c r="AR31" s="830">
        <f t="shared" si="36"/>
        <v>-4.2287749379077338E-2</v>
      </c>
      <c r="AS31" s="480">
        <f t="shared" si="36"/>
        <v>-3.4057937276445432E-2</v>
      </c>
      <c r="AT31" s="480">
        <f t="shared" si="36"/>
        <v>-2.0609524197970214E-2</v>
      </c>
      <c r="AU31" s="1236">
        <f t="shared" si="36"/>
        <v>7.8497169891261265E-2</v>
      </c>
      <c r="AV31" s="830">
        <f t="shared" ref="AV31:BG31" si="37">AVERAGE(AR30,AN30,AJ30,AF30,AB30)</f>
        <v>-4.0699355253222838E-2</v>
      </c>
      <c r="AW31" s="480">
        <f t="shared" si="37"/>
        <v>-3.5530469214589376E-2</v>
      </c>
      <c r="AX31" s="480">
        <f>AVERAGE(AT30,AP30,AL30,AH30)</f>
        <v>3.9264657424832872E-3</v>
      </c>
      <c r="AY31" s="1236">
        <f>AVERAGE(AU30,AQ30,AM30,AI30)</f>
        <v>6.8252023896795244E-2</v>
      </c>
      <c r="AZ31" s="104">
        <f>AVERAGE(AV30,AR30,AN30,AJ30)</f>
        <v>-3.282456375004722E-2</v>
      </c>
      <c r="BA31" s="104">
        <f>AVERAGE(AW30,AS30,AO30,AK30)</f>
        <v>-4.0587614192385935E-2</v>
      </c>
      <c r="BB31" s="104">
        <f>AVERAGE(AX30,AT30,AP30,AL30)</f>
        <v>7.0296176576620184E-2</v>
      </c>
      <c r="BC31" s="105">
        <f t="shared" si="37"/>
        <v>6.9036564283486215E-2</v>
      </c>
      <c r="BD31" s="104">
        <f t="shared" si="37"/>
        <v>-4.4423280746131402E-2</v>
      </c>
      <c r="BE31" s="104">
        <f t="shared" si="37"/>
        <v>-8.4294727718294375E-3</v>
      </c>
      <c r="BF31" s="104">
        <f t="shared" si="37"/>
        <v>5.0208078370963194E-2</v>
      </c>
      <c r="BG31" s="105">
        <f t="shared" si="37"/>
        <v>6.3520172560595389E-2</v>
      </c>
      <c r="BH31" s="104">
        <f>AVERAGE(BD30,AZ30,AV30,AR30,AN30)</f>
        <v>-6.0573443358718816E-2</v>
      </c>
      <c r="BI31" s="104">
        <f>AVERAGE(BE30,BA30,AW30,AS30,AO30)</f>
        <v>-6.0960837524734581E-3</v>
      </c>
      <c r="BJ31" s="104">
        <f>AVERAGE(BF30,BB30,AX30,AT30,AP30)</f>
        <v>5.8776140764894458E-2</v>
      </c>
      <c r="BK31" s="105">
        <f>AVERAGE(BG30,BC30,AY30,AU30,AQ30)</f>
        <v>4.4401425233206872E-2</v>
      </c>
      <c r="BL31" s="20"/>
      <c r="BM31" s="270"/>
      <c r="BN31" s="270"/>
      <c r="BO31" s="270"/>
      <c r="BP31" s="270"/>
      <c r="BQ31" s="270"/>
      <c r="BR31" s="270"/>
      <c r="BS31" s="270"/>
      <c r="BT31" s="270"/>
      <c r="BU31" s="270"/>
      <c r="BV31" s="270"/>
      <c r="BW31" s="270"/>
      <c r="BX31" s="270"/>
      <c r="BY31" s="270"/>
      <c r="BZ31" s="270"/>
      <c r="CA31" s="24"/>
      <c r="CB31" s="23"/>
      <c r="CC31" s="74"/>
      <c r="CD31" s="74"/>
      <c r="CE31" s="74"/>
      <c r="CF31" s="260"/>
      <c r="CG31" s="22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260"/>
      <c r="CT31" s="1381"/>
    </row>
    <row r="32" spans="1:98" s="8" customFormat="1" ht="14.25" customHeight="1">
      <c r="A32" s="1232"/>
      <c r="B32" s="35" t="s">
        <v>518</v>
      </c>
      <c r="C32" s="36"/>
      <c r="D32" s="104"/>
      <c r="E32" s="104"/>
      <c r="F32" s="104"/>
      <c r="G32" s="105"/>
      <c r="H32" s="165"/>
      <c r="I32" s="104"/>
      <c r="J32" s="104"/>
      <c r="K32" s="105"/>
      <c r="L32" s="165"/>
      <c r="M32" s="104"/>
      <c r="N32" s="104"/>
      <c r="O32" s="105"/>
      <c r="P32" s="165"/>
      <c r="Q32" s="104"/>
      <c r="R32" s="104"/>
      <c r="S32" s="105"/>
      <c r="T32" s="165"/>
      <c r="U32" s="104"/>
      <c r="V32" s="104"/>
      <c r="W32" s="105"/>
      <c r="X32" s="165"/>
      <c r="Y32" s="104"/>
      <c r="Z32" s="104"/>
      <c r="AA32" s="105"/>
      <c r="AB32" s="165">
        <f t="shared" ref="AB32:BB32" si="38">AB29/X29-1</f>
        <v>1.5752093385015042E-2</v>
      </c>
      <c r="AC32" s="104">
        <f t="shared" si="38"/>
        <v>-0.1066691634532323</v>
      </c>
      <c r="AD32" s="104">
        <f t="shared" si="38"/>
        <v>-0.18845677898556379</v>
      </c>
      <c r="AE32" s="104">
        <f t="shared" si="38"/>
        <v>-0.1723205691929901</v>
      </c>
      <c r="AF32" s="830">
        <f t="shared" si="38"/>
        <v>-9.8699375159197467E-2</v>
      </c>
      <c r="AG32" s="480">
        <f>AG29/AC29-1</f>
        <v>-1.7358727946983232E-2</v>
      </c>
      <c r="AH32" s="480">
        <f t="shared" si="38"/>
        <v>-6.8125459549169154E-2</v>
      </c>
      <c r="AI32" s="105">
        <f t="shared" si="38"/>
        <v>4.7242141026234474E-2</v>
      </c>
      <c r="AJ32" s="830">
        <f t="shared" si="38"/>
        <v>6.1793175153385338E-2</v>
      </c>
      <c r="AK32" s="480">
        <f t="shared" si="38"/>
        <v>2.4727988818878499E-2</v>
      </c>
      <c r="AL32" s="480">
        <f t="shared" si="38"/>
        <v>0.13786091818656754</v>
      </c>
      <c r="AM32" s="480">
        <f t="shared" si="38"/>
        <v>0.14086025182754192</v>
      </c>
      <c r="AN32" s="830">
        <f t="shared" si="38"/>
        <v>6.7784961172471681E-2</v>
      </c>
      <c r="AO32" s="480">
        <f t="shared" si="38"/>
        <v>2.8029749755753119E-2</v>
      </c>
      <c r="AP32" s="480">
        <f t="shared" si="38"/>
        <v>2.9327385207724932E-2</v>
      </c>
      <c r="AQ32" s="480">
        <f t="shared" si="38"/>
        <v>-9.3312185684245263E-2</v>
      </c>
      <c r="AR32" s="830">
        <f t="shared" si="38"/>
        <v>-6.523569489835479E-2</v>
      </c>
      <c r="AS32" s="480">
        <f t="shared" si="38"/>
        <v>-4.8691005259267395E-2</v>
      </c>
      <c r="AT32" s="480">
        <f t="shared" si="38"/>
        <v>-6.0675983044123916E-3</v>
      </c>
      <c r="AU32" s="1236">
        <f t="shared" si="38"/>
        <v>-3.8936698652380808E-2</v>
      </c>
      <c r="AV32" s="830">
        <f t="shared" si="38"/>
        <v>-3.8944097783940812E-2</v>
      </c>
      <c r="AW32" s="480">
        <f t="shared" si="38"/>
        <v>-3.8694041257232969E-2</v>
      </c>
      <c r="AX32" s="480">
        <f t="shared" si="38"/>
        <v>6.7395818623682935E-2</v>
      </c>
      <c r="AY32" s="1236">
        <f t="shared" si="38"/>
        <v>0.17290013230204138</v>
      </c>
      <c r="AZ32" s="104">
        <f t="shared" si="38"/>
        <v>0.10431632792319401</v>
      </c>
      <c r="BA32" s="104">
        <f t="shared" si="38"/>
        <v>0.2901766681177198</v>
      </c>
      <c r="BB32" s="104">
        <f t="shared" si="38"/>
        <v>5.9059125975701177E-2</v>
      </c>
      <c r="BC32" s="105">
        <f t="shared" ref="BC32:BG32" si="39">BC29/AY29-1</f>
        <v>0.10136053109114496</v>
      </c>
      <c r="BD32" s="104">
        <f t="shared" si="39"/>
        <v>0.11446537036458015</v>
      </c>
      <c r="BE32" s="104">
        <f t="shared" si="39"/>
        <v>-1.5070817386872437E-2</v>
      </c>
      <c r="BF32" s="104">
        <f t="shared" si="39"/>
        <v>7.6474520000000323E-2</v>
      </c>
      <c r="BG32" s="105">
        <f t="shared" si="39"/>
        <v>1.3720400000000188E-2</v>
      </c>
      <c r="BH32" s="104">
        <f>BH29/BD29-1</f>
        <v>4.6776500000000221E-2</v>
      </c>
      <c r="BI32" s="104">
        <f>BI29/BE29-1</f>
        <v>5.7350000000000234E-2</v>
      </c>
      <c r="BJ32" s="104">
        <f>BJ29/BF29-1</f>
        <v>4.7375000000000167E-2</v>
      </c>
      <c r="BK32" s="105">
        <f>BK29/BG29-1</f>
        <v>3.74000000000001E-2</v>
      </c>
      <c r="BL32" s="260"/>
      <c r="BM32" s="415"/>
      <c r="BN32" s="480"/>
      <c r="BO32" s="415"/>
      <c r="BP32" s="415"/>
      <c r="BQ32" s="415"/>
      <c r="BR32" s="415"/>
      <c r="BS32" s="415">
        <f t="shared" ref="BS32:BZ32" si="40">BS29/BR29-1</f>
        <v>-0.11668529574195319</v>
      </c>
      <c r="BT32" s="415">
        <f t="shared" si="40"/>
        <v>-3.5520946234478101E-2</v>
      </c>
      <c r="BU32" s="415">
        <f t="shared" si="40"/>
        <v>9.1007069904224247E-2</v>
      </c>
      <c r="BV32" s="415">
        <f t="shared" si="40"/>
        <v>4.3796219152909543E-3</v>
      </c>
      <c r="BW32" s="415">
        <f t="shared" si="40"/>
        <v>-3.9959125183290145E-2</v>
      </c>
      <c r="BX32" s="415">
        <f t="shared" si="40"/>
        <v>4.1467970189027259E-2</v>
      </c>
      <c r="BY32" s="415">
        <f t="shared" si="40"/>
        <v>0.1329597969822196</v>
      </c>
      <c r="BZ32" s="415">
        <f t="shared" si="40"/>
        <v>4.465539892564907E-2</v>
      </c>
      <c r="CA32" s="1455">
        <f>CA29/BZ29-1</f>
        <v>4.6961019928669634E-2</v>
      </c>
      <c r="CB32" s="1494"/>
      <c r="CC32" s="1446"/>
      <c r="CD32" s="1446"/>
      <c r="CE32" s="1446"/>
      <c r="CF32" s="260"/>
      <c r="CG32" s="22"/>
      <c r="CH32" s="14"/>
      <c r="CI32" s="415"/>
      <c r="CJ32" s="415"/>
      <c r="CK32" s="415">
        <f t="shared" ref="CK32:CS32" si="41">+CK29/CJ29-1</f>
        <v>1.0439948182060368</v>
      </c>
      <c r="CL32" s="415">
        <f t="shared" si="41"/>
        <v>-0.12404521644414201</v>
      </c>
      <c r="CM32" s="415">
        <f t="shared" si="41"/>
        <v>1.6612411334534505E-2</v>
      </c>
      <c r="CN32" s="415">
        <f t="shared" si="41"/>
        <v>9.2553510918851334E-2</v>
      </c>
      <c r="CO32" s="415">
        <f t="shared" si="41"/>
        <v>-4.6528033487477582E-2</v>
      </c>
      <c r="CP32" s="415">
        <f t="shared" si="41"/>
        <v>-3.0490626319413572E-2</v>
      </c>
      <c r="CQ32" s="415">
        <f t="shared" si="41"/>
        <v>0.15610641744703879</v>
      </c>
      <c r="CR32" s="415">
        <f t="shared" si="41"/>
        <v>6.3508678283371589E-2</v>
      </c>
      <c r="CS32" s="414">
        <f t="shared" si="41"/>
        <v>4.7637425746004602E-2</v>
      </c>
      <c r="CT32" s="1381"/>
    </row>
    <row r="33" spans="1:256" s="8" customFormat="1" ht="14.25" customHeight="1">
      <c r="A33" s="1232"/>
      <c r="B33" s="267" t="s">
        <v>519</v>
      </c>
      <c r="C33" s="268"/>
      <c r="D33" s="104"/>
      <c r="E33" s="104"/>
      <c r="F33" s="104"/>
      <c r="G33" s="105"/>
      <c r="H33" s="104"/>
      <c r="I33" s="104"/>
      <c r="J33" s="104"/>
      <c r="K33" s="105"/>
      <c r="L33" s="104"/>
      <c r="M33" s="104"/>
      <c r="N33" s="104"/>
      <c r="O33" s="105"/>
      <c r="P33" s="104"/>
      <c r="Q33" s="104"/>
      <c r="R33" s="104"/>
      <c r="S33" s="105"/>
      <c r="T33" s="104"/>
      <c r="U33" s="104"/>
      <c r="V33" s="104"/>
      <c r="W33" s="105"/>
      <c r="X33" s="104">
        <f t="shared" ref="X33:AD33" si="42">X29/X100</f>
        <v>0.25</v>
      </c>
      <c r="Y33" s="104">
        <f t="shared" si="42"/>
        <v>0.27</v>
      </c>
      <c r="Z33" s="104">
        <f t="shared" si="42"/>
        <v>0.28999999999999998</v>
      </c>
      <c r="AA33" s="105">
        <f t="shared" si="42"/>
        <v>0.28000000000000003</v>
      </c>
      <c r="AB33" s="104">
        <f t="shared" si="42"/>
        <v>0.24999999999999994</v>
      </c>
      <c r="AC33" s="104">
        <f t="shared" si="42"/>
        <v>0.25</v>
      </c>
      <c r="AD33" s="104">
        <f t="shared" si="42"/>
        <v>0.25</v>
      </c>
      <c r="AE33" s="104">
        <f>AE29/IS!AE10</f>
        <v>0.24</v>
      </c>
      <c r="AF33" s="830">
        <f>AF29/AF100</f>
        <v>0.23</v>
      </c>
      <c r="AG33" s="480">
        <f>AG29/AG100</f>
        <v>0.23999999999999996</v>
      </c>
      <c r="AH33" s="480">
        <f>AH29/IS!AH10</f>
        <v>0.21999999999999997</v>
      </c>
      <c r="AI33" s="105">
        <f>AI29/IS!AI10</f>
        <v>0.25</v>
      </c>
      <c r="AJ33" s="830">
        <f t="shared" ref="AJ33:AY33" si="43">AJ29/AJ100</f>
        <v>0.26</v>
      </c>
      <c r="AK33" s="480">
        <f t="shared" si="43"/>
        <v>0.24</v>
      </c>
      <c r="AL33" s="480">
        <f t="shared" si="43"/>
        <v>0.25</v>
      </c>
      <c r="AM33" s="480">
        <f t="shared" si="43"/>
        <v>0.27</v>
      </c>
      <c r="AN33" s="830">
        <f t="shared" si="43"/>
        <v>0.28000000000000003</v>
      </c>
      <c r="AO33" s="480">
        <f t="shared" si="43"/>
        <v>0.27</v>
      </c>
      <c r="AP33" s="480">
        <f t="shared" si="43"/>
        <v>0.26999999999999996</v>
      </c>
      <c r="AQ33" s="480">
        <f t="shared" si="43"/>
        <v>0.27</v>
      </c>
      <c r="AR33" s="830">
        <f t="shared" si="43"/>
        <v>0.27</v>
      </c>
      <c r="AS33" s="480">
        <f t="shared" si="43"/>
        <v>0.28499999999999998</v>
      </c>
      <c r="AT33" s="480">
        <f t="shared" si="43"/>
        <v>0.27900000000000003</v>
      </c>
      <c r="AU33" s="1236">
        <f t="shared" si="43"/>
        <v>0.26700000000000002</v>
      </c>
      <c r="AV33" s="830">
        <f t="shared" si="43"/>
        <v>0.26</v>
      </c>
      <c r="AW33" s="480">
        <f t="shared" si="43"/>
        <v>0.254</v>
      </c>
      <c r="AX33" s="480">
        <f t="shared" si="43"/>
        <v>0.28449999999999998</v>
      </c>
      <c r="AY33" s="1236">
        <f t="shared" si="43"/>
        <v>0.29450000000000004</v>
      </c>
      <c r="AZ33" s="104">
        <f>AZ29/AZ100</f>
        <v>0.28000000000000003</v>
      </c>
      <c r="BA33" s="104">
        <f>BA29/BA100</f>
        <v>0.28999999999999998</v>
      </c>
      <c r="BB33" s="104">
        <f>BB29/BB100</f>
        <v>0.26999999999999996</v>
      </c>
      <c r="BC33" s="105">
        <f>BC29/IS!BC10</f>
        <v>0.30999330690418575</v>
      </c>
      <c r="BD33" s="104">
        <f>BD29/IS!BD10</f>
        <v>0.29238152344195362</v>
      </c>
      <c r="BE33" s="104">
        <f>BE29/IS!BE10</f>
        <v>0.28891660033894523</v>
      </c>
      <c r="BF33" s="104">
        <f>BF29/IS!BF10</f>
        <v>0.29103637736280635</v>
      </c>
      <c r="BG33" s="105">
        <f>BG29/IS!BG10</f>
        <v>0.30239029699745595</v>
      </c>
      <c r="BH33" s="104">
        <f>BH29/IS!BH10</f>
        <v>0.29195560596955006</v>
      </c>
      <c r="BI33" s="104">
        <f>BI29/IS!BI10</f>
        <v>0.29218003150234922</v>
      </c>
      <c r="BJ33" s="104">
        <f>BJ29/IS!BJ10</f>
        <v>0.29479745617287045</v>
      </c>
      <c r="BK33" s="105">
        <f>BK29/IS!BK10</f>
        <v>0.29864932396169352</v>
      </c>
      <c r="BL33" s="260"/>
      <c r="BM33" s="480"/>
      <c r="BN33" s="415"/>
      <c r="BO33" s="415"/>
      <c r="BP33" s="415"/>
      <c r="BQ33" s="415"/>
      <c r="BR33" s="415">
        <f t="shared" ref="BR33:BY33" si="44">BR29/BR100</f>
        <v>0.27237735409476282</v>
      </c>
      <c r="BS33" s="415">
        <f t="shared" si="44"/>
        <v>0.24748305096381196</v>
      </c>
      <c r="BT33" s="415">
        <f t="shared" si="44"/>
        <v>0.2349839460748675</v>
      </c>
      <c r="BU33" s="415">
        <f t="shared" si="44"/>
        <v>0.25509402065401809</v>
      </c>
      <c r="BV33" s="415">
        <f t="shared" si="44"/>
        <v>0.27251542787091049</v>
      </c>
      <c r="BW33" s="415">
        <f t="shared" si="44"/>
        <v>0.27499442297624427</v>
      </c>
      <c r="BX33" s="415">
        <f t="shared" si="44"/>
        <v>0.27381023233425467</v>
      </c>
      <c r="BY33" s="415">
        <f t="shared" si="44"/>
        <v>0.28752292466303692</v>
      </c>
      <c r="BZ33" s="415">
        <f>BZ29/BZ100</f>
        <v>0.29378241543846434</v>
      </c>
      <c r="CA33" s="105">
        <f>CA29/CA100</f>
        <v>0.29446986420089538</v>
      </c>
      <c r="CB33" s="830"/>
      <c r="CC33" s="480"/>
      <c r="CD33" s="480"/>
      <c r="CE33" s="480"/>
      <c r="CF33" s="260"/>
      <c r="CG33" s="22"/>
      <c r="CH33" s="14"/>
      <c r="CI33" s="14"/>
      <c r="CJ33" s="14"/>
      <c r="CK33" s="862">
        <f t="shared" ref="CK33:CR33" si="45">CK29/CK$110</f>
        <v>0.26750193345029538</v>
      </c>
      <c r="CL33" s="862">
        <f t="shared" si="45"/>
        <v>0.23978431298343264</v>
      </c>
      <c r="CM33" s="862">
        <f t="shared" si="45"/>
        <v>0.24235222710063248</v>
      </c>
      <c r="CN33" s="862">
        <f t="shared" si="45"/>
        <v>0.26736523643638693</v>
      </c>
      <c r="CO33" s="862">
        <f t="shared" si="45"/>
        <v>0.27343128070534467</v>
      </c>
      <c r="CP33" s="862">
        <f t="shared" si="45"/>
        <v>0.26501693189815256</v>
      </c>
      <c r="CQ33" s="862">
        <f t="shared" si="45"/>
        <v>0.28737798179660673</v>
      </c>
      <c r="CR33" s="862">
        <f t="shared" si="45"/>
        <v>0.29016658393657219</v>
      </c>
      <c r="CS33" s="864">
        <f>CS29/CS$110</f>
        <v>0.29441871138405806</v>
      </c>
      <c r="CT33" s="1381"/>
    </row>
    <row r="34" spans="1:256" s="8" customFormat="1" ht="14.25" customHeight="1">
      <c r="A34" s="538"/>
      <c r="B34" s="1399" t="s">
        <v>628</v>
      </c>
      <c r="C34" s="1400"/>
      <c r="D34" s="1401"/>
      <c r="E34" s="1402"/>
      <c r="F34" s="1402"/>
      <c r="G34" s="1403"/>
      <c r="H34" s="1401"/>
      <c r="I34" s="1402"/>
      <c r="J34" s="1402"/>
      <c r="K34" s="1403"/>
      <c r="L34" s="1401"/>
      <c r="M34" s="1402"/>
      <c r="N34" s="1402"/>
      <c r="O34" s="1403"/>
      <c r="P34" s="1401"/>
      <c r="Q34" s="1402"/>
      <c r="R34" s="1402"/>
      <c r="S34" s="1403"/>
      <c r="T34" s="1401"/>
      <c r="U34" s="1402"/>
      <c r="V34" s="1402"/>
      <c r="W34" s="1403"/>
      <c r="X34" s="1401"/>
      <c r="Y34" s="1402"/>
      <c r="Z34" s="1402"/>
      <c r="AA34" s="1403"/>
      <c r="AB34" s="1401"/>
      <c r="AC34" s="1402"/>
      <c r="AD34" s="1402"/>
      <c r="AE34" s="1402"/>
      <c r="AF34" s="1404"/>
      <c r="AG34" s="1405"/>
      <c r="AH34" s="1405"/>
      <c r="AI34" s="1403"/>
      <c r="AJ34" s="1404"/>
      <c r="AK34" s="1405"/>
      <c r="AL34" s="1405"/>
      <c r="AM34" s="1405"/>
      <c r="AN34" s="1404"/>
      <c r="AO34" s="1405"/>
      <c r="AP34" s="1405"/>
      <c r="AQ34" s="1405"/>
      <c r="AR34" s="1404"/>
      <c r="AS34" s="1405"/>
      <c r="AT34" s="1405"/>
      <c r="AU34" s="1406"/>
      <c r="AV34" s="1404"/>
      <c r="AW34" s="1405"/>
      <c r="AX34" s="1405"/>
      <c r="AY34" s="1407">
        <f>AY29-AY37</f>
        <v>167.79047249999999</v>
      </c>
      <c r="AZ34" s="1408">
        <f>AZ29-AZ37</f>
        <v>161.18928000000002</v>
      </c>
      <c r="BA34" s="1409">
        <f>BA29-BA37</f>
        <v>162.16472999999996</v>
      </c>
      <c r="BB34" s="1409">
        <f>BB29-BB37</f>
        <v>175.12173000000001</v>
      </c>
      <c r="BC34" s="1407">
        <f t="shared" ref="BC34:BG34" si="46">BB34*(1+BC35)</f>
        <v>195.26072895000001</v>
      </c>
      <c r="BD34" s="1408">
        <f t="shared" si="46"/>
        <v>179.63987063400003</v>
      </c>
      <c r="BE34" s="1409">
        <f t="shared" si="46"/>
        <v>177.84347192766003</v>
      </c>
      <c r="BF34" s="1409">
        <f t="shared" si="46"/>
        <v>188.51408024331965</v>
      </c>
      <c r="BG34" s="1407">
        <f t="shared" si="46"/>
        <v>197.93978425548565</v>
      </c>
      <c r="BH34" s="1408">
        <f>BG34*(1+BH35)</f>
        <v>188.04279504271136</v>
      </c>
      <c r="BI34" s="1409">
        <f>BH34*(1+BI35)</f>
        <v>188.04279504271136</v>
      </c>
      <c r="BJ34" s="1409">
        <f>BI34*(1+BJ35)</f>
        <v>197.44493479484694</v>
      </c>
      <c r="BK34" s="1407">
        <f>BJ34*(1+BK35)</f>
        <v>205.34273218664083</v>
      </c>
      <c r="BL34" s="20"/>
      <c r="BM34" s="480"/>
      <c r="BN34" s="415"/>
      <c r="BO34" s="415"/>
      <c r="BP34" s="415"/>
      <c r="BQ34" s="415"/>
      <c r="BR34" s="415"/>
      <c r="BS34" s="415"/>
      <c r="BT34" s="415"/>
      <c r="BU34" s="415"/>
      <c r="BV34" s="415"/>
      <c r="BW34" s="415"/>
      <c r="BX34" s="415"/>
      <c r="BY34" s="415"/>
      <c r="BZ34" s="415"/>
      <c r="CA34" s="105"/>
      <c r="CB34" s="830"/>
      <c r="CC34" s="480"/>
      <c r="CD34" s="480"/>
      <c r="CE34" s="480"/>
      <c r="CF34" s="260"/>
      <c r="CG34" s="22"/>
      <c r="CH34" s="14"/>
      <c r="CI34" s="14"/>
      <c r="CJ34" s="14"/>
      <c r="CK34" s="862"/>
      <c r="CL34" s="862"/>
      <c r="CM34" s="862"/>
      <c r="CN34" s="862"/>
      <c r="CO34" s="862"/>
      <c r="CP34" s="862"/>
      <c r="CQ34" s="862"/>
      <c r="CR34" s="862"/>
      <c r="CS34" s="864"/>
      <c r="CT34" s="1381"/>
    </row>
    <row r="35" spans="1:256" s="8" customFormat="1" ht="14.25" customHeight="1">
      <c r="A35" s="538"/>
      <c r="B35" s="1410" t="s">
        <v>517</v>
      </c>
      <c r="C35" s="1400"/>
      <c r="D35" s="1401"/>
      <c r="E35" s="1402"/>
      <c r="F35" s="1402"/>
      <c r="G35" s="1403"/>
      <c r="H35" s="1401"/>
      <c r="I35" s="1402"/>
      <c r="J35" s="1402"/>
      <c r="K35" s="1403"/>
      <c r="L35" s="1401"/>
      <c r="M35" s="1402"/>
      <c r="N35" s="1402"/>
      <c r="O35" s="1403"/>
      <c r="P35" s="1401"/>
      <c r="Q35" s="1402"/>
      <c r="R35" s="1402"/>
      <c r="S35" s="1403"/>
      <c r="T35" s="1401"/>
      <c r="U35" s="1402"/>
      <c r="V35" s="1402"/>
      <c r="W35" s="1403"/>
      <c r="X35" s="1401"/>
      <c r="Y35" s="1402"/>
      <c r="Z35" s="1402"/>
      <c r="AA35" s="1403"/>
      <c r="AB35" s="1401"/>
      <c r="AC35" s="1402"/>
      <c r="AD35" s="1402"/>
      <c r="AE35" s="1402"/>
      <c r="AF35" s="1404"/>
      <c r="AG35" s="1405"/>
      <c r="AH35" s="1405"/>
      <c r="AI35" s="1403"/>
      <c r="AJ35" s="1404"/>
      <c r="AK35" s="1405"/>
      <c r="AL35" s="1405"/>
      <c r="AM35" s="1405"/>
      <c r="AN35" s="1404"/>
      <c r="AO35" s="1405"/>
      <c r="AP35" s="1405"/>
      <c r="AQ35" s="1405"/>
      <c r="AR35" s="1404"/>
      <c r="AS35" s="1405"/>
      <c r="AT35" s="1405"/>
      <c r="AU35" s="1406"/>
      <c r="AV35" s="1404"/>
      <c r="AW35" s="1405"/>
      <c r="AX35" s="1405"/>
      <c r="AY35" s="1406">
        <f>AY34/AX29-1</f>
        <v>1.4722908190205386E-2</v>
      </c>
      <c r="AZ35" s="1462">
        <f>AZ34/AY29-1</f>
        <v>-9.0818148730468118E-2</v>
      </c>
      <c r="BA35" s="1504">
        <f>BA34/AZ29-1</f>
        <v>6.0515810977004314E-3</v>
      </c>
      <c r="BB35" s="1504">
        <f>BB34/BA29-1</f>
        <v>-3.0144314451664767E-2</v>
      </c>
      <c r="BC35" s="1413">
        <v>0.115</v>
      </c>
      <c r="BD35" s="1411">
        <v>-0.08</v>
      </c>
      <c r="BE35" s="1412">
        <v>-0.01</v>
      </c>
      <c r="BF35" s="1412">
        <v>0.06</v>
      </c>
      <c r="BG35" s="1413">
        <v>0.05</v>
      </c>
      <c r="BH35" s="1411">
        <v>-0.05</v>
      </c>
      <c r="BI35" s="1412">
        <v>0</v>
      </c>
      <c r="BJ35" s="1412">
        <v>0.05</v>
      </c>
      <c r="BK35" s="1413">
        <v>0.04</v>
      </c>
      <c r="BL35" s="20"/>
      <c r="BM35" s="480"/>
      <c r="BN35" s="415"/>
      <c r="BO35" s="415"/>
      <c r="BP35" s="415"/>
      <c r="BQ35" s="415"/>
      <c r="BR35" s="415"/>
      <c r="BS35" s="415"/>
      <c r="BT35" s="415"/>
      <c r="BU35" s="415"/>
      <c r="BV35" s="415"/>
      <c r="BW35" s="415"/>
      <c r="BX35" s="415"/>
      <c r="BY35" s="415"/>
      <c r="BZ35" s="415"/>
      <c r="CA35" s="105"/>
      <c r="CB35" s="830"/>
      <c r="CC35" s="480"/>
      <c r="CD35" s="480"/>
      <c r="CE35" s="480"/>
      <c r="CF35" s="260"/>
      <c r="CG35" s="22"/>
      <c r="CH35" s="14"/>
      <c r="CI35" s="14"/>
      <c r="CJ35" s="14"/>
      <c r="CK35" s="862"/>
      <c r="CL35" s="862"/>
      <c r="CM35" s="862"/>
      <c r="CN35" s="862"/>
      <c r="CO35" s="862"/>
      <c r="CP35" s="862"/>
      <c r="CQ35" s="862"/>
      <c r="CR35" s="862"/>
      <c r="CS35" s="864"/>
      <c r="CT35" s="1381"/>
    </row>
    <row r="36" spans="1:256" s="8" customFormat="1" ht="14.25" customHeight="1">
      <c r="A36" s="538"/>
      <c r="B36" s="1410" t="s">
        <v>518</v>
      </c>
      <c r="C36" s="1400"/>
      <c r="D36" s="1401"/>
      <c r="E36" s="1402"/>
      <c r="F36" s="1402"/>
      <c r="G36" s="1403"/>
      <c r="H36" s="1401"/>
      <c r="I36" s="1402"/>
      <c r="J36" s="1402"/>
      <c r="K36" s="1403"/>
      <c r="L36" s="1401"/>
      <c r="M36" s="1402"/>
      <c r="N36" s="1402"/>
      <c r="O36" s="1403"/>
      <c r="P36" s="1401"/>
      <c r="Q36" s="1402"/>
      <c r="R36" s="1402"/>
      <c r="S36" s="1403"/>
      <c r="T36" s="1401"/>
      <c r="U36" s="1402"/>
      <c r="V36" s="1402"/>
      <c r="W36" s="1403"/>
      <c r="X36" s="1401"/>
      <c r="Y36" s="1402"/>
      <c r="Z36" s="1402"/>
      <c r="AA36" s="1403"/>
      <c r="AB36" s="1401"/>
      <c r="AC36" s="1402"/>
      <c r="AD36" s="1402"/>
      <c r="AE36" s="1402"/>
      <c r="AF36" s="1404"/>
      <c r="AG36" s="1405"/>
      <c r="AH36" s="1405"/>
      <c r="AI36" s="1403"/>
      <c r="AJ36" s="1404"/>
      <c r="AK36" s="1405"/>
      <c r="AL36" s="1405"/>
      <c r="AM36" s="1405"/>
      <c r="AN36" s="1404"/>
      <c r="AO36" s="1405"/>
      <c r="AP36" s="1405"/>
      <c r="AQ36" s="1405"/>
      <c r="AR36" s="1404"/>
      <c r="AS36" s="1405"/>
      <c r="AT36" s="1405"/>
      <c r="AU36" s="1406"/>
      <c r="AV36" s="1404"/>
      <c r="AW36" s="1405"/>
      <c r="AX36" s="1405"/>
      <c r="AY36" s="1406">
        <f>AY34/AU29-1</f>
        <v>0.1100510062336939</v>
      </c>
      <c r="AZ36" s="1404">
        <f>AZ34/AV29-1</f>
        <v>0.10431632792319401</v>
      </c>
      <c r="BA36" s="1405">
        <f>BA34/AW29-1</f>
        <v>0.158704421608858</v>
      </c>
      <c r="BB36" s="1405">
        <f>BB34/AX29-1</f>
        <v>5.9059125975701177E-2</v>
      </c>
      <c r="BC36" s="1403">
        <f t="shared" ref="BC36:BK36" si="47">BC34/AY34-1</f>
        <v>0.16371761781647054</v>
      </c>
      <c r="BD36" s="1404">
        <f t="shared" si="47"/>
        <v>0.11446537036458015</v>
      </c>
      <c r="BE36" s="1405">
        <f t="shared" si="47"/>
        <v>9.6684044228730004E-2</v>
      </c>
      <c r="BF36" s="1405">
        <f t="shared" si="47"/>
        <v>7.6474520000000323E-2</v>
      </c>
      <c r="BG36" s="1403">
        <f t="shared" si="47"/>
        <v>1.3720400000000188E-2</v>
      </c>
      <c r="BH36" s="1404">
        <f t="shared" si="47"/>
        <v>4.6776500000000221E-2</v>
      </c>
      <c r="BI36" s="1405">
        <f t="shared" si="47"/>
        <v>5.7350000000000234E-2</v>
      </c>
      <c r="BJ36" s="1405">
        <f t="shared" si="47"/>
        <v>4.7375000000000167E-2</v>
      </c>
      <c r="BK36" s="1403">
        <f t="shared" si="47"/>
        <v>3.74000000000001E-2</v>
      </c>
      <c r="BL36" s="20"/>
      <c r="BM36" s="480"/>
      <c r="BN36" s="415"/>
      <c r="BO36" s="415"/>
      <c r="BP36" s="415"/>
      <c r="BQ36" s="415"/>
      <c r="BR36" s="415"/>
      <c r="BS36" s="415"/>
      <c r="BT36" s="415"/>
      <c r="BU36" s="415"/>
      <c r="BV36" s="415"/>
      <c r="BW36" s="415"/>
      <c r="BX36" s="415"/>
      <c r="BY36" s="415"/>
      <c r="BZ36" s="415"/>
      <c r="CA36" s="105"/>
      <c r="CB36" s="830"/>
      <c r="CC36" s="480"/>
      <c r="CD36" s="480"/>
      <c r="CE36" s="480"/>
      <c r="CF36" s="260"/>
      <c r="CG36" s="22"/>
      <c r="CH36" s="14"/>
      <c r="CI36" s="14"/>
      <c r="CJ36" s="14"/>
      <c r="CK36" s="862"/>
      <c r="CL36" s="862"/>
      <c r="CM36" s="862"/>
      <c r="CN36" s="862"/>
      <c r="CO36" s="862"/>
      <c r="CP36" s="862"/>
      <c r="CQ36" s="862"/>
      <c r="CR36" s="862"/>
      <c r="CS36" s="864"/>
      <c r="CT36" s="1381"/>
    </row>
    <row r="37" spans="1:256" s="8" customFormat="1" ht="14.25" customHeight="1">
      <c r="A37" s="538"/>
      <c r="B37" s="1399" t="s">
        <v>646</v>
      </c>
      <c r="C37" s="1400"/>
      <c r="D37" s="1401"/>
      <c r="E37" s="1402"/>
      <c r="F37" s="1402"/>
      <c r="G37" s="1403"/>
      <c r="H37" s="1401"/>
      <c r="I37" s="1402"/>
      <c r="J37" s="1402"/>
      <c r="K37" s="1403"/>
      <c r="L37" s="1401"/>
      <c r="M37" s="1402"/>
      <c r="N37" s="1402"/>
      <c r="O37" s="1403"/>
      <c r="P37" s="1401"/>
      <c r="Q37" s="1402"/>
      <c r="R37" s="1402"/>
      <c r="S37" s="1403"/>
      <c r="T37" s="1401"/>
      <c r="U37" s="1402"/>
      <c r="V37" s="1402"/>
      <c r="W37" s="1403"/>
      <c r="X37" s="1401"/>
      <c r="Y37" s="1402"/>
      <c r="Z37" s="1402"/>
      <c r="AA37" s="1403"/>
      <c r="AB37" s="1401"/>
      <c r="AC37" s="1402"/>
      <c r="AD37" s="1402"/>
      <c r="AE37" s="1402"/>
      <c r="AF37" s="1404"/>
      <c r="AG37" s="1405"/>
      <c r="AH37" s="1405"/>
      <c r="AI37" s="1403"/>
      <c r="AJ37" s="1404"/>
      <c r="AK37" s="1405"/>
      <c r="AL37" s="1405"/>
      <c r="AM37" s="1405"/>
      <c r="AN37" s="1404"/>
      <c r="AO37" s="1405"/>
      <c r="AP37" s="1405"/>
      <c r="AQ37" s="1405"/>
      <c r="AR37" s="1404"/>
      <c r="AS37" s="1405"/>
      <c r="AT37" s="1405"/>
      <c r="AU37" s="1406"/>
      <c r="AV37" s="1404"/>
      <c r="AW37" s="1405"/>
      <c r="AX37" s="1405"/>
      <c r="AY37" s="1407">
        <f>AY309</f>
        <v>9.5</v>
      </c>
      <c r="AZ37" s="1414">
        <f t="shared" ref="AZ37:BK37" si="48">AZ309</f>
        <v>0</v>
      </c>
      <c r="BA37" s="1414">
        <f>BA309</f>
        <v>18.399999999999999</v>
      </c>
      <c r="BB37" s="1414">
        <f>BB309</f>
        <v>0</v>
      </c>
      <c r="BC37" s="1407">
        <f t="shared" si="48"/>
        <v>0</v>
      </c>
      <c r="BD37" s="1414">
        <f t="shared" si="48"/>
        <v>0</v>
      </c>
      <c r="BE37" s="1409">
        <f t="shared" si="48"/>
        <v>0</v>
      </c>
      <c r="BF37" s="1409">
        <f t="shared" si="48"/>
        <v>0</v>
      </c>
      <c r="BG37" s="1407">
        <f t="shared" si="48"/>
        <v>0</v>
      </c>
      <c r="BH37" s="1414">
        <f t="shared" si="48"/>
        <v>0</v>
      </c>
      <c r="BI37" s="1409">
        <f t="shared" si="48"/>
        <v>0</v>
      </c>
      <c r="BJ37" s="1409">
        <f t="shared" si="48"/>
        <v>0</v>
      </c>
      <c r="BK37" s="1407">
        <f t="shared" si="48"/>
        <v>0</v>
      </c>
      <c r="BL37" s="20"/>
      <c r="BM37" s="480"/>
      <c r="BN37" s="415"/>
      <c r="BO37" s="415"/>
      <c r="BP37" s="415"/>
      <c r="BQ37" s="415"/>
      <c r="BR37" s="415"/>
      <c r="BS37" s="415"/>
      <c r="BT37" s="415"/>
      <c r="BU37" s="415"/>
      <c r="BV37" s="415"/>
      <c r="BW37" s="415"/>
      <c r="BX37" s="415"/>
      <c r="BY37" s="415"/>
      <c r="BZ37" s="415"/>
      <c r="CA37" s="105"/>
      <c r="CB37" s="830"/>
      <c r="CC37" s="480"/>
      <c r="CD37" s="480"/>
      <c r="CE37" s="480"/>
      <c r="CF37" s="260"/>
      <c r="CG37" s="22"/>
      <c r="CH37" s="14"/>
      <c r="CI37" s="14"/>
      <c r="CJ37" s="14"/>
      <c r="CK37" s="862"/>
      <c r="CL37" s="862"/>
      <c r="CM37" s="862"/>
      <c r="CN37" s="862"/>
      <c r="CO37" s="862"/>
      <c r="CP37" s="862"/>
      <c r="CQ37" s="862"/>
      <c r="CR37" s="862"/>
      <c r="CS37" s="864"/>
      <c r="CT37" s="1381"/>
    </row>
    <row r="38" spans="1:256" s="8" customFormat="1" ht="14.25" hidden="1" customHeight="1" outlineLevel="1">
      <c r="A38" s="1232"/>
      <c r="B38" s="704" t="s">
        <v>100</v>
      </c>
      <c r="C38" s="705"/>
      <c r="D38" s="706"/>
      <c r="E38" s="707"/>
      <c r="F38" s="707"/>
      <c r="G38" s="708"/>
      <c r="H38" s="706"/>
      <c r="I38" s="707"/>
      <c r="J38" s="707"/>
      <c r="K38" s="708"/>
      <c r="L38" s="706"/>
      <c r="M38" s="707"/>
      <c r="N38" s="707"/>
      <c r="O38" s="708"/>
      <c r="P38" s="706"/>
      <c r="Q38" s="707"/>
      <c r="R38" s="707"/>
      <c r="S38" s="708"/>
      <c r="T38" s="706"/>
      <c r="U38" s="707"/>
      <c r="V38" s="707"/>
      <c r="W38" s="708"/>
      <c r="X38" s="706"/>
      <c r="Y38" s="707">
        <f>0.51*0.3*Y110</f>
        <v>93.779207999999997</v>
      </c>
      <c r="Z38" s="707"/>
      <c r="AA38" s="708">
        <f>0.51*0.33*AA110</f>
        <v>105.43843529999994</v>
      </c>
      <c r="AB38" s="104"/>
      <c r="AC38" s="104"/>
      <c r="AD38" s="922"/>
      <c r="AE38" s="922"/>
      <c r="AF38" s="934"/>
      <c r="AG38" s="922"/>
      <c r="AH38" s="922"/>
      <c r="AI38" s="938"/>
      <c r="AJ38" s="934"/>
      <c r="AK38" s="922"/>
      <c r="AL38" s="922"/>
      <c r="AM38" s="938"/>
      <c r="AN38" s="165"/>
      <c r="AO38" s="922"/>
      <c r="AP38" s="922"/>
      <c r="AQ38" s="105"/>
      <c r="AR38" s="165"/>
      <c r="AS38" s="104"/>
      <c r="AT38" s="104"/>
      <c r="AU38" s="105"/>
      <c r="AV38" s="165"/>
      <c r="AW38" s="104"/>
      <c r="AX38" s="104"/>
      <c r="AY38" s="105"/>
      <c r="AZ38" s="104"/>
      <c r="BA38" s="104"/>
      <c r="BB38" s="104"/>
      <c r="BC38" s="105"/>
      <c r="BD38" s="104"/>
      <c r="BE38" s="104"/>
      <c r="BF38" s="104"/>
      <c r="BG38" s="105"/>
      <c r="BH38" s="104"/>
      <c r="BI38" s="104"/>
      <c r="BJ38" s="104"/>
      <c r="BK38" s="105"/>
      <c r="BL38" s="260"/>
      <c r="BM38" s="480"/>
      <c r="BN38" s="415"/>
      <c r="BO38" s="415"/>
      <c r="BP38" s="415"/>
      <c r="BQ38" s="415"/>
      <c r="BR38" s="415"/>
      <c r="BS38" s="415"/>
      <c r="BT38" s="415"/>
      <c r="BU38" s="415"/>
      <c r="BV38" s="415"/>
      <c r="BW38" s="415"/>
      <c r="BX38" s="415"/>
      <c r="BY38" s="415"/>
      <c r="BZ38" s="415"/>
      <c r="CA38" s="105"/>
      <c r="CB38" s="830"/>
      <c r="CC38" s="480"/>
      <c r="CD38" s="480"/>
      <c r="CE38" s="480"/>
      <c r="CF38" s="260"/>
      <c r="CG38" s="22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260"/>
      <c r="CT38" s="1381"/>
    </row>
    <row r="39" spans="1:256" s="8" customFormat="1" ht="14.25" hidden="1" customHeight="1" outlineLevel="1">
      <c r="A39" s="1232"/>
      <c r="B39" s="704" t="s">
        <v>101</v>
      </c>
      <c r="C39" s="705"/>
      <c r="D39" s="706"/>
      <c r="E39" s="707"/>
      <c r="F39" s="707"/>
      <c r="G39" s="708"/>
      <c r="H39" s="706"/>
      <c r="I39" s="707"/>
      <c r="J39" s="707"/>
      <c r="K39" s="708"/>
      <c r="L39" s="706"/>
      <c r="M39" s="707"/>
      <c r="N39" s="707"/>
      <c r="O39" s="708"/>
      <c r="P39" s="706"/>
      <c r="Q39" s="707"/>
      <c r="R39" s="707"/>
      <c r="S39" s="708"/>
      <c r="T39" s="706"/>
      <c r="U39" s="707"/>
      <c r="V39" s="707"/>
      <c r="W39" s="708"/>
      <c r="X39" s="706"/>
      <c r="Y39" s="707">
        <f>Y29-Y38</f>
        <v>71.713512000000023</v>
      </c>
      <c r="Z39" s="707"/>
      <c r="AA39" s="708">
        <f>AA29-AA38</f>
        <v>69.979044699999989</v>
      </c>
      <c r="AB39" s="104"/>
      <c r="AC39" s="104"/>
      <c r="AD39" s="104"/>
      <c r="AE39" s="104"/>
      <c r="AF39" s="830"/>
      <c r="AG39" s="480"/>
      <c r="AH39" s="480"/>
      <c r="AI39" s="938"/>
      <c r="AJ39" s="830"/>
      <c r="AK39" s="104"/>
      <c r="AL39" s="104"/>
      <c r="AM39" s="105"/>
      <c r="AN39" s="165"/>
      <c r="AO39" s="104"/>
      <c r="AP39" s="104"/>
      <c r="AQ39" s="105"/>
      <c r="AR39" s="165"/>
      <c r="AS39" s="104"/>
      <c r="AT39" s="104"/>
      <c r="AU39" s="105"/>
      <c r="AV39" s="165"/>
      <c r="AW39" s="104"/>
      <c r="AX39" s="104"/>
      <c r="AY39" s="105"/>
      <c r="AZ39" s="104"/>
      <c r="BA39" s="104"/>
      <c r="BB39" s="104"/>
      <c r="BC39" s="105"/>
      <c r="BD39" s="104"/>
      <c r="BE39" s="104"/>
      <c r="BF39" s="104"/>
      <c r="BG39" s="105"/>
      <c r="BH39" s="104"/>
      <c r="BI39" s="104"/>
      <c r="BJ39" s="104"/>
      <c r="BK39" s="105"/>
      <c r="BL39" s="260"/>
      <c r="BM39" s="480"/>
      <c r="BN39" s="415"/>
      <c r="BO39" s="415"/>
      <c r="BP39" s="415"/>
      <c r="BQ39" s="415"/>
      <c r="BR39" s="415"/>
      <c r="BS39" s="415"/>
      <c r="BT39" s="415"/>
      <c r="BU39" s="415"/>
      <c r="BV39" s="415"/>
      <c r="BW39" s="415"/>
      <c r="BX39" s="415"/>
      <c r="BY39" s="415"/>
      <c r="BZ39" s="415"/>
      <c r="CA39" s="105"/>
      <c r="CB39" s="830"/>
      <c r="CC39" s="480"/>
      <c r="CD39" s="480"/>
      <c r="CE39" s="480"/>
      <c r="CF39" s="260"/>
      <c r="CG39" s="22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260"/>
      <c r="CT39" s="1381"/>
    </row>
    <row r="40" spans="1:256" s="8" customFormat="1" ht="14.25" hidden="1" customHeight="1" outlineLevel="1">
      <c r="A40" s="1232"/>
      <c r="B40" s="267"/>
      <c r="C40" s="268"/>
      <c r="D40" s="104"/>
      <c r="E40" s="104"/>
      <c r="F40" s="104"/>
      <c r="G40" s="105"/>
      <c r="H40" s="104"/>
      <c r="I40" s="104"/>
      <c r="J40" s="104"/>
      <c r="K40" s="105"/>
      <c r="L40" s="104"/>
      <c r="M40" s="104"/>
      <c r="N40" s="104"/>
      <c r="O40" s="105"/>
      <c r="P40" s="104"/>
      <c r="Q40" s="104"/>
      <c r="R40" s="104"/>
      <c r="S40" s="105"/>
      <c r="T40" s="104"/>
      <c r="U40" s="104"/>
      <c r="V40" s="104"/>
      <c r="W40" s="105"/>
      <c r="X40" s="707"/>
      <c r="Y40" s="707"/>
      <c r="Z40" s="707"/>
      <c r="AA40" s="708"/>
      <c r="AB40" s="104"/>
      <c r="AC40" s="104"/>
      <c r="AD40" s="104"/>
      <c r="AE40" s="104"/>
      <c r="AF40" s="830"/>
      <c r="AG40" s="480"/>
      <c r="AH40" s="480"/>
      <c r="AI40" s="938"/>
      <c r="AJ40" s="830"/>
      <c r="AK40" s="104"/>
      <c r="AL40" s="104"/>
      <c r="AM40" s="105"/>
      <c r="AN40" s="165"/>
      <c r="AO40" s="104"/>
      <c r="AP40" s="104"/>
      <c r="AQ40" s="105"/>
      <c r="AR40" s="165"/>
      <c r="AS40" s="104"/>
      <c r="AT40" s="104"/>
      <c r="AU40" s="105"/>
      <c r="AV40" s="165"/>
      <c r="AW40" s="104"/>
      <c r="AX40" s="104"/>
      <c r="AY40" s="105"/>
      <c r="AZ40" s="104"/>
      <c r="BA40" s="104"/>
      <c r="BB40" s="104"/>
      <c r="BC40" s="105"/>
      <c r="BD40" s="104"/>
      <c r="BE40" s="104"/>
      <c r="BF40" s="104"/>
      <c r="BG40" s="105"/>
      <c r="BH40" s="104"/>
      <c r="BI40" s="104"/>
      <c r="BJ40" s="104"/>
      <c r="BK40" s="105"/>
      <c r="BL40" s="260"/>
      <c r="BM40" s="480"/>
      <c r="BN40" s="415"/>
      <c r="BO40" s="415"/>
      <c r="BP40" s="415"/>
      <c r="BQ40" s="415"/>
      <c r="BR40" s="415"/>
      <c r="BS40" s="415"/>
      <c r="BT40" s="415"/>
      <c r="BU40" s="415"/>
      <c r="BV40" s="415"/>
      <c r="BW40" s="415"/>
      <c r="BX40" s="415"/>
      <c r="BY40" s="415"/>
      <c r="BZ40" s="415"/>
      <c r="CA40" s="105"/>
      <c r="CB40" s="830"/>
      <c r="CC40" s="480"/>
      <c r="CD40" s="480"/>
      <c r="CE40" s="480"/>
      <c r="CF40" s="260"/>
      <c r="CG40" s="22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260"/>
      <c r="CT40" s="1381"/>
    </row>
    <row r="41" spans="1:256" s="8" customFormat="1" ht="14.25" hidden="1" customHeight="1" outlineLevel="1">
      <c r="A41" s="1232"/>
      <c r="B41" s="47" t="s">
        <v>51</v>
      </c>
      <c r="C41" s="268"/>
      <c r="D41" s="104"/>
      <c r="E41" s="104"/>
      <c r="F41" s="104"/>
      <c r="G41" s="105"/>
      <c r="H41" s="104"/>
      <c r="I41" s="104"/>
      <c r="J41" s="104"/>
      <c r="K41" s="105"/>
      <c r="L41" s="104"/>
      <c r="M41" s="104"/>
      <c r="N41" s="104"/>
      <c r="O41" s="105"/>
      <c r="P41" s="104"/>
      <c r="Q41" s="104"/>
      <c r="R41" s="104"/>
      <c r="S41" s="105"/>
      <c r="T41" s="104"/>
      <c r="U41" s="104"/>
      <c r="V41" s="104"/>
      <c r="W41" s="105"/>
      <c r="X41" s="104"/>
      <c r="Y41" s="104"/>
      <c r="Z41" s="104"/>
      <c r="AA41" s="105"/>
      <c r="AB41" s="104"/>
      <c r="AC41" s="104"/>
      <c r="AD41" s="104"/>
      <c r="AE41" s="104"/>
      <c r="AF41" s="830"/>
      <c r="AG41" s="480"/>
      <c r="AH41" s="876"/>
      <c r="AI41" s="938"/>
      <c r="AJ41" s="830"/>
      <c r="AK41" s="104"/>
      <c r="AL41" s="104"/>
      <c r="AM41" s="105"/>
      <c r="AN41" s="108"/>
      <c r="AO41" s="104"/>
      <c r="AP41" s="104"/>
      <c r="AQ41" s="107"/>
      <c r="AR41" s="108"/>
      <c r="AS41" s="106"/>
      <c r="AT41" s="106"/>
      <c r="AU41" s="107"/>
      <c r="AV41" s="108"/>
      <c r="AW41" s="106"/>
      <c r="AX41" s="106"/>
      <c r="AY41" s="107"/>
      <c r="AZ41" s="106"/>
      <c r="BA41" s="106"/>
      <c r="BB41" s="106"/>
      <c r="BC41" s="107"/>
      <c r="BD41" s="106"/>
      <c r="BE41" s="106"/>
      <c r="BF41" s="106"/>
      <c r="BG41" s="107"/>
      <c r="BH41" s="106"/>
      <c r="BI41" s="106"/>
      <c r="BJ41" s="106"/>
      <c r="BK41" s="107"/>
      <c r="BL41" s="260"/>
      <c r="BM41" s="270"/>
      <c r="BN41" s="270"/>
      <c r="BO41" s="270"/>
      <c r="BP41" s="270"/>
      <c r="BQ41" s="270"/>
      <c r="BR41" s="270"/>
      <c r="BS41" s="270"/>
      <c r="BT41" s="270"/>
      <c r="BU41" s="270"/>
      <c r="BV41" s="270"/>
      <c r="BW41" s="270"/>
      <c r="BX41" s="270"/>
      <c r="BY41" s="270"/>
      <c r="BZ41" s="270"/>
      <c r="CA41" s="24"/>
      <c r="CB41" s="23"/>
      <c r="CC41" s="74"/>
      <c r="CD41" s="74"/>
      <c r="CE41" s="74"/>
      <c r="CF41" s="260"/>
      <c r="CG41" s="22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260"/>
      <c r="CT41" s="1381"/>
    </row>
    <row r="42" spans="1:256" s="8" customFormat="1" ht="14.25" hidden="1" customHeight="1" outlineLevel="1">
      <c r="A42" s="1232"/>
      <c r="B42" s="35" t="s">
        <v>517</v>
      </c>
      <c r="C42" s="268"/>
      <c r="D42" s="416"/>
      <c r="E42" s="416"/>
      <c r="F42" s="416"/>
      <c r="G42" s="417"/>
      <c r="H42" s="486"/>
      <c r="I42" s="416"/>
      <c r="J42" s="416"/>
      <c r="K42" s="417"/>
      <c r="L42" s="486"/>
      <c r="M42" s="416"/>
      <c r="N42" s="416"/>
      <c r="O42" s="417"/>
      <c r="P42" s="486"/>
      <c r="Q42" s="416"/>
      <c r="R42" s="416"/>
      <c r="S42" s="417"/>
      <c r="T42" s="486"/>
      <c r="U42" s="416"/>
      <c r="V42" s="416"/>
      <c r="W42" s="417"/>
      <c r="X42" s="486">
        <f t="shared" ref="X42:AR42" si="49">X$111*X33</f>
        <v>96.5535</v>
      </c>
      <c r="Y42" s="416">
        <f t="shared" si="49"/>
        <v>102.67425000000001</v>
      </c>
      <c r="Z42" s="416">
        <f t="shared" si="49"/>
        <v>108.06849999999999</v>
      </c>
      <c r="AA42" s="417">
        <f t="shared" si="49"/>
        <v>109.43099999999993</v>
      </c>
      <c r="AB42" s="486">
        <f t="shared" si="49"/>
        <v>98.868249999999961</v>
      </c>
      <c r="AC42" s="416">
        <f t="shared" si="49"/>
        <v>86.990000000000009</v>
      </c>
      <c r="AD42" s="416">
        <f t="shared" si="49"/>
        <v>83.857499999999987</v>
      </c>
      <c r="AE42" s="416">
        <f t="shared" si="49"/>
        <v>89.277360000000002</v>
      </c>
      <c r="AF42" s="486">
        <f t="shared" si="49"/>
        <v>88.708930000000009</v>
      </c>
      <c r="AG42" s="416">
        <f t="shared" si="49"/>
        <v>87.21</v>
      </c>
      <c r="AH42" s="416">
        <f t="shared" si="49"/>
        <v>82.742439999999988</v>
      </c>
      <c r="AI42" s="417">
        <f t="shared" si="49"/>
        <v>92.84975</v>
      </c>
      <c r="AJ42" s="486">
        <f t="shared" si="49"/>
        <v>90.270960000000017</v>
      </c>
      <c r="AK42" s="416">
        <f t="shared" si="49"/>
        <v>78.881280000000004</v>
      </c>
      <c r="AL42" s="416">
        <f t="shared" si="49"/>
        <v>84.984250000000003</v>
      </c>
      <c r="AM42" s="416">
        <f t="shared" si="49"/>
        <v>99.619200000000006</v>
      </c>
      <c r="AN42" s="486">
        <f t="shared" si="49"/>
        <v>94.844400000000007</v>
      </c>
      <c r="AO42" s="416">
        <f t="shared" si="49"/>
        <v>84.800790000000006</v>
      </c>
      <c r="AP42" s="416">
        <f t="shared" si="49"/>
        <v>85.12236</v>
      </c>
      <c r="AQ42" s="416">
        <f t="shared" si="49"/>
        <v>81.999270000000024</v>
      </c>
      <c r="AR42" s="486">
        <f t="shared" si="49"/>
        <v>77.31477000000001</v>
      </c>
      <c r="AS42" s="416">
        <f>AS45*AS29</f>
        <v>83.268164999999968</v>
      </c>
      <c r="AT42" s="416">
        <f>AT45*AT29</f>
        <v>88.95663900000001</v>
      </c>
      <c r="AU42" s="417">
        <f>AU$111*AU33</f>
        <v>92.656209000000004</v>
      </c>
      <c r="AV42" s="486">
        <f>AV$111*AV33</f>
        <v>89.890319999999988</v>
      </c>
      <c r="AW42" s="416">
        <f>AW45*AW29</f>
        <v>86.40521200000002</v>
      </c>
      <c r="AX42" s="416">
        <f>AX45*AX29</f>
        <v>104.38418799999999</v>
      </c>
      <c r="AY42" s="417">
        <f>AY$111*AY33</f>
        <v>115.93463700000001</v>
      </c>
      <c r="AZ42" s="416">
        <f>AZ$111*AZ33</f>
        <v>104.67268000000001</v>
      </c>
      <c r="BA42" s="416">
        <f>BA$111*BA33</f>
        <v>118.80603999999997</v>
      </c>
      <c r="BB42" s="416">
        <f>BB$111*BB33</f>
        <v>114.46541999999999</v>
      </c>
      <c r="BC42" s="417">
        <f t="shared" ref="BC42:BG42" si="50">BC45*BC29</f>
        <v>127.41476202055397</v>
      </c>
      <c r="BD42" s="416">
        <f t="shared" si="50"/>
        <v>120.35871332478003</v>
      </c>
      <c r="BE42" s="416">
        <f t="shared" si="50"/>
        <v>119.33296966345989</v>
      </c>
      <c r="BF42" s="416">
        <f t="shared" si="50"/>
        <v>126.86997600375413</v>
      </c>
      <c r="BG42" s="417">
        <f t="shared" si="50"/>
        <v>133.80729415670831</v>
      </c>
      <c r="BH42" s="416">
        <f>BH45*BH29</f>
        <v>126.92888665383018</v>
      </c>
      <c r="BI42" s="416">
        <f>BI45*BI29</f>
        <v>126.92888665383018</v>
      </c>
      <c r="BJ42" s="416">
        <f>BJ45*BJ29</f>
        <v>133.6702208561114</v>
      </c>
      <c r="BK42" s="417">
        <f>BK45*BK29</f>
        <v>139.42771515472913</v>
      </c>
      <c r="BL42" s="352"/>
      <c r="BM42" s="409"/>
      <c r="BN42" s="409"/>
      <c r="BO42" s="409"/>
      <c r="BP42" s="409"/>
      <c r="BQ42" s="409"/>
      <c r="BR42" s="409">
        <f>SUM(X43:AA43)</f>
        <v>0.12853757583126502</v>
      </c>
      <c r="BS42" s="409">
        <f>SUM(AB43:AE43)</f>
        <v>-0.18804460343094487</v>
      </c>
      <c r="BT42" s="409">
        <f>SUM(AF43:AI43)</f>
        <v>4.7662084234310842E-2</v>
      </c>
      <c r="BU42" s="409">
        <f>SUM(AJ43:AM43)</f>
        <v>9.5630911705299027E-2</v>
      </c>
      <c r="BV42" s="409">
        <f>SUM(AN42:AQ42)</f>
        <v>346.76682000000005</v>
      </c>
      <c r="BW42" s="409">
        <f>SUM(AR42:AU42)</f>
        <v>342.19578299999995</v>
      </c>
      <c r="BX42" s="409">
        <f>SUM(AV42:AY42)</f>
        <v>396.61435699999998</v>
      </c>
      <c r="BY42" s="409">
        <f>SUM(AZ42:BC42)</f>
        <v>465.3589020205539</v>
      </c>
      <c r="BZ42" s="409">
        <f>SUM(BA42:BD42)</f>
        <v>481.04493534533395</v>
      </c>
      <c r="CA42" s="51">
        <f>SUM(BB42:BE42)</f>
        <v>481.57186500879385</v>
      </c>
      <c r="CB42" s="528"/>
      <c r="CC42" s="529"/>
      <c r="CD42" s="529"/>
      <c r="CE42" s="529"/>
      <c r="CF42" s="260"/>
      <c r="CG42" s="22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260"/>
      <c r="CT42" s="1381"/>
    </row>
    <row r="43" spans="1:256" s="8" customFormat="1" ht="14.25" hidden="1" customHeight="1" outlineLevel="1">
      <c r="A43" s="1232"/>
      <c r="B43" s="35" t="s">
        <v>518</v>
      </c>
      <c r="C43" s="268"/>
      <c r="D43" s="165"/>
      <c r="E43" s="104"/>
      <c r="F43" s="104"/>
      <c r="G43" s="105"/>
      <c r="H43" s="165"/>
      <c r="I43" s="104"/>
      <c r="J43" s="104"/>
      <c r="K43" s="105"/>
      <c r="L43" s="165"/>
      <c r="M43" s="104"/>
      <c r="N43" s="104"/>
      <c r="O43" s="105"/>
      <c r="P43" s="165"/>
      <c r="Q43" s="104"/>
      <c r="R43" s="104"/>
      <c r="S43" s="105"/>
      <c r="T43" s="165"/>
      <c r="U43" s="104"/>
      <c r="V43" s="104"/>
      <c r="W43" s="105"/>
      <c r="X43" s="165"/>
      <c r="Y43" s="104">
        <f t="shared" ref="Y43:AR43" si="51">Y42/X42-1</f>
        <v>6.3392316177041996E-2</v>
      </c>
      <c r="Z43" s="104">
        <f t="shared" si="51"/>
        <v>5.2537515491956066E-2</v>
      </c>
      <c r="AA43" s="105">
        <f t="shared" si="51"/>
        <v>1.2607744162266954E-2</v>
      </c>
      <c r="AB43" s="165">
        <f t="shared" si="51"/>
        <v>-9.6524293847264242E-2</v>
      </c>
      <c r="AC43" s="104">
        <f t="shared" si="51"/>
        <v>-0.12014220945551235</v>
      </c>
      <c r="AD43" s="104">
        <f t="shared" si="51"/>
        <v>-3.6009886193815621E-2</v>
      </c>
      <c r="AE43" s="104">
        <f t="shared" si="51"/>
        <v>6.4631786065647345E-2</v>
      </c>
      <c r="AF43" s="830">
        <f t="shared" si="51"/>
        <v>-6.3670117485552513E-3</v>
      </c>
      <c r="AG43" s="480">
        <f t="shared" si="51"/>
        <v>-1.689717145725933E-2</v>
      </c>
      <c r="AH43" s="480">
        <f t="shared" si="51"/>
        <v>-5.1227611512441262E-2</v>
      </c>
      <c r="AI43" s="105">
        <f t="shared" si="51"/>
        <v>0.12215387895256669</v>
      </c>
      <c r="AJ43" s="165">
        <f t="shared" si="51"/>
        <v>-2.7773795836822268E-2</v>
      </c>
      <c r="AK43" s="104">
        <f t="shared" si="51"/>
        <v>-0.12617213775061231</v>
      </c>
      <c r="AL43" s="104">
        <f t="shared" si="51"/>
        <v>7.7369053849024816E-2</v>
      </c>
      <c r="AM43" s="104">
        <f t="shared" si="51"/>
        <v>0.17220779144370879</v>
      </c>
      <c r="AN43" s="165">
        <f t="shared" si="51"/>
        <v>-4.7930519417943462E-2</v>
      </c>
      <c r="AO43" s="104">
        <f t="shared" si="51"/>
        <v>-0.10589565646469379</v>
      </c>
      <c r="AP43" s="104">
        <f t="shared" si="51"/>
        <v>3.7920637295949522E-3</v>
      </c>
      <c r="AQ43" s="104">
        <f t="shared" si="51"/>
        <v>-3.6689419795221556E-2</v>
      </c>
      <c r="AR43" s="165">
        <f t="shared" si="51"/>
        <v>-5.7128557363986476E-2</v>
      </c>
      <c r="AS43" s="104">
        <f t="shared" ref="AS43:BB43" si="52">AS42/AR42-1</f>
        <v>7.7002039843097947E-2</v>
      </c>
      <c r="AT43" s="104">
        <f t="shared" si="52"/>
        <v>6.8315111783717741E-2</v>
      </c>
      <c r="AU43" s="105">
        <f t="shared" si="52"/>
        <v>4.158846424042606E-2</v>
      </c>
      <c r="AV43" s="165">
        <f t="shared" si="52"/>
        <v>-2.9851091792456264E-2</v>
      </c>
      <c r="AW43" s="104">
        <f t="shared" si="52"/>
        <v>-3.8770670746304692E-2</v>
      </c>
      <c r="AX43" s="104">
        <f t="shared" si="52"/>
        <v>0.20807744792061822</v>
      </c>
      <c r="AY43" s="105">
        <f t="shared" si="52"/>
        <v>0.11065324376523411</v>
      </c>
      <c r="AZ43" s="104">
        <f t="shared" si="52"/>
        <v>-9.7140572407191761E-2</v>
      </c>
      <c r="BA43" s="104">
        <f t="shared" si="52"/>
        <v>0.13502434446122868</v>
      </c>
      <c r="BB43" s="104">
        <f t="shared" si="52"/>
        <v>-3.653534786615209E-2</v>
      </c>
      <c r="BC43" s="105">
        <f t="shared" ref="BC43:BG43" si="53">BC42/BB42-1</f>
        <v>0.11312885603839118</v>
      </c>
      <c r="BD43" s="104">
        <f t="shared" si="53"/>
        <v>-5.5378580816528022E-2</v>
      </c>
      <c r="BE43" s="104">
        <f t="shared" si="53"/>
        <v>-8.5223880597014023E-3</v>
      </c>
      <c r="BF43" s="104">
        <f t="shared" si="53"/>
        <v>6.3159463487332479E-2</v>
      </c>
      <c r="BG43" s="105">
        <f t="shared" si="53"/>
        <v>5.4680534918276402E-2</v>
      </c>
      <c r="BH43" s="104">
        <f>BH42/BG42-1</f>
        <v>-5.1405325443787064E-2</v>
      </c>
      <c r="BI43" s="104">
        <f>BI42/BH42-1</f>
        <v>0</v>
      </c>
      <c r="BJ43" s="104">
        <f>BJ42/BI42-1</f>
        <v>5.3111111111111331E-2</v>
      </c>
      <c r="BK43" s="105">
        <f>BK42/BJ42-1</f>
        <v>4.3072378138847789E-2</v>
      </c>
      <c r="BL43" s="260"/>
      <c r="BM43" s="270"/>
      <c r="BN43" s="270"/>
      <c r="BO43" s="270"/>
      <c r="BP43" s="270"/>
      <c r="BQ43" s="270"/>
      <c r="BR43" s="270"/>
      <c r="BS43" s="270"/>
      <c r="BT43" s="270"/>
      <c r="BU43" s="270"/>
      <c r="BV43" s="270"/>
      <c r="BW43" s="270"/>
      <c r="BX43" s="270"/>
      <c r="BY43" s="270"/>
      <c r="BZ43" s="270"/>
      <c r="CA43" s="24"/>
      <c r="CB43" s="23"/>
      <c r="CC43" s="74"/>
      <c r="CD43" s="74"/>
      <c r="CE43" s="74"/>
      <c r="CF43" s="260"/>
      <c r="CG43" s="22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260"/>
      <c r="CT43" s="1381"/>
    </row>
    <row r="44" spans="1:256" s="8" customFormat="1" ht="14.25" hidden="1" customHeight="1" outlineLevel="1">
      <c r="A44" s="1232"/>
      <c r="B44" s="35" t="s">
        <v>538</v>
      </c>
      <c r="C44" s="268"/>
      <c r="D44" s="165"/>
      <c r="E44" s="104"/>
      <c r="F44" s="104"/>
      <c r="G44" s="105"/>
      <c r="H44" s="165"/>
      <c r="I44" s="104"/>
      <c r="J44" s="104"/>
      <c r="K44" s="105"/>
      <c r="L44" s="165"/>
      <c r="M44" s="104"/>
      <c r="N44" s="104"/>
      <c r="O44" s="105"/>
      <c r="P44" s="165"/>
      <c r="Q44" s="104"/>
      <c r="R44" s="104"/>
      <c r="S44" s="105"/>
      <c r="T44" s="165"/>
      <c r="U44" s="104"/>
      <c r="V44" s="104"/>
      <c r="W44" s="105"/>
      <c r="X44" s="165"/>
      <c r="Y44" s="104"/>
      <c r="Z44" s="104"/>
      <c r="AA44" s="105"/>
      <c r="AB44" s="165">
        <f t="shared" ref="AB44:BB44" si="54">AB42/X42-1</f>
        <v>2.3973755482711301E-2</v>
      </c>
      <c r="AC44" s="104">
        <f t="shared" si="54"/>
        <v>-0.15275738561518593</v>
      </c>
      <c r="AD44" s="104">
        <f t="shared" si="54"/>
        <v>-0.22403383039461089</v>
      </c>
      <c r="AE44" s="104">
        <f t="shared" si="54"/>
        <v>-0.18416755763905968</v>
      </c>
      <c r="AF44" s="830">
        <f t="shared" si="54"/>
        <v>-0.10275614264437727</v>
      </c>
      <c r="AG44" s="480">
        <f t="shared" si="54"/>
        <v>2.529026324864736E-3</v>
      </c>
      <c r="AH44" s="480">
        <f t="shared" si="54"/>
        <v>-1.3297081358256579E-2</v>
      </c>
      <c r="AI44" s="105">
        <f t="shared" si="54"/>
        <v>4.0014512077866105E-2</v>
      </c>
      <c r="AJ44" s="165">
        <f t="shared" si="54"/>
        <v>1.76084865413213E-2</v>
      </c>
      <c r="AK44" s="104">
        <f t="shared" si="54"/>
        <v>-9.5501891984864029E-2</v>
      </c>
      <c r="AL44" s="104">
        <f t="shared" si="54"/>
        <v>2.7093834796266814E-2</v>
      </c>
      <c r="AM44" s="104">
        <f t="shared" si="54"/>
        <v>7.2907573795298442E-2</v>
      </c>
      <c r="AN44" s="165">
        <f t="shared" si="54"/>
        <v>5.0663469182115506E-2</v>
      </c>
      <c r="AO44" s="104">
        <f t="shared" si="54"/>
        <v>7.5043280230746801E-2</v>
      </c>
      <c r="AP44" s="104">
        <f t="shared" si="54"/>
        <v>1.6251246554508381E-3</v>
      </c>
      <c r="AQ44" s="104">
        <f t="shared" si="54"/>
        <v>-0.17687283174327817</v>
      </c>
      <c r="AR44" s="165">
        <f t="shared" si="54"/>
        <v>-0.18482514518516635</v>
      </c>
      <c r="AS44" s="104">
        <f t="shared" si="54"/>
        <v>-1.8073239647885764E-2</v>
      </c>
      <c r="AT44" s="104">
        <f t="shared" si="54"/>
        <v>4.504432207941611E-2</v>
      </c>
      <c r="AU44" s="105">
        <f t="shared" si="54"/>
        <v>0.12996382772675874</v>
      </c>
      <c r="AV44" s="165">
        <f t="shared" si="54"/>
        <v>0.16265391464011314</v>
      </c>
      <c r="AW44" s="104">
        <f t="shared" si="54"/>
        <v>3.767402584168944E-2</v>
      </c>
      <c r="AX44" s="104">
        <f t="shared" si="54"/>
        <v>0.17342774157643226</v>
      </c>
      <c r="AY44" s="105">
        <f t="shared" si="54"/>
        <v>0.25123440998972879</v>
      </c>
      <c r="AZ44" s="104">
        <f t="shared" si="54"/>
        <v>0.16444885277969901</v>
      </c>
      <c r="BA44" s="104">
        <f t="shared" si="54"/>
        <v>0.37498696259202435</v>
      </c>
      <c r="BB44" s="104">
        <f t="shared" si="54"/>
        <v>9.6578152238919523E-2</v>
      </c>
      <c r="BC44" s="105">
        <f t="shared" ref="BC44:BG44" si="55">BC42/AY42-1</f>
        <v>9.9022391561496503E-2</v>
      </c>
      <c r="BD44" s="104">
        <f t="shared" si="55"/>
        <v>0.14985795075448549</v>
      </c>
      <c r="BE44" s="104">
        <f t="shared" si="55"/>
        <v>4.4352093837982665E-3</v>
      </c>
      <c r="BF44" s="104">
        <f t="shared" si="55"/>
        <v>0.1083694621812783</v>
      </c>
      <c r="BG44" s="105">
        <f t="shared" si="55"/>
        <v>5.017104796007188E-2</v>
      </c>
      <c r="BH44" s="104">
        <f>BH42/BD42-1</f>
        <v>5.4588264925373275E-2</v>
      </c>
      <c r="BI44" s="104">
        <f>BI42/BE42-1</f>
        <v>6.3653129657228247E-2</v>
      </c>
      <c r="BJ44" s="104">
        <f>BJ42/BF42-1</f>
        <v>5.3600111441307829E-2</v>
      </c>
      <c r="BK44" s="105">
        <f>BK42/BG42-1</f>
        <v>4.2003846153846114E-2</v>
      </c>
      <c r="BL44" s="260"/>
      <c r="BM44" s="415"/>
      <c r="BN44" s="480"/>
      <c r="BO44" s="415"/>
      <c r="BP44" s="415"/>
      <c r="BQ44" s="415"/>
      <c r="BR44" s="415" t="e">
        <f t="shared" ref="BR44:CA44" si="56">BR42/BQ42-1</f>
        <v>#DIV/0!</v>
      </c>
      <c r="BS44" s="415">
        <f t="shared" si="56"/>
        <v>-2.4629543323408902</v>
      </c>
      <c r="BT44" s="415">
        <f t="shared" si="56"/>
        <v>-1.2534615903072894</v>
      </c>
      <c r="BU44" s="415">
        <f t="shared" si="56"/>
        <v>1.006435791501886</v>
      </c>
      <c r="BV44" s="415">
        <f t="shared" si="56"/>
        <v>3625.0955146868614</v>
      </c>
      <c r="BW44" s="415">
        <f t="shared" si="56"/>
        <v>-1.3181875359355666E-2</v>
      </c>
      <c r="BX44" s="415">
        <f t="shared" si="56"/>
        <v>0.1590275997059849</v>
      </c>
      <c r="BY44" s="415">
        <f t="shared" si="56"/>
        <v>0.17332843304145418</v>
      </c>
      <c r="BZ44" s="415">
        <f t="shared" si="56"/>
        <v>3.3707388548220418E-2</v>
      </c>
      <c r="CA44" s="503">
        <f t="shared" si="56"/>
        <v>1.095385534163551E-3</v>
      </c>
      <c r="CB44" s="1234"/>
      <c r="CC44" s="809"/>
      <c r="CD44" s="809"/>
      <c r="CE44" s="809"/>
      <c r="CF44" s="260"/>
      <c r="CG44" s="22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260"/>
      <c r="CT44" s="1381"/>
    </row>
    <row r="45" spans="1:256" s="8" customFormat="1" ht="14.25" hidden="1" customHeight="1" outlineLevel="1">
      <c r="A45" s="1232"/>
      <c r="B45" s="267"/>
      <c r="C45" s="268"/>
      <c r="D45" s="104"/>
      <c r="E45" s="104"/>
      <c r="F45" s="104"/>
      <c r="G45" s="105"/>
      <c r="H45" s="165"/>
      <c r="I45" s="104"/>
      <c r="J45" s="104"/>
      <c r="K45" s="105"/>
      <c r="L45" s="165"/>
      <c r="M45" s="104"/>
      <c r="N45" s="104"/>
      <c r="O45" s="105"/>
      <c r="P45" s="165"/>
      <c r="Q45" s="104"/>
      <c r="R45" s="104"/>
      <c r="S45" s="105"/>
      <c r="T45" s="165"/>
      <c r="U45" s="104"/>
      <c r="V45" s="104"/>
      <c r="W45" s="105"/>
      <c r="X45" s="165">
        <f t="shared" ref="X45:AG45" si="57">X42/X29</f>
        <v>0.61681831031128864</v>
      </c>
      <c r="Y45" s="104">
        <f t="shared" si="57"/>
        <v>0.62041550830755576</v>
      </c>
      <c r="Z45" s="104">
        <f t="shared" si="57"/>
        <v>0.6141485723703185</v>
      </c>
      <c r="AA45" s="105">
        <f t="shared" si="57"/>
        <v>0.62383178688919694</v>
      </c>
      <c r="AB45" s="165">
        <f t="shared" si="57"/>
        <v>0.62181093770145357</v>
      </c>
      <c r="AC45" s="104">
        <f t="shared" si="57"/>
        <v>0.5884073802884543</v>
      </c>
      <c r="AD45" s="104">
        <f t="shared" si="57"/>
        <v>0.58722505829709448</v>
      </c>
      <c r="AE45" s="104">
        <f t="shared" si="57"/>
        <v>0.61490257142668237</v>
      </c>
      <c r="AF45" s="830">
        <f t="shared" si="57"/>
        <v>0.61901215744493043</v>
      </c>
      <c r="AG45" s="480">
        <f t="shared" si="57"/>
        <v>0.60031620370523342</v>
      </c>
      <c r="AH45" s="480">
        <v>0.6</v>
      </c>
      <c r="AI45" s="105">
        <f t="shared" ref="AI45:AN45" si="58">AI42/AI29</f>
        <v>0.61065877006349956</v>
      </c>
      <c r="AJ45" s="165">
        <f t="shared" si="58"/>
        <v>0.59325303592878842</v>
      </c>
      <c r="AK45" s="104">
        <f t="shared" si="58"/>
        <v>0.52988195539390659</v>
      </c>
      <c r="AL45" s="104">
        <f t="shared" si="58"/>
        <v>0.56124758742638448</v>
      </c>
      <c r="AM45" s="104">
        <f t="shared" si="58"/>
        <v>0.57428630575578199</v>
      </c>
      <c r="AN45" s="165">
        <f t="shared" si="58"/>
        <v>0.58374046788160794</v>
      </c>
      <c r="AO45" s="104">
        <f>AO42/AO29</f>
        <v>0.55411434892529943</v>
      </c>
      <c r="AP45" s="104">
        <f>AP42/AP29</f>
        <v>0.54614274602737389</v>
      </c>
      <c r="AQ45" s="104">
        <f>AQ42/AQ29</f>
        <v>0.5213598916426474</v>
      </c>
      <c r="AR45" s="165">
        <f>AR42/AR29</f>
        <v>0.50905939449965343</v>
      </c>
      <c r="AS45" s="104">
        <f>IS!AS32</f>
        <v>0.57194845261935934</v>
      </c>
      <c r="AT45" s="104">
        <f>IS!AT32</f>
        <v>0.57422755793765712</v>
      </c>
      <c r="AU45" s="105">
        <f>AU42/AU29</f>
        <v>0.61298544846906877</v>
      </c>
      <c r="AV45" s="165">
        <f>AV42/AV29</f>
        <v>0.61584336190496547</v>
      </c>
      <c r="AW45" s="104">
        <f>IS!AW32</f>
        <v>0.61738518107143769</v>
      </c>
      <c r="AX45" s="104">
        <f>IS!AX32</f>
        <v>0.63126961405054227</v>
      </c>
      <c r="AY45" s="105">
        <f>AY42/AY29</f>
        <v>0.65392480128902597</v>
      </c>
      <c r="AZ45" s="104">
        <f>AZ42/AZ29</f>
        <v>0.64937742758079198</v>
      </c>
      <c r="BA45" s="104">
        <f>BA42/BA29</f>
        <v>0.65796925014093277</v>
      </c>
      <c r="BB45" s="104">
        <f>BB42/BB29</f>
        <v>0.65363344686007829</v>
      </c>
      <c r="BC45" s="105">
        <f>IS!BC32</f>
        <v>0.65253654795676186</v>
      </c>
      <c r="BD45" s="104">
        <f>IS!BD32</f>
        <v>0.67</v>
      </c>
      <c r="BE45" s="104">
        <f>IS!BE32</f>
        <v>0.67100000000000004</v>
      </c>
      <c r="BF45" s="104">
        <f>IS!BF32</f>
        <v>0.67300000000000004</v>
      </c>
      <c r="BG45" s="105">
        <f>IS!BG32</f>
        <v>0.67600000000000005</v>
      </c>
      <c r="BH45" s="104">
        <f>IS!BH32</f>
        <v>0.67500000000000004</v>
      </c>
      <c r="BI45" s="104">
        <f>IS!BI32</f>
        <v>0.67500000000000004</v>
      </c>
      <c r="BJ45" s="104">
        <f>IS!BJ32</f>
        <v>0.67700000000000005</v>
      </c>
      <c r="BK45" s="105">
        <f>IS!BK32</f>
        <v>0.67900000000000005</v>
      </c>
      <c r="BL45" s="260"/>
      <c r="BM45" s="480"/>
      <c r="BN45" s="415"/>
      <c r="BO45" s="415"/>
      <c r="BP45" s="415"/>
      <c r="BQ45" s="415"/>
      <c r="BR45" s="415">
        <f t="shared" ref="BR45:BW45" si="59">BR42/BR29</f>
        <v>1.9087574151555143E-4</v>
      </c>
      <c r="BS45" s="415">
        <f t="shared" si="59"/>
        <v>-3.161302440034775E-4</v>
      </c>
      <c r="BT45" s="415">
        <f t="shared" si="59"/>
        <v>8.3077879272257127E-5</v>
      </c>
      <c r="BU45" s="415">
        <f t="shared" si="59"/>
        <v>1.5278583893004699E-4</v>
      </c>
      <c r="BV45" s="415">
        <f t="shared" si="59"/>
        <v>0.55160024473160629</v>
      </c>
      <c r="BW45" s="415">
        <f t="shared" si="59"/>
        <v>0.56698535795289651</v>
      </c>
      <c r="BX45" s="415">
        <f>BX42/BX29</f>
        <v>0.63098597105901466</v>
      </c>
      <c r="BY45" s="415">
        <f>BY42/BY29</f>
        <v>0.65346871324634737</v>
      </c>
      <c r="BZ45" s="415">
        <f>BZ42/BZ29</f>
        <v>0.64662034749693043</v>
      </c>
      <c r="CA45" s="1455">
        <f>CA42/CA29</f>
        <v>0.61829297724549237</v>
      </c>
      <c r="CB45" s="1494"/>
      <c r="CC45" s="1446"/>
      <c r="CD45" s="1446"/>
      <c r="CE45" s="1446"/>
      <c r="CF45" s="260"/>
      <c r="CG45" s="22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260"/>
      <c r="CT45" s="1381"/>
    </row>
    <row r="46" spans="1:256" s="8" customFormat="1" ht="14.25" customHeight="1" collapsed="1">
      <c r="A46" s="1232"/>
      <c r="B46" s="267"/>
      <c r="C46" s="268"/>
      <c r="D46" s="104"/>
      <c r="E46" s="104"/>
      <c r="F46" s="104"/>
      <c r="G46" s="105"/>
      <c r="H46" s="165"/>
      <c r="I46" s="104"/>
      <c r="J46" s="104"/>
      <c r="K46" s="105"/>
      <c r="L46" s="165"/>
      <c r="M46" s="104"/>
      <c r="N46" s="104"/>
      <c r="O46" s="105"/>
      <c r="P46" s="165"/>
      <c r="Q46" s="104"/>
      <c r="R46" s="104"/>
      <c r="S46" s="105"/>
      <c r="T46" s="165"/>
      <c r="U46" s="104"/>
      <c r="V46" s="104"/>
      <c r="W46" s="105"/>
      <c r="X46" s="165"/>
      <c r="Y46" s="104"/>
      <c r="Z46" s="104"/>
      <c r="AA46" s="105"/>
      <c r="AB46" s="165"/>
      <c r="AC46" s="104"/>
      <c r="AD46" s="104"/>
      <c r="AE46" s="104"/>
      <c r="AF46" s="830"/>
      <c r="AG46" s="480"/>
      <c r="AH46" s="480"/>
      <c r="AI46" s="957"/>
      <c r="AJ46" s="830"/>
      <c r="AK46" s="106"/>
      <c r="AL46" s="106"/>
      <c r="AM46" s="107"/>
      <c r="AN46" s="108"/>
      <c r="AO46" s="106"/>
      <c r="AP46" s="106"/>
      <c r="AQ46" s="107"/>
      <c r="AR46" s="108"/>
      <c r="AS46" s="106"/>
      <c r="AT46" s="106"/>
      <c r="AU46" s="107"/>
      <c r="AV46" s="108"/>
      <c r="AW46" s="106"/>
      <c r="AX46" s="106"/>
      <c r="AY46" s="107"/>
      <c r="AZ46" s="106"/>
      <c r="BA46" s="106"/>
      <c r="BB46" s="106"/>
      <c r="BC46" s="107"/>
      <c r="BD46" s="106"/>
      <c r="BE46" s="106"/>
      <c r="BF46" s="106"/>
      <c r="BG46" s="107"/>
      <c r="BH46" s="106"/>
      <c r="BI46" s="106"/>
      <c r="BJ46" s="106"/>
      <c r="BK46" s="107"/>
      <c r="BL46" s="260"/>
      <c r="BM46" s="480"/>
      <c r="BN46" s="415"/>
      <c r="BO46" s="415"/>
      <c r="BP46" s="415"/>
      <c r="BQ46" s="415"/>
      <c r="BR46" s="415"/>
      <c r="BS46" s="415"/>
      <c r="BT46" s="415"/>
      <c r="BU46" s="415"/>
      <c r="BV46" s="415"/>
      <c r="BW46" s="415"/>
      <c r="BX46" s="415"/>
      <c r="BY46" s="415"/>
      <c r="BZ46" s="415"/>
      <c r="CA46" s="1455"/>
      <c r="CB46" s="1494"/>
      <c r="CC46" s="1446"/>
      <c r="CD46" s="1446"/>
      <c r="CE46" s="1446"/>
      <c r="CF46" s="260"/>
      <c r="CG46" s="22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260"/>
      <c r="CT46" s="1381"/>
    </row>
    <row r="47" spans="1:256" s="122" customFormat="1" ht="14.25" customHeight="1">
      <c r="A47" s="1232"/>
      <c r="B47" s="290"/>
      <c r="C47" s="291"/>
      <c r="D47" s="271"/>
      <c r="E47" s="271"/>
      <c r="F47" s="271"/>
      <c r="G47" s="272"/>
      <c r="H47" s="392"/>
      <c r="I47" s="271"/>
      <c r="J47" s="271"/>
      <c r="K47" s="272"/>
      <c r="L47" s="392"/>
      <c r="M47" s="271"/>
      <c r="N47" s="271"/>
      <c r="O47" s="272"/>
      <c r="P47" s="392"/>
      <c r="Q47" s="271"/>
      <c r="R47" s="271"/>
      <c r="S47" s="272"/>
      <c r="T47" s="392"/>
      <c r="U47" s="271"/>
      <c r="V47" s="271"/>
      <c r="W47" s="272"/>
      <c r="X47" s="392"/>
      <c r="Y47" s="271"/>
      <c r="Z47" s="271"/>
      <c r="AA47" s="272"/>
      <c r="AB47" s="392"/>
      <c r="AC47" s="271"/>
      <c r="AD47" s="271"/>
      <c r="AE47" s="362"/>
      <c r="AF47" s="831"/>
      <c r="AG47" s="832"/>
      <c r="AH47" s="832"/>
      <c r="AI47" s="958"/>
      <c r="AJ47" s="831"/>
      <c r="AK47" s="77"/>
      <c r="AL47" s="77"/>
      <c r="AM47" s="72"/>
      <c r="AN47" s="71"/>
      <c r="AO47" s="77"/>
      <c r="AP47" s="77"/>
      <c r="AQ47" s="72"/>
      <c r="AR47" s="71"/>
      <c r="AS47" s="77"/>
      <c r="AT47" s="77"/>
      <c r="AU47" s="72"/>
      <c r="AV47" s="71"/>
      <c r="AW47" s="77"/>
      <c r="AX47" s="77"/>
      <c r="AY47" s="72"/>
      <c r="AZ47" s="77"/>
      <c r="BA47" s="77"/>
      <c r="BB47" s="77"/>
      <c r="BC47" s="72"/>
      <c r="BD47" s="77"/>
      <c r="BE47" s="77"/>
      <c r="BF47" s="77"/>
      <c r="BG47" s="72"/>
      <c r="BH47" s="77"/>
      <c r="BI47" s="77"/>
      <c r="BJ47" s="77"/>
      <c r="BK47" s="72"/>
      <c r="BL47" s="260"/>
      <c r="BM47" s="251"/>
      <c r="BN47" s="251"/>
      <c r="BO47" s="251"/>
      <c r="BP47" s="251"/>
      <c r="BQ47" s="251"/>
      <c r="BR47" s="251"/>
      <c r="BS47" s="251"/>
      <c r="BT47" s="251"/>
      <c r="BU47" s="251"/>
      <c r="BV47" s="251"/>
      <c r="BW47" s="251"/>
      <c r="BX47" s="251"/>
      <c r="BY47" s="251"/>
      <c r="BZ47" s="251"/>
      <c r="CA47" s="72"/>
      <c r="CB47" s="23"/>
      <c r="CC47" s="74"/>
      <c r="CD47" s="74"/>
      <c r="CE47" s="74"/>
      <c r="CF47" s="260"/>
      <c r="CG47" s="15"/>
      <c r="CH47" s="251"/>
      <c r="CI47" s="251"/>
      <c r="CJ47" s="251"/>
      <c r="CK47" s="251"/>
      <c r="CL47" s="251"/>
      <c r="CM47" s="251"/>
      <c r="CN47" s="251"/>
      <c r="CO47" s="251"/>
      <c r="CP47" s="251"/>
      <c r="CQ47" s="251"/>
      <c r="CR47" s="251"/>
      <c r="CS47" s="16"/>
      <c r="CT47" s="1381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</row>
    <row r="48" spans="1:256" s="8" customFormat="1" ht="14.25" customHeight="1">
      <c r="A48" s="794"/>
      <c r="B48" s="365" t="str">
        <f>B121</f>
        <v>Comm &amp; Data Center</v>
      </c>
      <c r="C48" s="531"/>
      <c r="D48" s="482"/>
      <c r="E48" s="482"/>
      <c r="F48" s="482"/>
      <c r="G48" s="796"/>
      <c r="H48" s="482"/>
      <c r="I48" s="482"/>
      <c r="J48" s="482"/>
      <c r="K48" s="481"/>
      <c r="L48" s="482"/>
      <c r="M48" s="482"/>
      <c r="N48" s="482"/>
      <c r="O48" s="481"/>
      <c r="P48" s="482"/>
      <c r="Q48" s="482"/>
      <c r="R48" s="482"/>
      <c r="S48" s="481"/>
      <c r="T48" s="482"/>
      <c r="U48" s="482"/>
      <c r="V48" s="482"/>
      <c r="W48" s="481"/>
      <c r="X48" s="482">
        <f t="shared" ref="X48:BB48" si="60">X$121</f>
        <v>156.53475</v>
      </c>
      <c r="Y48" s="482">
        <f t="shared" si="60"/>
        <v>153.23400000000001</v>
      </c>
      <c r="Z48" s="482">
        <f t="shared" si="60"/>
        <v>145.62599999999998</v>
      </c>
      <c r="AA48" s="481">
        <f t="shared" si="60"/>
        <v>137.82801999999992</v>
      </c>
      <c r="AB48" s="482">
        <f t="shared" si="60"/>
        <v>127.2004</v>
      </c>
      <c r="AC48" s="482">
        <f t="shared" si="60"/>
        <v>124.18539</v>
      </c>
      <c r="AD48" s="482">
        <f t="shared" si="60"/>
        <v>114.2424</v>
      </c>
      <c r="AE48" s="504">
        <f t="shared" si="60"/>
        <v>114.94164000000001</v>
      </c>
      <c r="AF48" s="795">
        <f t="shared" si="60"/>
        <v>112.15350000000001</v>
      </c>
      <c r="AG48" s="482">
        <f t="shared" si="60"/>
        <v>115.00814000000001</v>
      </c>
      <c r="AH48" s="482">
        <f t="shared" si="60"/>
        <v>108.87912</v>
      </c>
      <c r="AI48" s="481">
        <f t="shared" si="60"/>
        <v>115.55686</v>
      </c>
      <c r="AJ48" s="959">
        <f t="shared" si="60"/>
        <v>111.19579</v>
      </c>
      <c r="AK48" s="504">
        <f t="shared" si="60"/>
        <v>142.66302000000002</v>
      </c>
      <c r="AL48" s="504">
        <f t="shared" si="60"/>
        <v>139.30663000000001</v>
      </c>
      <c r="AM48" s="504">
        <f t="shared" si="60"/>
        <v>147.76741000000001</v>
      </c>
      <c r="AN48" s="959">
        <f t="shared" si="60"/>
        <v>150.8715</v>
      </c>
      <c r="AO48" s="504">
        <f t="shared" si="60"/>
        <v>130.36607000000001</v>
      </c>
      <c r="AP48" s="504">
        <f t="shared" si="60"/>
        <v>132.77049000000002</v>
      </c>
      <c r="AQ48" s="504">
        <f t="shared" si="60"/>
        <v>128.15374</v>
      </c>
      <c r="AR48" s="959">
        <f t="shared" si="60"/>
        <v>112.50200000000001</v>
      </c>
      <c r="AS48" s="504">
        <f t="shared" si="60"/>
        <v>109.317834</v>
      </c>
      <c r="AT48" s="504">
        <f t="shared" si="60"/>
        <v>122.15543999999998</v>
      </c>
      <c r="AU48" s="797">
        <f t="shared" si="60"/>
        <v>120.58483799999999</v>
      </c>
      <c r="AV48" s="959">
        <f t="shared" si="60"/>
        <v>117.89315999999998</v>
      </c>
      <c r="AW48" s="504">
        <f t="shared" si="60"/>
        <v>115.15858200000001</v>
      </c>
      <c r="AX48" s="504">
        <f t="shared" si="60"/>
        <v>122.05535999999999</v>
      </c>
      <c r="AY48" s="797">
        <f t="shared" si="60"/>
        <v>129.13007249999998</v>
      </c>
      <c r="AZ48" s="482">
        <f t="shared" si="60"/>
        <v>115.13520000000001</v>
      </c>
      <c r="BA48" s="482">
        <f t="shared" si="60"/>
        <v>124.5274</v>
      </c>
      <c r="BB48" s="482">
        <f t="shared" si="60"/>
        <v>123.23381000000001</v>
      </c>
      <c r="BC48" s="797">
        <f t="shared" ref="BC48:BG48" si="61">BC53+BC56</f>
        <v>128.1631624</v>
      </c>
      <c r="BD48" s="504">
        <f t="shared" si="61"/>
        <v>128.1631624</v>
      </c>
      <c r="BE48" s="504">
        <f t="shared" si="61"/>
        <v>128.1631624</v>
      </c>
      <c r="BF48" s="504">
        <f t="shared" si="61"/>
        <v>121.75500427999999</v>
      </c>
      <c r="BG48" s="797">
        <f t="shared" si="61"/>
        <v>124.19010436559999</v>
      </c>
      <c r="BH48" s="504">
        <f>BH53+BH56</f>
        <v>126.67390645291199</v>
      </c>
      <c r="BI48" s="504">
        <f>BI53+BI56</f>
        <v>126.67390645291199</v>
      </c>
      <c r="BJ48" s="504">
        <f>BJ53+BJ56</f>
        <v>122.87368925932464</v>
      </c>
      <c r="BK48" s="797">
        <f>BK53+BK56</f>
        <v>127.78863682969762</v>
      </c>
      <c r="BL48" s="353"/>
      <c r="BM48" s="409"/>
      <c r="BN48" s="409"/>
      <c r="BO48" s="409"/>
      <c r="BP48" s="409"/>
      <c r="BQ48" s="409"/>
      <c r="BR48" s="409">
        <f>SUM(X48:AA48)</f>
        <v>593.22276999999985</v>
      </c>
      <c r="BS48" s="409">
        <f>SUM(AB48:AE48)</f>
        <v>480.56983000000002</v>
      </c>
      <c r="BT48" s="409">
        <f>SUM(AF48:AI48)</f>
        <v>451.59762000000001</v>
      </c>
      <c r="BU48" s="409">
        <f>SUM(AJ48:AM48)</f>
        <v>540.93285000000003</v>
      </c>
      <c r="BV48" s="409">
        <f>SUM(AN48:AQ48)</f>
        <v>542.16179999999997</v>
      </c>
      <c r="BW48" s="409">
        <f>SUM(AR48:AU48)</f>
        <v>464.560112</v>
      </c>
      <c r="BX48" s="409">
        <f>SUM(AV48:AY48)</f>
        <v>484.23717449999998</v>
      </c>
      <c r="BY48" s="409">
        <f>SUM(AZ48:BC48)</f>
        <v>491.05957239999998</v>
      </c>
      <c r="BZ48" s="409">
        <f>SUM(BD48:BG48)</f>
        <v>502.2714334456</v>
      </c>
      <c r="CA48" s="417">
        <f>SUM(BH48:BK48)</f>
        <v>504.01013899484627</v>
      </c>
      <c r="CB48" s="795"/>
      <c r="CC48" s="482"/>
      <c r="CD48" s="482"/>
      <c r="CE48" s="482"/>
      <c r="CF48" s="531"/>
      <c r="CG48" s="527"/>
      <c r="CH48" s="409"/>
      <c r="CI48" s="409"/>
      <c r="CJ48" s="409">
        <f>+SUM(V48:Y48)</f>
        <v>309.76875000000001</v>
      </c>
      <c r="CK48" s="409">
        <f>+SUM(Z48:AC48)</f>
        <v>534.83980999999994</v>
      </c>
      <c r="CL48" s="409">
        <f>+SUM(AD48:AG48)</f>
        <v>456.34568000000002</v>
      </c>
      <c r="CM48" s="409">
        <f>+SUM(AH48:AK48)</f>
        <v>478.29479000000003</v>
      </c>
      <c r="CN48" s="409">
        <f>+SUM(AL48:AO48)</f>
        <v>568.31161000000009</v>
      </c>
      <c r="CO48" s="409">
        <f>+SUM(AP48:AS48)</f>
        <v>482.74406400000004</v>
      </c>
      <c r="CP48" s="409">
        <f>+SUM(AT48:AW48)</f>
        <v>475.79201999999998</v>
      </c>
      <c r="CQ48" s="409">
        <f>+SUM(AX48:BA48)</f>
        <v>490.84803249999999</v>
      </c>
      <c r="CR48" s="409">
        <f>+SUM(BB48:BE48)</f>
        <v>507.72329720000005</v>
      </c>
      <c r="CS48" s="410">
        <f>+SUM(BF48:BI48)</f>
        <v>499.29292155142394</v>
      </c>
      <c r="CT48" s="1381"/>
      <c r="CU48" s="122"/>
      <c r="CV48" s="122"/>
      <c r="CW48" s="122"/>
      <c r="CX48" s="122"/>
      <c r="CY48" s="122"/>
      <c r="CZ48" s="122"/>
      <c r="DA48" s="122"/>
      <c r="DB48" s="122"/>
      <c r="DC48" s="122"/>
      <c r="DD48" s="122"/>
      <c r="DE48" s="122"/>
      <c r="DF48" s="122"/>
      <c r="DG48" s="122"/>
      <c r="DH48" s="122"/>
      <c r="DI48" s="122"/>
      <c r="DJ48" s="122"/>
      <c r="DK48" s="122"/>
      <c r="DL48" s="122"/>
      <c r="DM48" s="122"/>
      <c r="DN48" s="122"/>
      <c r="DO48" s="122"/>
      <c r="DP48" s="122"/>
      <c r="DQ48" s="122"/>
      <c r="DR48" s="122"/>
      <c r="DS48" s="122"/>
      <c r="DT48" s="122"/>
      <c r="DU48" s="122"/>
      <c r="DV48" s="122"/>
      <c r="DW48" s="122"/>
      <c r="DX48" s="122"/>
      <c r="DY48" s="122"/>
      <c r="DZ48" s="122"/>
      <c r="EA48" s="122"/>
      <c r="EB48" s="122"/>
      <c r="EC48" s="122"/>
      <c r="ED48" s="122"/>
      <c r="EE48" s="122"/>
      <c r="EF48" s="122"/>
      <c r="EG48" s="122"/>
      <c r="EH48" s="122"/>
      <c r="EI48" s="122"/>
      <c r="EJ48" s="122"/>
      <c r="EK48" s="122"/>
      <c r="EL48" s="122"/>
      <c r="EM48" s="122"/>
      <c r="EN48" s="122"/>
      <c r="EO48" s="122"/>
      <c r="EP48" s="122"/>
      <c r="EQ48" s="122"/>
      <c r="ER48" s="122"/>
      <c r="ES48" s="122"/>
      <c r="ET48" s="122"/>
      <c r="EU48" s="122"/>
      <c r="EV48" s="122"/>
      <c r="EW48" s="122"/>
      <c r="EX48" s="122"/>
      <c r="EY48" s="122"/>
      <c r="EZ48" s="122"/>
      <c r="FA48" s="122"/>
      <c r="FB48" s="122"/>
      <c r="FC48" s="122"/>
      <c r="FD48" s="122"/>
      <c r="FE48" s="122"/>
      <c r="FF48" s="122"/>
      <c r="FG48" s="122"/>
      <c r="FH48" s="122"/>
      <c r="FI48" s="122"/>
      <c r="FJ48" s="122"/>
      <c r="FK48" s="122"/>
      <c r="FL48" s="122"/>
      <c r="FM48" s="122"/>
      <c r="FN48" s="122"/>
      <c r="FO48" s="122"/>
      <c r="FP48" s="122"/>
      <c r="FQ48" s="122"/>
      <c r="FR48" s="122"/>
      <c r="FS48" s="122"/>
      <c r="FT48" s="122"/>
      <c r="FU48" s="122"/>
      <c r="FV48" s="122"/>
      <c r="FW48" s="122"/>
      <c r="FX48" s="122"/>
      <c r="FY48" s="122"/>
      <c r="FZ48" s="122"/>
      <c r="GA48" s="122"/>
      <c r="GB48" s="122"/>
      <c r="GC48" s="122"/>
      <c r="GD48" s="122"/>
      <c r="GE48" s="122"/>
      <c r="GF48" s="122"/>
      <c r="GG48" s="122"/>
      <c r="GH48" s="122"/>
      <c r="GI48" s="122"/>
      <c r="GJ48" s="122"/>
      <c r="GK48" s="122"/>
      <c r="GL48" s="122"/>
      <c r="GM48" s="122"/>
      <c r="GN48" s="122"/>
      <c r="GO48" s="122"/>
      <c r="GP48" s="122"/>
      <c r="GQ48" s="122"/>
      <c r="GR48" s="122"/>
      <c r="GS48" s="122"/>
      <c r="GT48" s="122"/>
      <c r="GU48" s="122"/>
      <c r="GV48" s="122"/>
      <c r="GW48" s="122"/>
      <c r="GX48" s="122"/>
      <c r="GY48" s="122"/>
      <c r="GZ48" s="122"/>
      <c r="HA48" s="122"/>
      <c r="HB48" s="122"/>
      <c r="HC48" s="122"/>
      <c r="HD48" s="122"/>
      <c r="HE48" s="122"/>
      <c r="HF48" s="122"/>
      <c r="HG48" s="122"/>
      <c r="HH48" s="122"/>
      <c r="HI48" s="122"/>
      <c r="HJ48" s="122"/>
      <c r="HK48" s="122"/>
      <c r="HL48" s="122"/>
      <c r="HM48" s="122"/>
      <c r="HN48" s="122"/>
      <c r="HO48" s="122"/>
      <c r="HP48" s="122"/>
      <c r="HQ48" s="122"/>
      <c r="HR48" s="122"/>
      <c r="HS48" s="122"/>
      <c r="HT48" s="122"/>
      <c r="HU48" s="122"/>
      <c r="HV48" s="122"/>
      <c r="HW48" s="122"/>
      <c r="HX48" s="122"/>
      <c r="HY48" s="122"/>
      <c r="HZ48" s="122"/>
      <c r="IA48" s="122"/>
      <c r="IB48" s="122"/>
      <c r="IC48" s="122"/>
      <c r="ID48" s="122"/>
      <c r="IE48" s="122"/>
      <c r="IF48" s="122"/>
      <c r="IG48" s="122"/>
      <c r="IH48" s="122"/>
      <c r="II48" s="122"/>
      <c r="IJ48" s="122"/>
      <c r="IK48" s="122"/>
      <c r="IL48" s="122"/>
      <c r="IM48" s="122"/>
      <c r="IN48" s="122"/>
      <c r="IO48" s="122"/>
      <c r="IP48" s="122"/>
      <c r="IQ48" s="122"/>
      <c r="IR48" s="122"/>
      <c r="IS48" s="122"/>
      <c r="IT48" s="122"/>
      <c r="IU48" s="122"/>
      <c r="IV48" s="122"/>
    </row>
    <row r="49" spans="1:98" s="8" customFormat="1" ht="14.25" customHeight="1">
      <c r="A49" s="538"/>
      <c r="B49" s="267" t="s">
        <v>517</v>
      </c>
      <c r="C49" s="268"/>
      <c r="D49" s="104"/>
      <c r="E49" s="104"/>
      <c r="F49" s="104"/>
      <c r="G49" s="105"/>
      <c r="H49" s="165"/>
      <c r="I49" s="104"/>
      <c r="J49" s="104"/>
      <c r="K49" s="105"/>
      <c r="L49" s="165"/>
      <c r="M49" s="104"/>
      <c r="N49" s="104"/>
      <c r="O49" s="105"/>
      <c r="P49" s="165"/>
      <c r="Q49" s="104"/>
      <c r="R49" s="104"/>
      <c r="S49" s="105"/>
      <c r="T49" s="165"/>
      <c r="U49" s="104"/>
      <c r="V49" s="104"/>
      <c r="W49" s="105"/>
      <c r="X49" s="165"/>
      <c r="Y49" s="104">
        <f t="shared" ref="Y49:AF49" si="62">Y48/X48-1</f>
        <v>-2.1086372195311176E-2</v>
      </c>
      <c r="Z49" s="104">
        <f t="shared" si="62"/>
        <v>-4.9649555581659621E-2</v>
      </c>
      <c r="AA49" s="105">
        <f t="shared" si="62"/>
        <v>-5.3547992803483213E-2</v>
      </c>
      <c r="AB49" s="165">
        <f t="shared" si="62"/>
        <v>-7.7107833370891665E-2</v>
      </c>
      <c r="AC49" s="104">
        <f t="shared" si="62"/>
        <v>-2.370283426781683E-2</v>
      </c>
      <c r="AD49" s="104">
        <f t="shared" si="62"/>
        <v>-8.0065698549563691E-2</v>
      </c>
      <c r="AE49" s="104">
        <f t="shared" si="62"/>
        <v>6.1206697338291871E-3</v>
      </c>
      <c r="AF49" s="830">
        <f t="shared" si="62"/>
        <v>-2.4257005555166966E-2</v>
      </c>
      <c r="AG49" s="480">
        <f t="shared" ref="AG49:BB49" si="63">AG48/AF48-1</f>
        <v>2.545297293441573E-2</v>
      </c>
      <c r="AH49" s="480">
        <f t="shared" si="63"/>
        <v>-5.3292053936356276E-2</v>
      </c>
      <c r="AI49" s="105">
        <f t="shared" si="63"/>
        <v>6.1331686001870667E-2</v>
      </c>
      <c r="AJ49" s="830">
        <f t="shared" si="63"/>
        <v>-3.7739602824098828E-2</v>
      </c>
      <c r="AK49" s="480">
        <f t="shared" si="63"/>
        <v>0.28298940094764391</v>
      </c>
      <c r="AL49" s="480">
        <f t="shared" si="63"/>
        <v>-2.3526699490870162E-2</v>
      </c>
      <c r="AM49" s="480">
        <f t="shared" si="63"/>
        <v>6.0734941330502279E-2</v>
      </c>
      <c r="AN49" s="830">
        <f t="shared" si="63"/>
        <v>2.100659407916794E-2</v>
      </c>
      <c r="AO49" s="480">
        <f t="shared" si="63"/>
        <v>-0.13591321091127206</v>
      </c>
      <c r="AP49" s="480">
        <f t="shared" si="63"/>
        <v>1.8443602695087824E-2</v>
      </c>
      <c r="AQ49" s="480">
        <f t="shared" si="63"/>
        <v>-3.4772410646371932E-2</v>
      </c>
      <c r="AR49" s="830">
        <f t="shared" si="63"/>
        <v>-0.12213252613618608</v>
      </c>
      <c r="AS49" s="480">
        <f t="shared" si="63"/>
        <v>-2.8303194609873628E-2</v>
      </c>
      <c r="AT49" s="480">
        <f t="shared" si="63"/>
        <v>0.11743377571860769</v>
      </c>
      <c r="AU49" s="1236">
        <f t="shared" si="63"/>
        <v>-1.2857405286248347E-2</v>
      </c>
      <c r="AV49" s="830">
        <f t="shared" si="63"/>
        <v>-2.232186106183609E-2</v>
      </c>
      <c r="AW49" s="480">
        <f t="shared" si="63"/>
        <v>-2.3195391488360917E-2</v>
      </c>
      <c r="AX49" s="480">
        <f t="shared" si="63"/>
        <v>5.9889396692987873E-2</v>
      </c>
      <c r="AY49" s="1236">
        <f t="shared" si="63"/>
        <v>5.7963144756608687E-2</v>
      </c>
      <c r="AZ49" s="830">
        <f t="shared" si="63"/>
        <v>-0.10837810456584362</v>
      </c>
      <c r="BA49" s="480">
        <f t="shared" si="63"/>
        <v>8.1575400051417724E-2</v>
      </c>
      <c r="BB49" s="480">
        <f t="shared" si="63"/>
        <v>-1.0387994931235989E-2</v>
      </c>
      <c r="BC49" s="1236">
        <f t="shared" ref="BC49:BG49" si="64">BC48/BB48-1</f>
        <v>4.0000000000000036E-2</v>
      </c>
      <c r="BD49" s="830">
        <f t="shared" si="64"/>
        <v>0</v>
      </c>
      <c r="BE49" s="480">
        <f t="shared" si="64"/>
        <v>0</v>
      </c>
      <c r="BF49" s="480">
        <f t="shared" si="64"/>
        <v>-5.0000000000000044E-2</v>
      </c>
      <c r="BG49" s="1236">
        <f t="shared" si="64"/>
        <v>2.0000000000000018E-2</v>
      </c>
      <c r="BH49" s="830">
        <f>BH48/BG48-1</f>
        <v>2.0000000000000018E-2</v>
      </c>
      <c r="BI49" s="480">
        <f>BI48/BH48-1</f>
        <v>0</v>
      </c>
      <c r="BJ49" s="480">
        <f>BJ48/BI48-1</f>
        <v>-3.0000000000000027E-2</v>
      </c>
      <c r="BK49" s="1236">
        <f>BK48/BJ48-1</f>
        <v>4.0000000000000036E-2</v>
      </c>
      <c r="BL49" s="20"/>
      <c r="BM49" s="270"/>
      <c r="BN49" s="270"/>
      <c r="BO49" s="270"/>
      <c r="BP49" s="270"/>
      <c r="BQ49" s="270"/>
      <c r="BR49" s="270"/>
      <c r="BS49" s="270"/>
      <c r="BT49" s="270"/>
      <c r="BU49" s="270"/>
      <c r="BV49" s="270"/>
      <c r="BW49" s="270"/>
      <c r="BX49" s="270"/>
      <c r="BY49" s="270"/>
      <c r="BZ49" s="270"/>
      <c r="CA49" s="24"/>
      <c r="CB49" s="23"/>
      <c r="CC49" s="74"/>
      <c r="CD49" s="74"/>
      <c r="CE49" s="74"/>
      <c r="CF49" s="260"/>
      <c r="CG49" s="22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260"/>
      <c r="CT49" s="1381"/>
    </row>
    <row r="50" spans="1:98" s="8" customFormat="1" ht="14.25" customHeight="1">
      <c r="A50" s="538"/>
      <c r="B50" s="35" t="s">
        <v>96</v>
      </c>
      <c r="C50" s="268"/>
      <c r="D50" s="165"/>
      <c r="E50" s="104"/>
      <c r="F50" s="104"/>
      <c r="G50" s="105"/>
      <c r="H50" s="165"/>
      <c r="I50" s="104"/>
      <c r="J50" s="104"/>
      <c r="K50" s="105"/>
      <c r="L50" s="165"/>
      <c r="M50" s="104"/>
      <c r="N50" s="104"/>
      <c r="O50" s="105"/>
      <c r="P50" s="165"/>
      <c r="Q50" s="104"/>
      <c r="R50" s="104"/>
      <c r="S50" s="105"/>
      <c r="T50" s="165"/>
      <c r="U50" s="104"/>
      <c r="V50" s="104"/>
      <c r="W50" s="105"/>
      <c r="X50" s="165"/>
      <c r="Y50" s="104"/>
      <c r="Z50" s="104"/>
      <c r="AA50" s="105"/>
      <c r="AB50" s="165"/>
      <c r="AC50" s="104"/>
      <c r="AD50" s="104"/>
      <c r="AE50" s="104">
        <f t="shared" ref="AE50:AU50" si="65">AVERAGE(AA49,W49,S49,O49)</f>
        <v>-5.3547992803483213E-2</v>
      </c>
      <c r="AF50" s="830">
        <f t="shared" si="65"/>
        <v>-7.7107833370891665E-2</v>
      </c>
      <c r="AG50" s="480">
        <f t="shared" si="65"/>
        <v>-2.2394603231564003E-2</v>
      </c>
      <c r="AH50" s="480">
        <f t="shared" si="65"/>
        <v>-6.4857627065611656E-2</v>
      </c>
      <c r="AI50" s="105">
        <f t="shared" si="65"/>
        <v>-2.3713661534827013E-2</v>
      </c>
      <c r="AJ50" s="830">
        <f t="shared" si="65"/>
        <v>-5.0682419463029316E-2</v>
      </c>
      <c r="AK50" s="480">
        <f t="shared" si="65"/>
        <v>-6.4454111762374255E-3</v>
      </c>
      <c r="AL50" s="480">
        <f t="shared" si="65"/>
        <v>-6.1002436022526529E-2</v>
      </c>
      <c r="AM50" s="480">
        <f t="shared" si="65"/>
        <v>4.6347876440722136E-3</v>
      </c>
      <c r="AN50" s="830">
        <f t="shared" si="65"/>
        <v>-4.6368147250052484E-2</v>
      </c>
      <c r="AO50" s="480">
        <f t="shared" si="65"/>
        <v>6.5913291854732908E-2</v>
      </c>
      <c r="AP50" s="480">
        <f t="shared" si="65"/>
        <v>-5.1633501889612438E-2</v>
      </c>
      <c r="AQ50" s="480">
        <f t="shared" si="65"/>
        <v>1.865982606567973E-2</v>
      </c>
      <c r="AR50" s="830">
        <f t="shared" si="65"/>
        <v>-2.952446191774738E-2</v>
      </c>
      <c r="AS50" s="480">
        <f t="shared" si="65"/>
        <v>3.7206582175742686E-2</v>
      </c>
      <c r="AT50" s="480">
        <f t="shared" si="65"/>
        <v>-3.4610212320425576E-2</v>
      </c>
      <c r="AU50" s="1236">
        <f t="shared" si="65"/>
        <v>2.335372160495755E-2</v>
      </c>
      <c r="AV50" s="830">
        <f t="shared" ref="AV50:BG50" si="66">AVERAGE(AR49,AN49,AJ49,AF49,AB49)</f>
        <v>-4.8046074761435117E-2</v>
      </c>
      <c r="AW50" s="480">
        <f t="shared" si="66"/>
        <v>2.4104626818619423E-2</v>
      </c>
      <c r="AX50" s="480">
        <f>AVERAGE(AT49,AP49,AL49,AH49)</f>
        <v>1.4764656246617269E-2</v>
      </c>
      <c r="AY50" s="1236">
        <f>AVERAGE(AU49,AQ49,AM49,AI49)</f>
        <v>1.8609202849938167E-2</v>
      </c>
      <c r="AZ50" s="104">
        <f>AVERAGE(AV49,AR49,AN49,AJ49)</f>
        <v>-4.0296848985738265E-2</v>
      </c>
      <c r="BA50" s="104">
        <f>AVERAGE(AW49,AS49,AO49,AK49)</f>
        <v>2.3894400984534325E-2</v>
      </c>
      <c r="BB50" s="104">
        <f>AVERAGE(AX49,AT49,AP49,AL49)</f>
        <v>4.3060018903953307E-2</v>
      </c>
      <c r="BC50" s="105">
        <f t="shared" si="66"/>
        <v>2.647999123127227E-2</v>
      </c>
      <c r="BD50" s="104">
        <f t="shared" si="66"/>
        <v>-5.3913100101759336E-2</v>
      </c>
      <c r="BE50" s="104">
        <f t="shared" si="66"/>
        <v>3.5430600797911008E-2</v>
      </c>
      <c r="BF50" s="104">
        <f t="shared" si="66"/>
        <v>3.237041613691545E-2</v>
      </c>
      <c r="BG50" s="105">
        <f t="shared" si="66"/>
        <v>2.2213654030898144E-2</v>
      </c>
      <c r="BH50" s="104">
        <f>AVERAGE(BD49,AZ49,AV49,AR49,AN49)</f>
        <v>-4.6365179536939569E-2</v>
      </c>
      <c r="BI50" s="104">
        <f>AVERAGE(BE49,BA49,AW49,AS49,AO49)</f>
        <v>-2.1167279391617777E-2</v>
      </c>
      <c r="BJ50" s="104">
        <f>AVERAGE(BF49,BB49,AX49,AT49,AP49)</f>
        <v>2.7075756035089472E-2</v>
      </c>
      <c r="BK50" s="105">
        <f>AVERAGE(BG49,BC49,AY49,AU49,AQ49)</f>
        <v>1.4066665764797693E-2</v>
      </c>
      <c r="BL50" s="20"/>
      <c r="BM50" s="270"/>
      <c r="BN50" s="270"/>
      <c r="BO50" s="270"/>
      <c r="BP50" s="270"/>
      <c r="BQ50" s="270"/>
      <c r="BR50" s="270"/>
      <c r="BS50" s="270"/>
      <c r="BT50" s="270"/>
      <c r="BU50" s="270"/>
      <c r="BV50" s="270"/>
      <c r="BW50" s="270"/>
      <c r="BX50" s="270"/>
      <c r="BY50" s="270"/>
      <c r="BZ50" s="270"/>
      <c r="CA50" s="24"/>
      <c r="CB50" s="23"/>
      <c r="CC50" s="74"/>
      <c r="CD50" s="74"/>
      <c r="CE50" s="74"/>
      <c r="CF50" s="260"/>
      <c r="CG50" s="22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260"/>
      <c r="CT50" s="1381"/>
    </row>
    <row r="51" spans="1:98" s="8" customFormat="1" ht="14.25" customHeight="1">
      <c r="A51" s="538"/>
      <c r="B51" s="35" t="s">
        <v>518</v>
      </c>
      <c r="C51" s="36"/>
      <c r="D51" s="104"/>
      <c r="E51" s="104"/>
      <c r="F51" s="104"/>
      <c r="G51" s="105"/>
      <c r="H51" s="165"/>
      <c r="I51" s="104"/>
      <c r="J51" s="104"/>
      <c r="K51" s="105"/>
      <c r="L51" s="165"/>
      <c r="M51" s="104"/>
      <c r="N51" s="104"/>
      <c r="O51" s="105"/>
      <c r="P51" s="165"/>
      <c r="Q51" s="104"/>
      <c r="R51" s="104"/>
      <c r="S51" s="105"/>
      <c r="T51" s="165"/>
      <c r="U51" s="104"/>
      <c r="V51" s="104"/>
      <c r="W51" s="105"/>
      <c r="X51" s="165"/>
      <c r="Y51" s="104"/>
      <c r="Z51" s="104"/>
      <c r="AA51" s="105"/>
      <c r="AB51" s="165">
        <f t="shared" ref="AB51:BB51" si="67">AB48/X48-1</f>
        <v>-0.18739832529198786</v>
      </c>
      <c r="AC51" s="104">
        <f t="shared" si="67"/>
        <v>-0.18957026508477237</v>
      </c>
      <c r="AD51" s="104">
        <f t="shared" si="67"/>
        <v>-0.21550821968604494</v>
      </c>
      <c r="AE51" s="104">
        <f t="shared" si="67"/>
        <v>-0.16605027047475496</v>
      </c>
      <c r="AF51" s="830">
        <f t="shared" si="67"/>
        <v>-0.11829286700356278</v>
      </c>
      <c r="AG51" s="480">
        <f>AG48/AC48-1</f>
        <v>-7.389959479130348E-2</v>
      </c>
      <c r="AH51" s="480">
        <f t="shared" si="67"/>
        <v>-4.694649272074114E-2</v>
      </c>
      <c r="AI51" s="105">
        <f t="shared" si="67"/>
        <v>5.3524553851849177E-3</v>
      </c>
      <c r="AJ51" s="830">
        <f t="shared" si="67"/>
        <v>-8.5392787563474126E-3</v>
      </c>
      <c r="AK51" s="480">
        <f t="shared" si="67"/>
        <v>0.24046019699127386</v>
      </c>
      <c r="AL51" s="480">
        <f t="shared" si="67"/>
        <v>0.27946138800534026</v>
      </c>
      <c r="AM51" s="480">
        <f t="shared" si="67"/>
        <v>0.27874199766244967</v>
      </c>
      <c r="AN51" s="830">
        <f t="shared" si="67"/>
        <v>0.35680946194096008</v>
      </c>
      <c r="AO51" s="480">
        <f t="shared" si="67"/>
        <v>-8.6195777994886202E-2</v>
      </c>
      <c r="AP51" s="480">
        <f t="shared" si="67"/>
        <v>-4.6919087770625034E-2</v>
      </c>
      <c r="AQ51" s="480">
        <f t="shared" si="67"/>
        <v>-0.13273339500232162</v>
      </c>
      <c r="AR51" s="830">
        <f t="shared" si="67"/>
        <v>-0.25431907285338839</v>
      </c>
      <c r="AS51" s="480">
        <f t="shared" si="67"/>
        <v>-0.16145486321709324</v>
      </c>
      <c r="AT51" s="480">
        <f t="shared" si="67"/>
        <v>-7.9950371501980921E-2</v>
      </c>
      <c r="AU51" s="1236">
        <f t="shared" si="67"/>
        <v>-5.9061108946176777E-2</v>
      </c>
      <c r="AV51" s="830">
        <f t="shared" si="67"/>
        <v>4.7920570300972187E-2</v>
      </c>
      <c r="AW51" s="480">
        <f t="shared" si="67"/>
        <v>5.3429049829143205E-2</v>
      </c>
      <c r="AX51" s="480">
        <f t="shared" si="67"/>
        <v>-8.1928402042508175E-4</v>
      </c>
      <c r="AY51" s="1236">
        <f t="shared" si="67"/>
        <v>7.0864916698731184E-2</v>
      </c>
      <c r="AZ51" s="104">
        <f t="shared" si="67"/>
        <v>-2.3393723605338645E-2</v>
      </c>
      <c r="BA51" s="104">
        <f t="shared" si="67"/>
        <v>8.1355795089592009E-2</v>
      </c>
      <c r="BB51" s="104">
        <f t="shared" si="67"/>
        <v>9.6550450549652833E-3</v>
      </c>
      <c r="BC51" s="105">
        <f t="shared" ref="BC51:BG51" si="68">BC48/AY48-1</f>
        <v>-7.4878770009207951E-3</v>
      </c>
      <c r="BD51" s="104">
        <f t="shared" si="68"/>
        <v>0.11315360028905141</v>
      </c>
      <c r="BE51" s="104">
        <f t="shared" si="68"/>
        <v>2.9196485271514527E-2</v>
      </c>
      <c r="BF51" s="104">
        <f t="shared" si="68"/>
        <v>-1.2000000000000122E-2</v>
      </c>
      <c r="BG51" s="105">
        <f t="shared" si="68"/>
        <v>-3.1000000000000139E-2</v>
      </c>
      <c r="BH51" s="104">
        <f>BH48/BD48-1</f>
        <v>-1.1620000000000075E-2</v>
      </c>
      <c r="BI51" s="104">
        <f>BI48/BE48-1</f>
        <v>-1.1620000000000075E-2</v>
      </c>
      <c r="BJ51" s="104">
        <f>BJ48/BF48-1</f>
        <v>9.187999999999974E-3</v>
      </c>
      <c r="BK51" s="105">
        <f>BK48/BG48-1</f>
        <v>2.8976000000000113E-2</v>
      </c>
      <c r="BL51" s="20"/>
      <c r="BM51" s="415"/>
      <c r="BN51" s="480"/>
      <c r="BO51" s="415"/>
      <c r="BP51" s="415"/>
      <c r="BQ51" s="415"/>
      <c r="BR51" s="415"/>
      <c r="BS51" s="415">
        <f t="shared" ref="BS51:BZ51" si="69">BS48/BR48-1</f>
        <v>-0.18989989207595637</v>
      </c>
      <c r="BT51" s="415">
        <f t="shared" si="69"/>
        <v>-6.0287201133704116E-2</v>
      </c>
      <c r="BU51" s="415">
        <f t="shared" si="69"/>
        <v>0.19782041809697759</v>
      </c>
      <c r="BV51" s="415">
        <f t="shared" si="69"/>
        <v>2.2719086112072961E-3</v>
      </c>
      <c r="BW51" s="415">
        <f t="shared" si="69"/>
        <v>-0.14313381724791374</v>
      </c>
      <c r="BX51" s="415">
        <f t="shared" si="69"/>
        <v>4.2356332349084536E-2</v>
      </c>
      <c r="BY51" s="415">
        <f t="shared" si="69"/>
        <v>1.4088959417550839E-2</v>
      </c>
      <c r="BZ51" s="415">
        <f t="shared" si="69"/>
        <v>2.2831977372527845E-2</v>
      </c>
      <c r="CA51" s="1455">
        <f>CA48/BZ48-1</f>
        <v>3.4616851237561086E-3</v>
      </c>
      <c r="CB51" s="1494"/>
      <c r="CC51" s="1446"/>
      <c r="CD51" s="1446"/>
      <c r="CE51" s="1446"/>
      <c r="CF51" s="260"/>
      <c r="CG51" s="22"/>
      <c r="CH51" s="14"/>
      <c r="CI51" s="415"/>
      <c r="CJ51" s="415"/>
      <c r="CK51" s="415"/>
      <c r="CL51" s="415">
        <f t="shared" ref="CL51:CS51" si="70">+CL48/CK48-1</f>
        <v>-0.14676194354343208</v>
      </c>
      <c r="CM51" s="415">
        <f t="shared" si="70"/>
        <v>4.8097551838334418E-2</v>
      </c>
      <c r="CN51" s="415">
        <f t="shared" si="70"/>
        <v>0.18820363901517734</v>
      </c>
      <c r="CO51" s="415">
        <f t="shared" si="70"/>
        <v>-0.15056448697220881</v>
      </c>
      <c r="CP51" s="415">
        <f t="shared" si="70"/>
        <v>-1.4401096809758096E-2</v>
      </c>
      <c r="CQ51" s="415">
        <f t="shared" si="70"/>
        <v>3.1644104707767129E-2</v>
      </c>
      <c r="CR51" s="415">
        <f t="shared" si="70"/>
        <v>3.4379815304648398E-2</v>
      </c>
      <c r="CS51" s="414">
        <f t="shared" si="70"/>
        <v>-1.6604271844660401E-2</v>
      </c>
      <c r="CT51" s="1381"/>
    </row>
    <row r="52" spans="1:98" s="8" customFormat="1" ht="14.25" customHeight="1">
      <c r="A52" s="538"/>
      <c r="B52" s="267" t="s">
        <v>519</v>
      </c>
      <c r="C52" s="268"/>
      <c r="D52" s="104"/>
      <c r="E52" s="104"/>
      <c r="F52" s="104"/>
      <c r="G52" s="105"/>
      <c r="H52" s="104"/>
      <c r="I52" s="104"/>
      <c r="J52" s="104"/>
      <c r="K52" s="105"/>
      <c r="L52" s="104"/>
      <c r="M52" s="104"/>
      <c r="N52" s="104"/>
      <c r="O52" s="105"/>
      <c r="P52" s="104"/>
      <c r="Q52" s="104"/>
      <c r="R52" s="104"/>
      <c r="S52" s="105"/>
      <c r="T52" s="104"/>
      <c r="U52" s="104"/>
      <c r="V52" s="104"/>
      <c r="W52" s="105"/>
      <c r="X52" s="104">
        <f t="shared" ref="X52:AD52" si="71">X48/X100</f>
        <v>0.25</v>
      </c>
      <c r="Y52" s="104">
        <f t="shared" si="71"/>
        <v>0.25</v>
      </c>
      <c r="Z52" s="104">
        <f t="shared" si="71"/>
        <v>0.23999999999999996</v>
      </c>
      <c r="AA52" s="105">
        <f t="shared" si="71"/>
        <v>0.22</v>
      </c>
      <c r="AB52" s="104">
        <f t="shared" si="71"/>
        <v>0.19999999999999998</v>
      </c>
      <c r="AC52" s="104">
        <f t="shared" si="71"/>
        <v>0.21</v>
      </c>
      <c r="AD52" s="104">
        <f t="shared" si="71"/>
        <v>0.2</v>
      </c>
      <c r="AE52" s="104">
        <f>AE48/IS!AE10</f>
        <v>0.19</v>
      </c>
      <c r="AF52" s="830">
        <f>AF48/AF100</f>
        <v>0.18</v>
      </c>
      <c r="AG52" s="480">
        <f>AG48/AG100</f>
        <v>0.19</v>
      </c>
      <c r="AH52" s="480">
        <f>AH48/IS!AH10</f>
        <v>0.18</v>
      </c>
      <c r="AI52" s="105">
        <f>AI48/IS!AI10</f>
        <v>0.19</v>
      </c>
      <c r="AJ52" s="830">
        <f t="shared" ref="AJ52:AY52" si="72">AJ48/AJ100</f>
        <v>0.19</v>
      </c>
      <c r="AK52" s="480">
        <f t="shared" si="72"/>
        <v>0.23000000000000004</v>
      </c>
      <c r="AL52" s="480">
        <f t="shared" si="72"/>
        <v>0.23</v>
      </c>
      <c r="AM52" s="480">
        <f t="shared" si="72"/>
        <v>0.23000000000000004</v>
      </c>
      <c r="AN52" s="830">
        <f t="shared" si="72"/>
        <v>0.26</v>
      </c>
      <c r="AO52" s="480">
        <f t="shared" si="72"/>
        <v>0.23000000000000004</v>
      </c>
      <c r="AP52" s="480">
        <f t="shared" si="72"/>
        <v>0.22999999999999998</v>
      </c>
      <c r="AQ52" s="480">
        <f t="shared" si="72"/>
        <v>0.21999999999999997</v>
      </c>
      <c r="AR52" s="830">
        <f t="shared" si="72"/>
        <v>0.2</v>
      </c>
      <c r="AS52" s="480">
        <f t="shared" si="72"/>
        <v>0.21400000000000002</v>
      </c>
      <c r="AT52" s="480">
        <f t="shared" si="72"/>
        <v>0.22</v>
      </c>
      <c r="AU52" s="1236">
        <f t="shared" si="72"/>
        <v>0.21299999999999999</v>
      </c>
      <c r="AV52" s="830">
        <f t="shared" si="72"/>
        <v>0.21</v>
      </c>
      <c r="AW52" s="480">
        <f t="shared" si="72"/>
        <v>0.20899999999999999</v>
      </c>
      <c r="AX52" s="480">
        <f t="shared" si="72"/>
        <v>0.21</v>
      </c>
      <c r="AY52" s="1236">
        <f t="shared" si="72"/>
        <v>0.21450000000000002</v>
      </c>
      <c r="AZ52" s="104">
        <f>AZ48/AZ100</f>
        <v>0.2</v>
      </c>
      <c r="BA52" s="104">
        <f>BA48/BA100</f>
        <v>0.2</v>
      </c>
      <c r="BB52" s="104">
        <f>BB48/BB100</f>
        <v>0.18999999999999997</v>
      </c>
      <c r="BC52" s="105">
        <f>BC48/IS!BC10</f>
        <v>0.20347011275292179</v>
      </c>
      <c r="BD52" s="104">
        <f>BD48/IS!BD10</f>
        <v>0.20859812768401184</v>
      </c>
      <c r="BE52" s="104">
        <f>BE48/IS!BE10</f>
        <v>0.2082081774941838</v>
      </c>
      <c r="BF52" s="104">
        <f>BF48/IS!BF10</f>
        <v>0.18797076232028503</v>
      </c>
      <c r="BG52" s="105">
        <f>BG48/IS!BG10</f>
        <v>0.18972377222957426</v>
      </c>
      <c r="BH52" s="104">
        <f>BH48/IS!BH10</f>
        <v>0.19667415127811622</v>
      </c>
      <c r="BI52" s="104">
        <f>BI48/IS!BI10</f>
        <v>0.19682533419869019</v>
      </c>
      <c r="BJ52" s="104">
        <f>BJ48/IS!BJ10</f>
        <v>0.1834579907651803</v>
      </c>
      <c r="BK52" s="105">
        <f>BK48/IS!BK10</f>
        <v>0.1858550803954796</v>
      </c>
      <c r="BL52" s="20"/>
      <c r="BM52" s="480"/>
      <c r="BN52" s="415"/>
      <c r="BO52" s="415"/>
      <c r="BP52" s="415"/>
      <c r="BQ52" s="415"/>
      <c r="BR52" s="415">
        <f t="shared" ref="BR52:BY52" si="73">BR48/BR100</f>
        <v>0.23994374966883614</v>
      </c>
      <c r="BS52" s="415">
        <f t="shared" si="73"/>
        <v>0.1999434290162507</v>
      </c>
      <c r="BT52" s="415">
        <f t="shared" si="73"/>
        <v>0.18497038860779558</v>
      </c>
      <c r="BU52" s="415">
        <f t="shared" si="73"/>
        <v>0.22045930920423873</v>
      </c>
      <c r="BV52" s="415">
        <f t="shared" si="73"/>
        <v>0.2350211369200785</v>
      </c>
      <c r="BW52" s="415">
        <f t="shared" si="73"/>
        <v>0.21167179579709292</v>
      </c>
      <c r="BX52" s="415">
        <f t="shared" si="73"/>
        <v>0.21094006377375998</v>
      </c>
      <c r="BY52" s="415">
        <f t="shared" si="73"/>
        <v>0.1982638027910652</v>
      </c>
      <c r="BZ52" s="415">
        <f>BZ48/BZ100</f>
        <v>0.19834807766429549</v>
      </c>
      <c r="CA52" s="105">
        <f>CA48/CA100</f>
        <v>0.19055192335732854</v>
      </c>
      <c r="CB52" s="830"/>
      <c r="CC52" s="480"/>
      <c r="CD52" s="480"/>
      <c r="CE52" s="480"/>
      <c r="CF52" s="260"/>
      <c r="CG52" s="22"/>
      <c r="CH52" s="14"/>
      <c r="CI52" s="14"/>
      <c r="CJ52" s="14"/>
      <c r="CK52" s="862">
        <f t="shared" ref="CK52:CR52" si="74">CK48/CK$110</f>
        <v>0.217359156832791</v>
      </c>
      <c r="CL52" s="862">
        <f t="shared" si="74"/>
        <v>0.18978431298343265</v>
      </c>
      <c r="CM52" s="862">
        <f t="shared" si="74"/>
        <v>0.197757452370035</v>
      </c>
      <c r="CN52" s="862">
        <f t="shared" si="74"/>
        <v>0.23726787634767743</v>
      </c>
      <c r="CO52" s="862">
        <f t="shared" si="74"/>
        <v>0.21617461122796303</v>
      </c>
      <c r="CP52" s="862">
        <f t="shared" si="74"/>
        <v>0.21299936609465961</v>
      </c>
      <c r="CQ52" s="862">
        <f t="shared" si="74"/>
        <v>0.20610582611879572</v>
      </c>
      <c r="CR52" s="862">
        <f t="shared" si="74"/>
        <v>0.20240590288425156</v>
      </c>
      <c r="CS52" s="864">
        <f>CS48/CS$110</f>
        <v>0.19277845583282469</v>
      </c>
      <c r="CT52" s="1381"/>
    </row>
    <row r="53" spans="1:98" s="8" customFormat="1" ht="14.25" customHeight="1">
      <c r="A53" s="538"/>
      <c r="B53" s="1399" t="s">
        <v>627</v>
      </c>
      <c r="C53" s="1400"/>
      <c r="D53" s="1401"/>
      <c r="E53" s="1402"/>
      <c r="F53" s="1402"/>
      <c r="G53" s="1403"/>
      <c r="H53" s="1401"/>
      <c r="I53" s="1402"/>
      <c r="J53" s="1402"/>
      <c r="K53" s="1403"/>
      <c r="L53" s="1401"/>
      <c r="M53" s="1402"/>
      <c r="N53" s="1402"/>
      <c r="O53" s="1403"/>
      <c r="P53" s="1401"/>
      <c r="Q53" s="1402"/>
      <c r="R53" s="1402"/>
      <c r="S53" s="1403"/>
      <c r="T53" s="1401"/>
      <c r="U53" s="1402"/>
      <c r="V53" s="1402"/>
      <c r="W53" s="1403"/>
      <c r="X53" s="1401"/>
      <c r="Y53" s="1402"/>
      <c r="Z53" s="1402"/>
      <c r="AA53" s="1403"/>
      <c r="AB53" s="1401"/>
      <c r="AC53" s="1402"/>
      <c r="AD53" s="1402"/>
      <c r="AE53" s="1402"/>
      <c r="AF53" s="1404"/>
      <c r="AG53" s="1405"/>
      <c r="AH53" s="1405"/>
      <c r="AI53" s="1403"/>
      <c r="AJ53" s="1404"/>
      <c r="AK53" s="1405"/>
      <c r="AL53" s="1405"/>
      <c r="AM53" s="1405"/>
      <c r="AN53" s="1404"/>
      <c r="AO53" s="1405"/>
      <c r="AP53" s="1405"/>
      <c r="AQ53" s="1405"/>
      <c r="AR53" s="1404"/>
      <c r="AS53" s="1405"/>
      <c r="AT53" s="1405"/>
      <c r="AU53" s="1406"/>
      <c r="AV53" s="1404"/>
      <c r="AW53" s="1405"/>
      <c r="AX53" s="1405"/>
      <c r="AY53" s="1407">
        <f>AY48-AY56</f>
        <v>123.43007249999998</v>
      </c>
      <c r="AZ53" s="1408">
        <f>AZ48-AZ56</f>
        <v>115.13520000000001</v>
      </c>
      <c r="BA53" s="1409">
        <f>BA48-BA56</f>
        <v>112.2274</v>
      </c>
      <c r="BB53" s="1409">
        <f>BB48-BB56</f>
        <v>123.23381000000001</v>
      </c>
      <c r="BC53" s="1407">
        <f t="shared" ref="BC53:BG53" si="75">BB53*(1+BC54)</f>
        <v>128.1631624</v>
      </c>
      <c r="BD53" s="1408">
        <f t="shared" si="75"/>
        <v>128.1631624</v>
      </c>
      <c r="BE53" s="1409">
        <f t="shared" si="75"/>
        <v>128.1631624</v>
      </c>
      <c r="BF53" s="1409">
        <f t="shared" si="75"/>
        <v>121.75500427999999</v>
      </c>
      <c r="BG53" s="1407">
        <f t="shared" si="75"/>
        <v>124.19010436559999</v>
      </c>
      <c r="BH53" s="1408">
        <f>BG53*(1+BH54)</f>
        <v>126.67390645291199</v>
      </c>
      <c r="BI53" s="1409">
        <f>BH53*(1+BI54)</f>
        <v>126.67390645291199</v>
      </c>
      <c r="BJ53" s="1409">
        <f>BI53*(1+BJ54)</f>
        <v>122.87368925932464</v>
      </c>
      <c r="BK53" s="1407">
        <f>BJ53*(1+BK54)</f>
        <v>127.78863682969762</v>
      </c>
      <c r="BL53" s="20"/>
      <c r="BM53" s="480"/>
      <c r="BN53" s="415"/>
      <c r="BO53" s="415"/>
      <c r="BP53" s="415"/>
      <c r="BQ53" s="415"/>
      <c r="BR53" s="415"/>
      <c r="BS53" s="415"/>
      <c r="BT53" s="415"/>
      <c r="BU53" s="415"/>
      <c r="BV53" s="415"/>
      <c r="BW53" s="415"/>
      <c r="BX53" s="415"/>
      <c r="BY53" s="415"/>
      <c r="BZ53" s="415"/>
      <c r="CA53" s="105"/>
      <c r="CB53" s="830"/>
      <c r="CC53" s="480"/>
      <c r="CD53" s="480"/>
      <c r="CE53" s="480"/>
      <c r="CF53" s="260"/>
      <c r="CG53" s="22"/>
      <c r="CH53" s="14"/>
      <c r="CI53" s="14"/>
      <c r="CJ53" s="14"/>
      <c r="CK53" s="862"/>
      <c r="CL53" s="862"/>
      <c r="CM53" s="862"/>
      <c r="CN53" s="862"/>
      <c r="CO53" s="862"/>
      <c r="CP53" s="862"/>
      <c r="CQ53" s="862"/>
      <c r="CR53" s="862"/>
      <c r="CS53" s="864"/>
      <c r="CT53" s="1381"/>
    </row>
    <row r="54" spans="1:98" s="8" customFormat="1" ht="14.25" customHeight="1">
      <c r="A54" s="538"/>
      <c r="B54" s="1410" t="s">
        <v>517</v>
      </c>
      <c r="C54" s="1400"/>
      <c r="D54" s="1401"/>
      <c r="E54" s="1402"/>
      <c r="F54" s="1402"/>
      <c r="G54" s="1403"/>
      <c r="H54" s="1401"/>
      <c r="I54" s="1402"/>
      <c r="J54" s="1402"/>
      <c r="K54" s="1403"/>
      <c r="L54" s="1401"/>
      <c r="M54" s="1402"/>
      <c r="N54" s="1402"/>
      <c r="O54" s="1403"/>
      <c r="P54" s="1401"/>
      <c r="Q54" s="1402"/>
      <c r="R54" s="1402"/>
      <c r="S54" s="1403"/>
      <c r="T54" s="1401"/>
      <c r="U54" s="1402"/>
      <c r="V54" s="1402"/>
      <c r="W54" s="1403"/>
      <c r="X54" s="1401"/>
      <c r="Y54" s="1402"/>
      <c r="Z54" s="1402"/>
      <c r="AA54" s="1403"/>
      <c r="AB54" s="1401"/>
      <c r="AC54" s="1402"/>
      <c r="AD54" s="1402"/>
      <c r="AE54" s="1402"/>
      <c r="AF54" s="1404"/>
      <c r="AG54" s="1405"/>
      <c r="AH54" s="1405"/>
      <c r="AI54" s="1403"/>
      <c r="AJ54" s="1404"/>
      <c r="AK54" s="1405"/>
      <c r="AL54" s="1405"/>
      <c r="AM54" s="1405"/>
      <c r="AN54" s="1404"/>
      <c r="AO54" s="1405"/>
      <c r="AP54" s="1405"/>
      <c r="AQ54" s="1405"/>
      <c r="AR54" s="1404"/>
      <c r="AS54" s="1405"/>
      <c r="AT54" s="1405"/>
      <c r="AU54" s="1406"/>
      <c r="AV54" s="1404"/>
      <c r="AW54" s="1405"/>
      <c r="AX54" s="1405"/>
      <c r="AY54" s="1406">
        <f>AY53/AX48-1</f>
        <v>1.1263024417772272E-2</v>
      </c>
      <c r="AZ54" s="1462">
        <f>AZ53/AY48-1</f>
        <v>-0.10837810456584362</v>
      </c>
      <c r="BA54" s="1504">
        <f>BA53/AZ48-1</f>
        <v>-2.5255525677638224E-2</v>
      </c>
      <c r="BB54" s="1504">
        <f>BB53/BA48-1</f>
        <v>-1.0387994931235989E-2</v>
      </c>
      <c r="BC54" s="1413">
        <v>0.04</v>
      </c>
      <c r="BD54" s="1411">
        <v>0</v>
      </c>
      <c r="BE54" s="1412">
        <v>0</v>
      </c>
      <c r="BF54" s="1412">
        <v>-0.05</v>
      </c>
      <c r="BG54" s="1413">
        <v>0.02</v>
      </c>
      <c r="BH54" s="1411">
        <v>0.02</v>
      </c>
      <c r="BI54" s="1412">
        <v>0</v>
      </c>
      <c r="BJ54" s="1412">
        <v>-0.03</v>
      </c>
      <c r="BK54" s="1413">
        <v>0.04</v>
      </c>
      <c r="BL54" s="20"/>
      <c r="BM54" s="480"/>
      <c r="BN54" s="415"/>
      <c r="BO54" s="415"/>
      <c r="BP54" s="415"/>
      <c r="BQ54" s="415"/>
      <c r="BR54" s="415"/>
      <c r="BS54" s="415"/>
      <c r="BT54" s="415"/>
      <c r="BU54" s="415"/>
      <c r="BV54" s="415"/>
      <c r="BW54" s="415"/>
      <c r="BX54" s="415"/>
      <c r="BY54" s="415"/>
      <c r="BZ54" s="415"/>
      <c r="CA54" s="105"/>
      <c r="CB54" s="830"/>
      <c r="CC54" s="480"/>
      <c r="CD54" s="480"/>
      <c r="CE54" s="480"/>
      <c r="CF54" s="260"/>
      <c r="CG54" s="22"/>
      <c r="CH54" s="14"/>
      <c r="CI54" s="14"/>
      <c r="CJ54" s="14"/>
      <c r="CK54" s="862"/>
      <c r="CL54" s="862"/>
      <c r="CM54" s="862"/>
      <c r="CN54" s="862"/>
      <c r="CO54" s="862"/>
      <c r="CP54" s="862"/>
      <c r="CQ54" s="862"/>
      <c r="CR54" s="862"/>
      <c r="CS54" s="864"/>
      <c r="CT54" s="1381"/>
    </row>
    <row r="55" spans="1:98" s="8" customFormat="1" ht="14.25" customHeight="1">
      <c r="A55" s="538"/>
      <c r="B55" s="1410" t="s">
        <v>518</v>
      </c>
      <c r="C55" s="1400"/>
      <c r="D55" s="1401"/>
      <c r="E55" s="1402"/>
      <c r="F55" s="1402"/>
      <c r="G55" s="1403"/>
      <c r="H55" s="1401"/>
      <c r="I55" s="1402"/>
      <c r="J55" s="1402"/>
      <c r="K55" s="1403"/>
      <c r="L55" s="1401"/>
      <c r="M55" s="1402"/>
      <c r="N55" s="1402"/>
      <c r="O55" s="1403"/>
      <c r="P55" s="1401"/>
      <c r="Q55" s="1402"/>
      <c r="R55" s="1402"/>
      <c r="S55" s="1403"/>
      <c r="T55" s="1401"/>
      <c r="U55" s="1402"/>
      <c r="V55" s="1402"/>
      <c r="W55" s="1403"/>
      <c r="X55" s="1401"/>
      <c r="Y55" s="1402"/>
      <c r="Z55" s="1402"/>
      <c r="AA55" s="1403"/>
      <c r="AB55" s="1401"/>
      <c r="AC55" s="1402"/>
      <c r="AD55" s="1402"/>
      <c r="AE55" s="1402"/>
      <c r="AF55" s="1404"/>
      <c r="AG55" s="1405"/>
      <c r="AH55" s="1405"/>
      <c r="AI55" s="1403"/>
      <c r="AJ55" s="1404"/>
      <c r="AK55" s="1405"/>
      <c r="AL55" s="1405"/>
      <c r="AM55" s="1405"/>
      <c r="AN55" s="1404"/>
      <c r="AO55" s="1405"/>
      <c r="AP55" s="1405"/>
      <c r="AQ55" s="1405"/>
      <c r="AR55" s="1404"/>
      <c r="AS55" s="1405"/>
      <c r="AT55" s="1405"/>
      <c r="AU55" s="1406"/>
      <c r="AV55" s="1404"/>
      <c r="AW55" s="1405"/>
      <c r="AX55" s="1405"/>
      <c r="AY55" s="1406">
        <f>AY53/AU48-1</f>
        <v>2.3595292303664195E-2</v>
      </c>
      <c r="AZ55" s="1404">
        <f>AZ53/AV48-1</f>
        <v>-2.3393723605338645E-2</v>
      </c>
      <c r="BA55" s="1405">
        <f>BA53/AW48-1</f>
        <v>-2.5453439501365249E-2</v>
      </c>
      <c r="BB55" s="1405">
        <f>BB53/AX48-1</f>
        <v>9.6550450549652833E-3</v>
      </c>
      <c r="BC55" s="1403">
        <f t="shared" ref="BC55:BK55" si="76">BC53/AY53-1</f>
        <v>3.8346326824040489E-2</v>
      </c>
      <c r="BD55" s="1404">
        <f t="shared" si="76"/>
        <v>0.11315360028905141</v>
      </c>
      <c r="BE55" s="1405">
        <f t="shared" si="76"/>
        <v>0.14199529170238279</v>
      </c>
      <c r="BF55" s="1405">
        <f t="shared" si="76"/>
        <v>-1.2000000000000122E-2</v>
      </c>
      <c r="BG55" s="1403">
        <f t="shared" si="76"/>
        <v>-3.1000000000000139E-2</v>
      </c>
      <c r="BH55" s="1404">
        <f t="shared" si="76"/>
        <v>-1.1620000000000075E-2</v>
      </c>
      <c r="BI55" s="1405">
        <f t="shared" si="76"/>
        <v>-1.1620000000000075E-2</v>
      </c>
      <c r="BJ55" s="1405">
        <f t="shared" si="76"/>
        <v>9.187999999999974E-3</v>
      </c>
      <c r="BK55" s="1403">
        <f t="shared" si="76"/>
        <v>2.8976000000000113E-2</v>
      </c>
      <c r="BL55" s="20"/>
      <c r="BM55" s="480"/>
      <c r="BN55" s="415"/>
      <c r="BO55" s="415"/>
      <c r="BP55" s="415"/>
      <c r="BQ55" s="415"/>
      <c r="BR55" s="415"/>
      <c r="BS55" s="415"/>
      <c r="BT55" s="415"/>
      <c r="BU55" s="415"/>
      <c r="BV55" s="415"/>
      <c r="BW55" s="415"/>
      <c r="BX55" s="415"/>
      <c r="BY55" s="415"/>
      <c r="BZ55" s="415"/>
      <c r="CA55" s="105"/>
      <c r="CB55" s="830"/>
      <c r="CC55" s="480"/>
      <c r="CD55" s="480"/>
      <c r="CE55" s="480"/>
      <c r="CF55" s="260"/>
      <c r="CG55" s="22"/>
      <c r="CH55" s="14"/>
      <c r="CI55" s="14"/>
      <c r="CJ55" s="14"/>
      <c r="CK55" s="862"/>
      <c r="CL55" s="862"/>
      <c r="CM55" s="862"/>
      <c r="CN55" s="862"/>
      <c r="CO55" s="862"/>
      <c r="CP55" s="862"/>
      <c r="CQ55" s="862"/>
      <c r="CR55" s="862"/>
      <c r="CS55" s="864"/>
      <c r="CT55" s="1381"/>
    </row>
    <row r="56" spans="1:98" s="8" customFormat="1" ht="14.25" customHeight="1">
      <c r="A56" s="538"/>
      <c r="B56" s="1399" t="s">
        <v>646</v>
      </c>
      <c r="C56" s="1400"/>
      <c r="D56" s="1401"/>
      <c r="E56" s="1402"/>
      <c r="F56" s="1402"/>
      <c r="G56" s="1403"/>
      <c r="H56" s="1401"/>
      <c r="I56" s="1402"/>
      <c r="J56" s="1402"/>
      <c r="K56" s="1403"/>
      <c r="L56" s="1401"/>
      <c r="M56" s="1402"/>
      <c r="N56" s="1402"/>
      <c r="O56" s="1403"/>
      <c r="P56" s="1401"/>
      <c r="Q56" s="1402"/>
      <c r="R56" s="1402"/>
      <c r="S56" s="1403"/>
      <c r="T56" s="1401"/>
      <c r="U56" s="1402"/>
      <c r="V56" s="1402"/>
      <c r="W56" s="1403"/>
      <c r="X56" s="1401"/>
      <c r="Y56" s="1402"/>
      <c r="Z56" s="1402"/>
      <c r="AA56" s="1403"/>
      <c r="AB56" s="1401"/>
      <c r="AC56" s="1402"/>
      <c r="AD56" s="1402"/>
      <c r="AE56" s="1402"/>
      <c r="AF56" s="1404"/>
      <c r="AG56" s="1405"/>
      <c r="AH56" s="1405"/>
      <c r="AI56" s="1403"/>
      <c r="AJ56" s="1404"/>
      <c r="AK56" s="1405"/>
      <c r="AL56" s="1405"/>
      <c r="AM56" s="1405"/>
      <c r="AN56" s="1404"/>
      <c r="AO56" s="1405"/>
      <c r="AP56" s="1405"/>
      <c r="AQ56" s="1405"/>
      <c r="AR56" s="1404"/>
      <c r="AS56" s="1405"/>
      <c r="AT56" s="1405"/>
      <c r="AU56" s="1406"/>
      <c r="AV56" s="1404"/>
      <c r="AW56" s="1405"/>
      <c r="AX56" s="1405"/>
      <c r="AY56" s="1407">
        <f>AY310</f>
        <v>5.7</v>
      </c>
      <c r="AZ56" s="1414">
        <f t="shared" ref="AZ56:BK56" si="77">AZ310</f>
        <v>0</v>
      </c>
      <c r="BA56" s="1414">
        <f>BA310</f>
        <v>12.3</v>
      </c>
      <c r="BB56" s="1414">
        <f>BB310</f>
        <v>0</v>
      </c>
      <c r="BC56" s="1407">
        <f t="shared" si="77"/>
        <v>0</v>
      </c>
      <c r="BD56" s="1414">
        <f t="shared" si="77"/>
        <v>0</v>
      </c>
      <c r="BE56" s="1409">
        <f t="shared" si="77"/>
        <v>0</v>
      </c>
      <c r="BF56" s="1409">
        <f t="shared" si="77"/>
        <v>0</v>
      </c>
      <c r="BG56" s="1407">
        <f t="shared" si="77"/>
        <v>0</v>
      </c>
      <c r="BH56" s="1414">
        <f t="shared" si="77"/>
        <v>0</v>
      </c>
      <c r="BI56" s="1409">
        <f t="shared" si="77"/>
        <v>0</v>
      </c>
      <c r="BJ56" s="1409">
        <f t="shared" si="77"/>
        <v>0</v>
      </c>
      <c r="BK56" s="1407">
        <f t="shared" si="77"/>
        <v>0</v>
      </c>
      <c r="BL56" s="20"/>
      <c r="BM56" s="480"/>
      <c r="BN56" s="415"/>
      <c r="BO56" s="415"/>
      <c r="BP56" s="415"/>
      <c r="BQ56" s="415"/>
      <c r="BR56" s="415"/>
      <c r="BS56" s="415"/>
      <c r="BT56" s="415"/>
      <c r="BU56" s="415"/>
      <c r="BV56" s="415"/>
      <c r="BW56" s="415"/>
      <c r="BX56" s="415"/>
      <c r="BY56" s="415"/>
      <c r="BZ56" s="415"/>
      <c r="CA56" s="105"/>
      <c r="CB56" s="830"/>
      <c r="CC56" s="480"/>
      <c r="CD56" s="480"/>
      <c r="CE56" s="480"/>
      <c r="CF56" s="260"/>
      <c r="CG56" s="22"/>
      <c r="CH56" s="14"/>
      <c r="CI56" s="14"/>
      <c r="CJ56" s="14"/>
      <c r="CK56" s="862"/>
      <c r="CL56" s="862"/>
      <c r="CM56" s="862"/>
      <c r="CN56" s="862"/>
      <c r="CO56" s="862"/>
      <c r="CP56" s="862"/>
      <c r="CQ56" s="862"/>
      <c r="CR56" s="862"/>
      <c r="CS56" s="864"/>
      <c r="CT56" s="1381"/>
    </row>
    <row r="57" spans="1:98" s="8" customFormat="1" ht="14.25" hidden="1" customHeight="1" outlineLevel="1">
      <c r="A57" s="538"/>
      <c r="B57" s="704" t="s">
        <v>102</v>
      </c>
      <c r="C57" s="705"/>
      <c r="D57" s="706"/>
      <c r="E57" s="707"/>
      <c r="F57" s="707"/>
      <c r="G57" s="708"/>
      <c r="H57" s="706"/>
      <c r="I57" s="707"/>
      <c r="J57" s="707"/>
      <c r="K57" s="708"/>
      <c r="L57" s="706"/>
      <c r="M57" s="707"/>
      <c r="N57" s="707"/>
      <c r="O57" s="708"/>
      <c r="P57" s="706"/>
      <c r="Q57" s="707"/>
      <c r="R57" s="707"/>
      <c r="S57" s="708"/>
      <c r="T57" s="706"/>
      <c r="U57" s="707"/>
      <c r="V57" s="707"/>
      <c r="W57" s="708"/>
      <c r="X57" s="706"/>
      <c r="Y57" s="707">
        <f>0.12*0.3*Y100</f>
        <v>22.065695999999999</v>
      </c>
      <c r="Z57" s="707"/>
      <c r="AA57" s="708">
        <f>0.12*0.33*AA110</f>
        <v>24.809043599999988</v>
      </c>
      <c r="AB57" s="104"/>
      <c r="AC57" s="104"/>
      <c r="AD57" s="104"/>
      <c r="AE57" s="104"/>
      <c r="AF57" s="830"/>
      <c r="AG57" s="480"/>
      <c r="AH57" s="480"/>
      <c r="AI57" s="105"/>
      <c r="AJ57" s="830"/>
      <c r="AK57" s="104"/>
      <c r="AL57" s="104"/>
      <c r="AM57" s="105"/>
      <c r="AN57" s="165"/>
      <c r="AO57" s="104"/>
      <c r="AP57" s="104"/>
      <c r="AQ57" s="105"/>
      <c r="AR57" s="165"/>
      <c r="AS57" s="104"/>
      <c r="AT57" s="104"/>
      <c r="AU57" s="105"/>
      <c r="AV57" s="165"/>
      <c r="AW57" s="104"/>
      <c r="AX57" s="104"/>
      <c r="AY57" s="105"/>
      <c r="AZ57" s="104"/>
      <c r="BA57" s="104"/>
      <c r="BB57" s="104"/>
      <c r="BC57" s="105"/>
      <c r="BD57" s="104"/>
      <c r="BE57" s="104"/>
      <c r="BF57" s="104"/>
      <c r="BG57" s="105"/>
      <c r="BH57" s="104"/>
      <c r="BI57" s="104"/>
      <c r="BJ57" s="104"/>
      <c r="BK57" s="105"/>
      <c r="BL57" s="20"/>
      <c r="BM57" s="480"/>
      <c r="BN57" s="415"/>
      <c r="BO57" s="415"/>
      <c r="BP57" s="415"/>
      <c r="BQ57" s="415"/>
      <c r="BR57" s="415"/>
      <c r="BS57" s="415"/>
      <c r="BT57" s="415"/>
      <c r="BU57" s="415"/>
      <c r="BV57" s="415"/>
      <c r="BW57" s="415"/>
      <c r="BX57" s="415"/>
      <c r="BY57" s="415"/>
      <c r="BZ57" s="415"/>
      <c r="CA57" s="105"/>
      <c r="CB57" s="830"/>
      <c r="CC57" s="480"/>
      <c r="CD57" s="480"/>
      <c r="CE57" s="480"/>
      <c r="CF57" s="260"/>
      <c r="CG57" s="22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260"/>
      <c r="CT57" s="1381"/>
    </row>
    <row r="58" spans="1:98" s="8" customFormat="1" ht="14.25" hidden="1" customHeight="1" outlineLevel="2">
      <c r="A58" s="538"/>
      <c r="B58" s="704" t="s">
        <v>103</v>
      </c>
      <c r="C58" s="705"/>
      <c r="D58" s="706"/>
      <c r="E58" s="707"/>
      <c r="F58" s="707"/>
      <c r="G58" s="708"/>
      <c r="H58" s="706"/>
      <c r="I58" s="707"/>
      <c r="J58" s="707"/>
      <c r="K58" s="708"/>
      <c r="L58" s="706"/>
      <c r="M58" s="707"/>
      <c r="N58" s="707"/>
      <c r="O58" s="708"/>
      <c r="P58" s="706"/>
      <c r="Q58" s="707"/>
      <c r="R58" s="707"/>
      <c r="S58" s="708"/>
      <c r="T58" s="706"/>
      <c r="U58" s="707"/>
      <c r="V58" s="707"/>
      <c r="W58" s="708"/>
      <c r="X58" s="706"/>
      <c r="Y58" s="707">
        <f>Y48-Y57</f>
        <v>131.16830400000001</v>
      </c>
      <c r="Z58" s="707"/>
      <c r="AA58" s="708">
        <f>AA48-AA57</f>
        <v>113.01897639999993</v>
      </c>
      <c r="AB58" s="104"/>
      <c r="AC58" s="104"/>
      <c r="AD58" s="104"/>
      <c r="AE58" s="104"/>
      <c r="AF58" s="830"/>
      <c r="AG58" s="480"/>
      <c r="AH58" s="480"/>
      <c r="AI58" s="105"/>
      <c r="AJ58" s="830"/>
      <c r="AK58" s="104"/>
      <c r="AL58" s="104"/>
      <c r="AM58" s="105"/>
      <c r="AN58" s="165"/>
      <c r="AO58" s="104"/>
      <c r="AP58" s="104"/>
      <c r="AQ58" s="105"/>
      <c r="AR58" s="165"/>
      <c r="AS58" s="104"/>
      <c r="AT58" s="104"/>
      <c r="AU58" s="105"/>
      <c r="AV58" s="165"/>
      <c r="AW58" s="104"/>
      <c r="AX58" s="104"/>
      <c r="AY58" s="105"/>
      <c r="AZ58" s="104"/>
      <c r="BA58" s="104"/>
      <c r="BB58" s="104"/>
      <c r="BC58" s="105"/>
      <c r="BD58" s="104"/>
      <c r="BE58" s="104"/>
      <c r="BF58" s="104"/>
      <c r="BG58" s="105"/>
      <c r="BH58" s="104"/>
      <c r="BI58" s="104"/>
      <c r="BJ58" s="104"/>
      <c r="BK58" s="105"/>
      <c r="BL58" s="20"/>
      <c r="BM58" s="480"/>
      <c r="BN58" s="415"/>
      <c r="BO58" s="415"/>
      <c r="BP58" s="415"/>
      <c r="BQ58" s="415"/>
      <c r="BR58" s="415"/>
      <c r="BS58" s="415"/>
      <c r="BT58" s="415"/>
      <c r="BU58" s="415"/>
      <c r="BV58" s="415"/>
      <c r="BW58" s="415"/>
      <c r="BX58" s="415"/>
      <c r="BY58" s="415"/>
      <c r="BZ58" s="415"/>
      <c r="CA58" s="105"/>
      <c r="CB58" s="830"/>
      <c r="CC58" s="480"/>
      <c r="CD58" s="480"/>
      <c r="CE58" s="480"/>
      <c r="CF58" s="260"/>
      <c r="CG58" s="22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260"/>
      <c r="CT58" s="1381"/>
    </row>
    <row r="59" spans="1:98" s="8" customFormat="1" ht="14.25" hidden="1" customHeight="1" outlineLevel="2">
      <c r="A59" s="538"/>
      <c r="B59" s="267"/>
      <c r="C59" s="268"/>
      <c r="D59" s="104"/>
      <c r="E59" s="104"/>
      <c r="F59" s="104"/>
      <c r="G59" s="105"/>
      <c r="H59" s="104"/>
      <c r="I59" s="104"/>
      <c r="J59" s="104"/>
      <c r="K59" s="105"/>
      <c r="L59" s="104"/>
      <c r="M59" s="104"/>
      <c r="N59" s="104"/>
      <c r="O59" s="105"/>
      <c r="P59" s="104"/>
      <c r="Q59" s="104"/>
      <c r="R59" s="104"/>
      <c r="S59" s="105"/>
      <c r="T59" s="104"/>
      <c r="U59" s="104"/>
      <c r="V59" s="104"/>
      <c r="W59" s="105"/>
      <c r="X59" s="104"/>
      <c r="Y59" s="104"/>
      <c r="Z59" s="104"/>
      <c r="AA59" s="105"/>
      <c r="AB59" s="104"/>
      <c r="AC59" s="104"/>
      <c r="AD59" s="104"/>
      <c r="AE59" s="104"/>
      <c r="AF59" s="830"/>
      <c r="AG59" s="480"/>
      <c r="AH59" s="480"/>
      <c r="AI59" s="105"/>
      <c r="AJ59" s="830"/>
      <c r="AK59" s="104"/>
      <c r="AL59" s="104"/>
      <c r="AM59" s="105"/>
      <c r="AN59" s="165"/>
      <c r="AO59" s="104"/>
      <c r="AP59" s="104"/>
      <c r="AQ59" s="105"/>
      <c r="AR59" s="165"/>
      <c r="AS59" s="104"/>
      <c r="AT59" s="104"/>
      <c r="AU59" s="105"/>
      <c r="AV59" s="165"/>
      <c r="AW59" s="104"/>
      <c r="AX59" s="104"/>
      <c r="AY59" s="105"/>
      <c r="AZ59" s="104"/>
      <c r="BA59" s="104"/>
      <c r="BB59" s="104"/>
      <c r="BC59" s="105"/>
      <c r="BD59" s="104"/>
      <c r="BE59" s="104"/>
      <c r="BF59" s="104"/>
      <c r="BG59" s="105"/>
      <c r="BH59" s="104"/>
      <c r="BI59" s="104"/>
      <c r="BJ59" s="104"/>
      <c r="BK59" s="105"/>
      <c r="BL59" s="20"/>
      <c r="BM59" s="480"/>
      <c r="BN59" s="415"/>
      <c r="BO59" s="415"/>
      <c r="BP59" s="415"/>
      <c r="BQ59" s="415"/>
      <c r="BR59" s="415"/>
      <c r="BS59" s="415"/>
      <c r="BT59" s="415"/>
      <c r="BU59" s="415"/>
      <c r="BV59" s="415"/>
      <c r="BW59" s="415"/>
      <c r="BX59" s="415"/>
      <c r="BY59" s="415"/>
      <c r="BZ59" s="415"/>
      <c r="CA59" s="105"/>
      <c r="CB59" s="830"/>
      <c r="CC59" s="480"/>
      <c r="CD59" s="480"/>
      <c r="CE59" s="480"/>
      <c r="CF59" s="260"/>
      <c r="CG59" s="22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260"/>
      <c r="CT59" s="1381"/>
    </row>
    <row r="60" spans="1:98" s="8" customFormat="1" ht="14.25" hidden="1" customHeight="1" outlineLevel="2">
      <c r="A60" s="538"/>
      <c r="B60" s="267"/>
      <c r="C60" s="268"/>
      <c r="D60" s="104"/>
      <c r="E60" s="104"/>
      <c r="F60" s="104"/>
      <c r="G60" s="105"/>
      <c r="H60" s="104"/>
      <c r="I60" s="104"/>
      <c r="J60" s="104"/>
      <c r="K60" s="105"/>
      <c r="L60" s="104"/>
      <c r="M60" s="104"/>
      <c r="N60" s="104"/>
      <c r="O60" s="105"/>
      <c r="P60" s="104"/>
      <c r="Q60" s="104"/>
      <c r="R60" s="104"/>
      <c r="S60" s="105"/>
      <c r="T60" s="104"/>
      <c r="U60" s="104"/>
      <c r="V60" s="104"/>
      <c r="W60" s="105"/>
      <c r="X60" s="104"/>
      <c r="Y60" s="104"/>
      <c r="Z60" s="104"/>
      <c r="AA60" s="105"/>
      <c r="AB60" s="104"/>
      <c r="AC60" s="104"/>
      <c r="AD60" s="104"/>
      <c r="AE60" s="106"/>
      <c r="AF60" s="830"/>
      <c r="AG60" s="480"/>
      <c r="AH60" s="480"/>
      <c r="AI60" s="105"/>
      <c r="AJ60" s="830"/>
      <c r="AK60" s="74"/>
      <c r="AL60" s="74"/>
      <c r="AM60" s="24"/>
      <c r="AN60" s="23"/>
      <c r="AO60" s="74"/>
      <c r="AP60" s="74"/>
      <c r="AQ60" s="24"/>
      <c r="AR60" s="23"/>
      <c r="AS60" s="74"/>
      <c r="AT60" s="74"/>
      <c r="AU60" s="24"/>
      <c r="AV60" s="23"/>
      <c r="AW60" s="74"/>
      <c r="AX60" s="74"/>
      <c r="AY60" s="24"/>
      <c r="AZ60" s="74"/>
      <c r="BA60" s="74"/>
      <c r="BB60" s="74"/>
      <c r="BC60" s="24"/>
      <c r="BD60" s="74"/>
      <c r="BE60" s="74"/>
      <c r="BF60" s="74"/>
      <c r="BG60" s="24"/>
      <c r="BH60" s="74"/>
      <c r="BI60" s="74"/>
      <c r="BJ60" s="74"/>
      <c r="BK60" s="24"/>
      <c r="BL60" s="20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24"/>
      <c r="CB60" s="23"/>
      <c r="CC60" s="74"/>
      <c r="CD60" s="74"/>
      <c r="CE60" s="74"/>
      <c r="CF60" s="260"/>
      <c r="CG60" s="22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260"/>
      <c r="CT60" s="1381"/>
    </row>
    <row r="61" spans="1:98" s="8" customFormat="1" ht="14.25" hidden="1" customHeight="1" outlineLevel="2">
      <c r="A61" s="538"/>
      <c r="B61" s="289" t="s">
        <v>566</v>
      </c>
      <c r="C61" s="268"/>
      <c r="D61" s="416"/>
      <c r="E61" s="416"/>
      <c r="F61" s="416"/>
      <c r="G61" s="417"/>
      <c r="H61" s="486"/>
      <c r="I61" s="416"/>
      <c r="J61" s="416"/>
      <c r="K61" s="417"/>
      <c r="L61" s="486"/>
      <c r="M61" s="416"/>
      <c r="N61" s="416"/>
      <c r="O61" s="417"/>
      <c r="P61" s="486"/>
      <c r="Q61" s="416"/>
      <c r="R61" s="416"/>
      <c r="S61" s="417"/>
      <c r="T61" s="486"/>
      <c r="U61" s="416"/>
      <c r="V61" s="416"/>
      <c r="W61" s="417"/>
      <c r="X61" s="486">
        <f t="shared" ref="X61:AG61" si="78">X111*X52</f>
        <v>96.5535</v>
      </c>
      <c r="Y61" s="416">
        <f t="shared" si="78"/>
        <v>95.068750000000009</v>
      </c>
      <c r="Z61" s="416">
        <f t="shared" si="78"/>
        <v>89.435999999999979</v>
      </c>
      <c r="AA61" s="417">
        <f t="shared" si="78"/>
        <v>85.98149999999994</v>
      </c>
      <c r="AB61" s="486">
        <f t="shared" si="78"/>
        <v>79.094599999999986</v>
      </c>
      <c r="AC61" s="416">
        <f t="shared" si="78"/>
        <v>73.071600000000004</v>
      </c>
      <c r="AD61" s="416">
        <f t="shared" si="78"/>
        <v>67.085999999999999</v>
      </c>
      <c r="AE61" s="416">
        <f t="shared" si="78"/>
        <v>70.677910000000011</v>
      </c>
      <c r="AF61" s="795">
        <f t="shared" si="78"/>
        <v>69.424379999999999</v>
      </c>
      <c r="AG61" s="482">
        <f t="shared" si="78"/>
        <v>69.041250000000005</v>
      </c>
      <c r="AH61" s="482">
        <f>AH64*AH48</f>
        <v>65.327472</v>
      </c>
      <c r="AI61" s="417">
        <f t="shared" ref="AI61:AR61" si="79">AI111*AI52</f>
        <v>70.565809999999999</v>
      </c>
      <c r="AJ61" s="795">
        <f t="shared" si="79"/>
        <v>65.967240000000004</v>
      </c>
      <c r="AK61" s="482">
        <f t="shared" si="79"/>
        <v>75.594560000000016</v>
      </c>
      <c r="AL61" s="482">
        <f t="shared" si="79"/>
        <v>78.185510000000008</v>
      </c>
      <c r="AM61" s="482">
        <f t="shared" si="79"/>
        <v>84.860800000000012</v>
      </c>
      <c r="AN61" s="795">
        <f t="shared" si="79"/>
        <v>88.069800000000001</v>
      </c>
      <c r="AO61" s="482">
        <f t="shared" si="79"/>
        <v>72.237710000000007</v>
      </c>
      <c r="AP61" s="482">
        <f t="shared" si="79"/>
        <v>72.51164</v>
      </c>
      <c r="AQ61" s="482">
        <f t="shared" si="79"/>
        <v>66.814220000000006</v>
      </c>
      <c r="AR61" s="795">
        <f t="shared" si="79"/>
        <v>57.270200000000003</v>
      </c>
      <c r="AS61" s="416">
        <f>AS64*AS48</f>
        <v>62.524165999999994</v>
      </c>
      <c r="AT61" s="416">
        <f>AT64*AT48</f>
        <v>70.145019999999988</v>
      </c>
      <c r="AU61" s="481">
        <f>AU111*AU52</f>
        <v>73.916750999999991</v>
      </c>
      <c r="AV61" s="795">
        <f>AV111*AV52</f>
        <v>72.603719999999996</v>
      </c>
      <c r="AW61" s="416">
        <f>AW64*AW48</f>
        <v>71.09720200000001</v>
      </c>
      <c r="AX61" s="416">
        <f>AX64*AX48</f>
        <v>77.049839999999989</v>
      </c>
      <c r="AY61" s="481">
        <f>AY111*AY52</f>
        <v>84.441357000000011</v>
      </c>
      <c r="AZ61" s="416">
        <f>AZ111*AZ52</f>
        <v>74.766200000000012</v>
      </c>
      <c r="BA61" s="416">
        <f>BA111*BA52</f>
        <v>81.935199999999995</v>
      </c>
      <c r="BB61" s="416">
        <f>BB111*BB52</f>
        <v>80.54974</v>
      </c>
      <c r="BC61" s="417">
        <f t="shared" ref="BC61:BG61" si="80">BC64*BC48</f>
        <v>83.631147567717861</v>
      </c>
      <c r="BD61" s="416">
        <f t="shared" si="80"/>
        <v>85.869318808000003</v>
      </c>
      <c r="BE61" s="416">
        <f t="shared" si="80"/>
        <v>85.997481970400003</v>
      </c>
      <c r="BF61" s="416">
        <f t="shared" si="80"/>
        <v>81.941117880440004</v>
      </c>
      <c r="BG61" s="417">
        <f t="shared" si="80"/>
        <v>83.952510551145608</v>
      </c>
      <c r="BH61" s="416">
        <f>BH64*BH48</f>
        <v>85.504886855715597</v>
      </c>
      <c r="BI61" s="416">
        <f>BI64*BI48</f>
        <v>85.504886855715597</v>
      </c>
      <c r="BJ61" s="416">
        <f>BJ64*BJ48</f>
        <v>83.185487628562782</v>
      </c>
      <c r="BK61" s="417">
        <f>BK64*BK48</f>
        <v>86.768484407364696</v>
      </c>
      <c r="BL61" s="319"/>
      <c r="BM61" s="409"/>
      <c r="BN61" s="409"/>
      <c r="BO61" s="409"/>
      <c r="BP61" s="409"/>
      <c r="BQ61" s="409"/>
      <c r="BR61" s="409">
        <f>SUM(X61:AA61)</f>
        <v>367.03974999999991</v>
      </c>
      <c r="BS61" s="409">
        <f>SUM(AB61:AE61)</f>
        <v>289.93011000000001</v>
      </c>
      <c r="BT61" s="409">
        <f>SUM(AF61:AI61)</f>
        <v>274.35891200000003</v>
      </c>
      <c r="BU61" s="409">
        <f>SUM(AJ61:AM61)</f>
        <v>304.60811000000001</v>
      </c>
      <c r="BV61" s="409">
        <f>SUM(AN61:AQ61)</f>
        <v>299.63337000000001</v>
      </c>
      <c r="BW61" s="409">
        <f>SUM(AR61:AU61)</f>
        <v>263.85613699999999</v>
      </c>
      <c r="BX61" s="409">
        <f>SUM(AV61:AY61)</f>
        <v>305.19211899999999</v>
      </c>
      <c r="BY61" s="409">
        <f>SUM(AZ61:BC61)</f>
        <v>320.88228756771787</v>
      </c>
      <c r="BZ61" s="409">
        <f>SUM(BA61:BD61)</f>
        <v>331.98540637571784</v>
      </c>
      <c r="CA61" s="51">
        <f>SUM(BB61:BE61)</f>
        <v>336.04768834611787</v>
      </c>
      <c r="CB61" s="528"/>
      <c r="CC61" s="529"/>
      <c r="CD61" s="529"/>
      <c r="CE61" s="529"/>
      <c r="CF61" s="260"/>
      <c r="CG61" s="22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260"/>
      <c r="CT61" s="1381"/>
    </row>
    <row r="62" spans="1:98" s="8" customFormat="1" ht="14.25" hidden="1" customHeight="1" outlineLevel="2">
      <c r="A62" s="538"/>
      <c r="B62" s="267" t="s">
        <v>517</v>
      </c>
      <c r="C62" s="268"/>
      <c r="D62" s="165"/>
      <c r="E62" s="104"/>
      <c r="F62" s="104"/>
      <c r="G62" s="105"/>
      <c r="H62" s="165"/>
      <c r="I62" s="104"/>
      <c r="J62" s="104"/>
      <c r="K62" s="105"/>
      <c r="L62" s="165"/>
      <c r="M62" s="104"/>
      <c r="N62" s="104"/>
      <c r="O62" s="105"/>
      <c r="P62" s="165"/>
      <c r="Q62" s="104"/>
      <c r="R62" s="104"/>
      <c r="S62" s="105"/>
      <c r="T62" s="165"/>
      <c r="U62" s="104"/>
      <c r="V62" s="104"/>
      <c r="W62" s="105"/>
      <c r="X62" s="165"/>
      <c r="Y62" s="104">
        <f t="shared" ref="Y62:AR62" si="81">Y61/X61-1</f>
        <v>-1.5377485021257575E-2</v>
      </c>
      <c r="Z62" s="104">
        <f t="shared" si="81"/>
        <v>-5.9249227532706894E-2</v>
      </c>
      <c r="AA62" s="105">
        <f t="shared" si="81"/>
        <v>-3.8625385750704844E-2</v>
      </c>
      <c r="AB62" s="104">
        <f t="shared" si="81"/>
        <v>-8.0097462826305144E-2</v>
      </c>
      <c r="AC62" s="104">
        <f t="shared" si="81"/>
        <v>-7.6149319928288217E-2</v>
      </c>
      <c r="AD62" s="104">
        <f t="shared" si="81"/>
        <v>-8.1914177327443327E-2</v>
      </c>
      <c r="AE62" s="104">
        <f t="shared" si="81"/>
        <v>5.3541871627463378E-2</v>
      </c>
      <c r="AF62" s="830">
        <f t="shared" si="81"/>
        <v>-1.7735810241134908E-2</v>
      </c>
      <c r="AG62" s="480">
        <f>AG61/AF61-1</f>
        <v>-5.5186664972736166E-3</v>
      </c>
      <c r="AH62" s="480">
        <f t="shared" si="81"/>
        <v>-5.3790712074303526E-2</v>
      </c>
      <c r="AI62" s="105">
        <f t="shared" si="81"/>
        <v>8.0185836672204358E-2</v>
      </c>
      <c r="AJ62" s="830">
        <f t="shared" si="81"/>
        <v>-6.516711138155995E-2</v>
      </c>
      <c r="AK62" s="480">
        <f t="shared" si="81"/>
        <v>0.14594092461652197</v>
      </c>
      <c r="AL62" s="480">
        <f t="shared" si="81"/>
        <v>3.4274291695063575E-2</v>
      </c>
      <c r="AM62" s="480">
        <f t="shared" si="81"/>
        <v>8.5377584670100592E-2</v>
      </c>
      <c r="AN62" s="830">
        <f t="shared" si="81"/>
        <v>3.7814868584788108E-2</v>
      </c>
      <c r="AO62" s="480">
        <f t="shared" si="81"/>
        <v>-0.17976752530379303</v>
      </c>
      <c r="AP62" s="480">
        <f t="shared" si="81"/>
        <v>3.7920637295949522E-3</v>
      </c>
      <c r="AQ62" s="480">
        <f t="shared" si="81"/>
        <v>-7.8572488499777382E-2</v>
      </c>
      <c r="AR62" s="830">
        <f t="shared" si="81"/>
        <v>-0.14284414305816939</v>
      </c>
      <c r="AS62" s="104">
        <f t="shared" ref="AS62:BB62" si="82">AS61/AR61-1</f>
        <v>9.1739962493582849E-2</v>
      </c>
      <c r="AT62" s="104">
        <f t="shared" si="82"/>
        <v>0.12188653583959841</v>
      </c>
      <c r="AU62" s="1236">
        <f t="shared" si="82"/>
        <v>5.3770474368672216E-2</v>
      </c>
      <c r="AV62" s="830">
        <f t="shared" si="82"/>
        <v>-1.776364602388969E-2</v>
      </c>
      <c r="AW62" s="104">
        <f t="shared" si="82"/>
        <v>-2.0749873422463594E-2</v>
      </c>
      <c r="AX62" s="104">
        <f t="shared" si="82"/>
        <v>8.3725348291483703E-2</v>
      </c>
      <c r="AY62" s="1236">
        <f t="shared" si="82"/>
        <v>9.5931633342781986E-2</v>
      </c>
      <c r="AZ62" s="104">
        <f t="shared" si="82"/>
        <v>-0.11457841682956371</v>
      </c>
      <c r="BA62" s="104">
        <f t="shared" si="82"/>
        <v>9.5885573962565696E-2</v>
      </c>
      <c r="BB62" s="104">
        <f t="shared" si="82"/>
        <v>-1.6909216063425658E-2</v>
      </c>
      <c r="BC62" s="105">
        <f t="shared" ref="BC62:BG62" si="83">BC61/BB61-1</f>
        <v>3.8254717739844457E-2</v>
      </c>
      <c r="BD62" s="104">
        <f t="shared" si="83"/>
        <v>2.6762412155947546E-2</v>
      </c>
      <c r="BE62" s="104">
        <f t="shared" si="83"/>
        <v>1.4925373134329067E-3</v>
      </c>
      <c r="BF62" s="104">
        <f t="shared" si="83"/>
        <v>-4.7168405365126675E-2</v>
      </c>
      <c r="BG62" s="105">
        <f t="shared" si="83"/>
        <v>2.4546805349182854E-2</v>
      </c>
      <c r="BH62" s="104">
        <f>BH61/BG61-1</f>
        <v>1.849112426035493E-2</v>
      </c>
      <c r="BI62" s="104">
        <f>BI61/BH61-1</f>
        <v>0</v>
      </c>
      <c r="BJ62" s="104">
        <f>BJ61/BI61-1</f>
        <v>-2.7125925925925887E-2</v>
      </c>
      <c r="BK62" s="105">
        <f>BK61/BJ61-1</f>
        <v>4.3072378138848011E-2</v>
      </c>
      <c r="BL62" s="20"/>
      <c r="BM62" s="270"/>
      <c r="BN62" s="270"/>
      <c r="BO62" s="270"/>
      <c r="BP62" s="270"/>
      <c r="BQ62" s="270"/>
      <c r="BR62" s="270"/>
      <c r="BS62" s="270"/>
      <c r="BT62" s="270"/>
      <c r="BU62" s="270"/>
      <c r="BV62" s="270"/>
      <c r="BW62" s="270"/>
      <c r="BX62" s="270"/>
      <c r="BY62" s="270"/>
      <c r="BZ62" s="270"/>
      <c r="CA62" s="24"/>
      <c r="CB62" s="23"/>
      <c r="CC62" s="74"/>
      <c r="CD62" s="74"/>
      <c r="CE62" s="74"/>
      <c r="CF62" s="260"/>
      <c r="CG62" s="22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260"/>
      <c r="CT62" s="1381"/>
    </row>
    <row r="63" spans="1:98" s="8" customFormat="1" ht="14.25" hidden="1" customHeight="1" outlineLevel="2">
      <c r="A63" s="538"/>
      <c r="B63" s="35" t="s">
        <v>518</v>
      </c>
      <c r="C63" s="268"/>
      <c r="D63" s="165"/>
      <c r="E63" s="104"/>
      <c r="F63" s="104"/>
      <c r="G63" s="105"/>
      <c r="H63" s="165"/>
      <c r="I63" s="104"/>
      <c r="J63" s="104"/>
      <c r="K63" s="105"/>
      <c r="L63" s="165"/>
      <c r="M63" s="104"/>
      <c r="N63" s="104"/>
      <c r="O63" s="105"/>
      <c r="P63" s="165"/>
      <c r="Q63" s="104"/>
      <c r="R63" s="104"/>
      <c r="S63" s="105"/>
      <c r="T63" s="165"/>
      <c r="U63" s="104"/>
      <c r="V63" s="104"/>
      <c r="W63" s="105"/>
      <c r="X63" s="165"/>
      <c r="Y63" s="104"/>
      <c r="Z63" s="104"/>
      <c r="AA63" s="105"/>
      <c r="AB63" s="270">
        <f t="shared" ref="AB63:AR63" si="84">AB61/X61-1</f>
        <v>-0.1808209956138308</v>
      </c>
      <c r="AC63" s="270">
        <f t="shared" si="84"/>
        <v>-0.23138150023009663</v>
      </c>
      <c r="AD63" s="270">
        <f t="shared" si="84"/>
        <v>-0.24989936938145696</v>
      </c>
      <c r="AE63" s="104">
        <f t="shared" si="84"/>
        <v>-0.17798700883329488</v>
      </c>
      <c r="AF63" s="468">
        <f t="shared" si="84"/>
        <v>-0.12226144389123894</v>
      </c>
      <c r="AG63" s="480">
        <f>AG61/AC61-1</f>
        <v>-5.5156175586684841E-2</v>
      </c>
      <c r="AH63" s="480">
        <f t="shared" si="84"/>
        <v>-2.6213039978534969E-2</v>
      </c>
      <c r="AI63" s="105">
        <f t="shared" si="84"/>
        <v>-1.586068405248664E-3</v>
      </c>
      <c r="AJ63" s="468">
        <f t="shared" si="84"/>
        <v>-4.9797203806501322E-2</v>
      </c>
      <c r="AK63" s="480">
        <f t="shared" si="84"/>
        <v>9.4918762334111895E-2</v>
      </c>
      <c r="AL63" s="480">
        <f t="shared" si="84"/>
        <v>0.19682436203868425</v>
      </c>
      <c r="AM63" s="480">
        <f t="shared" si="84"/>
        <v>0.20257671526763477</v>
      </c>
      <c r="AN63" s="468">
        <f t="shared" si="84"/>
        <v>0.33505358114118455</v>
      </c>
      <c r="AO63" s="480">
        <f t="shared" si="84"/>
        <v>-4.4405973128225251E-2</v>
      </c>
      <c r="AP63" s="480">
        <f t="shared" si="84"/>
        <v>-7.2569329022730722E-2</v>
      </c>
      <c r="AQ63" s="480">
        <f t="shared" si="84"/>
        <v>-0.21266096949357072</v>
      </c>
      <c r="AR63" s="468">
        <f t="shared" si="84"/>
        <v>-0.34971806453517551</v>
      </c>
      <c r="AS63" s="104">
        <f t="shared" ref="AS63:BB63" si="85">AS61/AO61-1</f>
        <v>-0.13446638881548167</v>
      </c>
      <c r="AT63" s="104">
        <f t="shared" si="85"/>
        <v>-3.263779442859116E-2</v>
      </c>
      <c r="AU63" s="1236">
        <f t="shared" si="85"/>
        <v>0.10630268526669906</v>
      </c>
      <c r="AV63" s="468">
        <f t="shared" si="85"/>
        <v>0.26773994154027725</v>
      </c>
      <c r="AW63" s="104">
        <f t="shared" si="85"/>
        <v>0.13711555944624698</v>
      </c>
      <c r="AX63" s="104">
        <f t="shared" si="85"/>
        <v>9.8436353714062674E-2</v>
      </c>
      <c r="AY63" s="1236">
        <f t="shared" si="85"/>
        <v>0.14238458614069804</v>
      </c>
      <c r="AZ63" s="104">
        <f t="shared" si="85"/>
        <v>2.9784699737148701E-2</v>
      </c>
      <c r="BA63" s="104">
        <f t="shared" si="85"/>
        <v>0.15243916349900788</v>
      </c>
      <c r="BB63" s="104">
        <f t="shared" si="85"/>
        <v>4.5423845137121832E-2</v>
      </c>
      <c r="BC63" s="105">
        <f t="shared" ref="BC63:BG63" si="86">BC61/AY61-1</f>
        <v>-9.5949361908306274E-3</v>
      </c>
      <c r="BD63" s="104">
        <f t="shared" si="86"/>
        <v>0.14850452220388344</v>
      </c>
      <c r="BE63" s="104">
        <f t="shared" si="86"/>
        <v>4.9579203692674323E-2</v>
      </c>
      <c r="BF63" s="104">
        <f t="shared" si="86"/>
        <v>1.7273524165813514E-2</v>
      </c>
      <c r="BG63" s="105">
        <f t="shared" si="86"/>
        <v>3.8426231466874849E-3</v>
      </c>
      <c r="BH63" s="104">
        <f>BH61/BD61-1</f>
        <v>-4.2440298507463448E-3</v>
      </c>
      <c r="BI63" s="104">
        <f>BI61/BE61-1</f>
        <v>-5.7280178837556539E-3</v>
      </c>
      <c r="BJ63" s="104">
        <f>BJ61/BF61-1</f>
        <v>1.5186145616641777E-2</v>
      </c>
      <c r="BK63" s="105">
        <f>BK61/BG61-1</f>
        <v>3.3542461538461632E-2</v>
      </c>
      <c r="BL63" s="20"/>
      <c r="BM63" s="415"/>
      <c r="BN63" s="480"/>
      <c r="BO63" s="415"/>
      <c r="BP63" s="415"/>
      <c r="BQ63" s="415"/>
      <c r="BR63" s="415" t="e">
        <f t="shared" ref="BR63:CA63" si="87">BR61/BQ61-1</f>
        <v>#DIV/0!</v>
      </c>
      <c r="BS63" s="415">
        <f t="shared" si="87"/>
        <v>-0.21008525643339693</v>
      </c>
      <c r="BT63" s="415">
        <f t="shared" si="87"/>
        <v>-5.3706729528712915E-2</v>
      </c>
      <c r="BU63" s="415">
        <f t="shared" si="87"/>
        <v>0.11025411122785034</v>
      </c>
      <c r="BV63" s="415">
        <f t="shared" si="87"/>
        <v>-1.6331607191942488E-2</v>
      </c>
      <c r="BW63" s="415">
        <f t="shared" si="87"/>
        <v>-0.11940336618715075</v>
      </c>
      <c r="BX63" s="415">
        <f t="shared" si="87"/>
        <v>0.15666105958338949</v>
      </c>
      <c r="BY63" s="415">
        <f t="shared" si="87"/>
        <v>5.1410792058224297E-2</v>
      </c>
      <c r="BZ63" s="415">
        <f t="shared" si="87"/>
        <v>3.4601843847977376E-2</v>
      </c>
      <c r="CA63" s="503">
        <f t="shared" si="87"/>
        <v>1.2236326936017727E-2</v>
      </c>
      <c r="CB63" s="1234"/>
      <c r="CC63" s="809"/>
      <c r="CD63" s="809"/>
      <c r="CE63" s="809"/>
      <c r="CF63" s="260"/>
      <c r="CG63" s="22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260"/>
      <c r="CT63" s="1381"/>
    </row>
    <row r="64" spans="1:98" s="8" customFormat="1" ht="14.25" hidden="1" customHeight="1" outlineLevel="1">
      <c r="A64" s="538"/>
      <c r="B64" s="267" t="s">
        <v>538</v>
      </c>
      <c r="C64" s="268"/>
      <c r="D64" s="104"/>
      <c r="E64" s="104"/>
      <c r="F64" s="104"/>
      <c r="G64" s="105"/>
      <c r="H64" s="165"/>
      <c r="I64" s="104"/>
      <c r="J64" s="104"/>
      <c r="K64" s="105"/>
      <c r="L64" s="165"/>
      <c r="M64" s="104"/>
      <c r="N64" s="104"/>
      <c r="O64" s="105"/>
      <c r="P64" s="165"/>
      <c r="Q64" s="104"/>
      <c r="R64" s="104"/>
      <c r="S64" s="105"/>
      <c r="T64" s="165"/>
      <c r="U64" s="104"/>
      <c r="V64" s="104"/>
      <c r="W64" s="105"/>
      <c r="X64" s="165">
        <f t="shared" ref="X64:AG64" si="88">X61/X48</f>
        <v>0.61681831031128864</v>
      </c>
      <c r="Y64" s="104">
        <f t="shared" si="88"/>
        <v>0.62041550830755576</v>
      </c>
      <c r="Z64" s="104">
        <f t="shared" si="88"/>
        <v>0.61414857237031839</v>
      </c>
      <c r="AA64" s="105">
        <f t="shared" si="88"/>
        <v>0.62383178688919705</v>
      </c>
      <c r="AB64" s="165">
        <f t="shared" si="88"/>
        <v>0.62181093770145368</v>
      </c>
      <c r="AC64" s="104">
        <f t="shared" si="88"/>
        <v>0.5884073802884543</v>
      </c>
      <c r="AD64" s="104">
        <f t="shared" si="88"/>
        <v>0.58722505829709459</v>
      </c>
      <c r="AE64" s="104">
        <f t="shared" si="88"/>
        <v>0.61490257142668237</v>
      </c>
      <c r="AF64" s="830">
        <f t="shared" si="88"/>
        <v>0.61901215744493032</v>
      </c>
      <c r="AG64" s="480">
        <f t="shared" si="88"/>
        <v>0.60031620370523342</v>
      </c>
      <c r="AH64" s="480">
        <v>0.6</v>
      </c>
      <c r="AI64" s="105">
        <f t="shared" ref="AI64:AR64" si="89">AI61/AI48</f>
        <v>0.61065877006349945</v>
      </c>
      <c r="AJ64" s="830">
        <f t="shared" si="89"/>
        <v>0.59325303592878831</v>
      </c>
      <c r="AK64" s="480">
        <f t="shared" si="89"/>
        <v>0.52988195539390659</v>
      </c>
      <c r="AL64" s="480">
        <f t="shared" si="89"/>
        <v>0.56124758742638448</v>
      </c>
      <c r="AM64" s="480">
        <f t="shared" si="89"/>
        <v>0.57428630575578199</v>
      </c>
      <c r="AN64" s="830">
        <f t="shared" si="89"/>
        <v>0.58374046788160783</v>
      </c>
      <c r="AO64" s="480">
        <f t="shared" si="89"/>
        <v>0.55411434892529943</v>
      </c>
      <c r="AP64" s="480">
        <f t="shared" si="89"/>
        <v>0.54614274602737389</v>
      </c>
      <c r="AQ64" s="480">
        <f t="shared" si="89"/>
        <v>0.5213598916426474</v>
      </c>
      <c r="AR64" s="830">
        <f t="shared" si="89"/>
        <v>0.50905939449965332</v>
      </c>
      <c r="AS64" s="104">
        <f>IS!AS32</f>
        <v>0.57194845261935934</v>
      </c>
      <c r="AT64" s="104">
        <f>IS!AT32</f>
        <v>0.57422755793765712</v>
      </c>
      <c r="AU64" s="1236">
        <f>AU61/AU48</f>
        <v>0.61298544846906866</v>
      </c>
      <c r="AV64" s="830">
        <f>AV61/AV48</f>
        <v>0.61584336190496558</v>
      </c>
      <c r="AW64" s="104">
        <f>IS!AW32</f>
        <v>0.61738518107143769</v>
      </c>
      <c r="AX64" s="104">
        <f>IS!AX32</f>
        <v>0.63126961405054227</v>
      </c>
      <c r="AY64" s="1236">
        <f>AY61/AY48</f>
        <v>0.65392480128902597</v>
      </c>
      <c r="AZ64" s="104">
        <f>AZ61/AZ48</f>
        <v>0.64937742758079198</v>
      </c>
      <c r="BA64" s="104">
        <f>BA61/BA48</f>
        <v>0.65796925014093277</v>
      </c>
      <c r="BB64" s="104">
        <f>BB61/BB48</f>
        <v>0.6536334468600784</v>
      </c>
      <c r="BC64" s="105">
        <f>IS!BC32</f>
        <v>0.65253654795676186</v>
      </c>
      <c r="BD64" s="104">
        <f>IS!BD32</f>
        <v>0.67</v>
      </c>
      <c r="BE64" s="104">
        <f>IS!BE32</f>
        <v>0.67100000000000004</v>
      </c>
      <c r="BF64" s="104">
        <f>IS!BF32</f>
        <v>0.67300000000000004</v>
      </c>
      <c r="BG64" s="105">
        <f>IS!BG32</f>
        <v>0.67600000000000005</v>
      </c>
      <c r="BH64" s="104">
        <f>IS!BH32</f>
        <v>0.67500000000000004</v>
      </c>
      <c r="BI64" s="104">
        <f>IS!BI32</f>
        <v>0.67500000000000004</v>
      </c>
      <c r="BJ64" s="104">
        <f>IS!BJ32</f>
        <v>0.67700000000000005</v>
      </c>
      <c r="BK64" s="105">
        <f>IS!BK32</f>
        <v>0.67900000000000005</v>
      </c>
      <c r="BL64" s="20"/>
      <c r="BM64" s="480"/>
      <c r="BN64" s="415"/>
      <c r="BO64" s="415"/>
      <c r="BP64" s="415"/>
      <c r="BQ64" s="415"/>
      <c r="BR64" s="415">
        <f t="shared" ref="BR64:BY64" si="90">BR61/BR48</f>
        <v>0.6187216144788239</v>
      </c>
      <c r="BS64" s="415">
        <f t="shared" si="90"/>
        <v>0.60330485165912306</v>
      </c>
      <c r="BT64" s="415">
        <f t="shared" si="90"/>
        <v>0.60752957909742755</v>
      </c>
      <c r="BU64" s="415">
        <f t="shared" si="90"/>
        <v>0.56311630916850397</v>
      </c>
      <c r="BV64" s="415">
        <f t="shared" si="90"/>
        <v>0.5526641124476126</v>
      </c>
      <c r="BW64" s="415">
        <f t="shared" si="90"/>
        <v>0.56796984972312903</v>
      </c>
      <c r="BX64" s="415">
        <f t="shared" si="90"/>
        <v>0.63025338629799887</v>
      </c>
      <c r="BY64" s="415">
        <f t="shared" si="90"/>
        <v>0.65344879848170101</v>
      </c>
      <c r="BZ64" s="415">
        <f>BZ61/BZ48</f>
        <v>0.66096812255135851</v>
      </c>
      <c r="CA64" s="1455">
        <f>CA61/CA48</f>
        <v>0.66674787339854313</v>
      </c>
      <c r="CB64" s="1494"/>
      <c r="CC64" s="1446"/>
      <c r="CD64" s="1446"/>
      <c r="CE64" s="1446"/>
      <c r="CF64" s="260"/>
      <c r="CG64" s="22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260"/>
      <c r="CT64" s="1381"/>
    </row>
    <row r="65" spans="1:256" s="122" customFormat="1" ht="14.25" customHeight="1" collapsed="1">
      <c r="A65" s="538"/>
      <c r="B65" s="290"/>
      <c r="C65" s="291"/>
      <c r="D65" s="271"/>
      <c r="E65" s="271"/>
      <c r="F65" s="271"/>
      <c r="G65" s="272"/>
      <c r="H65" s="271"/>
      <c r="I65" s="271"/>
      <c r="J65" s="271"/>
      <c r="K65" s="272"/>
      <c r="L65" s="271"/>
      <c r="M65" s="271"/>
      <c r="N65" s="271"/>
      <c r="O65" s="272"/>
      <c r="P65" s="271"/>
      <c r="Q65" s="271"/>
      <c r="R65" s="271"/>
      <c r="S65" s="272"/>
      <c r="T65" s="271"/>
      <c r="U65" s="271"/>
      <c r="V65" s="271"/>
      <c r="W65" s="272"/>
      <c r="X65" s="271"/>
      <c r="Y65" s="271"/>
      <c r="Z65" s="271"/>
      <c r="AA65" s="272"/>
      <c r="AB65" s="271"/>
      <c r="AC65" s="271"/>
      <c r="AD65" s="271"/>
      <c r="AE65" s="362"/>
      <c r="AF65" s="831"/>
      <c r="AG65" s="832"/>
      <c r="AH65" s="832"/>
      <c r="AI65" s="363"/>
      <c r="AJ65" s="831"/>
      <c r="AK65" s="362"/>
      <c r="AL65" s="362"/>
      <c r="AM65" s="363"/>
      <c r="AN65" s="1191"/>
      <c r="AO65" s="362"/>
      <c r="AP65" s="362"/>
      <c r="AQ65" s="363"/>
      <c r="AR65" s="1191"/>
      <c r="AS65" s="362"/>
      <c r="AT65" s="362"/>
      <c r="AU65" s="363"/>
      <c r="AV65" s="1191"/>
      <c r="AW65" s="362"/>
      <c r="AX65" s="362"/>
      <c r="AY65" s="363"/>
      <c r="AZ65" s="362"/>
      <c r="BA65" s="362"/>
      <c r="BB65" s="362"/>
      <c r="BC65" s="363"/>
      <c r="BD65" s="362"/>
      <c r="BE65" s="362"/>
      <c r="BF65" s="362"/>
      <c r="BG65" s="363"/>
      <c r="BH65" s="362"/>
      <c r="BI65" s="362"/>
      <c r="BJ65" s="362"/>
      <c r="BK65" s="363"/>
      <c r="BL65" s="20"/>
      <c r="BM65" s="292"/>
      <c r="BN65" s="292"/>
      <c r="BO65" s="292"/>
      <c r="BP65" s="292"/>
      <c r="BQ65" s="292"/>
      <c r="BR65" s="292"/>
      <c r="BS65" s="292"/>
      <c r="BT65" s="292"/>
      <c r="BU65" s="292"/>
      <c r="BV65" s="292"/>
      <c r="BW65" s="292"/>
      <c r="BX65" s="292"/>
      <c r="BY65" s="292"/>
      <c r="BZ65" s="292"/>
      <c r="CA65" s="72"/>
      <c r="CB65" s="23"/>
      <c r="CC65" s="74"/>
      <c r="CD65" s="74"/>
      <c r="CE65" s="74"/>
      <c r="CF65" s="260"/>
      <c r="CG65" s="15"/>
      <c r="CH65" s="251"/>
      <c r="CI65" s="251"/>
      <c r="CJ65" s="251"/>
      <c r="CK65" s="251"/>
      <c r="CL65" s="251"/>
      <c r="CM65" s="251"/>
      <c r="CN65" s="251"/>
      <c r="CO65" s="251"/>
      <c r="CP65" s="251"/>
      <c r="CQ65" s="251"/>
      <c r="CR65" s="251"/>
      <c r="CS65" s="16"/>
      <c r="CT65" s="1381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</row>
    <row r="66" spans="1:256" s="8" customFormat="1" ht="14.25" customHeight="1">
      <c r="A66" s="794"/>
      <c r="B66" s="365" t="str">
        <f>B122</f>
        <v>Automotive</v>
      </c>
      <c r="C66" s="531"/>
      <c r="D66" s="482"/>
      <c r="E66" s="482"/>
      <c r="F66" s="482"/>
      <c r="G66" s="796"/>
      <c r="H66" s="482"/>
      <c r="I66" s="482"/>
      <c r="J66" s="482"/>
      <c r="K66" s="481"/>
      <c r="L66" s="482"/>
      <c r="M66" s="482"/>
      <c r="N66" s="482"/>
      <c r="O66" s="481"/>
      <c r="P66" s="482"/>
      <c r="Q66" s="482"/>
      <c r="R66" s="482"/>
      <c r="S66" s="481"/>
      <c r="T66" s="482"/>
      <c r="U66" s="482"/>
      <c r="V66" s="482"/>
      <c r="W66" s="481"/>
      <c r="X66" s="482">
        <f t="shared" ref="X66:BB66" si="91">X$122</f>
        <v>31.306950000000001</v>
      </c>
      <c r="Y66" s="482">
        <f t="shared" si="91"/>
        <v>30.646800000000002</v>
      </c>
      <c r="Z66" s="482">
        <f t="shared" si="91"/>
        <v>30.338750000000001</v>
      </c>
      <c r="AA66" s="481">
        <f t="shared" si="91"/>
        <v>31.324549999999984</v>
      </c>
      <c r="AB66" s="482">
        <f t="shared" si="91"/>
        <v>31.8001</v>
      </c>
      <c r="AC66" s="482">
        <f t="shared" si="91"/>
        <v>29.567950000000003</v>
      </c>
      <c r="AD66" s="482">
        <f t="shared" si="91"/>
        <v>34.27272</v>
      </c>
      <c r="AE66" s="504">
        <f t="shared" si="91"/>
        <v>36.297359999999998</v>
      </c>
      <c r="AF66" s="795">
        <f t="shared" si="91"/>
        <v>37.384500000000003</v>
      </c>
      <c r="AG66" s="482">
        <f t="shared" si="91"/>
        <v>30.265300000000003</v>
      </c>
      <c r="AH66" s="482">
        <f t="shared" si="91"/>
        <v>36.293039999999998</v>
      </c>
      <c r="AI66" s="481">
        <f t="shared" si="91"/>
        <v>42.57358</v>
      </c>
      <c r="AJ66" s="959">
        <f t="shared" si="91"/>
        <v>40.96687</v>
      </c>
      <c r="AK66" s="504">
        <f t="shared" si="91"/>
        <v>49.621920000000003</v>
      </c>
      <c r="AL66" s="504">
        <f t="shared" si="91"/>
        <v>54.511290000000002</v>
      </c>
      <c r="AM66" s="504">
        <f t="shared" si="91"/>
        <v>64.246700000000004</v>
      </c>
      <c r="AN66" s="959">
        <f t="shared" si="91"/>
        <v>63.830249999999999</v>
      </c>
      <c r="AO66" s="504">
        <f t="shared" si="91"/>
        <v>68.017079999999993</v>
      </c>
      <c r="AP66" s="504">
        <f t="shared" si="91"/>
        <v>75.04419</v>
      </c>
      <c r="AQ66" s="504">
        <f t="shared" si="91"/>
        <v>81.552380000000014</v>
      </c>
      <c r="AR66" s="959">
        <f t="shared" si="91"/>
        <v>90.001599999999996</v>
      </c>
      <c r="AS66" s="504">
        <f t="shared" si="91"/>
        <v>86.841270000000009</v>
      </c>
      <c r="AT66" s="504">
        <f t="shared" si="91"/>
        <v>94.392839999999993</v>
      </c>
      <c r="AU66" s="797">
        <f t="shared" si="91"/>
        <v>107.56394</v>
      </c>
      <c r="AV66" s="959">
        <f t="shared" si="91"/>
        <v>101.05127999999999</v>
      </c>
      <c r="AW66" s="504">
        <f t="shared" si="91"/>
        <v>102.761127</v>
      </c>
      <c r="AX66" s="504">
        <f t="shared" si="91"/>
        <v>119.14927999999999</v>
      </c>
      <c r="AY66" s="797">
        <f t="shared" si="91"/>
        <v>120.0999975</v>
      </c>
      <c r="AZ66" s="482">
        <f t="shared" si="91"/>
        <v>115.13520000000001</v>
      </c>
      <c r="BA66" s="482">
        <f t="shared" si="91"/>
        <v>130.75376999999997</v>
      </c>
      <c r="BB66" s="482">
        <f t="shared" si="91"/>
        <v>129.71980000000002</v>
      </c>
      <c r="BC66" s="797">
        <f t="shared" ref="BC66:BG66" si="92">BC71+BC74</f>
        <v>142.04318100000003</v>
      </c>
      <c r="BD66" s="504">
        <f t="shared" si="92"/>
        <v>134.94102195000002</v>
      </c>
      <c r="BE66" s="504">
        <f t="shared" si="92"/>
        <v>140.33866282800003</v>
      </c>
      <c r="BF66" s="504">
        <f t="shared" si="92"/>
        <v>154.37252911080003</v>
      </c>
      <c r="BG66" s="797">
        <f t="shared" si="92"/>
        <v>155.91625440190802</v>
      </c>
      <c r="BH66" s="504">
        <f>BH71+BH74</f>
        <v>149.6796042258317</v>
      </c>
      <c r="BI66" s="504">
        <f>BI71+BI74</f>
        <v>153.42159433147748</v>
      </c>
      <c r="BJ66" s="504">
        <f>BJ71+BJ74</f>
        <v>168.76375376462525</v>
      </c>
      <c r="BK66" s="797">
        <f>BK71+BK74</f>
        <v>172.13902883991776</v>
      </c>
      <c r="BL66" s="353"/>
      <c r="BM66" s="409"/>
      <c r="BN66" s="409"/>
      <c r="BO66" s="409"/>
      <c r="BP66" s="409"/>
      <c r="BQ66" s="409"/>
      <c r="BR66" s="409">
        <f>SUM(X66:AA66)</f>
        <v>123.61704999999999</v>
      </c>
      <c r="BS66" s="409">
        <f>SUM(AB66:AE66)</f>
        <v>131.93813</v>
      </c>
      <c r="BT66" s="409">
        <f>SUM(AF66:AI66)</f>
        <v>146.51641999999998</v>
      </c>
      <c r="BU66" s="409">
        <f>SUM(AJ66:AM66)</f>
        <v>209.34678</v>
      </c>
      <c r="BV66" s="409">
        <f>SUM(AN66:AQ66)</f>
        <v>288.44390000000004</v>
      </c>
      <c r="BW66" s="409">
        <f>SUM(AR66:AU66)</f>
        <v>378.79964999999999</v>
      </c>
      <c r="BX66" s="409">
        <f>SUM(AV66:AY66)</f>
        <v>443.06168449999996</v>
      </c>
      <c r="BY66" s="409">
        <f>SUM(AZ66:BC66)</f>
        <v>517.65195100000005</v>
      </c>
      <c r="BZ66" s="409">
        <f>SUM(BD66:BG66)</f>
        <v>585.5684682907081</v>
      </c>
      <c r="CA66" s="417">
        <f>SUM(BH66:BK66)</f>
        <v>644.00398116185215</v>
      </c>
      <c r="CB66" s="795"/>
      <c r="CC66" s="482"/>
      <c r="CD66" s="482"/>
      <c r="CE66" s="482"/>
      <c r="CF66" s="531"/>
      <c r="CG66" s="527"/>
      <c r="CH66" s="409"/>
      <c r="CI66" s="409"/>
      <c r="CJ66" s="409">
        <f>+SUM(V66:Y66)</f>
        <v>61.953749999999999</v>
      </c>
      <c r="CK66" s="409">
        <f>+SUM(Z66:AC66)</f>
        <v>123.03134999999997</v>
      </c>
      <c r="CL66" s="409">
        <f>+SUM(AD66:AG66)</f>
        <v>138.21987999999999</v>
      </c>
      <c r="CM66" s="409">
        <f>+SUM(AH66:AK66)</f>
        <v>169.45541</v>
      </c>
      <c r="CN66" s="409">
        <f>+SUM(AL66:AO66)</f>
        <v>250.60532000000001</v>
      </c>
      <c r="CO66" s="409">
        <f>+SUM(AP66:AS66)</f>
        <v>333.43943999999999</v>
      </c>
      <c r="CP66" s="409">
        <f>+SUM(AT66:AW66)</f>
        <v>405.76918699999999</v>
      </c>
      <c r="CQ66" s="409">
        <f>+SUM(AX66:BA66)</f>
        <v>485.13824749999998</v>
      </c>
      <c r="CR66" s="409">
        <f>+SUM(BB66:BE66)</f>
        <v>547.04266577800013</v>
      </c>
      <c r="CS66" s="410">
        <f>+SUM(BF66:BI66)</f>
        <v>613.38998207001714</v>
      </c>
      <c r="CT66" s="1381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8" customFormat="1" ht="14.25" customHeight="1">
      <c r="A67" s="538"/>
      <c r="B67" s="267" t="s">
        <v>517</v>
      </c>
      <c r="C67" s="268"/>
      <c r="D67" s="104"/>
      <c r="E67" s="104"/>
      <c r="F67" s="104"/>
      <c r="G67" s="105"/>
      <c r="H67" s="165"/>
      <c r="I67" s="104"/>
      <c r="J67" s="104"/>
      <c r="K67" s="105"/>
      <c r="L67" s="165"/>
      <c r="M67" s="104"/>
      <c r="N67" s="104"/>
      <c r="O67" s="105"/>
      <c r="P67" s="165"/>
      <c r="Q67" s="104"/>
      <c r="R67" s="104"/>
      <c r="S67" s="105"/>
      <c r="T67" s="165"/>
      <c r="U67" s="104"/>
      <c r="V67" s="104"/>
      <c r="W67" s="105"/>
      <c r="X67" s="165"/>
      <c r="Y67" s="104">
        <f t="shared" ref="Y67:BB67" si="93">Y66/X66-1</f>
        <v>-2.1086372195311176E-2</v>
      </c>
      <c r="Z67" s="104">
        <f t="shared" si="93"/>
        <v>-1.0051620397561911E-2</v>
      </c>
      <c r="AA67" s="105">
        <f t="shared" si="93"/>
        <v>3.2493098759836192E-2</v>
      </c>
      <c r="AB67" s="165">
        <f t="shared" si="93"/>
        <v>1.5181383292019124E-2</v>
      </c>
      <c r="AC67" s="104">
        <f t="shared" si="93"/>
        <v>-7.0193175493158733E-2</v>
      </c>
      <c r="AD67" s="104">
        <f t="shared" si="93"/>
        <v>0.15911721982754967</v>
      </c>
      <c r="AE67" s="104">
        <f t="shared" si="93"/>
        <v>5.9074389193504384E-2</v>
      </c>
      <c r="AF67" s="830">
        <f t="shared" si="93"/>
        <v>2.9950938580657338E-2</v>
      </c>
      <c r="AG67" s="480">
        <f t="shared" si="93"/>
        <v>-0.19043186347282959</v>
      </c>
      <c r="AH67" s="480">
        <f t="shared" si="93"/>
        <v>0.19916339834728203</v>
      </c>
      <c r="AI67" s="105">
        <f t="shared" si="93"/>
        <v>0.17305081084417284</v>
      </c>
      <c r="AJ67" s="830">
        <f t="shared" si="93"/>
        <v>-3.7739602824098828E-2</v>
      </c>
      <c r="AK67" s="480">
        <f t="shared" si="93"/>
        <v>0.21126949654684379</v>
      </c>
      <c r="AL67" s="480">
        <f t="shared" si="93"/>
        <v>9.8532463072771082E-2</v>
      </c>
      <c r="AM67" s="480">
        <f t="shared" si="93"/>
        <v>0.17859437925611377</v>
      </c>
      <c r="AN67" s="830">
        <f t="shared" si="93"/>
        <v>-6.4820449921941803E-3</v>
      </c>
      <c r="AO67" s="480">
        <f t="shared" si="93"/>
        <v>6.5593194449340197E-2</v>
      </c>
      <c r="AP67" s="480">
        <f t="shared" si="93"/>
        <v>0.10331390291967857</v>
      </c>
      <c r="AQ67" s="480">
        <f t="shared" si="93"/>
        <v>8.6724768433106059E-2</v>
      </c>
      <c r="AR67" s="830">
        <f t="shared" si="93"/>
        <v>0.10360482428593731</v>
      </c>
      <c r="AS67" s="480">
        <f t="shared" si="93"/>
        <v>-3.5114153526159431E-2</v>
      </c>
      <c r="AT67" s="480">
        <f t="shared" si="93"/>
        <v>8.6958309108100096E-2</v>
      </c>
      <c r="AU67" s="1236">
        <f t="shared" si="93"/>
        <v>0.13953494777781894</v>
      </c>
      <c r="AV67" s="830">
        <f t="shared" si="93"/>
        <v>-6.0546871005283109E-2</v>
      </c>
      <c r="AW67" s="480">
        <f t="shared" si="93"/>
        <v>1.6920587250354613E-2</v>
      </c>
      <c r="AX67" s="480">
        <f t="shared" si="93"/>
        <v>0.15947813612437312</v>
      </c>
      <c r="AY67" s="1236">
        <f t="shared" si="93"/>
        <v>7.9792131349849527E-3</v>
      </c>
      <c r="AZ67" s="830">
        <f t="shared" si="93"/>
        <v>-4.1338864307636558E-2</v>
      </c>
      <c r="BA67" s="480">
        <f t="shared" si="93"/>
        <v>0.13565417005398839</v>
      </c>
      <c r="BB67" s="480">
        <f t="shared" si="93"/>
        <v>-7.9077643420908394E-3</v>
      </c>
      <c r="BC67" s="1236">
        <f t="shared" ref="BC67:BG67" si="94">BC66/BB66-1</f>
        <v>9.4999999999999973E-2</v>
      </c>
      <c r="BD67" s="830">
        <f t="shared" si="94"/>
        <v>-5.0000000000000044E-2</v>
      </c>
      <c r="BE67" s="480">
        <f t="shared" si="94"/>
        <v>4.0000000000000036E-2</v>
      </c>
      <c r="BF67" s="480">
        <f t="shared" si="94"/>
        <v>0.10000000000000009</v>
      </c>
      <c r="BG67" s="1236">
        <f t="shared" si="94"/>
        <v>1.0000000000000009E-2</v>
      </c>
      <c r="BH67" s="830">
        <f>BH66/BG66-1</f>
        <v>-4.0000000000000036E-2</v>
      </c>
      <c r="BI67" s="480">
        <f>BI66/BH66-1</f>
        <v>2.4999999999999911E-2</v>
      </c>
      <c r="BJ67" s="480">
        <f>BJ66/BI66-1</f>
        <v>0.10000000000000009</v>
      </c>
      <c r="BK67" s="1236">
        <f>BK66/BJ66-1</f>
        <v>2.0000000000000018E-2</v>
      </c>
      <c r="BL67" s="2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4"/>
      <c r="CB67" s="23"/>
      <c r="CC67" s="74"/>
      <c r="CD67" s="74"/>
      <c r="CE67" s="74"/>
      <c r="CF67" s="260"/>
      <c r="CG67" s="22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260"/>
      <c r="CT67" s="1381"/>
    </row>
    <row r="68" spans="1:256" s="8" customFormat="1" ht="14.25" customHeight="1">
      <c r="A68" s="538"/>
      <c r="B68" s="35" t="s">
        <v>96</v>
      </c>
      <c r="C68" s="268"/>
      <c r="D68" s="165"/>
      <c r="E68" s="104"/>
      <c r="F68" s="104"/>
      <c r="G68" s="105"/>
      <c r="H68" s="165"/>
      <c r="I68" s="104"/>
      <c r="J68" s="104"/>
      <c r="K68" s="105"/>
      <c r="L68" s="165"/>
      <c r="M68" s="104"/>
      <c r="N68" s="104"/>
      <c r="O68" s="105"/>
      <c r="P68" s="165"/>
      <c r="Q68" s="104"/>
      <c r="R68" s="104"/>
      <c r="S68" s="105"/>
      <c r="T68" s="165"/>
      <c r="U68" s="104"/>
      <c r="V68" s="104"/>
      <c r="W68" s="105"/>
      <c r="X68" s="165"/>
      <c r="Y68" s="104"/>
      <c r="Z68" s="104"/>
      <c r="AA68" s="105"/>
      <c r="AB68" s="165"/>
      <c r="AC68" s="104"/>
      <c r="AD68" s="104"/>
      <c r="AE68" s="104">
        <f t="shared" ref="AE68:AU68" si="95">AVERAGE(AA67,W67,S67,O67)</f>
        <v>3.2493098759836192E-2</v>
      </c>
      <c r="AF68" s="830">
        <f t="shared" si="95"/>
        <v>1.5181383292019124E-2</v>
      </c>
      <c r="AG68" s="480">
        <f t="shared" si="95"/>
        <v>-4.5639773844234954E-2</v>
      </c>
      <c r="AH68" s="480">
        <f t="shared" si="95"/>
        <v>7.453279971499388E-2</v>
      </c>
      <c r="AI68" s="105">
        <f t="shared" si="95"/>
        <v>4.5783743976670288E-2</v>
      </c>
      <c r="AJ68" s="830">
        <f t="shared" si="95"/>
        <v>2.2566160936338231E-2</v>
      </c>
      <c r="AK68" s="480">
        <f t="shared" si="95"/>
        <v>-9.3903803720433165E-2</v>
      </c>
      <c r="AL68" s="480">
        <f t="shared" si="95"/>
        <v>0.11607633259242327</v>
      </c>
      <c r="AM68" s="480">
        <f t="shared" si="95"/>
        <v>8.8206099599171139E-2</v>
      </c>
      <c r="AN68" s="830">
        <f t="shared" si="95"/>
        <v>2.4642396828592115E-3</v>
      </c>
      <c r="AO68" s="480">
        <f t="shared" si="95"/>
        <v>-1.7610478653613926E-2</v>
      </c>
      <c r="AP68" s="480">
        <f t="shared" si="95"/>
        <v>0.11169036521251022</v>
      </c>
      <c r="AQ68" s="480">
        <f t="shared" si="95"/>
        <v>0.1108031695134068</v>
      </c>
      <c r="AR68" s="830">
        <f t="shared" si="95"/>
        <v>2.2766851409586342E-4</v>
      </c>
      <c r="AS68" s="480">
        <f t="shared" si="95"/>
        <v>4.0594130075489177E-3</v>
      </c>
      <c r="AT68" s="480">
        <f t="shared" si="95"/>
        <v>0.14003174604182034</v>
      </c>
      <c r="AU68" s="1236">
        <f t="shared" si="95"/>
        <v>0.12436108693172426</v>
      </c>
      <c r="AV68" s="830">
        <f t="shared" ref="AV68:BG68" si="96">AVERAGE(AR67,AN67,AJ67,AF67,AB67)</f>
        <v>2.0903099668464153E-2</v>
      </c>
      <c r="AW68" s="480">
        <f t="shared" si="96"/>
        <v>-3.7753002991927518E-3</v>
      </c>
      <c r="AX68" s="480">
        <f>AVERAGE(AT67,AP67,AL67,AH67)</f>
        <v>0.12199201836195794</v>
      </c>
      <c r="AY68" s="1236">
        <f>AVERAGE(AU67,AQ67,AM67,AI67)</f>
        <v>0.1444762265778029</v>
      </c>
      <c r="AZ68" s="104">
        <f>AVERAGE(AV67,AR67,AN67,AJ67)</f>
        <v>-2.90923633909701E-4</v>
      </c>
      <c r="BA68" s="104">
        <f>AVERAGE(AW67,AS67,AO67,AK67)</f>
        <v>6.4667281180094793E-2</v>
      </c>
      <c r="BB68" s="104">
        <f>AVERAGE(AX67,AT67,AP67,AL67)</f>
        <v>0.11207070280623072</v>
      </c>
      <c r="BC68" s="105">
        <f t="shared" si="96"/>
        <v>0.11717682388923931</v>
      </c>
      <c r="BD68" s="104">
        <f t="shared" si="96"/>
        <v>-8.5005117686550724E-3</v>
      </c>
      <c r="BE68" s="104">
        <f t="shared" si="96"/>
        <v>7.8864658954873518E-2</v>
      </c>
      <c r="BF68" s="104">
        <f t="shared" si="96"/>
        <v>8.8075009376566399E-2</v>
      </c>
      <c r="BG68" s="105">
        <f t="shared" si="96"/>
        <v>0.10156666172040474</v>
      </c>
      <c r="BH68" s="104">
        <f>AVERAGE(BD67,AZ67,AV67,AR67,AN67)</f>
        <v>-1.0952591203835316E-2</v>
      </c>
      <c r="BI68" s="104">
        <f>AVERAGE(BE67,BA67,AW67,AS67,AO67)</f>
        <v>4.4610759645504761E-2</v>
      </c>
      <c r="BJ68" s="104">
        <f>AVERAGE(BF67,BB67,AX67,AT67,AP67)</f>
        <v>8.8368516762012211E-2</v>
      </c>
      <c r="BK68" s="105">
        <f>AVERAGE(BG67,BC67,AY67,AU67,AQ67)</f>
        <v>6.7847785869181984E-2</v>
      </c>
      <c r="BL68" s="20"/>
      <c r="BM68" s="270"/>
      <c r="BN68" s="270"/>
      <c r="BO68" s="270"/>
      <c r="BP68" s="270"/>
      <c r="BQ68" s="270"/>
      <c r="BR68" s="270"/>
      <c r="BS68" s="270"/>
      <c r="BT68" s="270"/>
      <c r="BU68" s="270"/>
      <c r="BV68" s="270"/>
      <c r="BW68" s="270"/>
      <c r="BX68" s="270"/>
      <c r="BY68" s="270"/>
      <c r="BZ68" s="270"/>
      <c r="CA68" s="24"/>
      <c r="CB68" s="23"/>
      <c r="CC68" s="74"/>
      <c r="CD68" s="74"/>
      <c r="CE68" s="74"/>
      <c r="CF68" s="260"/>
      <c r="CG68" s="22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260"/>
      <c r="CT68" s="1381"/>
    </row>
    <row r="69" spans="1:256" s="8" customFormat="1" ht="14.25" customHeight="1">
      <c r="A69" s="538"/>
      <c r="B69" s="35" t="s">
        <v>518</v>
      </c>
      <c r="C69" s="36"/>
      <c r="D69" s="104"/>
      <c r="E69" s="104"/>
      <c r="F69" s="104"/>
      <c r="G69" s="105"/>
      <c r="H69" s="165"/>
      <c r="I69" s="104"/>
      <c r="J69" s="104"/>
      <c r="K69" s="105"/>
      <c r="L69" s="165"/>
      <c r="M69" s="104"/>
      <c r="N69" s="104"/>
      <c r="O69" s="105"/>
      <c r="P69" s="165"/>
      <c r="Q69" s="104"/>
      <c r="R69" s="104"/>
      <c r="S69" s="105"/>
      <c r="T69" s="165"/>
      <c r="U69" s="104"/>
      <c r="V69" s="104"/>
      <c r="W69" s="105"/>
      <c r="X69" s="165"/>
      <c r="Y69" s="104"/>
      <c r="Z69" s="104"/>
      <c r="AA69" s="105"/>
      <c r="AB69" s="165">
        <f t="shared" ref="AB69:BB69" si="97">AB66/X66-1</f>
        <v>1.5752093385015042E-2</v>
      </c>
      <c r="AC69" s="104">
        <f t="shared" si="97"/>
        <v>-3.5202696529490818E-2</v>
      </c>
      <c r="AD69" s="104">
        <f t="shared" si="97"/>
        <v>0.1296681636520951</v>
      </c>
      <c r="AE69" s="104">
        <f t="shared" si="97"/>
        <v>0.15875120312981394</v>
      </c>
      <c r="AF69" s="830">
        <f t="shared" si="97"/>
        <v>0.17560951066191621</v>
      </c>
      <c r="AG69" s="480">
        <f t="shared" si="97"/>
        <v>2.3584658388559276E-2</v>
      </c>
      <c r="AH69" s="480">
        <f t="shared" si="97"/>
        <v>5.8948341421398709E-2</v>
      </c>
      <c r="AI69" s="105">
        <f t="shared" si="97"/>
        <v>0.1729111979493827</v>
      </c>
      <c r="AJ69" s="830">
        <f t="shared" si="97"/>
        <v>9.5825007690352848E-2</v>
      </c>
      <c r="AK69" s="480">
        <f t="shared" si="97"/>
        <v>0.63956478211020529</v>
      </c>
      <c r="AL69" s="480">
        <f t="shared" si="97"/>
        <v>0.50197641200626908</v>
      </c>
      <c r="AM69" s="480">
        <f t="shared" si="97"/>
        <v>0.50907440717928831</v>
      </c>
      <c r="AN69" s="830">
        <f t="shared" si="97"/>
        <v>0.55809438211901474</v>
      </c>
      <c r="AO69" s="480">
        <f t="shared" si="97"/>
        <v>0.37070633300767053</v>
      </c>
      <c r="AP69" s="480">
        <f t="shared" si="97"/>
        <v>0.37667242877576368</v>
      </c>
      <c r="AQ69" s="480">
        <f t="shared" si="97"/>
        <v>0.26936294004205674</v>
      </c>
      <c r="AR69" s="830">
        <f t="shared" si="97"/>
        <v>0.4100148440590472</v>
      </c>
      <c r="AS69" s="480">
        <f t="shared" si="97"/>
        <v>0.27675680873098374</v>
      </c>
      <c r="AT69" s="480">
        <f t="shared" si="97"/>
        <v>0.25783008651302652</v>
      </c>
      <c r="AU69" s="1236">
        <f t="shared" si="97"/>
        <v>0.31895525305331351</v>
      </c>
      <c r="AV69" s="830">
        <f t="shared" si="97"/>
        <v>0.12277203960818461</v>
      </c>
      <c r="AW69" s="480">
        <f t="shared" si="97"/>
        <v>0.18332132867241557</v>
      </c>
      <c r="AX69" s="480">
        <f t="shared" si="97"/>
        <v>0.26227031626551334</v>
      </c>
      <c r="AY69" s="1236">
        <f t="shared" si="97"/>
        <v>0.11654516839007578</v>
      </c>
      <c r="AZ69" s="104">
        <f t="shared" si="97"/>
        <v>0.13937398912710486</v>
      </c>
      <c r="BA69" s="104">
        <f t="shared" si="97"/>
        <v>0.27240498247941525</v>
      </c>
      <c r="BB69" s="104">
        <f t="shared" si="97"/>
        <v>8.8716608274930664E-2</v>
      </c>
      <c r="BC69" s="105">
        <f t="shared" ref="BC69:BG69" si="98">BC66/AY66-1</f>
        <v>0.18270760996477153</v>
      </c>
      <c r="BD69" s="104">
        <f t="shared" si="98"/>
        <v>0.17202230030433796</v>
      </c>
      <c r="BE69" s="104">
        <f t="shared" si="98"/>
        <v>7.3304906068865527E-2</v>
      </c>
      <c r="BF69" s="104">
        <f t="shared" si="98"/>
        <v>0.19004599999999994</v>
      </c>
      <c r="BG69" s="105">
        <f t="shared" si="98"/>
        <v>9.7667999999999866E-2</v>
      </c>
      <c r="BH69" s="104">
        <f>BH66/BD66-1</f>
        <v>0.10922239999999994</v>
      </c>
      <c r="BI69" s="104">
        <f>BI66/BE66-1</f>
        <v>9.3223999999999752E-2</v>
      </c>
      <c r="BJ69" s="104">
        <f>BJ66/BF66-1</f>
        <v>9.3223999999999974E-2</v>
      </c>
      <c r="BK69" s="105">
        <f>BK66/BG66-1</f>
        <v>0.10404800000000014</v>
      </c>
      <c r="BL69" s="20"/>
      <c r="BM69" s="415"/>
      <c r="BN69" s="480"/>
      <c r="BO69" s="415"/>
      <c r="BP69" s="415"/>
      <c r="BQ69" s="415"/>
      <c r="BR69" s="415"/>
      <c r="BS69" s="415">
        <f t="shared" ref="BS69:BZ69" si="99">BS66/BR66-1</f>
        <v>6.7313368180198507E-2</v>
      </c>
      <c r="BT69" s="415">
        <f t="shared" si="99"/>
        <v>0.11049338049584279</v>
      </c>
      <c r="BU69" s="415">
        <f t="shared" si="99"/>
        <v>0.42882811359982731</v>
      </c>
      <c r="BV69" s="415">
        <f t="shared" si="99"/>
        <v>0.37782821402841749</v>
      </c>
      <c r="BW69" s="415">
        <f t="shared" si="99"/>
        <v>0.3132524210080363</v>
      </c>
      <c r="BX69" s="415">
        <f t="shared" si="99"/>
        <v>0.16964649914539254</v>
      </c>
      <c r="BY69" s="415">
        <f t="shared" si="99"/>
        <v>0.16835187764921722</v>
      </c>
      <c r="BZ69" s="415">
        <f t="shared" si="99"/>
        <v>0.13120112299298192</v>
      </c>
      <c r="CA69" s="1455">
        <f>CA66/BZ66-1</f>
        <v>9.9792792876500114E-2</v>
      </c>
      <c r="CB69" s="1494"/>
      <c r="CC69" s="1446"/>
      <c r="CD69" s="1446"/>
      <c r="CE69" s="1446"/>
      <c r="CF69" s="260"/>
      <c r="CG69" s="22"/>
      <c r="CH69" s="14"/>
      <c r="CI69" s="415"/>
      <c r="CJ69" s="415"/>
      <c r="CK69" s="415"/>
      <c r="CL69" s="415">
        <f t="shared" ref="CL69:CS69" si="100">+CL66/CK66-1</f>
        <v>0.12345251840282989</v>
      </c>
      <c r="CM69" s="415">
        <f t="shared" si="100"/>
        <v>0.22598435188917843</v>
      </c>
      <c r="CN69" s="415">
        <f t="shared" si="100"/>
        <v>0.47888651061656873</v>
      </c>
      <c r="CO69" s="415">
        <f t="shared" si="100"/>
        <v>0.33053615940794856</v>
      </c>
      <c r="CP69" s="415">
        <f t="shared" si="100"/>
        <v>0.21692019096481219</v>
      </c>
      <c r="CQ69" s="415">
        <f t="shared" si="100"/>
        <v>0.19560149721274911</v>
      </c>
      <c r="CR69" s="415">
        <f t="shared" si="100"/>
        <v>0.12760160345428173</v>
      </c>
      <c r="CS69" s="414">
        <f t="shared" si="100"/>
        <v>0.12128362272741255</v>
      </c>
      <c r="CT69" s="1381"/>
    </row>
    <row r="70" spans="1:256" s="8" customFormat="1" ht="14.25" customHeight="1">
      <c r="A70" s="538"/>
      <c r="B70" s="267" t="s">
        <v>519</v>
      </c>
      <c r="C70" s="268"/>
      <c r="D70" s="104"/>
      <c r="E70" s="104"/>
      <c r="F70" s="104"/>
      <c r="G70" s="105"/>
      <c r="H70" s="104"/>
      <c r="I70" s="104"/>
      <c r="J70" s="104"/>
      <c r="K70" s="105"/>
      <c r="L70" s="104"/>
      <c r="M70" s="104"/>
      <c r="N70" s="104"/>
      <c r="O70" s="105"/>
      <c r="P70" s="104"/>
      <c r="Q70" s="104"/>
      <c r="R70" s="104"/>
      <c r="S70" s="105"/>
      <c r="T70" s="104"/>
      <c r="U70" s="104"/>
      <c r="V70" s="104"/>
      <c r="W70" s="105"/>
      <c r="X70" s="104">
        <f t="shared" ref="X70:AL70" si="101">X66/X100</f>
        <v>0.05</v>
      </c>
      <c r="Y70" s="104">
        <f t="shared" si="101"/>
        <v>0.05</v>
      </c>
      <c r="Z70" s="104">
        <f t="shared" si="101"/>
        <v>0.05</v>
      </c>
      <c r="AA70" s="105">
        <f t="shared" si="101"/>
        <v>0.05</v>
      </c>
      <c r="AB70" s="104">
        <f t="shared" si="101"/>
        <v>4.9999999999999996E-2</v>
      </c>
      <c r="AC70" s="104">
        <f t="shared" si="101"/>
        <v>0.05</v>
      </c>
      <c r="AD70" s="104">
        <f t="shared" si="101"/>
        <v>0.06</v>
      </c>
      <c r="AE70" s="104">
        <f t="shared" si="101"/>
        <v>0.06</v>
      </c>
      <c r="AF70" s="830">
        <f t="shared" si="101"/>
        <v>0.06</v>
      </c>
      <c r="AG70" s="480">
        <f t="shared" si="101"/>
        <v>0.05</v>
      </c>
      <c r="AH70" s="480">
        <f t="shared" si="101"/>
        <v>0.06</v>
      </c>
      <c r="AI70" s="105">
        <f t="shared" si="101"/>
        <v>6.9999999999999993E-2</v>
      </c>
      <c r="AJ70" s="830">
        <f t="shared" si="101"/>
        <v>7.0000000000000007E-2</v>
      </c>
      <c r="AK70" s="480">
        <f t="shared" si="101"/>
        <v>0.08</v>
      </c>
      <c r="AL70" s="480">
        <f t="shared" si="101"/>
        <v>0.09</v>
      </c>
      <c r="AM70" s="480">
        <f t="shared" ref="AM70:AR70" si="102">AM66/AM100</f>
        <v>0.1</v>
      </c>
      <c r="AN70" s="830">
        <f t="shared" si="102"/>
        <v>0.11</v>
      </c>
      <c r="AO70" s="480">
        <f t="shared" si="102"/>
        <v>0.12</v>
      </c>
      <c r="AP70" s="480">
        <f t="shared" si="102"/>
        <v>0.12999999999999998</v>
      </c>
      <c r="AQ70" s="480">
        <f t="shared" si="102"/>
        <v>0.14000000000000001</v>
      </c>
      <c r="AR70" s="830">
        <f t="shared" si="102"/>
        <v>0.16</v>
      </c>
      <c r="AS70" s="480">
        <f t="shared" ref="AS70:AX70" si="103">AS66/AS100</f>
        <v>0.17000000000000004</v>
      </c>
      <c r="AT70" s="480">
        <f t="shared" si="103"/>
        <v>0.17</v>
      </c>
      <c r="AU70" s="1236">
        <f t="shared" si="103"/>
        <v>0.19</v>
      </c>
      <c r="AV70" s="830">
        <f t="shared" si="103"/>
        <v>0.18</v>
      </c>
      <c r="AW70" s="480">
        <f t="shared" si="103"/>
        <v>0.1865</v>
      </c>
      <c r="AX70" s="480">
        <f t="shared" si="103"/>
        <v>0.20499999999999999</v>
      </c>
      <c r="AY70" s="1236">
        <f>AY66/AY100</f>
        <v>0.19950000000000004</v>
      </c>
      <c r="AZ70" s="104">
        <f>AZ66/AZ100</f>
        <v>0.2</v>
      </c>
      <c r="BA70" s="104">
        <f>BA66/BA100</f>
        <v>0.20999999999999996</v>
      </c>
      <c r="BB70" s="104">
        <f>BB66/BB100</f>
        <v>0.19999999999999998</v>
      </c>
      <c r="BC70" s="105">
        <f>BC66/IS!BC10</f>
        <v>0.22550584358749939</v>
      </c>
      <c r="BD70" s="104">
        <f>BD66/IS!BD10</f>
        <v>0.21962975943653171</v>
      </c>
      <c r="BE70" s="104">
        <f>BE66/IS!BE10</f>
        <v>0.22798795435613128</v>
      </c>
      <c r="BF70" s="104">
        <f>BF66/IS!BF10</f>
        <v>0.23832714022608778</v>
      </c>
      <c r="BG70" s="105">
        <f>BG66/IS!BG10</f>
        <v>0.23819144116308305</v>
      </c>
      <c r="BH70" s="104">
        <f>BH66/IS!BH10</f>
        <v>0.23239284197572846</v>
      </c>
      <c r="BI70" s="104">
        <f>BI66/IS!BI10</f>
        <v>0.23838576880720133</v>
      </c>
      <c r="BJ70" s="104">
        <f>BJ66/IS!BJ10</f>
        <v>0.2519746852746037</v>
      </c>
      <c r="BK70" s="105">
        <f>BK66/IS!BK10</f>
        <v>0.25035804307764287</v>
      </c>
      <c r="BL70" s="20"/>
      <c r="BM70" s="480"/>
      <c r="BN70" s="415"/>
      <c r="BO70" s="415"/>
      <c r="BP70" s="415"/>
      <c r="BQ70" s="415"/>
      <c r="BR70" s="415">
        <f t="shared" ref="BR70:BW70" si="104">BR66/BR100</f>
        <v>5.000000000000001E-2</v>
      </c>
      <c r="BS70" s="415">
        <f t="shared" si="104"/>
        <v>5.4893504509410954E-2</v>
      </c>
      <c r="BT70" s="415">
        <f t="shared" si="104"/>
        <v>6.0011828992418047E-2</v>
      </c>
      <c r="BU70" s="415">
        <f t="shared" si="104"/>
        <v>8.5320103045935805E-2</v>
      </c>
      <c r="BV70" s="415">
        <f t="shared" si="104"/>
        <v>0.12503723669882577</v>
      </c>
      <c r="BW70" s="415">
        <f t="shared" si="104"/>
        <v>0.17259596786650136</v>
      </c>
      <c r="BX70" s="415">
        <f>BX66/BX100</f>
        <v>0.19300348033097883</v>
      </c>
      <c r="BY70" s="415">
        <f>BY66/BY100</f>
        <v>0.2090003944447579</v>
      </c>
      <c r="BZ70" s="415">
        <f>BZ66/BZ100</f>
        <v>0.23124225725823108</v>
      </c>
      <c r="CA70" s="105">
        <f>CA66/CA100</f>
        <v>0.24347962028085815</v>
      </c>
      <c r="CB70" s="830"/>
      <c r="CC70" s="480"/>
      <c r="CD70" s="480"/>
      <c r="CE70" s="480"/>
      <c r="CF70" s="260"/>
      <c r="CG70" s="22"/>
      <c r="CH70" s="14"/>
      <c r="CI70" s="14"/>
      <c r="CJ70" s="14"/>
      <c r="CK70" s="862">
        <f t="shared" ref="CK70:CP70" si="105">CK66/CK$110</f>
        <v>0.05</v>
      </c>
      <c r="CL70" s="862">
        <f t="shared" si="105"/>
        <v>5.748266306904122E-2</v>
      </c>
      <c r="CM70" s="862">
        <f t="shared" si="105"/>
        <v>7.0063632037304341E-2</v>
      </c>
      <c r="CN70" s="862">
        <f t="shared" si="105"/>
        <v>0.10462674179369681</v>
      </c>
      <c r="CO70" s="862">
        <f t="shared" si="105"/>
        <v>0.14931543790058846</v>
      </c>
      <c r="CP70" s="862">
        <f t="shared" si="105"/>
        <v>0.18165201596223787</v>
      </c>
      <c r="CQ70" s="862">
        <f>CQ66/CQ$110</f>
        <v>0.20370830208596646</v>
      </c>
      <c r="CR70" s="862">
        <f>CR66/CR$110</f>
        <v>0.21808072486259739</v>
      </c>
      <c r="CS70" s="864">
        <f>CS66/CS$110</f>
        <v>0.23683166426504829</v>
      </c>
      <c r="CT70" s="1381"/>
    </row>
    <row r="71" spans="1:256" s="8" customFormat="1" ht="14.25" customHeight="1">
      <c r="A71" s="538"/>
      <c r="B71" s="1399" t="s">
        <v>626</v>
      </c>
      <c r="C71" s="1400"/>
      <c r="D71" s="1401"/>
      <c r="E71" s="1402"/>
      <c r="F71" s="1402"/>
      <c r="G71" s="1403"/>
      <c r="H71" s="1401"/>
      <c r="I71" s="1402"/>
      <c r="J71" s="1402"/>
      <c r="K71" s="1403"/>
      <c r="L71" s="1401"/>
      <c r="M71" s="1402"/>
      <c r="N71" s="1402"/>
      <c r="O71" s="1403"/>
      <c r="P71" s="1401"/>
      <c r="Q71" s="1402"/>
      <c r="R71" s="1402"/>
      <c r="S71" s="1403"/>
      <c r="T71" s="1401"/>
      <c r="U71" s="1402"/>
      <c r="V71" s="1402"/>
      <c r="W71" s="1403"/>
      <c r="X71" s="1401"/>
      <c r="Y71" s="1402"/>
      <c r="Z71" s="1402"/>
      <c r="AA71" s="1403"/>
      <c r="AB71" s="1401"/>
      <c r="AC71" s="1402"/>
      <c r="AD71" s="1402"/>
      <c r="AE71" s="1402"/>
      <c r="AF71" s="1404"/>
      <c r="AG71" s="1405"/>
      <c r="AH71" s="1405"/>
      <c r="AI71" s="1403"/>
      <c r="AJ71" s="1404"/>
      <c r="AK71" s="1405"/>
      <c r="AL71" s="1405"/>
      <c r="AM71" s="1405"/>
      <c r="AN71" s="1404"/>
      <c r="AO71" s="1405"/>
      <c r="AP71" s="1405"/>
      <c r="AQ71" s="1405"/>
      <c r="AR71" s="1404"/>
      <c r="AS71" s="1405"/>
      <c r="AT71" s="1405"/>
      <c r="AU71" s="1406"/>
      <c r="AV71" s="1404"/>
      <c r="AW71" s="1405"/>
      <c r="AX71" s="1405"/>
      <c r="AY71" s="1407">
        <f>AY66-AY74</f>
        <v>119.1499975</v>
      </c>
      <c r="AZ71" s="1408">
        <f>AZ66-AZ74</f>
        <v>115.13520000000001</v>
      </c>
      <c r="BA71" s="1409">
        <f>BA66-BA74</f>
        <v>123.75376999999997</v>
      </c>
      <c r="BB71" s="1409">
        <f>BB66-BB74</f>
        <v>129.71980000000002</v>
      </c>
      <c r="BC71" s="1407">
        <f t="shared" ref="BC71:BG71" si="106">BB71*(1+BC72)</f>
        <v>142.04318100000003</v>
      </c>
      <c r="BD71" s="1408">
        <f t="shared" si="106"/>
        <v>134.94102195000002</v>
      </c>
      <c r="BE71" s="1409">
        <f t="shared" si="106"/>
        <v>140.33866282800003</v>
      </c>
      <c r="BF71" s="1409">
        <f t="shared" si="106"/>
        <v>154.37252911080003</v>
      </c>
      <c r="BG71" s="1407">
        <f t="shared" si="106"/>
        <v>155.91625440190802</v>
      </c>
      <c r="BH71" s="1408">
        <f>BG71*(1+BH72)</f>
        <v>149.6796042258317</v>
      </c>
      <c r="BI71" s="1409">
        <f>BH71*(1+BI72)</f>
        <v>153.42159433147748</v>
      </c>
      <c r="BJ71" s="1409">
        <f>BI71*(1+BJ72)</f>
        <v>168.76375376462525</v>
      </c>
      <c r="BK71" s="1407">
        <f>BJ71*(1+BK72)</f>
        <v>172.13902883991776</v>
      </c>
      <c r="BL71" s="20"/>
      <c r="BM71" s="480"/>
      <c r="BN71" s="415"/>
      <c r="BO71" s="415"/>
      <c r="BP71" s="415"/>
      <c r="BQ71" s="415"/>
      <c r="BR71" s="415"/>
      <c r="BS71" s="415"/>
      <c r="BT71" s="415"/>
      <c r="BU71" s="415"/>
      <c r="BV71" s="415"/>
      <c r="BW71" s="415"/>
      <c r="BX71" s="415"/>
      <c r="BY71" s="415"/>
      <c r="BZ71" s="415"/>
      <c r="CA71" s="105"/>
      <c r="CB71" s="830"/>
      <c r="CC71" s="480"/>
      <c r="CD71" s="480"/>
      <c r="CE71" s="480"/>
      <c r="CF71" s="260"/>
      <c r="CG71" s="22"/>
      <c r="CH71" s="14"/>
      <c r="CI71" s="14"/>
      <c r="CJ71" s="14"/>
      <c r="CK71" s="862"/>
      <c r="CL71" s="862"/>
      <c r="CM71" s="862"/>
      <c r="CN71" s="862"/>
      <c r="CO71" s="862"/>
      <c r="CP71" s="862"/>
      <c r="CQ71" s="862"/>
      <c r="CR71" s="862"/>
      <c r="CS71" s="864"/>
      <c r="CT71" s="1381"/>
    </row>
    <row r="72" spans="1:256" s="8" customFormat="1" ht="14.25" customHeight="1">
      <c r="A72" s="538"/>
      <c r="B72" s="1410" t="s">
        <v>517</v>
      </c>
      <c r="C72" s="1400"/>
      <c r="D72" s="1401"/>
      <c r="E72" s="1402"/>
      <c r="F72" s="1402"/>
      <c r="G72" s="1403"/>
      <c r="H72" s="1401"/>
      <c r="I72" s="1402"/>
      <c r="J72" s="1402"/>
      <c r="K72" s="1403"/>
      <c r="L72" s="1401"/>
      <c r="M72" s="1402"/>
      <c r="N72" s="1402"/>
      <c r="O72" s="1403"/>
      <c r="P72" s="1401"/>
      <c r="Q72" s="1402"/>
      <c r="R72" s="1402"/>
      <c r="S72" s="1403"/>
      <c r="T72" s="1401"/>
      <c r="U72" s="1402"/>
      <c r="V72" s="1402"/>
      <c r="W72" s="1403"/>
      <c r="X72" s="1401"/>
      <c r="Y72" s="1402"/>
      <c r="Z72" s="1402"/>
      <c r="AA72" s="1403"/>
      <c r="AB72" s="1401"/>
      <c r="AC72" s="1402"/>
      <c r="AD72" s="1402"/>
      <c r="AE72" s="1402"/>
      <c r="AF72" s="1404"/>
      <c r="AG72" s="1405"/>
      <c r="AH72" s="1405"/>
      <c r="AI72" s="1403"/>
      <c r="AJ72" s="1404"/>
      <c r="AK72" s="1405"/>
      <c r="AL72" s="1405"/>
      <c r="AM72" s="1405"/>
      <c r="AN72" s="1404"/>
      <c r="AO72" s="1405"/>
      <c r="AP72" s="1405"/>
      <c r="AQ72" s="1405"/>
      <c r="AR72" s="1404"/>
      <c r="AS72" s="1405"/>
      <c r="AT72" s="1405"/>
      <c r="AU72" s="1406"/>
      <c r="AV72" s="1404"/>
      <c r="AW72" s="1405"/>
      <c r="AX72" s="1405"/>
      <c r="AY72" s="1406">
        <f>AY71/AX66-1</f>
        <v>6.0218576227732967E-6</v>
      </c>
      <c r="AZ72" s="1462">
        <f>AZ71/AY66-1</f>
        <v>-4.1338864307636558E-2</v>
      </c>
      <c r="BA72" s="1504">
        <f>BA71/AZ66-1</f>
        <v>7.4856082240704502E-2</v>
      </c>
      <c r="BB72" s="1504">
        <f>BB71/BA66-1</f>
        <v>-7.9077643420908394E-3</v>
      </c>
      <c r="BC72" s="1413">
        <v>9.5000000000000001E-2</v>
      </c>
      <c r="BD72" s="1411">
        <v>-0.05</v>
      </c>
      <c r="BE72" s="1412">
        <v>0.04</v>
      </c>
      <c r="BF72" s="1412">
        <v>0.1</v>
      </c>
      <c r="BG72" s="1413">
        <v>0.01</v>
      </c>
      <c r="BH72" s="1411">
        <v>-0.04</v>
      </c>
      <c r="BI72" s="1412">
        <v>2.5000000000000001E-2</v>
      </c>
      <c r="BJ72" s="1412">
        <v>0.1</v>
      </c>
      <c r="BK72" s="1413">
        <v>0.02</v>
      </c>
      <c r="BL72" s="20"/>
      <c r="BM72" s="480"/>
      <c r="BN72" s="415"/>
      <c r="BO72" s="415"/>
      <c r="BP72" s="415"/>
      <c r="BQ72" s="415"/>
      <c r="BR72" s="415"/>
      <c r="BS72" s="415"/>
      <c r="BT72" s="415"/>
      <c r="BU72" s="415"/>
      <c r="BV72" s="415"/>
      <c r="BW72" s="415"/>
      <c r="BX72" s="415"/>
      <c r="BY72" s="415"/>
      <c r="BZ72" s="415"/>
      <c r="CA72" s="105"/>
      <c r="CB72" s="830"/>
      <c r="CC72" s="480"/>
      <c r="CD72" s="480"/>
      <c r="CE72" s="480"/>
      <c r="CF72" s="260"/>
      <c r="CG72" s="22"/>
      <c r="CH72" s="14"/>
      <c r="CI72" s="14"/>
      <c r="CJ72" s="14"/>
      <c r="CK72" s="862"/>
      <c r="CL72" s="862"/>
      <c r="CM72" s="862"/>
      <c r="CN72" s="862"/>
      <c r="CO72" s="862"/>
      <c r="CP72" s="862"/>
      <c r="CQ72" s="862"/>
      <c r="CR72" s="862"/>
      <c r="CS72" s="864"/>
      <c r="CT72" s="1381"/>
    </row>
    <row r="73" spans="1:256" s="8" customFormat="1" ht="14.25" customHeight="1">
      <c r="A73" s="538"/>
      <c r="B73" s="1410" t="s">
        <v>518</v>
      </c>
      <c r="C73" s="1400"/>
      <c r="D73" s="1401"/>
      <c r="E73" s="1402"/>
      <c r="F73" s="1402"/>
      <c r="G73" s="1403"/>
      <c r="H73" s="1401"/>
      <c r="I73" s="1402"/>
      <c r="J73" s="1402"/>
      <c r="K73" s="1403"/>
      <c r="L73" s="1401"/>
      <c r="M73" s="1402"/>
      <c r="N73" s="1402"/>
      <c r="O73" s="1403"/>
      <c r="P73" s="1401"/>
      <c r="Q73" s="1402"/>
      <c r="R73" s="1402"/>
      <c r="S73" s="1403"/>
      <c r="T73" s="1401"/>
      <c r="U73" s="1402"/>
      <c r="V73" s="1402"/>
      <c r="W73" s="1403"/>
      <c r="X73" s="1401"/>
      <c r="Y73" s="1402"/>
      <c r="Z73" s="1402"/>
      <c r="AA73" s="1403"/>
      <c r="AB73" s="1401"/>
      <c r="AC73" s="1402"/>
      <c r="AD73" s="1402"/>
      <c r="AE73" s="1402"/>
      <c r="AF73" s="1404"/>
      <c r="AG73" s="1405"/>
      <c r="AH73" s="1405"/>
      <c r="AI73" s="1403"/>
      <c r="AJ73" s="1404"/>
      <c r="AK73" s="1405"/>
      <c r="AL73" s="1405"/>
      <c r="AM73" s="1405"/>
      <c r="AN73" s="1404"/>
      <c r="AO73" s="1405"/>
      <c r="AP73" s="1405"/>
      <c r="AQ73" s="1405"/>
      <c r="AR73" s="1404"/>
      <c r="AS73" s="1405"/>
      <c r="AT73" s="1405"/>
      <c r="AU73" s="1406"/>
      <c r="AV73" s="1404"/>
      <c r="AW73" s="1405"/>
      <c r="AX73" s="1405"/>
      <c r="AY73" s="1406">
        <f>AY71/AU66-1</f>
        <v>0.1077132122531026</v>
      </c>
      <c r="AZ73" s="1404">
        <f>AZ71/AV66-1</f>
        <v>0.13937398912710486</v>
      </c>
      <c r="BA73" s="1405">
        <f>BA71/AW66-1</f>
        <v>0.20428583855449522</v>
      </c>
      <c r="BB73" s="1405">
        <f>BB71/AX66-1</f>
        <v>8.8716608274930664E-2</v>
      </c>
      <c r="BC73" s="1403">
        <f t="shared" ref="BC73:BK73" si="107">BC71/AY71-1</f>
        <v>0.19213750717871436</v>
      </c>
      <c r="BD73" s="1404">
        <f t="shared" si="107"/>
        <v>0.17202230030433796</v>
      </c>
      <c r="BE73" s="1405">
        <f t="shared" si="107"/>
        <v>0.13401525325652752</v>
      </c>
      <c r="BF73" s="1405">
        <f t="shared" si="107"/>
        <v>0.19004599999999994</v>
      </c>
      <c r="BG73" s="1403">
        <f t="shared" si="107"/>
        <v>9.7667999999999866E-2</v>
      </c>
      <c r="BH73" s="1404">
        <f t="shared" si="107"/>
        <v>0.10922239999999994</v>
      </c>
      <c r="BI73" s="1405">
        <f t="shared" si="107"/>
        <v>9.3223999999999752E-2</v>
      </c>
      <c r="BJ73" s="1405">
        <f t="shared" si="107"/>
        <v>9.3223999999999974E-2</v>
      </c>
      <c r="BK73" s="1403">
        <f t="shared" si="107"/>
        <v>0.10404800000000014</v>
      </c>
      <c r="BL73" s="20"/>
      <c r="BM73" s="480"/>
      <c r="BN73" s="415"/>
      <c r="BO73" s="415"/>
      <c r="BP73" s="415"/>
      <c r="BQ73" s="415"/>
      <c r="BR73" s="415"/>
      <c r="BS73" s="415"/>
      <c r="BT73" s="415"/>
      <c r="BU73" s="415"/>
      <c r="BV73" s="415"/>
      <c r="BW73" s="415"/>
      <c r="BX73" s="415"/>
      <c r="BY73" s="415"/>
      <c r="BZ73" s="415"/>
      <c r="CA73" s="105"/>
      <c r="CB73" s="830"/>
      <c r="CC73" s="480"/>
      <c r="CD73" s="480"/>
      <c r="CE73" s="480"/>
      <c r="CF73" s="260"/>
      <c r="CG73" s="22"/>
      <c r="CH73" s="14"/>
      <c r="CI73" s="14"/>
      <c r="CJ73" s="14"/>
      <c r="CK73" s="862"/>
      <c r="CL73" s="862"/>
      <c r="CM73" s="862"/>
      <c r="CN73" s="862"/>
      <c r="CO73" s="862"/>
      <c r="CP73" s="862"/>
      <c r="CQ73" s="862"/>
      <c r="CR73" s="862"/>
      <c r="CS73" s="864"/>
      <c r="CT73" s="1381"/>
    </row>
    <row r="74" spans="1:256" s="8" customFormat="1" ht="14.25" customHeight="1">
      <c r="A74" s="538"/>
      <c r="B74" s="1399" t="s">
        <v>646</v>
      </c>
      <c r="C74" s="1400"/>
      <c r="D74" s="1401"/>
      <c r="E74" s="1402"/>
      <c r="F74" s="1402"/>
      <c r="G74" s="1403"/>
      <c r="H74" s="1401"/>
      <c r="I74" s="1402"/>
      <c r="J74" s="1402"/>
      <c r="K74" s="1403"/>
      <c r="L74" s="1401"/>
      <c r="M74" s="1402"/>
      <c r="N74" s="1402"/>
      <c r="O74" s="1403"/>
      <c r="P74" s="1401"/>
      <c r="Q74" s="1402"/>
      <c r="R74" s="1402"/>
      <c r="S74" s="1403"/>
      <c r="T74" s="1401"/>
      <c r="U74" s="1402"/>
      <c r="V74" s="1402"/>
      <c r="W74" s="1403"/>
      <c r="X74" s="1401"/>
      <c r="Y74" s="1402"/>
      <c r="Z74" s="1402"/>
      <c r="AA74" s="1403"/>
      <c r="AB74" s="1401"/>
      <c r="AC74" s="1402"/>
      <c r="AD74" s="1402"/>
      <c r="AE74" s="1402"/>
      <c r="AF74" s="1404"/>
      <c r="AG74" s="1405"/>
      <c r="AH74" s="1405"/>
      <c r="AI74" s="1403"/>
      <c r="AJ74" s="1404"/>
      <c r="AK74" s="1405"/>
      <c r="AL74" s="1405"/>
      <c r="AM74" s="1405"/>
      <c r="AN74" s="1404"/>
      <c r="AO74" s="1405"/>
      <c r="AP74" s="1405"/>
      <c r="AQ74" s="1405"/>
      <c r="AR74" s="1404"/>
      <c r="AS74" s="1405"/>
      <c r="AT74" s="1405"/>
      <c r="AU74" s="1406"/>
      <c r="AV74" s="1404"/>
      <c r="AW74" s="1405"/>
      <c r="AX74" s="1405"/>
      <c r="AY74" s="1407">
        <f>AY311</f>
        <v>0.95000000000000007</v>
      </c>
      <c r="AZ74" s="1414">
        <f t="shared" ref="AZ74:BK74" si="108">AZ311</f>
        <v>0</v>
      </c>
      <c r="BA74" s="1414">
        <f>BA311</f>
        <v>7</v>
      </c>
      <c r="BB74" s="1414">
        <f>BB311</f>
        <v>0</v>
      </c>
      <c r="BC74" s="1407">
        <f t="shared" si="108"/>
        <v>0</v>
      </c>
      <c r="BD74" s="1414">
        <f t="shared" si="108"/>
        <v>0</v>
      </c>
      <c r="BE74" s="1409">
        <f t="shared" si="108"/>
        <v>0</v>
      </c>
      <c r="BF74" s="1409">
        <f t="shared" si="108"/>
        <v>0</v>
      </c>
      <c r="BG74" s="1407">
        <f t="shared" si="108"/>
        <v>0</v>
      </c>
      <c r="BH74" s="1414">
        <f t="shared" si="108"/>
        <v>0</v>
      </c>
      <c r="BI74" s="1409">
        <f t="shared" si="108"/>
        <v>0</v>
      </c>
      <c r="BJ74" s="1409">
        <f t="shared" si="108"/>
        <v>0</v>
      </c>
      <c r="BK74" s="1407">
        <f t="shared" si="108"/>
        <v>0</v>
      </c>
      <c r="BL74" s="20"/>
      <c r="BM74" s="480"/>
      <c r="BN74" s="415"/>
      <c r="BO74" s="415"/>
      <c r="BP74" s="415"/>
      <c r="BQ74" s="415"/>
      <c r="BR74" s="415"/>
      <c r="BS74" s="415"/>
      <c r="BT74" s="415"/>
      <c r="BU74" s="415"/>
      <c r="BV74" s="415"/>
      <c r="BW74" s="415"/>
      <c r="BX74" s="415"/>
      <c r="BY74" s="415"/>
      <c r="BZ74" s="415"/>
      <c r="CA74" s="105"/>
      <c r="CB74" s="830"/>
      <c r="CC74" s="480"/>
      <c r="CD74" s="480"/>
      <c r="CE74" s="480"/>
      <c r="CF74" s="260"/>
      <c r="CG74" s="22"/>
      <c r="CH74" s="14"/>
      <c r="CI74" s="14"/>
      <c r="CJ74" s="14"/>
      <c r="CK74" s="862"/>
      <c r="CL74" s="862"/>
      <c r="CM74" s="862"/>
      <c r="CN74" s="862"/>
      <c r="CO74" s="862"/>
      <c r="CP74" s="862"/>
      <c r="CQ74" s="862"/>
      <c r="CR74" s="862"/>
      <c r="CS74" s="864"/>
      <c r="CT74" s="1381"/>
    </row>
    <row r="75" spans="1:256" s="8" customFormat="1" ht="14.25" hidden="1" customHeight="1" outlineLevel="1">
      <c r="A75" s="538"/>
      <c r="B75" s="704" t="s">
        <v>102</v>
      </c>
      <c r="C75" s="705"/>
      <c r="D75" s="706"/>
      <c r="E75" s="707"/>
      <c r="F75" s="707"/>
      <c r="G75" s="708"/>
      <c r="H75" s="706"/>
      <c r="I75" s="707"/>
      <c r="J75" s="707"/>
      <c r="K75" s="708"/>
      <c r="L75" s="706"/>
      <c r="M75" s="707"/>
      <c r="N75" s="707"/>
      <c r="O75" s="708"/>
      <c r="P75" s="706"/>
      <c r="Q75" s="707"/>
      <c r="R75" s="707"/>
      <c r="S75" s="708"/>
      <c r="T75" s="706"/>
      <c r="U75" s="707"/>
      <c r="V75" s="707"/>
      <c r="W75" s="708"/>
      <c r="X75" s="706"/>
      <c r="Y75" s="707">
        <f>0.12*0.3*Y114</f>
        <v>0</v>
      </c>
      <c r="Z75" s="707"/>
      <c r="AA75" s="708">
        <f>0.12*0.33*AA149</f>
        <v>3.9600000000000003E-2</v>
      </c>
      <c r="AB75" s="104"/>
      <c r="AC75" s="104"/>
      <c r="AD75" s="104"/>
      <c r="AE75" s="104"/>
      <c r="AF75" s="830"/>
      <c r="AG75" s="480"/>
      <c r="AH75" s="480"/>
      <c r="AI75" s="105"/>
      <c r="AJ75" s="830"/>
      <c r="AK75" s="104"/>
      <c r="AL75" s="104"/>
      <c r="AM75" s="105"/>
      <c r="AN75" s="165"/>
      <c r="AO75" s="104"/>
      <c r="AP75" s="104"/>
      <c r="AQ75" s="105"/>
      <c r="AR75" s="165"/>
      <c r="AS75" s="104"/>
      <c r="AT75" s="104"/>
      <c r="AU75" s="105"/>
      <c r="AV75" s="165"/>
      <c r="AW75" s="104"/>
      <c r="AX75" s="104"/>
      <c r="AY75" s="105"/>
      <c r="AZ75" s="104"/>
      <c r="BA75" s="104"/>
      <c r="BB75" s="104"/>
      <c r="BC75" s="105"/>
      <c r="BD75" s="104"/>
      <c r="BE75" s="104"/>
      <c r="BF75" s="104"/>
      <c r="BG75" s="105"/>
      <c r="BH75" s="104"/>
      <c r="BI75" s="104"/>
      <c r="BJ75" s="104"/>
      <c r="BK75" s="105"/>
      <c r="BL75" s="20"/>
      <c r="BM75" s="480"/>
      <c r="BN75" s="415"/>
      <c r="BO75" s="415"/>
      <c r="BP75" s="415"/>
      <c r="BQ75" s="415"/>
      <c r="BR75" s="415"/>
      <c r="BS75" s="415"/>
      <c r="BT75" s="415"/>
      <c r="BU75" s="415"/>
      <c r="BV75" s="415"/>
      <c r="BW75" s="415"/>
      <c r="BX75" s="415"/>
      <c r="BY75" s="415"/>
      <c r="BZ75" s="415"/>
      <c r="CA75" s="105"/>
      <c r="CB75" s="830"/>
      <c r="CC75" s="480"/>
      <c r="CD75" s="480"/>
      <c r="CE75" s="480"/>
      <c r="CF75" s="260"/>
      <c r="CG75" s="22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260"/>
      <c r="CT75" s="1381"/>
    </row>
    <row r="76" spans="1:256" s="8" customFormat="1" ht="14.25" hidden="1" customHeight="1" outlineLevel="2">
      <c r="A76" s="538"/>
      <c r="B76" s="704" t="s">
        <v>103</v>
      </c>
      <c r="C76" s="705"/>
      <c r="D76" s="706"/>
      <c r="E76" s="707"/>
      <c r="F76" s="707"/>
      <c r="G76" s="708"/>
      <c r="H76" s="706"/>
      <c r="I76" s="707"/>
      <c r="J76" s="707"/>
      <c r="K76" s="708"/>
      <c r="L76" s="706"/>
      <c r="M76" s="707"/>
      <c r="N76" s="707"/>
      <c r="O76" s="708"/>
      <c r="P76" s="706"/>
      <c r="Q76" s="707"/>
      <c r="R76" s="707"/>
      <c r="S76" s="708"/>
      <c r="T76" s="706"/>
      <c r="U76" s="707"/>
      <c r="V76" s="707"/>
      <c r="W76" s="708"/>
      <c r="X76" s="706"/>
      <c r="Y76" s="707">
        <f>Y66-Y75</f>
        <v>30.646800000000002</v>
      </c>
      <c r="Z76" s="707"/>
      <c r="AA76" s="708">
        <f>AA66-AA75</f>
        <v>31.284949999999984</v>
      </c>
      <c r="AB76" s="104"/>
      <c r="AC76" s="104"/>
      <c r="AD76" s="104"/>
      <c r="AE76" s="104"/>
      <c r="AF76" s="830"/>
      <c r="AG76" s="480"/>
      <c r="AH76" s="480"/>
      <c r="AI76" s="105"/>
      <c r="AJ76" s="830"/>
      <c r="AK76" s="104"/>
      <c r="AL76" s="104"/>
      <c r="AM76" s="105"/>
      <c r="AN76" s="165"/>
      <c r="AO76" s="104"/>
      <c r="AP76" s="104"/>
      <c r="AQ76" s="105"/>
      <c r="AR76" s="165"/>
      <c r="AS76" s="104"/>
      <c r="AT76" s="104"/>
      <c r="AU76" s="105"/>
      <c r="AV76" s="165"/>
      <c r="AW76" s="104"/>
      <c r="AX76" s="104"/>
      <c r="AY76" s="105"/>
      <c r="AZ76" s="104"/>
      <c r="BA76" s="104"/>
      <c r="BB76" s="104"/>
      <c r="BC76" s="105"/>
      <c r="BD76" s="104"/>
      <c r="BE76" s="104"/>
      <c r="BF76" s="104"/>
      <c r="BG76" s="105"/>
      <c r="BH76" s="104"/>
      <c r="BI76" s="104"/>
      <c r="BJ76" s="104"/>
      <c r="BK76" s="105"/>
      <c r="BL76" s="20"/>
      <c r="BM76" s="480"/>
      <c r="BN76" s="415"/>
      <c r="BO76" s="415"/>
      <c r="BP76" s="415"/>
      <c r="BQ76" s="415"/>
      <c r="BR76" s="415"/>
      <c r="BS76" s="415"/>
      <c r="BT76" s="415"/>
      <c r="BU76" s="415"/>
      <c r="BV76" s="415"/>
      <c r="BW76" s="415"/>
      <c r="BX76" s="415"/>
      <c r="BY76" s="415"/>
      <c r="BZ76" s="415"/>
      <c r="CA76" s="105"/>
      <c r="CB76" s="830"/>
      <c r="CC76" s="480"/>
      <c r="CD76" s="480"/>
      <c r="CE76" s="480"/>
      <c r="CF76" s="260"/>
      <c r="CG76" s="22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260"/>
      <c r="CT76" s="1381"/>
    </row>
    <row r="77" spans="1:256" s="8" customFormat="1" ht="14.25" hidden="1" customHeight="1" outlineLevel="2">
      <c r="A77" s="538"/>
      <c r="B77" s="267"/>
      <c r="C77" s="268"/>
      <c r="D77" s="104"/>
      <c r="E77" s="104"/>
      <c r="F77" s="104"/>
      <c r="G77" s="105"/>
      <c r="H77" s="104"/>
      <c r="I77" s="104"/>
      <c r="J77" s="104"/>
      <c r="K77" s="105"/>
      <c r="L77" s="104"/>
      <c r="M77" s="104"/>
      <c r="N77" s="104"/>
      <c r="O77" s="105"/>
      <c r="P77" s="104"/>
      <c r="Q77" s="104"/>
      <c r="R77" s="104"/>
      <c r="S77" s="105"/>
      <c r="T77" s="104"/>
      <c r="U77" s="104"/>
      <c r="V77" s="104"/>
      <c r="W77" s="105"/>
      <c r="X77" s="104"/>
      <c r="Y77" s="104"/>
      <c r="Z77" s="104"/>
      <c r="AA77" s="105"/>
      <c r="AB77" s="104"/>
      <c r="AC77" s="104"/>
      <c r="AD77" s="104"/>
      <c r="AE77" s="104"/>
      <c r="AF77" s="830"/>
      <c r="AG77" s="480"/>
      <c r="AH77" s="480"/>
      <c r="AI77" s="105"/>
      <c r="AJ77" s="830"/>
      <c r="AK77" s="104"/>
      <c r="AL77" s="104"/>
      <c r="AM77" s="105"/>
      <c r="AN77" s="165"/>
      <c r="AO77" s="104"/>
      <c r="AP77" s="104"/>
      <c r="AQ77" s="105"/>
      <c r="AR77" s="165"/>
      <c r="AS77" s="104"/>
      <c r="AT77" s="104"/>
      <c r="AU77" s="105"/>
      <c r="AV77" s="165"/>
      <c r="AW77" s="104"/>
      <c r="AX77" s="104"/>
      <c r="AY77" s="105"/>
      <c r="AZ77" s="104"/>
      <c r="BA77" s="104"/>
      <c r="BB77" s="104"/>
      <c r="BC77" s="105"/>
      <c r="BD77" s="104"/>
      <c r="BE77" s="104"/>
      <c r="BF77" s="104"/>
      <c r="BG77" s="105"/>
      <c r="BH77" s="104"/>
      <c r="BI77" s="104"/>
      <c r="BJ77" s="104"/>
      <c r="BK77" s="105"/>
      <c r="BL77" s="20"/>
      <c r="BM77" s="480"/>
      <c r="BN77" s="415"/>
      <c r="BO77" s="415"/>
      <c r="BP77" s="415"/>
      <c r="BQ77" s="415"/>
      <c r="BR77" s="415"/>
      <c r="BS77" s="415"/>
      <c r="BT77" s="415"/>
      <c r="BU77" s="415"/>
      <c r="BV77" s="415"/>
      <c r="BW77" s="415"/>
      <c r="BX77" s="415"/>
      <c r="BY77" s="415"/>
      <c r="BZ77" s="415"/>
      <c r="CA77" s="105"/>
      <c r="CB77" s="830"/>
      <c r="CC77" s="480"/>
      <c r="CD77" s="480"/>
      <c r="CE77" s="480"/>
      <c r="CF77" s="260"/>
      <c r="CG77" s="22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260"/>
      <c r="CT77" s="1381"/>
    </row>
    <row r="78" spans="1:256" s="8" customFormat="1" ht="14.25" hidden="1" customHeight="1" outlineLevel="2">
      <c r="A78" s="538"/>
      <c r="B78" s="267"/>
      <c r="C78" s="268"/>
      <c r="D78" s="104"/>
      <c r="E78" s="104"/>
      <c r="F78" s="104"/>
      <c r="G78" s="105"/>
      <c r="H78" s="104"/>
      <c r="I78" s="104"/>
      <c r="J78" s="104"/>
      <c r="K78" s="105"/>
      <c r="L78" s="104"/>
      <c r="M78" s="104"/>
      <c r="N78" s="104"/>
      <c r="O78" s="105"/>
      <c r="P78" s="104"/>
      <c r="Q78" s="104"/>
      <c r="R78" s="104"/>
      <c r="S78" s="105"/>
      <c r="T78" s="104"/>
      <c r="U78" s="104"/>
      <c r="V78" s="104"/>
      <c r="W78" s="105"/>
      <c r="X78" s="104"/>
      <c r="Y78" s="104"/>
      <c r="Z78" s="104"/>
      <c r="AA78" s="105"/>
      <c r="AB78" s="104"/>
      <c r="AC78" s="104"/>
      <c r="AD78" s="104"/>
      <c r="AE78" s="106"/>
      <c r="AF78" s="830"/>
      <c r="AG78" s="480"/>
      <c r="AH78" s="480"/>
      <c r="AI78" s="105"/>
      <c r="AJ78" s="830"/>
      <c r="AK78" s="74"/>
      <c r="AL78" s="74"/>
      <c r="AM78" s="24"/>
      <c r="AN78" s="23"/>
      <c r="AO78" s="74"/>
      <c r="AP78" s="74"/>
      <c r="AQ78" s="24"/>
      <c r="AR78" s="23"/>
      <c r="AS78" s="74"/>
      <c r="AT78" s="74"/>
      <c r="AU78" s="24"/>
      <c r="AV78" s="23"/>
      <c r="AW78" s="74"/>
      <c r="AX78" s="74"/>
      <c r="AY78" s="24"/>
      <c r="AZ78" s="74"/>
      <c r="BA78" s="74"/>
      <c r="BB78" s="74"/>
      <c r="BC78" s="24"/>
      <c r="BD78" s="74"/>
      <c r="BE78" s="74"/>
      <c r="BF78" s="74"/>
      <c r="BG78" s="24"/>
      <c r="BH78" s="74"/>
      <c r="BI78" s="74"/>
      <c r="BJ78" s="74"/>
      <c r="BK78" s="24"/>
      <c r="BL78" s="20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24"/>
      <c r="CB78" s="23"/>
      <c r="CC78" s="74"/>
      <c r="CD78" s="74"/>
      <c r="CE78" s="74"/>
      <c r="CF78" s="260"/>
      <c r="CG78" s="22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260"/>
      <c r="CT78" s="1381"/>
    </row>
    <row r="79" spans="1:256" s="8" customFormat="1" ht="14.25" hidden="1" customHeight="1" outlineLevel="2">
      <c r="A79" s="538"/>
      <c r="B79" s="289" t="s">
        <v>567</v>
      </c>
      <c r="C79" s="268"/>
      <c r="D79" s="416"/>
      <c r="E79" s="416"/>
      <c r="F79" s="416"/>
      <c r="G79" s="417"/>
      <c r="H79" s="486"/>
      <c r="I79" s="416"/>
      <c r="J79" s="416"/>
      <c r="K79" s="417"/>
      <c r="L79" s="486"/>
      <c r="M79" s="416"/>
      <c r="N79" s="416"/>
      <c r="O79" s="417"/>
      <c r="P79" s="486"/>
      <c r="Q79" s="416"/>
      <c r="R79" s="416"/>
      <c r="S79" s="417"/>
      <c r="T79" s="486"/>
      <c r="U79" s="416"/>
      <c r="V79" s="416"/>
      <c r="W79" s="417"/>
      <c r="X79" s="486">
        <f t="shared" ref="X79:AL79" si="109">X$111*X70</f>
        <v>19.310700000000001</v>
      </c>
      <c r="Y79" s="416">
        <f t="shared" si="109"/>
        <v>19.013750000000002</v>
      </c>
      <c r="Z79" s="416">
        <f t="shared" si="109"/>
        <v>18.6325</v>
      </c>
      <c r="AA79" s="417">
        <f t="shared" si="109"/>
        <v>19.541249999999987</v>
      </c>
      <c r="AB79" s="486">
        <f t="shared" si="109"/>
        <v>19.773649999999996</v>
      </c>
      <c r="AC79" s="416">
        <f t="shared" si="109"/>
        <v>17.398000000000003</v>
      </c>
      <c r="AD79" s="416">
        <f t="shared" si="109"/>
        <v>20.125799999999995</v>
      </c>
      <c r="AE79" s="416">
        <f t="shared" si="109"/>
        <v>22.31934</v>
      </c>
      <c r="AF79" s="486">
        <f t="shared" si="109"/>
        <v>23.141460000000002</v>
      </c>
      <c r="AG79" s="416">
        <f t="shared" si="109"/>
        <v>18.168749999999999</v>
      </c>
      <c r="AH79" s="416">
        <f t="shared" si="109"/>
        <v>22.566119999999998</v>
      </c>
      <c r="AI79" s="417">
        <f t="shared" si="109"/>
        <v>25.997929999999997</v>
      </c>
      <c r="AJ79" s="486">
        <f t="shared" si="109"/>
        <v>24.303720000000006</v>
      </c>
      <c r="AK79" s="416">
        <f t="shared" si="109"/>
        <v>26.293760000000002</v>
      </c>
      <c r="AL79" s="416">
        <f t="shared" si="109"/>
        <v>30.594329999999999</v>
      </c>
      <c r="AM79" s="416">
        <f t="shared" ref="AM79:AR79" si="110">AM$111*AM70</f>
        <v>36.896000000000001</v>
      </c>
      <c r="AN79" s="486">
        <f t="shared" si="110"/>
        <v>37.260300000000001</v>
      </c>
      <c r="AO79" s="416">
        <f t="shared" si="110"/>
        <v>37.689239999999998</v>
      </c>
      <c r="AP79" s="416">
        <f t="shared" si="110"/>
        <v>40.984839999999998</v>
      </c>
      <c r="AQ79" s="416">
        <f t="shared" si="110"/>
        <v>42.518140000000017</v>
      </c>
      <c r="AR79" s="486">
        <f t="shared" si="110"/>
        <v>45.816160000000004</v>
      </c>
      <c r="AS79" s="416">
        <f>AS82*AS66</f>
        <v>49.668729999999996</v>
      </c>
      <c r="AT79" s="416">
        <f>AT82*AT66</f>
        <v>54.202969999999993</v>
      </c>
      <c r="AU79" s="417">
        <f>AU$111*AU70</f>
        <v>65.935130000000001</v>
      </c>
      <c r="AV79" s="486">
        <f>AV$111*AV70</f>
        <v>62.231759999999994</v>
      </c>
      <c r="AW79" s="416">
        <f>AW82*AW66</f>
        <v>63.443197000000005</v>
      </c>
      <c r="AX79" s="416">
        <f>AX82*AX66</f>
        <v>75.215319999999991</v>
      </c>
      <c r="AY79" s="417">
        <f>AY$111*AY70</f>
        <v>78.536367000000013</v>
      </c>
      <c r="AZ79" s="416">
        <f>AZ$111*AZ70</f>
        <v>74.766200000000012</v>
      </c>
      <c r="BA79" s="416">
        <f>BA$111*BA70</f>
        <v>86.03195999999997</v>
      </c>
      <c r="BB79" s="416">
        <f>BB$111*BB70</f>
        <v>84.789199999999994</v>
      </c>
      <c r="BC79" s="417">
        <f t="shared" ref="BC79:BG79" si="111">BC82*BC66</f>
        <v>92.688366990537531</v>
      </c>
      <c r="BD79" s="416">
        <f t="shared" si="111"/>
        <v>90.410484706500014</v>
      </c>
      <c r="BE79" s="416">
        <f t="shared" si="111"/>
        <v>94.167242757588028</v>
      </c>
      <c r="BF79" s="416">
        <f t="shared" si="111"/>
        <v>103.89271209156843</v>
      </c>
      <c r="BG79" s="417">
        <f t="shared" si="111"/>
        <v>105.39938797568983</v>
      </c>
      <c r="BH79" s="416">
        <f>BH82*BH66</f>
        <v>101.0337328524364</v>
      </c>
      <c r="BI79" s="416">
        <f>BI82*BI66</f>
        <v>103.5595761737473</v>
      </c>
      <c r="BJ79" s="416">
        <f>BJ82*BJ66</f>
        <v>114.2530612986513</v>
      </c>
      <c r="BK79" s="417">
        <f>BK82*BK66</f>
        <v>116.88240058230417</v>
      </c>
      <c r="BL79" s="319"/>
      <c r="BM79" s="409"/>
      <c r="BN79" s="409"/>
      <c r="BO79" s="409"/>
      <c r="BP79" s="409"/>
      <c r="BQ79" s="409"/>
      <c r="BR79" s="409">
        <f>SUM(X79:AA79)</f>
        <v>76.498199999999983</v>
      </c>
      <c r="BS79" s="409">
        <f>SUM(AB79:AE79)</f>
        <v>79.616789999999995</v>
      </c>
      <c r="BT79" s="409">
        <f>SUM(AF79:AI79)</f>
        <v>89.874259999999992</v>
      </c>
      <c r="BU79" s="409">
        <f>SUM(AJ79:AM79)</f>
        <v>118.08781</v>
      </c>
      <c r="BV79" s="409">
        <f>SUM(AN79:AQ79)</f>
        <v>158.45252000000002</v>
      </c>
      <c r="BW79" s="409">
        <f>SUM(AR79:AU79)</f>
        <v>215.62299000000002</v>
      </c>
      <c r="BX79" s="409">
        <f>SUM(AV79:AY79)</f>
        <v>279.42664400000001</v>
      </c>
      <c r="BY79" s="409">
        <f>SUM(AZ79:BC79)</f>
        <v>338.27572699053752</v>
      </c>
      <c r="BZ79" s="409">
        <f>SUM(BA79:BD79)</f>
        <v>353.92001169703752</v>
      </c>
      <c r="CA79" s="51">
        <f>SUM(BB79:BE79)</f>
        <v>362.0552944546256</v>
      </c>
      <c r="CB79" s="528"/>
      <c r="CC79" s="529"/>
      <c r="CD79" s="529"/>
      <c r="CE79" s="529"/>
      <c r="CF79" s="260"/>
      <c r="CG79" s="22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260"/>
      <c r="CT79" s="1381"/>
    </row>
    <row r="80" spans="1:256" s="8" customFormat="1" ht="14.25" hidden="1" customHeight="1" outlineLevel="2">
      <c r="A80" s="538"/>
      <c r="B80" s="267" t="s">
        <v>517</v>
      </c>
      <c r="C80" s="268"/>
      <c r="D80" s="165"/>
      <c r="E80" s="104"/>
      <c r="F80" s="104"/>
      <c r="G80" s="105"/>
      <c r="H80" s="165"/>
      <c r="I80" s="104"/>
      <c r="J80" s="104"/>
      <c r="K80" s="105"/>
      <c r="L80" s="165"/>
      <c r="M80" s="104"/>
      <c r="N80" s="104"/>
      <c r="O80" s="105"/>
      <c r="P80" s="165"/>
      <c r="Q80" s="104"/>
      <c r="R80" s="104"/>
      <c r="S80" s="105"/>
      <c r="T80" s="165"/>
      <c r="U80" s="104"/>
      <c r="V80" s="104"/>
      <c r="W80" s="105"/>
      <c r="X80" s="165"/>
      <c r="Y80" s="104">
        <f t="shared" ref="Y80:BB80" si="112">Y79/X79-1</f>
        <v>-1.5377485021257575E-2</v>
      </c>
      <c r="Z80" s="104">
        <f t="shared" si="112"/>
        <v>-2.0051278679902751E-2</v>
      </c>
      <c r="AA80" s="105">
        <f t="shared" si="112"/>
        <v>4.8772306453776393E-2</v>
      </c>
      <c r="AB80" s="165">
        <f t="shared" si="112"/>
        <v>1.1892790891064209E-2</v>
      </c>
      <c r="AC80" s="104">
        <f t="shared" si="112"/>
        <v>-0.12014220945551246</v>
      </c>
      <c r="AD80" s="104">
        <f t="shared" si="112"/>
        <v>0.15678813656742108</v>
      </c>
      <c r="AE80" s="104">
        <f t="shared" si="112"/>
        <v>0.10899144381838277</v>
      </c>
      <c r="AF80" s="830">
        <f t="shared" si="112"/>
        <v>3.6834422523246646E-2</v>
      </c>
      <c r="AG80" s="480">
        <f t="shared" si="112"/>
        <v>-0.21488315776100564</v>
      </c>
      <c r="AH80" s="480">
        <f t="shared" si="112"/>
        <v>0.2420293085655314</v>
      </c>
      <c r="AI80" s="105">
        <f t="shared" si="112"/>
        <v>0.15207798239130166</v>
      </c>
      <c r="AJ80" s="165">
        <f t="shared" si="112"/>
        <v>-6.5167111381559617E-2</v>
      </c>
      <c r="AK80" s="104">
        <f t="shared" si="112"/>
        <v>8.1882115165908598E-2</v>
      </c>
      <c r="AL80" s="104">
        <f t="shared" si="112"/>
        <v>0.16355857815694663</v>
      </c>
      <c r="AM80" s="104">
        <f t="shared" si="112"/>
        <v>0.20597509407788972</v>
      </c>
      <c r="AN80" s="165">
        <f t="shared" si="112"/>
        <v>9.8736990459671325E-3</v>
      </c>
      <c r="AO80" s="104">
        <f t="shared" si="112"/>
        <v>1.1511984605598879E-2</v>
      </c>
      <c r="AP80" s="104">
        <f t="shared" si="112"/>
        <v>8.7441402373727994E-2</v>
      </c>
      <c r="AQ80" s="104">
        <f t="shared" si="112"/>
        <v>3.74113940666847E-2</v>
      </c>
      <c r="AR80" s="165">
        <f t="shared" si="112"/>
        <v>7.7567363012586821E-2</v>
      </c>
      <c r="AS80" s="104">
        <f t="shared" si="112"/>
        <v>8.4087579578908223E-2</v>
      </c>
      <c r="AT80" s="104">
        <f t="shared" si="112"/>
        <v>9.1289630316700121E-2</v>
      </c>
      <c r="AU80" s="105">
        <f t="shared" si="112"/>
        <v>0.21644865585778805</v>
      </c>
      <c r="AV80" s="165">
        <f t="shared" si="112"/>
        <v>-5.6166871893632564E-2</v>
      </c>
      <c r="AW80" s="104">
        <f t="shared" si="112"/>
        <v>1.9466539271908889E-2</v>
      </c>
      <c r="AX80" s="104">
        <f t="shared" si="112"/>
        <v>0.18555374818201531</v>
      </c>
      <c r="AY80" s="105">
        <f t="shared" si="112"/>
        <v>4.4153863867095522E-2</v>
      </c>
      <c r="AZ80" s="104">
        <f t="shared" si="112"/>
        <v>-4.8005365463365535E-2</v>
      </c>
      <c r="BA80" s="104">
        <f t="shared" si="112"/>
        <v>0.15067985266069361</v>
      </c>
      <c r="BB80" s="104">
        <f t="shared" si="112"/>
        <v>-1.4445329386892691E-2</v>
      </c>
      <c r="BC80" s="105">
        <f t="shared" ref="BC80:BG80" si="113">BC79/BB79-1</f>
        <v>9.3162419158778986E-2</v>
      </c>
      <c r="BD80" s="104">
        <f t="shared" si="113"/>
        <v>-2.4575708451849865E-2</v>
      </c>
      <c r="BE80" s="104">
        <f t="shared" si="113"/>
        <v>4.1552238805970365E-2</v>
      </c>
      <c r="BF80" s="104">
        <f t="shared" si="113"/>
        <v>0.10327868852459021</v>
      </c>
      <c r="BG80" s="105">
        <f t="shared" si="113"/>
        <v>1.4502228826151597E-2</v>
      </c>
      <c r="BH80" s="104">
        <f>BH79/BG79-1</f>
        <v>-4.1420118343195367E-2</v>
      </c>
      <c r="BI80" s="104">
        <f>BI79/BH79-1</f>
        <v>2.4999999999999911E-2</v>
      </c>
      <c r="BJ80" s="104">
        <f>BJ79/BI79-1</f>
        <v>0.10325925925925938</v>
      </c>
      <c r="BK80" s="105">
        <f>BK79/BJ79-1</f>
        <v>2.3013293943870083E-2</v>
      </c>
      <c r="BL80" s="20"/>
      <c r="BM80" s="270"/>
      <c r="BN80" s="270"/>
      <c r="BO80" s="270"/>
      <c r="BP80" s="270"/>
      <c r="BQ80" s="270"/>
      <c r="BR80" s="270"/>
      <c r="BS80" s="270"/>
      <c r="BT80" s="270"/>
      <c r="BU80" s="270"/>
      <c r="BV80" s="270"/>
      <c r="BW80" s="270"/>
      <c r="BX80" s="270"/>
      <c r="BY80" s="270"/>
      <c r="BZ80" s="270"/>
      <c r="CA80" s="24"/>
      <c r="CB80" s="23"/>
      <c r="CC80" s="74"/>
      <c r="CD80" s="74"/>
      <c r="CE80" s="74"/>
      <c r="CF80" s="260"/>
      <c r="CG80" s="22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260"/>
      <c r="CT80" s="1381"/>
    </row>
    <row r="81" spans="1:256" s="8" customFormat="1" ht="14.25" hidden="1" customHeight="1" outlineLevel="2">
      <c r="A81" s="538"/>
      <c r="B81" s="35" t="s">
        <v>518</v>
      </c>
      <c r="C81" s="268"/>
      <c r="D81" s="165"/>
      <c r="E81" s="104"/>
      <c r="F81" s="104"/>
      <c r="G81" s="105"/>
      <c r="H81" s="165"/>
      <c r="I81" s="104"/>
      <c r="J81" s="104"/>
      <c r="K81" s="105"/>
      <c r="L81" s="165"/>
      <c r="M81" s="104"/>
      <c r="N81" s="104"/>
      <c r="O81" s="105"/>
      <c r="P81" s="165"/>
      <c r="Q81" s="104"/>
      <c r="R81" s="104"/>
      <c r="S81" s="105"/>
      <c r="T81" s="165"/>
      <c r="U81" s="104"/>
      <c r="V81" s="104"/>
      <c r="W81" s="105"/>
      <c r="X81" s="165"/>
      <c r="Y81" s="104"/>
      <c r="Z81" s="104"/>
      <c r="AA81" s="105"/>
      <c r="AB81" s="165">
        <f t="shared" ref="AB81:BB81" si="114">AB79/X79-1</f>
        <v>2.3973755482711523E-2</v>
      </c>
      <c r="AC81" s="104">
        <f t="shared" si="114"/>
        <v>-8.497797646440064E-2</v>
      </c>
      <c r="AD81" s="104">
        <f t="shared" si="114"/>
        <v>8.0144908090701517E-2</v>
      </c>
      <c r="AE81" s="104">
        <f t="shared" si="114"/>
        <v>0.14216541930531634</v>
      </c>
      <c r="AF81" s="830">
        <f t="shared" si="114"/>
        <v>0.17031807481168149</v>
      </c>
      <c r="AG81" s="480">
        <f t="shared" si="114"/>
        <v>4.4301069088400702E-2</v>
      </c>
      <c r="AH81" s="480">
        <f t="shared" si="114"/>
        <v>0.12125331663834493</v>
      </c>
      <c r="AI81" s="105">
        <f t="shared" si="114"/>
        <v>0.16481625352720997</v>
      </c>
      <c r="AJ81" s="165">
        <f t="shared" si="114"/>
        <v>5.0224143161235357E-2</v>
      </c>
      <c r="AK81" s="104">
        <f t="shared" si="114"/>
        <v>0.44719697282421755</v>
      </c>
      <c r="AL81" s="104">
        <f t="shared" si="114"/>
        <v>0.3557638619310719</v>
      </c>
      <c r="AM81" s="104">
        <f t="shared" si="114"/>
        <v>0.41918991242764347</v>
      </c>
      <c r="AN81" s="165">
        <f t="shared" si="114"/>
        <v>0.53311098054125017</v>
      </c>
      <c r="AO81" s="104">
        <f t="shared" si="114"/>
        <v>0.43339104030766218</v>
      </c>
      <c r="AP81" s="104">
        <f t="shared" si="114"/>
        <v>0.33962208030050012</v>
      </c>
      <c r="AQ81" s="104">
        <f t="shared" si="114"/>
        <v>0.15237803555941065</v>
      </c>
      <c r="AR81" s="165">
        <f t="shared" si="114"/>
        <v>0.22962402342439536</v>
      </c>
      <c r="AS81" s="104">
        <f t="shared" si="114"/>
        <v>0.31784907310415389</v>
      </c>
      <c r="AT81" s="104">
        <f t="shared" si="114"/>
        <v>0.3225126656588142</v>
      </c>
      <c r="AU81" s="105">
        <f t="shared" si="114"/>
        <v>0.55075292569242151</v>
      </c>
      <c r="AV81" s="165">
        <f t="shared" si="114"/>
        <v>0.35829279450743989</v>
      </c>
      <c r="AW81" s="104">
        <f t="shared" si="114"/>
        <v>0.27732674058708584</v>
      </c>
      <c r="AX81" s="104">
        <f t="shared" si="114"/>
        <v>0.38766049166678496</v>
      </c>
      <c r="AY81" s="105">
        <f t="shared" si="114"/>
        <v>0.19111567687816811</v>
      </c>
      <c r="AZ81" s="104">
        <f t="shared" si="114"/>
        <v>0.20141548302667345</v>
      </c>
      <c r="BA81" s="104">
        <f t="shared" si="114"/>
        <v>0.35604704788127184</v>
      </c>
      <c r="BB81" s="104">
        <f t="shared" si="114"/>
        <v>0.12728630284362286</v>
      </c>
      <c r="BC81" s="105">
        <f t="shared" ref="BC81:BG81" si="115">BC79/AY79-1</f>
        <v>0.18019677419681912</v>
      </c>
      <c r="BD81" s="104">
        <f t="shared" si="115"/>
        <v>0.20924274212812732</v>
      </c>
      <c r="BE81" s="104">
        <f t="shared" si="115"/>
        <v>9.4561169565218206E-2</v>
      </c>
      <c r="BF81" s="104">
        <f t="shared" si="115"/>
        <v>0.22530595985772295</v>
      </c>
      <c r="BG81" s="105">
        <f t="shared" si="115"/>
        <v>0.13713717694961614</v>
      </c>
      <c r="BH81" s="104">
        <f>BH79/BD79-1</f>
        <v>0.11750017910447763</v>
      </c>
      <c r="BI81" s="104">
        <f>BI79/BE79-1</f>
        <v>9.9740983606557254E-2</v>
      </c>
      <c r="BJ81" s="104">
        <f>BJ79/BF79-1</f>
        <v>9.9721616641901933E-2</v>
      </c>
      <c r="BK81" s="105">
        <f>BK79/BG79-1</f>
        <v>0.10894762130177527</v>
      </c>
      <c r="BL81" s="20"/>
      <c r="BM81" s="415"/>
      <c r="BN81" s="480"/>
      <c r="BO81" s="415"/>
      <c r="BP81" s="415"/>
      <c r="BQ81" s="415"/>
      <c r="BR81" s="415" t="e">
        <f t="shared" ref="BR81:CA81" si="116">BR79/BQ79-1</f>
        <v>#DIV/0!</v>
      </c>
      <c r="BS81" s="415">
        <f t="shared" si="116"/>
        <v>4.0766841572743129E-2</v>
      </c>
      <c r="BT81" s="415">
        <f t="shared" si="116"/>
        <v>0.12883551321272813</v>
      </c>
      <c r="BU81" s="415">
        <f t="shared" si="116"/>
        <v>0.31392247346459401</v>
      </c>
      <c r="BV81" s="415">
        <f t="shared" si="116"/>
        <v>0.34181944774824791</v>
      </c>
      <c r="BW81" s="415">
        <f t="shared" si="116"/>
        <v>0.36080505377888583</v>
      </c>
      <c r="BX81" s="415">
        <f t="shared" si="116"/>
        <v>0.29590376239565175</v>
      </c>
      <c r="BY81" s="415">
        <f t="shared" si="116"/>
        <v>0.21060655543834783</v>
      </c>
      <c r="BZ81" s="415">
        <f t="shared" si="116"/>
        <v>4.6247139413989391E-2</v>
      </c>
      <c r="CA81" s="503">
        <f t="shared" si="116"/>
        <v>2.2986218605101083E-2</v>
      </c>
      <c r="CB81" s="1234"/>
      <c r="CC81" s="809"/>
      <c r="CD81" s="809"/>
      <c r="CE81" s="809"/>
      <c r="CF81" s="260"/>
      <c r="CG81" s="22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260"/>
      <c r="CT81" s="1381"/>
    </row>
    <row r="82" spans="1:256" s="8" customFormat="1" ht="14.25" hidden="1" customHeight="1" outlineLevel="1">
      <c r="A82" s="538"/>
      <c r="B82" s="267" t="s">
        <v>538</v>
      </c>
      <c r="C82" s="268"/>
      <c r="D82" s="104"/>
      <c r="E82" s="104"/>
      <c r="F82" s="104"/>
      <c r="G82" s="105"/>
      <c r="H82" s="165"/>
      <c r="I82" s="104"/>
      <c r="J82" s="104"/>
      <c r="K82" s="105"/>
      <c r="L82" s="165"/>
      <c r="M82" s="104"/>
      <c r="N82" s="104"/>
      <c r="O82" s="105"/>
      <c r="P82" s="165"/>
      <c r="Q82" s="104"/>
      <c r="R82" s="104"/>
      <c r="S82" s="105"/>
      <c r="T82" s="165"/>
      <c r="U82" s="104"/>
      <c r="V82" s="104"/>
      <c r="W82" s="105"/>
      <c r="X82" s="165">
        <f t="shared" ref="X82:AG82" si="117">X79/X66</f>
        <v>0.61681831031128875</v>
      </c>
      <c r="Y82" s="104">
        <f t="shared" si="117"/>
        <v>0.62041550830755576</v>
      </c>
      <c r="Z82" s="104">
        <f t="shared" si="117"/>
        <v>0.6141485723703185</v>
      </c>
      <c r="AA82" s="105">
        <f t="shared" si="117"/>
        <v>0.62383178688919705</v>
      </c>
      <c r="AB82" s="165">
        <f t="shared" si="117"/>
        <v>0.62181093770145368</v>
      </c>
      <c r="AC82" s="104">
        <f t="shared" si="117"/>
        <v>0.5884073802884543</v>
      </c>
      <c r="AD82" s="104">
        <f t="shared" si="117"/>
        <v>0.58722505829709448</v>
      </c>
      <c r="AE82" s="104">
        <f t="shared" si="117"/>
        <v>0.61490257142668237</v>
      </c>
      <c r="AF82" s="830">
        <f t="shared" si="117"/>
        <v>0.61901215744493043</v>
      </c>
      <c r="AG82" s="480">
        <f t="shared" si="117"/>
        <v>0.60031620370523331</v>
      </c>
      <c r="AH82" s="480">
        <v>0.6</v>
      </c>
      <c r="AI82" s="105">
        <f t="shared" ref="AI82:AN82" si="118">AI79/AI66</f>
        <v>0.61065877006349945</v>
      </c>
      <c r="AJ82" s="165">
        <f t="shared" si="118"/>
        <v>0.59325303592878842</v>
      </c>
      <c r="AK82" s="104">
        <f t="shared" si="118"/>
        <v>0.52988195539390659</v>
      </c>
      <c r="AL82" s="104">
        <f t="shared" si="118"/>
        <v>0.56124758742638448</v>
      </c>
      <c r="AM82" s="104">
        <f t="shared" si="118"/>
        <v>0.57428630575578199</v>
      </c>
      <c r="AN82" s="165">
        <f t="shared" si="118"/>
        <v>0.58374046788160783</v>
      </c>
      <c r="AO82" s="104">
        <f>AO79/AO66</f>
        <v>0.55411434892529943</v>
      </c>
      <c r="AP82" s="104">
        <f>AP79/AP66</f>
        <v>0.546142746027374</v>
      </c>
      <c r="AQ82" s="104">
        <f>AQ79/AQ66</f>
        <v>0.52135989164264751</v>
      </c>
      <c r="AR82" s="165">
        <f>AR79/AR66</f>
        <v>0.50905939449965343</v>
      </c>
      <c r="AS82" s="104">
        <f>IS!AS32</f>
        <v>0.57194845261935934</v>
      </c>
      <c r="AT82" s="104">
        <f>IS!AT32</f>
        <v>0.57422755793765712</v>
      </c>
      <c r="AU82" s="105">
        <f>AU79/AU66</f>
        <v>0.61298544846906877</v>
      </c>
      <c r="AV82" s="165">
        <f>AV79/AV66</f>
        <v>0.61584336190496547</v>
      </c>
      <c r="AW82" s="104">
        <f>IS!AW32</f>
        <v>0.61738518107143769</v>
      </c>
      <c r="AX82" s="104">
        <f>IS!AX32</f>
        <v>0.63126961405054227</v>
      </c>
      <c r="AY82" s="105">
        <f>AY79/AY66</f>
        <v>0.65392480128902597</v>
      </c>
      <c r="AZ82" s="104">
        <f>AZ79/AZ66</f>
        <v>0.64937742758079198</v>
      </c>
      <c r="BA82" s="104">
        <f>BA79/BA66</f>
        <v>0.65796925014093277</v>
      </c>
      <c r="BB82" s="104">
        <f>BB79/BB66</f>
        <v>0.65363344686007829</v>
      </c>
      <c r="BC82" s="105">
        <f>IS!BC32</f>
        <v>0.65253654795676186</v>
      </c>
      <c r="BD82" s="104">
        <f>IS!BD32</f>
        <v>0.67</v>
      </c>
      <c r="BE82" s="104">
        <f>IS!BE32</f>
        <v>0.67100000000000004</v>
      </c>
      <c r="BF82" s="104">
        <f>IS!BF32</f>
        <v>0.67300000000000004</v>
      </c>
      <c r="BG82" s="105">
        <f>IS!BG32</f>
        <v>0.67600000000000005</v>
      </c>
      <c r="BH82" s="104">
        <f>IS!BH32</f>
        <v>0.67500000000000004</v>
      </c>
      <c r="BI82" s="104">
        <f>IS!BI32</f>
        <v>0.67500000000000004</v>
      </c>
      <c r="BJ82" s="104">
        <f>IS!BJ32</f>
        <v>0.67700000000000005</v>
      </c>
      <c r="BK82" s="105">
        <f>IS!BK32</f>
        <v>0.67900000000000005</v>
      </c>
      <c r="BL82" s="20"/>
      <c r="BM82" s="480"/>
      <c r="BN82" s="415"/>
      <c r="BO82" s="415"/>
      <c r="BP82" s="415"/>
      <c r="BQ82" s="415"/>
      <c r="BR82" s="415">
        <f t="shared" ref="BR82:BW82" si="119">BR79/BR66</f>
        <v>0.61883211094262469</v>
      </c>
      <c r="BS82" s="415">
        <f t="shared" si="119"/>
        <v>0.60344033980169332</v>
      </c>
      <c r="BT82" s="415">
        <f t="shared" si="119"/>
        <v>0.61340742559775896</v>
      </c>
      <c r="BU82" s="415">
        <f t="shared" si="119"/>
        <v>0.56407750814223179</v>
      </c>
      <c r="BV82" s="415">
        <f t="shared" si="119"/>
        <v>0.54933565937778539</v>
      </c>
      <c r="BW82" s="415">
        <f t="shared" si="119"/>
        <v>0.56922700430161444</v>
      </c>
      <c r="BX82" s="415">
        <f>BX79/BX66</f>
        <v>0.63067210227247728</v>
      </c>
      <c r="BY82" s="415">
        <f>BY79/BY66</f>
        <v>0.653481023952593</v>
      </c>
      <c r="BZ82" s="415">
        <f>BZ79/BZ66</f>
        <v>0.60440414889507399</v>
      </c>
      <c r="CA82" s="1455">
        <f>CA79/CA66</f>
        <v>0.56219418675244692</v>
      </c>
      <c r="CB82" s="1494"/>
      <c r="CC82" s="1446"/>
      <c r="CD82" s="1446"/>
      <c r="CE82" s="1446"/>
      <c r="CF82" s="260"/>
      <c r="CG82" s="22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260"/>
      <c r="CT82" s="1381"/>
    </row>
    <row r="83" spans="1:256" s="122" customFormat="1" ht="14.25" customHeight="1" collapsed="1">
      <c r="A83" s="538"/>
      <c r="B83" s="290"/>
      <c r="C83" s="291"/>
      <c r="D83" s="271"/>
      <c r="E83" s="271"/>
      <c r="F83" s="271"/>
      <c r="G83" s="272"/>
      <c r="H83" s="271"/>
      <c r="I83" s="271"/>
      <c r="J83" s="271"/>
      <c r="K83" s="272"/>
      <c r="L83" s="271"/>
      <c r="M83" s="271"/>
      <c r="N83" s="271"/>
      <c r="O83" s="272"/>
      <c r="P83" s="271"/>
      <c r="Q83" s="271"/>
      <c r="R83" s="271"/>
      <c r="S83" s="272"/>
      <c r="T83" s="271"/>
      <c r="U83" s="271"/>
      <c r="V83" s="271"/>
      <c r="W83" s="272"/>
      <c r="X83" s="271"/>
      <c r="Y83" s="271"/>
      <c r="Z83" s="271"/>
      <c r="AA83" s="272"/>
      <c r="AB83" s="271"/>
      <c r="AC83" s="271"/>
      <c r="AD83" s="271"/>
      <c r="AE83" s="362"/>
      <c r="AF83" s="831"/>
      <c r="AG83" s="832"/>
      <c r="AH83" s="832"/>
      <c r="AI83" s="363"/>
      <c r="AJ83" s="831"/>
      <c r="AK83" s="362"/>
      <c r="AL83" s="362"/>
      <c r="AM83" s="363"/>
      <c r="AN83" s="1191"/>
      <c r="AO83" s="362"/>
      <c r="AP83" s="362"/>
      <c r="AQ83" s="363"/>
      <c r="AR83" s="1191"/>
      <c r="AS83" s="362"/>
      <c r="AT83" s="362"/>
      <c r="AU83" s="363"/>
      <c r="AV83" s="1191"/>
      <c r="AW83" s="362"/>
      <c r="AX83" s="362"/>
      <c r="AY83" s="363"/>
      <c r="AZ83" s="362"/>
      <c r="BA83" s="362"/>
      <c r="BB83" s="362"/>
      <c r="BC83" s="363"/>
      <c r="BD83" s="362"/>
      <c r="BE83" s="362"/>
      <c r="BF83" s="362"/>
      <c r="BG83" s="363"/>
      <c r="BH83" s="362"/>
      <c r="BI83" s="362"/>
      <c r="BJ83" s="362"/>
      <c r="BK83" s="363"/>
      <c r="BL83" s="20"/>
      <c r="BM83" s="292"/>
      <c r="BN83" s="292"/>
      <c r="BO83" s="292"/>
      <c r="BP83" s="292"/>
      <c r="BQ83" s="292"/>
      <c r="BR83" s="292"/>
      <c r="BS83" s="292"/>
      <c r="BT83" s="292"/>
      <c r="BU83" s="292"/>
      <c r="BV83" s="292"/>
      <c r="BW83" s="292"/>
      <c r="BX83" s="292"/>
      <c r="BY83" s="292"/>
      <c r="BZ83" s="292"/>
      <c r="CA83" s="72"/>
      <c r="CB83" s="23"/>
      <c r="CC83" s="74"/>
      <c r="CD83" s="74"/>
      <c r="CE83" s="74"/>
      <c r="CF83" s="260"/>
      <c r="CG83" s="15"/>
      <c r="CH83" s="251"/>
      <c r="CI83" s="251"/>
      <c r="CJ83" s="251"/>
      <c r="CK83" s="251"/>
      <c r="CL83" s="251"/>
      <c r="CM83" s="251"/>
      <c r="CN83" s="251"/>
      <c r="CO83" s="251"/>
      <c r="CP83" s="251"/>
      <c r="CQ83" s="251"/>
      <c r="CR83" s="251"/>
      <c r="CS83" s="16"/>
      <c r="CT83" s="1381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</row>
    <row r="84" spans="1:256" s="8" customFormat="1" ht="14.25" customHeight="1">
      <c r="A84" s="794"/>
      <c r="B84" s="527" t="str">
        <f>B123</f>
        <v>Computing</v>
      </c>
      <c r="C84" s="800"/>
      <c r="D84" s="801"/>
      <c r="E84" s="801"/>
      <c r="F84" s="801"/>
      <c r="G84" s="802"/>
      <c r="H84" s="795"/>
      <c r="I84" s="482"/>
      <c r="J84" s="482"/>
      <c r="K84" s="481"/>
      <c r="L84" s="795"/>
      <c r="M84" s="482"/>
      <c r="N84" s="482"/>
      <c r="O84" s="481"/>
      <c r="P84" s="795"/>
      <c r="Q84" s="482"/>
      <c r="R84" s="482"/>
      <c r="S84" s="481"/>
      <c r="T84" s="795"/>
      <c r="U84" s="482"/>
      <c r="V84" s="482"/>
      <c r="W84" s="481"/>
      <c r="X84" s="795">
        <f t="shared" ref="X84:BB84" si="120">X$123</f>
        <v>75.136679999999998</v>
      </c>
      <c r="Y84" s="482">
        <f t="shared" si="120"/>
        <v>67.422960000000003</v>
      </c>
      <c r="Z84" s="482">
        <f t="shared" si="120"/>
        <v>60.677500000000002</v>
      </c>
      <c r="AA84" s="481">
        <f t="shared" si="120"/>
        <v>56.384189999999968</v>
      </c>
      <c r="AB84" s="795">
        <f t="shared" si="120"/>
        <v>57.240179999999995</v>
      </c>
      <c r="AC84" s="482">
        <f t="shared" si="120"/>
        <v>47.308720000000001</v>
      </c>
      <c r="AD84" s="482">
        <f t="shared" si="120"/>
        <v>45.696959999999997</v>
      </c>
      <c r="AE84" s="504">
        <f t="shared" si="120"/>
        <v>48.396480000000004</v>
      </c>
      <c r="AF84" s="959">
        <f t="shared" si="120"/>
        <v>37.384500000000003</v>
      </c>
      <c r="AG84" s="504">
        <f t="shared" si="120"/>
        <v>36.318359999999998</v>
      </c>
      <c r="AH84" s="504">
        <f t="shared" si="120"/>
        <v>30.244200000000003</v>
      </c>
      <c r="AI84" s="797">
        <f t="shared" si="120"/>
        <v>30.409700000000001</v>
      </c>
      <c r="AJ84" s="482">
        <f t="shared" si="120"/>
        <v>29.262050000000002</v>
      </c>
      <c r="AK84" s="482">
        <f t="shared" si="120"/>
        <v>37.216439999999999</v>
      </c>
      <c r="AL84" s="482">
        <f t="shared" si="120"/>
        <v>30.284050000000004</v>
      </c>
      <c r="AM84" s="482">
        <f t="shared" si="120"/>
        <v>32.123350000000002</v>
      </c>
      <c r="AN84" s="959">
        <f t="shared" si="120"/>
        <v>29.013750000000002</v>
      </c>
      <c r="AO84" s="482">
        <f t="shared" si="120"/>
        <v>28.340450000000001</v>
      </c>
      <c r="AP84" s="482">
        <f t="shared" si="120"/>
        <v>34.635780000000004</v>
      </c>
      <c r="AQ84" s="482">
        <f t="shared" si="120"/>
        <v>29.125850000000003</v>
      </c>
      <c r="AR84" s="959">
        <f t="shared" si="120"/>
        <v>28.125500000000002</v>
      </c>
      <c r="AS84" s="482">
        <f t="shared" si="120"/>
        <v>23.498225999999999</v>
      </c>
      <c r="AT84" s="482">
        <f t="shared" si="120"/>
        <v>22.765332000000001</v>
      </c>
      <c r="AU84" s="481">
        <f t="shared" si="120"/>
        <v>22.645039999999998</v>
      </c>
      <c r="AV84" s="959">
        <f t="shared" si="120"/>
        <v>22.455839999999998</v>
      </c>
      <c r="AW84" s="482">
        <f t="shared" si="120"/>
        <v>23.968413000000002</v>
      </c>
      <c r="AX84" s="482">
        <f t="shared" si="120"/>
        <v>25.864111999999999</v>
      </c>
      <c r="AY84" s="481">
        <f t="shared" si="120"/>
        <v>28.896239999999999</v>
      </c>
      <c r="AZ84" s="482">
        <f t="shared" si="120"/>
        <v>23.027040000000003</v>
      </c>
      <c r="BA84" s="482">
        <f t="shared" si="120"/>
        <v>24.905479999999997</v>
      </c>
      <c r="BB84" s="482">
        <f t="shared" si="120"/>
        <v>19.45797</v>
      </c>
      <c r="BC84" s="797">
        <f t="shared" ref="BC84:BG84" si="121">BC89+BC92</f>
        <v>19.652549699999998</v>
      </c>
      <c r="BD84" s="504">
        <f t="shared" si="121"/>
        <v>19.652549699999998</v>
      </c>
      <c r="BE84" s="504">
        <f t="shared" si="121"/>
        <v>20.242126190999997</v>
      </c>
      <c r="BF84" s="504">
        <f t="shared" si="121"/>
        <v>19.230019881449998</v>
      </c>
      <c r="BG84" s="797">
        <f t="shared" si="121"/>
        <v>19.230019881449998</v>
      </c>
      <c r="BH84" s="504">
        <f>BH89+BH92</f>
        <v>19.230019881449998</v>
      </c>
      <c r="BI84" s="504">
        <f>BI89+BI92</f>
        <v>19.806920477893499</v>
      </c>
      <c r="BJ84" s="504">
        <f>BJ89+BJ92</f>
        <v>18.816574453998822</v>
      </c>
      <c r="BK84" s="797">
        <f>BK89+BK92</f>
        <v>18.816574453998822</v>
      </c>
      <c r="BL84" s="353"/>
      <c r="BM84" s="409"/>
      <c r="BN84" s="409"/>
      <c r="BO84" s="409"/>
      <c r="BP84" s="409"/>
      <c r="BQ84" s="409"/>
      <c r="BR84" s="409">
        <f>SUM(X84:AA84)</f>
        <v>259.62133</v>
      </c>
      <c r="BS84" s="409">
        <f>SUM(AB84:AE84)</f>
        <v>198.64233999999999</v>
      </c>
      <c r="BT84" s="409">
        <f>SUM(AF84:AI84)</f>
        <v>134.35676000000001</v>
      </c>
      <c r="BU84" s="409">
        <f>SUM(AJ84:AM84)</f>
        <v>128.88589000000002</v>
      </c>
      <c r="BV84" s="409">
        <f>SUM(AN84:AQ84)</f>
        <v>121.11583</v>
      </c>
      <c r="BW84" s="409">
        <f>SUM(AR84:AU84)</f>
        <v>97.034098</v>
      </c>
      <c r="BX84" s="409">
        <f>SUM(AV84:AY84)</f>
        <v>101.184605</v>
      </c>
      <c r="BY84" s="409">
        <f>SUM(AZ84:BC84)</f>
        <v>87.043039699999994</v>
      </c>
      <c r="BZ84" s="409">
        <f>SUM(BD84:BG84)</f>
        <v>78.354715653899987</v>
      </c>
      <c r="CA84" s="417">
        <f>SUM(BH84:BK84)</f>
        <v>76.67008926734114</v>
      </c>
      <c r="CB84" s="795"/>
      <c r="CC84" s="482"/>
      <c r="CD84" s="482"/>
      <c r="CE84" s="482"/>
      <c r="CF84" s="531"/>
      <c r="CG84" s="527"/>
      <c r="CH84" s="409"/>
      <c r="CI84" s="409"/>
      <c r="CJ84" s="409">
        <f>+SUM(V84:Y84)</f>
        <v>142.55964</v>
      </c>
      <c r="CK84" s="409">
        <f>+SUM(Z84:AC84)</f>
        <v>221.61058999999995</v>
      </c>
      <c r="CL84" s="409">
        <f>+SUM(AD84:AG84)</f>
        <v>167.79629999999997</v>
      </c>
      <c r="CM84" s="409">
        <f>+SUM(AH84:AJ84, AK84)</f>
        <v>127.13239000000002</v>
      </c>
      <c r="CN84" s="409">
        <f>+SUM(AL84:AO84)</f>
        <v>119.76160000000002</v>
      </c>
      <c r="CO84" s="409">
        <f>+SUM(AP84:AS84)</f>
        <v>115.38535600000002</v>
      </c>
      <c r="CP84" s="409">
        <f>+SUM(AT84:AW84)</f>
        <v>91.834624999999988</v>
      </c>
      <c r="CQ84" s="409">
        <f>+SUM(AX84:BA84)</f>
        <v>102.69287199999999</v>
      </c>
      <c r="CR84" s="409">
        <f>+SUM(BB84:BE84)</f>
        <v>79.005195590999989</v>
      </c>
      <c r="CS84" s="410">
        <f>+SUM(BF84:BI84)</f>
        <v>77.496980122243485</v>
      </c>
      <c r="CT84" s="1381"/>
      <c r="CU84" s="122"/>
      <c r="CV84" s="122"/>
      <c r="CW84" s="122"/>
      <c r="CX84" s="122"/>
      <c r="CY84" s="122"/>
      <c r="CZ84" s="122"/>
      <c r="DA84" s="122"/>
      <c r="DB84" s="122"/>
      <c r="DC84" s="122"/>
      <c r="DD84" s="122"/>
      <c r="DE84" s="122"/>
      <c r="DF84" s="122"/>
      <c r="DG84" s="122"/>
      <c r="DH84" s="122"/>
      <c r="DI84" s="122"/>
      <c r="DJ84" s="122"/>
      <c r="DK84" s="122"/>
      <c r="DL84" s="122"/>
      <c r="DM84" s="122"/>
      <c r="DN84" s="122"/>
      <c r="DO84" s="122"/>
      <c r="DP84" s="122"/>
      <c r="DQ84" s="122"/>
      <c r="DR84" s="122"/>
      <c r="DS84" s="122"/>
      <c r="DT84" s="122"/>
      <c r="DU84" s="122"/>
      <c r="DV84" s="122"/>
      <c r="DW84" s="122"/>
      <c r="DX84" s="122"/>
      <c r="DY84" s="122"/>
      <c r="DZ84" s="122"/>
      <c r="EA84" s="122"/>
      <c r="EB84" s="122"/>
      <c r="EC84" s="122"/>
      <c r="ED84" s="122"/>
      <c r="EE84" s="122"/>
      <c r="EF84" s="122"/>
      <c r="EG84" s="122"/>
      <c r="EH84" s="122"/>
      <c r="EI84" s="122"/>
      <c r="EJ84" s="122"/>
      <c r="EK84" s="122"/>
      <c r="EL84" s="122"/>
      <c r="EM84" s="122"/>
      <c r="EN84" s="122"/>
      <c r="EO84" s="122"/>
      <c r="EP84" s="122"/>
      <c r="EQ84" s="122"/>
      <c r="ER84" s="122"/>
      <c r="ES84" s="122"/>
      <c r="ET84" s="122"/>
      <c r="EU84" s="122"/>
      <c r="EV84" s="122"/>
      <c r="EW84" s="122"/>
      <c r="EX84" s="122"/>
      <c r="EY84" s="122"/>
      <c r="EZ84" s="122"/>
      <c r="FA84" s="122"/>
      <c r="FB84" s="122"/>
      <c r="FC84" s="122"/>
      <c r="FD84" s="122"/>
      <c r="FE84" s="122"/>
      <c r="FF84" s="122"/>
      <c r="FG84" s="122"/>
      <c r="FH84" s="122"/>
      <c r="FI84" s="122"/>
      <c r="FJ84" s="122"/>
      <c r="FK84" s="122"/>
      <c r="FL84" s="122"/>
      <c r="FM84" s="122"/>
      <c r="FN84" s="122"/>
      <c r="FO84" s="122"/>
      <c r="FP84" s="122"/>
      <c r="FQ84" s="122"/>
      <c r="FR84" s="122"/>
      <c r="FS84" s="122"/>
      <c r="FT84" s="122"/>
      <c r="FU84" s="122"/>
      <c r="FV84" s="122"/>
      <c r="FW84" s="122"/>
      <c r="FX84" s="122"/>
      <c r="FY84" s="122"/>
      <c r="FZ84" s="122"/>
      <c r="GA84" s="122"/>
      <c r="GB84" s="122"/>
      <c r="GC84" s="122"/>
      <c r="GD84" s="122"/>
      <c r="GE84" s="122"/>
      <c r="GF84" s="122"/>
      <c r="GG84" s="122"/>
      <c r="GH84" s="122"/>
      <c r="GI84" s="122"/>
      <c r="GJ84" s="122"/>
      <c r="GK84" s="122"/>
      <c r="GL84" s="122"/>
      <c r="GM84" s="122"/>
      <c r="GN84" s="122"/>
      <c r="GO84" s="122"/>
      <c r="GP84" s="122"/>
      <c r="GQ84" s="122"/>
      <c r="GR84" s="122"/>
      <c r="GS84" s="122"/>
      <c r="GT84" s="122"/>
      <c r="GU84" s="122"/>
      <c r="GV84" s="122"/>
      <c r="GW84" s="122"/>
      <c r="GX84" s="122"/>
      <c r="GY84" s="122"/>
      <c r="GZ84" s="122"/>
      <c r="HA84" s="122"/>
      <c r="HB84" s="122"/>
      <c r="HC84" s="122"/>
      <c r="HD84" s="122"/>
      <c r="HE84" s="122"/>
      <c r="HF84" s="122"/>
      <c r="HG84" s="122"/>
      <c r="HH84" s="122"/>
      <c r="HI84" s="122"/>
      <c r="HJ84" s="122"/>
      <c r="HK84" s="122"/>
      <c r="HL84" s="122"/>
      <c r="HM84" s="122"/>
      <c r="HN84" s="122"/>
      <c r="HO84" s="122"/>
      <c r="HP84" s="122"/>
      <c r="HQ84" s="122"/>
      <c r="HR84" s="122"/>
      <c r="HS84" s="122"/>
      <c r="HT84" s="122"/>
      <c r="HU84" s="122"/>
      <c r="HV84" s="122"/>
      <c r="HW84" s="122"/>
      <c r="HX84" s="122"/>
      <c r="HY84" s="122"/>
      <c r="HZ84" s="122"/>
      <c r="IA84" s="122"/>
      <c r="IB84" s="122"/>
      <c r="IC84" s="122"/>
      <c r="ID84" s="122"/>
      <c r="IE84" s="122"/>
      <c r="IF84" s="122"/>
      <c r="IG84" s="122"/>
      <c r="IH84" s="122"/>
      <c r="II84" s="122"/>
      <c r="IJ84" s="122"/>
      <c r="IK84" s="122"/>
      <c r="IL84" s="122"/>
      <c r="IM84" s="122"/>
      <c r="IN84" s="122"/>
      <c r="IO84" s="122"/>
      <c r="IP84" s="122"/>
      <c r="IQ84" s="122"/>
      <c r="IR84" s="122"/>
      <c r="IS84" s="122"/>
      <c r="IT84" s="122"/>
      <c r="IU84" s="122"/>
      <c r="IV84" s="122"/>
    </row>
    <row r="85" spans="1:256" s="8" customFormat="1" ht="14.25" customHeight="1">
      <c r="A85" s="538"/>
      <c r="B85" s="267" t="s">
        <v>517</v>
      </c>
      <c r="C85" s="268"/>
      <c r="D85" s="104"/>
      <c r="E85" s="104"/>
      <c r="F85" s="104"/>
      <c r="G85" s="105"/>
      <c r="H85" s="165"/>
      <c r="I85" s="104"/>
      <c r="J85" s="104"/>
      <c r="K85" s="105"/>
      <c r="L85" s="165"/>
      <c r="M85" s="104"/>
      <c r="N85" s="104"/>
      <c r="O85" s="105"/>
      <c r="P85" s="165"/>
      <c r="Q85" s="104"/>
      <c r="R85" s="104"/>
      <c r="S85" s="105"/>
      <c r="T85" s="165"/>
      <c r="U85" s="104"/>
      <c r="V85" s="104"/>
      <c r="W85" s="105"/>
      <c r="X85" s="165"/>
      <c r="Y85" s="104">
        <f t="shared" ref="Y85:AF85" si="122">Y84/X84-1</f>
        <v>-0.10266250784570197</v>
      </c>
      <c r="Z85" s="104">
        <f t="shared" si="122"/>
        <v>-0.10004692763414724</v>
      </c>
      <c r="AA85" s="105">
        <f t="shared" si="122"/>
        <v>-7.0756211116147383E-2</v>
      </c>
      <c r="AB85" s="165">
        <f t="shared" si="122"/>
        <v>1.5181383292019124E-2</v>
      </c>
      <c r="AC85" s="104">
        <f t="shared" si="122"/>
        <v>-0.17350504488280771</v>
      </c>
      <c r="AD85" s="104">
        <f t="shared" si="122"/>
        <v>-3.4068983477041903E-2</v>
      </c>
      <c r="AE85" s="104">
        <f t="shared" si="122"/>
        <v>5.9074389193504384E-2</v>
      </c>
      <c r="AF85" s="830">
        <f t="shared" si="122"/>
        <v>-0.22753679606450716</v>
      </c>
      <c r="AG85" s="480">
        <f t="shared" ref="AG85:BB85" si="123">AG84/AF84-1</f>
        <v>-2.8518236167395683E-2</v>
      </c>
      <c r="AH85" s="480">
        <f t="shared" si="123"/>
        <v>-0.16724764003660941</v>
      </c>
      <c r="AI85" s="105">
        <f t="shared" si="123"/>
        <v>5.4721235807195789E-3</v>
      </c>
      <c r="AJ85" s="480">
        <f t="shared" si="123"/>
        <v>-3.7739602824098828E-2</v>
      </c>
      <c r="AK85" s="480">
        <f t="shared" si="123"/>
        <v>0.27183297137418583</v>
      </c>
      <c r="AL85" s="480">
        <f t="shared" si="123"/>
        <v>-0.18627224957572497</v>
      </c>
      <c r="AM85" s="480">
        <f t="shared" si="123"/>
        <v>6.0734941330502279E-2</v>
      </c>
      <c r="AN85" s="830">
        <f t="shared" si="123"/>
        <v>-9.6801859083812891E-2</v>
      </c>
      <c r="AO85" s="480">
        <f t="shared" si="123"/>
        <v>-2.3206238421438097E-2</v>
      </c>
      <c r="AP85" s="480">
        <f t="shared" si="123"/>
        <v>0.22213232323410548</v>
      </c>
      <c r="AQ85" s="480">
        <f t="shared" si="123"/>
        <v>-0.15908202442676334</v>
      </c>
      <c r="AR85" s="830">
        <f t="shared" si="123"/>
        <v>-3.4345778749804712E-2</v>
      </c>
      <c r="AS85" s="480">
        <f t="shared" si="123"/>
        <v>-0.16452237293559235</v>
      </c>
      <c r="AT85" s="480">
        <f t="shared" si="123"/>
        <v>-3.1189333186258272E-2</v>
      </c>
      <c r="AU85" s="1236">
        <f t="shared" si="123"/>
        <v>-5.2839993723791112E-3</v>
      </c>
      <c r="AV85" s="830">
        <f t="shared" si="123"/>
        <v>-8.3550305055765106E-3</v>
      </c>
      <c r="AW85" s="480">
        <f t="shared" si="123"/>
        <v>6.735766731505044E-2</v>
      </c>
      <c r="AX85" s="480">
        <f t="shared" si="123"/>
        <v>7.9091552703134615E-2</v>
      </c>
      <c r="AY85" s="1236">
        <f t="shared" si="123"/>
        <v>0.11723302157058391</v>
      </c>
      <c r="AZ85" s="830">
        <f t="shared" si="123"/>
        <v>-0.2031129309557228</v>
      </c>
      <c r="BA85" s="480">
        <f t="shared" si="123"/>
        <v>8.1575400051417502E-2</v>
      </c>
      <c r="BB85" s="480">
        <f t="shared" si="123"/>
        <v>-0.21872736441939677</v>
      </c>
      <c r="BC85" s="1236">
        <f t="shared" ref="BC85:BG85" si="124">BC84/BB84-1</f>
        <v>1.0000000000000009E-2</v>
      </c>
      <c r="BD85" s="830">
        <f t="shared" si="124"/>
        <v>0</v>
      </c>
      <c r="BE85" s="480">
        <f t="shared" si="124"/>
        <v>3.0000000000000027E-2</v>
      </c>
      <c r="BF85" s="480">
        <f t="shared" si="124"/>
        <v>-4.9999999999999933E-2</v>
      </c>
      <c r="BG85" s="1236">
        <f t="shared" si="124"/>
        <v>0</v>
      </c>
      <c r="BH85" s="830">
        <f>BH84/BG84-1</f>
        <v>0</v>
      </c>
      <c r="BI85" s="480">
        <f>BI84/BH84-1</f>
        <v>3.0000000000000027E-2</v>
      </c>
      <c r="BJ85" s="480">
        <f>BJ84/BI84-1</f>
        <v>-5.0000000000000155E-2</v>
      </c>
      <c r="BK85" s="1236">
        <f>BK84/BJ84-1</f>
        <v>0</v>
      </c>
      <c r="BL85" s="20"/>
      <c r="BM85" s="270"/>
      <c r="BN85" s="270"/>
      <c r="BO85" s="270"/>
      <c r="BP85" s="270"/>
      <c r="BQ85" s="270"/>
      <c r="BR85" s="270"/>
      <c r="BS85" s="270"/>
      <c r="BT85" s="270"/>
      <c r="BU85" s="270"/>
      <c r="BV85" s="270"/>
      <c r="BW85" s="270"/>
      <c r="BX85" s="270"/>
      <c r="BY85" s="270"/>
      <c r="BZ85" s="270"/>
      <c r="CA85" s="24"/>
      <c r="CB85" s="23"/>
      <c r="CC85" s="74"/>
      <c r="CD85" s="74"/>
      <c r="CE85" s="74"/>
      <c r="CF85" s="260"/>
      <c r="CG85" s="22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260"/>
      <c r="CT85" s="1381"/>
    </row>
    <row r="86" spans="1:256" s="8" customFormat="1" ht="14.25" customHeight="1">
      <c r="A86" s="538"/>
      <c r="B86" s="35" t="s">
        <v>96</v>
      </c>
      <c r="C86" s="268"/>
      <c r="D86" s="165"/>
      <c r="E86" s="104"/>
      <c r="F86" s="104"/>
      <c r="G86" s="105"/>
      <c r="H86" s="165"/>
      <c r="I86" s="104"/>
      <c r="J86" s="104"/>
      <c r="K86" s="105"/>
      <c r="L86" s="165"/>
      <c r="M86" s="104"/>
      <c r="N86" s="104"/>
      <c r="O86" s="105"/>
      <c r="P86" s="165"/>
      <c r="Q86" s="104"/>
      <c r="R86" s="104"/>
      <c r="S86" s="105"/>
      <c r="T86" s="165"/>
      <c r="U86" s="104"/>
      <c r="V86" s="104"/>
      <c r="W86" s="105"/>
      <c r="X86" s="165"/>
      <c r="Y86" s="104"/>
      <c r="Z86" s="104"/>
      <c r="AA86" s="105"/>
      <c r="AB86" s="165"/>
      <c r="AC86" s="104"/>
      <c r="AD86" s="104"/>
      <c r="AE86" s="104">
        <f t="shared" ref="AE86:AU86" si="125">AVERAGE(AA85,W85,S85,O85)</f>
        <v>-7.0756211116147383E-2</v>
      </c>
      <c r="AF86" s="830">
        <f t="shared" si="125"/>
        <v>1.5181383292019124E-2</v>
      </c>
      <c r="AG86" s="480">
        <f t="shared" si="125"/>
        <v>-0.13808377636425484</v>
      </c>
      <c r="AH86" s="480">
        <f t="shared" si="125"/>
        <v>-6.7057955555594573E-2</v>
      </c>
      <c r="AI86" s="105">
        <f t="shared" si="125"/>
        <v>-5.8409109613214993E-3</v>
      </c>
      <c r="AJ86" s="830">
        <f t="shared" si="125"/>
        <v>-0.10617770638624402</v>
      </c>
      <c r="AK86" s="480">
        <f t="shared" si="125"/>
        <v>-0.10156192963196846</v>
      </c>
      <c r="AL86" s="480">
        <f t="shared" si="125"/>
        <v>-0.10045451704926618</v>
      </c>
      <c r="AM86" s="480">
        <f t="shared" si="125"/>
        <v>-2.0698994473078067E-3</v>
      </c>
      <c r="AN86" s="830">
        <f t="shared" si="125"/>
        <v>-8.3365005198862294E-2</v>
      </c>
      <c r="AO86" s="480">
        <f t="shared" si="125"/>
        <v>-8.2132043804298838E-3</v>
      </c>
      <c r="AP86" s="480">
        <f t="shared" si="125"/>
        <v>-0.12190895018088088</v>
      </c>
      <c r="AQ86" s="480">
        <f t="shared" si="125"/>
        <v>1.3631310747144715E-2</v>
      </c>
      <c r="AR86" s="830">
        <f t="shared" si="125"/>
        <v>-8.672421867009994E-2</v>
      </c>
      <c r="AS86" s="480">
        <f t="shared" si="125"/>
        <v>1.1650862975636084E-2</v>
      </c>
      <c r="AT86" s="480">
        <f t="shared" si="125"/>
        <v>-4.1364137463817702E-2</v>
      </c>
      <c r="AU86" s="1236">
        <f t="shared" si="125"/>
        <v>-8.4501425805092734E-3</v>
      </c>
      <c r="AV86" s="830">
        <f t="shared" ref="AV86:BG86" si="126">AVERAGE(AR85,AN85,AJ85,AF85,AB85)</f>
        <v>-7.62485306860409E-2</v>
      </c>
      <c r="AW86" s="480">
        <f t="shared" si="126"/>
        <v>-2.3583784206609604E-2</v>
      </c>
      <c r="AX86" s="480">
        <f>AVERAGE(AT85,AP85,AL85,AH85)</f>
        <v>-4.0644224891121794E-2</v>
      </c>
      <c r="AY86" s="1236">
        <f>AVERAGE(AU85,AQ85,AM85,AI85)</f>
        <v>-2.4539739721980147E-2</v>
      </c>
      <c r="AZ86" s="104">
        <f>AVERAGE(AV85,AR85,AN85,AJ85)</f>
        <v>-4.4310567790823235E-2</v>
      </c>
      <c r="BA86" s="104">
        <f>AVERAGE(AW85,AS85,AO85,AK85)</f>
        <v>3.7865506833051454E-2</v>
      </c>
      <c r="BB86" s="104">
        <f>AVERAGE(AX85,AT85,AP85,AL85)</f>
        <v>2.0940573293814213E-2</v>
      </c>
      <c r="BC86" s="105">
        <f t="shared" si="126"/>
        <v>3.8148125365326637E-3</v>
      </c>
      <c r="BD86" s="104">
        <f t="shared" si="126"/>
        <v>-7.6071040423803152E-2</v>
      </c>
      <c r="BE86" s="104">
        <f t="shared" si="126"/>
        <v>4.6607485476724664E-2</v>
      </c>
      <c r="BF86" s="104">
        <f t="shared" si="126"/>
        <v>-2.6993014248827985E-2</v>
      </c>
      <c r="BG86" s="105">
        <f t="shared" si="126"/>
        <v>4.7203878203887495E-3</v>
      </c>
      <c r="BH86" s="104">
        <f>AVERAGE(BD85,AZ85,AV85,AR85,AN85)</f>
        <v>-6.8523119858983378E-2</v>
      </c>
      <c r="BI86" s="104">
        <f>AVERAGE(BE85,BA85,AW85,AS85,AO85)</f>
        <v>-1.7591087981124963E-3</v>
      </c>
      <c r="BJ86" s="104">
        <f>AVERAGE(BF85,BB85,AX85,AT85,AP85)</f>
        <v>2.6143566631702252E-4</v>
      </c>
      <c r="BK86" s="105">
        <f>AVERAGE(BG85,BC85,AY85,AU85,AQ85)</f>
        <v>-7.4266004457117065E-3</v>
      </c>
      <c r="BL86" s="20"/>
      <c r="BM86" s="270"/>
      <c r="BN86" s="270"/>
      <c r="BO86" s="270"/>
      <c r="BP86" s="270"/>
      <c r="BQ86" s="270"/>
      <c r="BR86" s="270"/>
      <c r="BS86" s="270"/>
      <c r="BT86" s="270"/>
      <c r="BU86" s="270"/>
      <c r="BV86" s="270"/>
      <c r="BW86" s="270"/>
      <c r="BX86" s="270"/>
      <c r="BY86" s="270"/>
      <c r="BZ86" s="270"/>
      <c r="CA86" s="24"/>
      <c r="CB86" s="23"/>
      <c r="CC86" s="74"/>
      <c r="CD86" s="74"/>
      <c r="CE86" s="74"/>
      <c r="CF86" s="260"/>
      <c r="CG86" s="22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260"/>
      <c r="CT86" s="1381"/>
    </row>
    <row r="87" spans="1:256" s="8" customFormat="1" ht="14.25" customHeight="1">
      <c r="A87" s="538"/>
      <c r="B87" s="35" t="s">
        <v>518</v>
      </c>
      <c r="C87" s="36"/>
      <c r="D87" s="104"/>
      <c r="E87" s="104"/>
      <c r="F87" s="104"/>
      <c r="G87" s="105"/>
      <c r="H87" s="165"/>
      <c r="I87" s="104"/>
      <c r="J87" s="104"/>
      <c r="K87" s="105"/>
      <c r="L87" s="165"/>
      <c r="M87" s="104"/>
      <c r="N87" s="104"/>
      <c r="O87" s="105"/>
      <c r="P87" s="165"/>
      <c r="Q87" s="104"/>
      <c r="R87" s="104"/>
      <c r="S87" s="105"/>
      <c r="T87" s="165"/>
      <c r="U87" s="104"/>
      <c r="V87" s="104"/>
      <c r="W87" s="105"/>
      <c r="X87" s="165"/>
      <c r="Y87" s="104"/>
      <c r="Z87" s="104"/>
      <c r="AA87" s="105"/>
      <c r="AB87" s="165">
        <f>AB84/X84-1</f>
        <v>-0.23818592996123866</v>
      </c>
      <c r="AC87" s="104">
        <f>AC84/Y84-1</f>
        <v>-0.29832923383962973</v>
      </c>
      <c r="AD87" s="104">
        <f>AD84/Z84-1</f>
        <v>-0.2468878908986033</v>
      </c>
      <c r="AE87" s="104">
        <f>AE84/AA84-1</f>
        <v>-0.14166577545939685</v>
      </c>
      <c r="AF87" s="830">
        <f>AF84/AB84-1</f>
        <v>-0.34688360518782424</v>
      </c>
      <c r="AG87" s="480">
        <f t="shared" ref="AG87:BB87" si="127">AG84/AC84-1</f>
        <v>-0.23231150620858065</v>
      </c>
      <c r="AH87" s="480">
        <f t="shared" si="127"/>
        <v>-0.3381572866116257</v>
      </c>
      <c r="AI87" s="105">
        <f t="shared" si="127"/>
        <v>-0.37165471538425943</v>
      </c>
      <c r="AJ87" s="480">
        <f t="shared" si="127"/>
        <v>-0.21726785164974793</v>
      </c>
      <c r="AK87" s="480">
        <f t="shared" si="127"/>
        <v>2.4727988818878499E-2</v>
      </c>
      <c r="AL87" s="480">
        <f t="shared" si="127"/>
        <v>1.3176080041794602E-3</v>
      </c>
      <c r="AM87" s="480">
        <f t="shared" si="127"/>
        <v>5.6352085025501708E-2</v>
      </c>
      <c r="AN87" s="830">
        <f t="shared" si="127"/>
        <v>-8.4853931969907093E-3</v>
      </c>
      <c r="AO87" s="480">
        <f t="shared" si="127"/>
        <v>-0.23849648166240511</v>
      </c>
      <c r="AP87" s="480">
        <f t="shared" si="127"/>
        <v>0.14369709467524983</v>
      </c>
      <c r="AQ87" s="480">
        <f t="shared" si="127"/>
        <v>-9.3312185684245263E-2</v>
      </c>
      <c r="AR87" s="830">
        <f t="shared" si="127"/>
        <v>-3.061479470940498E-2</v>
      </c>
      <c r="AS87" s="480">
        <f t="shared" si="127"/>
        <v>-0.17085910774176138</v>
      </c>
      <c r="AT87" s="480">
        <f t="shared" si="127"/>
        <v>-0.34272212145936953</v>
      </c>
      <c r="AU87" s="1236">
        <f t="shared" si="127"/>
        <v>-0.22251058767383625</v>
      </c>
      <c r="AV87" s="830">
        <f t="shared" si="127"/>
        <v>-0.20158432738973542</v>
      </c>
      <c r="AW87" s="480">
        <f t="shared" si="127"/>
        <v>2.0009467948772119E-2</v>
      </c>
      <c r="AX87" s="480">
        <f t="shared" si="127"/>
        <v>0.13611837508014379</v>
      </c>
      <c r="AY87" s="1236">
        <f t="shared" si="127"/>
        <v>0.27605162101722946</v>
      </c>
      <c r="AZ87" s="480">
        <f t="shared" si="127"/>
        <v>2.5436590214394261E-2</v>
      </c>
      <c r="BA87" s="480">
        <f t="shared" si="127"/>
        <v>3.9095913442412478E-2</v>
      </c>
      <c r="BB87" s="480">
        <f t="shared" si="127"/>
        <v>-0.24768459091114359</v>
      </c>
      <c r="BC87" s="1236">
        <f t="shared" ref="BC87:BG87" si="128">BC84/AY84-1</f>
        <v>-0.31989249466366565</v>
      </c>
      <c r="BD87" s="480">
        <f t="shared" si="128"/>
        <v>-0.14654468398891063</v>
      </c>
      <c r="BE87" s="480">
        <f t="shared" si="128"/>
        <v>-0.18724207720549857</v>
      </c>
      <c r="BF87" s="480">
        <f t="shared" si="128"/>
        <v>-1.1715000000000142E-2</v>
      </c>
      <c r="BG87" s="480">
        <f t="shared" si="128"/>
        <v>-2.1499999999999964E-2</v>
      </c>
      <c r="BH87" s="480">
        <f>BH84/BD84-1</f>
        <v>-2.1499999999999964E-2</v>
      </c>
      <c r="BI87" s="480">
        <f>BI84/BE84-1</f>
        <v>-2.1499999999999964E-2</v>
      </c>
      <c r="BJ87" s="480">
        <f>BJ84/BF84-1</f>
        <v>-2.1500000000000075E-2</v>
      </c>
      <c r="BK87" s="480">
        <f>BK84/BG84-1</f>
        <v>-2.1500000000000075E-2</v>
      </c>
      <c r="BL87" s="20"/>
      <c r="BM87" s="415"/>
      <c r="BN87" s="480"/>
      <c r="BO87" s="415"/>
      <c r="BP87" s="415"/>
      <c r="BQ87" s="415"/>
      <c r="BR87" s="415"/>
      <c r="BS87" s="415">
        <f t="shared" ref="BS87:BZ87" si="129">BS84/BR84-1</f>
        <v>-0.23487665670613433</v>
      </c>
      <c r="BT87" s="415">
        <f t="shared" si="129"/>
        <v>-0.32362476197169232</v>
      </c>
      <c r="BU87" s="415">
        <f t="shared" si="129"/>
        <v>-4.0718978337971112E-2</v>
      </c>
      <c r="BV87" s="415">
        <f t="shared" si="129"/>
        <v>-6.0286350972942104E-2</v>
      </c>
      <c r="BW87" s="415">
        <f t="shared" si="129"/>
        <v>-0.19883224182999037</v>
      </c>
      <c r="BX87" s="415">
        <f t="shared" si="129"/>
        <v>4.2773695902238451E-2</v>
      </c>
      <c r="BY87" s="415">
        <f t="shared" si="129"/>
        <v>-0.13976004847773049</v>
      </c>
      <c r="BZ87" s="415">
        <f t="shared" si="129"/>
        <v>-9.9816413535705251E-2</v>
      </c>
      <c r="CA87" s="1455">
        <f>CA84/BZ84-1</f>
        <v>-2.1499999999999964E-2</v>
      </c>
      <c r="CB87" s="1494"/>
      <c r="CC87" s="1446"/>
      <c r="CD87" s="1446"/>
      <c r="CE87" s="1446"/>
      <c r="CF87" s="260"/>
      <c r="CG87" s="22"/>
      <c r="CH87" s="14"/>
      <c r="CI87" s="415"/>
      <c r="CJ87" s="415"/>
      <c r="CK87" s="415"/>
      <c r="CL87" s="415">
        <f t="shared" ref="CL87:CS87" si="130">+CL84/CK84-1</f>
        <v>-0.24283266426933836</v>
      </c>
      <c r="CM87" s="415">
        <f t="shared" si="130"/>
        <v>-0.2423409217008955</v>
      </c>
      <c r="CN87" s="415">
        <f t="shared" si="130"/>
        <v>-5.7977278646299313E-2</v>
      </c>
      <c r="CO87" s="415">
        <f t="shared" si="130"/>
        <v>-3.654129537347528E-2</v>
      </c>
      <c r="CP87" s="415">
        <f t="shared" si="130"/>
        <v>-0.20410502525121144</v>
      </c>
      <c r="CQ87" s="415">
        <f t="shared" si="130"/>
        <v>0.11823696127686056</v>
      </c>
      <c r="CR87" s="415">
        <f t="shared" si="130"/>
        <v>-0.2306652443121856</v>
      </c>
      <c r="CS87" s="414">
        <f t="shared" si="130"/>
        <v>-1.9090079550772132E-2</v>
      </c>
      <c r="CT87" s="1381"/>
    </row>
    <row r="88" spans="1:256" s="8" customFormat="1" ht="14.25" customHeight="1">
      <c r="A88" s="538"/>
      <c r="B88" s="267" t="s">
        <v>519</v>
      </c>
      <c r="C88" s="268"/>
      <c r="D88" s="104"/>
      <c r="E88" s="104"/>
      <c r="F88" s="104"/>
      <c r="G88" s="105"/>
      <c r="H88" s="104"/>
      <c r="I88" s="104"/>
      <c r="J88" s="104"/>
      <c r="K88" s="105"/>
      <c r="L88" s="104"/>
      <c r="M88" s="104"/>
      <c r="N88" s="104"/>
      <c r="O88" s="105"/>
      <c r="P88" s="104"/>
      <c r="Q88" s="104"/>
      <c r="R88" s="104"/>
      <c r="S88" s="105"/>
      <c r="T88" s="104"/>
      <c r="U88" s="104"/>
      <c r="V88" s="104"/>
      <c r="W88" s="105"/>
      <c r="X88" s="104">
        <f t="shared" ref="X88:AD88" si="131">X84/(X100)</f>
        <v>0.12</v>
      </c>
      <c r="Y88" s="104">
        <f t="shared" si="131"/>
        <v>0.11</v>
      </c>
      <c r="Z88" s="104">
        <f t="shared" si="131"/>
        <v>0.1</v>
      </c>
      <c r="AA88" s="105">
        <f t="shared" si="131"/>
        <v>0.09</v>
      </c>
      <c r="AB88" s="104">
        <f t="shared" si="131"/>
        <v>8.9999999999999983E-2</v>
      </c>
      <c r="AC88" s="104">
        <f t="shared" si="131"/>
        <v>0.08</v>
      </c>
      <c r="AD88" s="104">
        <f t="shared" si="131"/>
        <v>0.08</v>
      </c>
      <c r="AE88" s="104">
        <f>AE84/IS!AE10</f>
        <v>0.08</v>
      </c>
      <c r="AF88" s="830">
        <f>AF84/(AF100)</f>
        <v>0.06</v>
      </c>
      <c r="AG88" s="480">
        <f>AG84/(AG100)</f>
        <v>5.9999999999999991E-2</v>
      </c>
      <c r="AH88" s="480">
        <f>AH84/IS!AH10</f>
        <v>0.05</v>
      </c>
      <c r="AI88" s="105">
        <f>AI84/IS!AI10</f>
        <v>0.05</v>
      </c>
      <c r="AJ88" s="480">
        <f t="shared" ref="AJ88:AO88" si="132">AJ84/(AJ100)</f>
        <v>0.05</v>
      </c>
      <c r="AK88" s="480">
        <f t="shared" si="132"/>
        <v>0.06</v>
      </c>
      <c r="AL88" s="480">
        <f t="shared" si="132"/>
        <v>0.05</v>
      </c>
      <c r="AM88" s="480">
        <f t="shared" si="132"/>
        <v>0.05</v>
      </c>
      <c r="AN88" s="830">
        <f t="shared" si="132"/>
        <v>0.05</v>
      </c>
      <c r="AO88" s="480">
        <f t="shared" si="132"/>
        <v>0.05</v>
      </c>
      <c r="AP88" s="480">
        <f t="shared" ref="AP88:AU88" si="133">AP84/(AP100)</f>
        <v>5.9999999999999991E-2</v>
      </c>
      <c r="AQ88" s="480">
        <f t="shared" si="133"/>
        <v>0.05</v>
      </c>
      <c r="AR88" s="830">
        <f t="shared" si="133"/>
        <v>0.05</v>
      </c>
      <c r="AS88" s="480">
        <f t="shared" si="133"/>
        <v>4.5999999999999999E-2</v>
      </c>
      <c r="AT88" s="480">
        <f t="shared" si="133"/>
        <v>4.1000000000000002E-2</v>
      </c>
      <c r="AU88" s="1236">
        <f t="shared" si="133"/>
        <v>0.04</v>
      </c>
      <c r="AV88" s="830">
        <f t="shared" ref="AV88:BA88" si="134">AV84/(AV100)</f>
        <v>0.04</v>
      </c>
      <c r="AW88" s="480">
        <f t="shared" si="134"/>
        <v>4.3499999999999997E-2</v>
      </c>
      <c r="AX88" s="480">
        <f t="shared" si="134"/>
        <v>4.4499999999999998E-2</v>
      </c>
      <c r="AY88" s="1236">
        <f t="shared" si="134"/>
        <v>4.8000000000000008E-2</v>
      </c>
      <c r="AZ88" s="104">
        <f t="shared" si="134"/>
        <v>0.04</v>
      </c>
      <c r="BA88" s="104">
        <f t="shared" si="134"/>
        <v>0.04</v>
      </c>
      <c r="BB88" s="104">
        <f t="shared" ref="BB88" si="135">BB84/(BB100)</f>
        <v>2.9999999999999992E-2</v>
      </c>
      <c r="BC88" s="105">
        <f>BC84/IS!BC10</f>
        <v>3.1200123564845798E-2</v>
      </c>
      <c r="BD88" s="104">
        <f>BD84/IS!BD10</f>
        <v>3.1986453789603027E-2</v>
      </c>
      <c r="BE88" s="104">
        <f>BE84/IS!BE10</f>
        <v>3.2884458559797471E-2</v>
      </c>
      <c r="BF88" s="104">
        <f>BF84/IS!BF10</f>
        <v>2.9688155471932064E-2</v>
      </c>
      <c r="BG88" s="105">
        <f>BG84/IS!BG10</f>
        <v>2.9377476817460422E-2</v>
      </c>
      <c r="BH88" s="104">
        <f>BH84/IS!BH10</f>
        <v>2.9856565927027488E-2</v>
      </c>
      <c r="BI88" s="104">
        <f>BI84/IS!BI10</f>
        <v>3.0775902091228585E-2</v>
      </c>
      <c r="BJ88" s="104">
        <f>BJ84/IS!BJ10</f>
        <v>2.8094305324620782E-2</v>
      </c>
      <c r="BK88" s="105">
        <f>BK84/IS!BK10</f>
        <v>2.73667208969143E-2</v>
      </c>
      <c r="BL88" s="20"/>
      <c r="BM88" s="480"/>
      <c r="BN88" s="415"/>
      <c r="BO88" s="415"/>
      <c r="BP88" s="415"/>
      <c r="BQ88" s="415"/>
      <c r="BR88" s="415">
        <f t="shared" ref="BR88:BW88" si="136">BR84/BR110</f>
        <v>0.10501032422307444</v>
      </c>
      <c r="BS88" s="415">
        <f t="shared" si="136"/>
        <v>8.2646117438150313E-2</v>
      </c>
      <c r="BT88" s="415">
        <f t="shared" si="136"/>
        <v>5.5031339866858306E-2</v>
      </c>
      <c r="BU88" s="415">
        <f t="shared" si="136"/>
        <v>5.2527951067444886E-2</v>
      </c>
      <c r="BV88" s="415">
        <f t="shared" si="136"/>
        <v>5.2502371184430477E-2</v>
      </c>
      <c r="BW88" s="415">
        <f t="shared" si="136"/>
        <v>4.4212538370515767E-2</v>
      </c>
      <c r="BX88" s="415">
        <f>BX84/BX110</f>
        <v>4.4077340930426048E-2</v>
      </c>
      <c r="BY88" s="415">
        <f>BY84/BY110</f>
        <v>3.5143361472563479E-2</v>
      </c>
      <c r="BZ88" s="415">
        <f>BZ84/BZ110</f>
        <v>3.0942447033605415E-2</v>
      </c>
      <c r="CA88" s="105">
        <f>CA84/CA110</f>
        <v>2.8986783882971282E-2</v>
      </c>
      <c r="CB88" s="830"/>
      <c r="CC88" s="480"/>
      <c r="CD88" s="480"/>
      <c r="CE88" s="480"/>
      <c r="CF88" s="260"/>
      <c r="CG88" s="22"/>
      <c r="CH88" s="14"/>
      <c r="CI88" s="14"/>
      <c r="CJ88" s="14"/>
      <c r="CK88" s="862">
        <f t="shared" ref="CK88:CP88" si="137">CK84/CK$110</f>
        <v>9.0062650698378904E-2</v>
      </c>
      <c r="CL88" s="862">
        <f t="shared" si="137"/>
        <v>6.9782857409019308E-2</v>
      </c>
      <c r="CM88" s="862">
        <f t="shared" si="137"/>
        <v>5.2564606777576892E-2</v>
      </c>
      <c r="CN88" s="862">
        <f t="shared" si="137"/>
        <v>5.000000000000001E-2</v>
      </c>
      <c r="CO88" s="862">
        <f t="shared" si="137"/>
        <v>5.166999728183113E-2</v>
      </c>
      <c r="CP88" s="862">
        <f t="shared" si="137"/>
        <v>4.1111906228567641E-2</v>
      </c>
      <c r="CQ88" s="862">
        <f>CQ84/CQ$110</f>
        <v>4.3120472770911529E-2</v>
      </c>
      <c r="CR88" s="862">
        <f>CR84/CR$110</f>
        <v>3.1495734062886804E-2</v>
      </c>
      <c r="CS88" s="864">
        <f>CS84/CS$110</f>
        <v>2.9921810453975184E-2</v>
      </c>
      <c r="CT88" s="1381"/>
    </row>
    <row r="89" spans="1:256" s="8" customFormat="1" ht="14.25" customHeight="1">
      <c r="A89" s="538"/>
      <c r="B89" s="1399" t="s">
        <v>625</v>
      </c>
      <c r="C89" s="1400"/>
      <c r="D89" s="1401"/>
      <c r="E89" s="1402"/>
      <c r="F89" s="1402"/>
      <c r="G89" s="1403"/>
      <c r="H89" s="1401"/>
      <c r="I89" s="1402"/>
      <c r="J89" s="1402"/>
      <c r="K89" s="1403"/>
      <c r="L89" s="1401"/>
      <c r="M89" s="1402"/>
      <c r="N89" s="1402"/>
      <c r="O89" s="1403"/>
      <c r="P89" s="1401"/>
      <c r="Q89" s="1402"/>
      <c r="R89" s="1402"/>
      <c r="S89" s="1403"/>
      <c r="T89" s="1401"/>
      <c r="U89" s="1402"/>
      <c r="V89" s="1402"/>
      <c r="W89" s="1403"/>
      <c r="X89" s="1401"/>
      <c r="Y89" s="1402"/>
      <c r="Z89" s="1402"/>
      <c r="AA89" s="1403"/>
      <c r="AB89" s="1401"/>
      <c r="AC89" s="1402"/>
      <c r="AD89" s="1402"/>
      <c r="AE89" s="1402"/>
      <c r="AF89" s="1404"/>
      <c r="AG89" s="1405"/>
      <c r="AH89" s="1405"/>
      <c r="AI89" s="1403"/>
      <c r="AJ89" s="1404"/>
      <c r="AK89" s="1405"/>
      <c r="AL89" s="1405"/>
      <c r="AM89" s="1405"/>
      <c r="AN89" s="1404"/>
      <c r="AO89" s="1405"/>
      <c r="AP89" s="1405"/>
      <c r="AQ89" s="1405"/>
      <c r="AR89" s="1404"/>
      <c r="AS89" s="1405"/>
      <c r="AT89" s="1405"/>
      <c r="AU89" s="1406"/>
      <c r="AV89" s="1404"/>
      <c r="AW89" s="1405"/>
      <c r="AX89" s="1405"/>
      <c r="AY89" s="1407">
        <f>AY84-AY92</f>
        <v>27.94624</v>
      </c>
      <c r="AZ89" s="1408">
        <f>AZ84-AZ92</f>
        <v>23.027040000000003</v>
      </c>
      <c r="BA89" s="1409">
        <f>BA84-BA92</f>
        <v>22.705479999999998</v>
      </c>
      <c r="BB89" s="1409">
        <f>BB84-BB92</f>
        <v>19.45797</v>
      </c>
      <c r="BC89" s="1407">
        <f t="shared" ref="BC89:BG89" si="138">BB89*(1+BC90)</f>
        <v>19.652549699999998</v>
      </c>
      <c r="BD89" s="1408">
        <f t="shared" si="138"/>
        <v>19.652549699999998</v>
      </c>
      <c r="BE89" s="1409">
        <f t="shared" si="138"/>
        <v>20.242126190999997</v>
      </c>
      <c r="BF89" s="1409">
        <f t="shared" si="138"/>
        <v>19.230019881449998</v>
      </c>
      <c r="BG89" s="1407">
        <f t="shared" si="138"/>
        <v>19.230019881449998</v>
      </c>
      <c r="BH89" s="1408">
        <f>BG89*(1+BH90)</f>
        <v>19.230019881449998</v>
      </c>
      <c r="BI89" s="1409">
        <f>BH89*(1+BI90)</f>
        <v>19.806920477893499</v>
      </c>
      <c r="BJ89" s="1409">
        <f>BI89*(1+BJ90)</f>
        <v>18.816574453998822</v>
      </c>
      <c r="BK89" s="1407">
        <f>BJ89*(1+BK90)</f>
        <v>18.816574453998822</v>
      </c>
      <c r="BL89" s="20"/>
      <c r="BM89" s="480"/>
      <c r="BN89" s="415"/>
      <c r="BO89" s="415"/>
      <c r="BP89" s="415"/>
      <c r="BQ89" s="415"/>
      <c r="BR89" s="415"/>
      <c r="BS89" s="415"/>
      <c r="BT89" s="415"/>
      <c r="BU89" s="415"/>
      <c r="BV89" s="415"/>
      <c r="BW89" s="415"/>
      <c r="BX89" s="415"/>
      <c r="BY89" s="415"/>
      <c r="BZ89" s="415"/>
      <c r="CA89" s="105"/>
      <c r="CB89" s="830"/>
      <c r="CC89" s="480"/>
      <c r="CD89" s="480"/>
      <c r="CE89" s="480"/>
      <c r="CF89" s="260"/>
      <c r="CG89" s="22"/>
      <c r="CH89" s="14"/>
      <c r="CI89" s="14"/>
      <c r="CJ89" s="14"/>
      <c r="CK89" s="862"/>
      <c r="CL89" s="862"/>
      <c r="CM89" s="862"/>
      <c r="CN89" s="862"/>
      <c r="CO89" s="862"/>
      <c r="CP89" s="862"/>
      <c r="CQ89" s="862"/>
      <c r="CR89" s="862"/>
      <c r="CS89" s="864"/>
      <c r="CT89" s="1381"/>
    </row>
    <row r="90" spans="1:256" s="8" customFormat="1" ht="14.25" customHeight="1">
      <c r="A90" s="538"/>
      <c r="B90" s="1410" t="s">
        <v>517</v>
      </c>
      <c r="C90" s="1400"/>
      <c r="D90" s="1401"/>
      <c r="E90" s="1402"/>
      <c r="F90" s="1402"/>
      <c r="G90" s="1403"/>
      <c r="H90" s="1401"/>
      <c r="I90" s="1402"/>
      <c r="J90" s="1402"/>
      <c r="K90" s="1403"/>
      <c r="L90" s="1401"/>
      <c r="M90" s="1402"/>
      <c r="N90" s="1402"/>
      <c r="O90" s="1403"/>
      <c r="P90" s="1401"/>
      <c r="Q90" s="1402"/>
      <c r="R90" s="1402"/>
      <c r="S90" s="1403"/>
      <c r="T90" s="1401"/>
      <c r="U90" s="1402"/>
      <c r="V90" s="1402"/>
      <c r="W90" s="1403"/>
      <c r="X90" s="1401"/>
      <c r="Y90" s="1402"/>
      <c r="Z90" s="1402"/>
      <c r="AA90" s="1403"/>
      <c r="AB90" s="1401"/>
      <c r="AC90" s="1402"/>
      <c r="AD90" s="1402"/>
      <c r="AE90" s="1402"/>
      <c r="AF90" s="1404"/>
      <c r="AG90" s="1405"/>
      <c r="AH90" s="1405"/>
      <c r="AI90" s="1403"/>
      <c r="AJ90" s="1404"/>
      <c r="AK90" s="1405"/>
      <c r="AL90" s="1405"/>
      <c r="AM90" s="1405"/>
      <c r="AN90" s="1404"/>
      <c r="AO90" s="1405"/>
      <c r="AP90" s="1405"/>
      <c r="AQ90" s="1405"/>
      <c r="AR90" s="1404"/>
      <c r="AS90" s="1405"/>
      <c r="AT90" s="1405"/>
      <c r="AU90" s="1406"/>
      <c r="AV90" s="1404"/>
      <c r="AW90" s="1405"/>
      <c r="AX90" s="1405"/>
      <c r="AY90" s="1406">
        <f>AY89/AX84-1</f>
        <v>8.05025898434093E-2</v>
      </c>
      <c r="AZ90" s="1462">
        <f>AZ89/AY84-1</f>
        <v>-0.2031129309557228</v>
      </c>
      <c r="BA90" s="1504">
        <f>BA89/AZ84-1</f>
        <v>-1.3964452226599922E-2</v>
      </c>
      <c r="BB90" s="1504">
        <f>BB89/BA84-1</f>
        <v>-0.21872736441939677</v>
      </c>
      <c r="BC90" s="1413">
        <v>0.01</v>
      </c>
      <c r="BD90" s="1411">
        <v>0</v>
      </c>
      <c r="BE90" s="1412">
        <v>0.03</v>
      </c>
      <c r="BF90" s="1412">
        <v>-0.05</v>
      </c>
      <c r="BG90" s="1413">
        <v>0</v>
      </c>
      <c r="BH90" s="1411">
        <v>0</v>
      </c>
      <c r="BI90" s="1412">
        <v>0.03</v>
      </c>
      <c r="BJ90" s="1412">
        <v>-0.05</v>
      </c>
      <c r="BK90" s="1413">
        <v>0</v>
      </c>
      <c r="BL90" s="20"/>
      <c r="BM90" s="480"/>
      <c r="BN90" s="415"/>
      <c r="BO90" s="415"/>
      <c r="BP90" s="415"/>
      <c r="BQ90" s="415"/>
      <c r="BR90" s="415"/>
      <c r="BS90" s="415"/>
      <c r="BT90" s="415"/>
      <c r="BU90" s="415"/>
      <c r="BV90" s="415"/>
      <c r="BW90" s="415"/>
      <c r="BX90" s="415"/>
      <c r="BY90" s="415"/>
      <c r="BZ90" s="415"/>
      <c r="CA90" s="105"/>
      <c r="CB90" s="830"/>
      <c r="CC90" s="480"/>
      <c r="CD90" s="480"/>
      <c r="CE90" s="480"/>
      <c r="CF90" s="260"/>
      <c r="CG90" s="22"/>
      <c r="CH90" s="14"/>
      <c r="CI90" s="14"/>
      <c r="CJ90" s="14"/>
      <c r="CK90" s="862"/>
      <c r="CL90" s="862"/>
      <c r="CM90" s="862"/>
      <c r="CN90" s="862"/>
      <c r="CO90" s="862"/>
      <c r="CP90" s="862"/>
      <c r="CQ90" s="862"/>
      <c r="CR90" s="862"/>
      <c r="CS90" s="864"/>
      <c r="CT90" s="1381"/>
    </row>
    <row r="91" spans="1:256" s="8" customFormat="1" ht="14.25" customHeight="1">
      <c r="A91" s="538"/>
      <c r="B91" s="1410" t="s">
        <v>518</v>
      </c>
      <c r="C91" s="1400"/>
      <c r="D91" s="1401"/>
      <c r="E91" s="1402"/>
      <c r="F91" s="1402"/>
      <c r="G91" s="1403"/>
      <c r="H91" s="1401"/>
      <c r="I91" s="1402"/>
      <c r="J91" s="1402"/>
      <c r="K91" s="1403"/>
      <c r="L91" s="1401"/>
      <c r="M91" s="1402"/>
      <c r="N91" s="1402"/>
      <c r="O91" s="1403"/>
      <c r="P91" s="1401"/>
      <c r="Q91" s="1402"/>
      <c r="R91" s="1402"/>
      <c r="S91" s="1403"/>
      <c r="T91" s="1401"/>
      <c r="U91" s="1402"/>
      <c r="V91" s="1402"/>
      <c r="W91" s="1403"/>
      <c r="X91" s="1401"/>
      <c r="Y91" s="1402"/>
      <c r="Z91" s="1402"/>
      <c r="AA91" s="1403"/>
      <c r="AB91" s="1401"/>
      <c r="AC91" s="1402"/>
      <c r="AD91" s="1402"/>
      <c r="AE91" s="1402"/>
      <c r="AF91" s="1404"/>
      <c r="AG91" s="1405"/>
      <c r="AH91" s="1405"/>
      <c r="AI91" s="1403"/>
      <c r="AJ91" s="1404"/>
      <c r="AK91" s="1405"/>
      <c r="AL91" s="1405"/>
      <c r="AM91" s="1405"/>
      <c r="AN91" s="1404"/>
      <c r="AO91" s="1405"/>
      <c r="AP91" s="1405"/>
      <c r="AQ91" s="1405"/>
      <c r="AR91" s="1404"/>
      <c r="AS91" s="1405"/>
      <c r="AT91" s="1405"/>
      <c r="AU91" s="1406"/>
      <c r="AV91" s="1404"/>
      <c r="AW91" s="1405"/>
      <c r="AX91" s="1405"/>
      <c r="AY91" s="1406">
        <f>AY89/AU84-1</f>
        <v>0.23409982936660745</v>
      </c>
      <c r="AZ91" s="1404">
        <f>AZ89/AV84-1</f>
        <v>2.5436590214394261E-2</v>
      </c>
      <c r="BA91" s="1405">
        <f>BA89/AW84-1</f>
        <v>-5.2691557008801682E-2</v>
      </c>
      <c r="BB91" s="1405">
        <f>BB89/AX84-1</f>
        <v>-0.24768459091114359</v>
      </c>
      <c r="BC91" s="1403">
        <f t="shared" ref="BC91:BK91" si="139">BC89/AY89-1</f>
        <v>-0.29677302921609494</v>
      </c>
      <c r="BD91" s="1404">
        <f t="shared" si="139"/>
        <v>-0.14654468398891063</v>
      </c>
      <c r="BE91" s="1405">
        <f t="shared" si="139"/>
        <v>-0.10849159801950903</v>
      </c>
      <c r="BF91" s="1405">
        <f t="shared" si="139"/>
        <v>-1.1715000000000142E-2</v>
      </c>
      <c r="BG91" s="1403">
        <f t="shared" si="139"/>
        <v>-2.1499999999999964E-2</v>
      </c>
      <c r="BH91" s="1404">
        <f t="shared" si="139"/>
        <v>-2.1499999999999964E-2</v>
      </c>
      <c r="BI91" s="1405">
        <f t="shared" si="139"/>
        <v>-2.1499999999999964E-2</v>
      </c>
      <c r="BJ91" s="1405">
        <f t="shared" si="139"/>
        <v>-2.1500000000000075E-2</v>
      </c>
      <c r="BK91" s="1403">
        <f t="shared" si="139"/>
        <v>-2.1500000000000075E-2</v>
      </c>
      <c r="BL91" s="20"/>
      <c r="BM91" s="480"/>
      <c r="BN91" s="415"/>
      <c r="BO91" s="415"/>
      <c r="BP91" s="415"/>
      <c r="BQ91" s="415"/>
      <c r="BR91" s="415"/>
      <c r="BS91" s="415"/>
      <c r="BT91" s="415"/>
      <c r="BU91" s="415"/>
      <c r="BV91" s="415"/>
      <c r="BW91" s="415"/>
      <c r="BX91" s="415"/>
      <c r="BY91" s="415"/>
      <c r="BZ91" s="415"/>
      <c r="CA91" s="105"/>
      <c r="CB91" s="830"/>
      <c r="CC91" s="480"/>
      <c r="CD91" s="480"/>
      <c r="CE91" s="480"/>
      <c r="CF91" s="260"/>
      <c r="CG91" s="22"/>
      <c r="CH91" s="14"/>
      <c r="CI91" s="14"/>
      <c r="CJ91" s="14"/>
      <c r="CK91" s="862"/>
      <c r="CL91" s="862"/>
      <c r="CM91" s="862"/>
      <c r="CN91" s="862"/>
      <c r="CO91" s="862"/>
      <c r="CP91" s="862"/>
      <c r="CQ91" s="862"/>
      <c r="CR91" s="862"/>
      <c r="CS91" s="864"/>
      <c r="CT91" s="1381"/>
    </row>
    <row r="92" spans="1:256" s="8" customFormat="1" ht="14.25" customHeight="1">
      <c r="A92" s="538"/>
      <c r="B92" s="1399" t="s">
        <v>646</v>
      </c>
      <c r="C92" s="1400"/>
      <c r="D92" s="1401"/>
      <c r="E92" s="1402"/>
      <c r="F92" s="1402"/>
      <c r="G92" s="1403"/>
      <c r="H92" s="1401"/>
      <c r="I92" s="1402"/>
      <c r="J92" s="1402"/>
      <c r="K92" s="1403"/>
      <c r="L92" s="1401"/>
      <c r="M92" s="1402"/>
      <c r="N92" s="1402"/>
      <c r="O92" s="1403"/>
      <c r="P92" s="1401"/>
      <c r="Q92" s="1402"/>
      <c r="R92" s="1402"/>
      <c r="S92" s="1403"/>
      <c r="T92" s="1401"/>
      <c r="U92" s="1402"/>
      <c r="V92" s="1402"/>
      <c r="W92" s="1403"/>
      <c r="X92" s="1401"/>
      <c r="Y92" s="1402"/>
      <c r="Z92" s="1402"/>
      <c r="AA92" s="1403"/>
      <c r="AB92" s="1401"/>
      <c r="AC92" s="1402"/>
      <c r="AD92" s="1402"/>
      <c r="AE92" s="1402"/>
      <c r="AF92" s="1404"/>
      <c r="AG92" s="1405"/>
      <c r="AH92" s="1405"/>
      <c r="AI92" s="1403"/>
      <c r="AJ92" s="1404"/>
      <c r="AK92" s="1405"/>
      <c r="AL92" s="1405"/>
      <c r="AM92" s="1405"/>
      <c r="AN92" s="1404"/>
      <c r="AO92" s="1405"/>
      <c r="AP92" s="1405"/>
      <c r="AQ92" s="1405"/>
      <c r="AR92" s="1404"/>
      <c r="AS92" s="1405"/>
      <c r="AT92" s="1405"/>
      <c r="AU92" s="1406"/>
      <c r="AV92" s="1404"/>
      <c r="AW92" s="1405"/>
      <c r="AX92" s="1405"/>
      <c r="AY92" s="1407">
        <f>AY312</f>
        <v>0.95000000000000007</v>
      </c>
      <c r="AZ92" s="1414">
        <f t="shared" ref="AZ92:BK92" si="140">AZ312</f>
        <v>0</v>
      </c>
      <c r="BA92" s="1414">
        <f>BA312</f>
        <v>2.2000000000000002</v>
      </c>
      <c r="BB92" s="1414">
        <f>BB312</f>
        <v>0</v>
      </c>
      <c r="BC92" s="1407">
        <f t="shared" si="140"/>
        <v>0</v>
      </c>
      <c r="BD92" s="1414">
        <f t="shared" si="140"/>
        <v>0</v>
      </c>
      <c r="BE92" s="1409">
        <f t="shared" si="140"/>
        <v>0</v>
      </c>
      <c r="BF92" s="1409">
        <f t="shared" si="140"/>
        <v>0</v>
      </c>
      <c r="BG92" s="1407">
        <f t="shared" si="140"/>
        <v>0</v>
      </c>
      <c r="BH92" s="1414">
        <f t="shared" si="140"/>
        <v>0</v>
      </c>
      <c r="BI92" s="1409">
        <f t="shared" si="140"/>
        <v>0</v>
      </c>
      <c r="BJ92" s="1409">
        <f t="shared" si="140"/>
        <v>0</v>
      </c>
      <c r="BK92" s="1407">
        <f t="shared" si="140"/>
        <v>0</v>
      </c>
      <c r="BL92" s="20"/>
      <c r="BM92" s="480"/>
      <c r="BN92" s="415"/>
      <c r="BO92" s="415"/>
      <c r="BP92" s="415"/>
      <c r="BQ92" s="415"/>
      <c r="BR92" s="415"/>
      <c r="BS92" s="415"/>
      <c r="BT92" s="415"/>
      <c r="BU92" s="415"/>
      <c r="BV92" s="415"/>
      <c r="BW92" s="415"/>
      <c r="BX92" s="415"/>
      <c r="BY92" s="415"/>
      <c r="BZ92" s="415"/>
      <c r="CA92" s="105"/>
      <c r="CB92" s="830"/>
      <c r="CC92" s="480"/>
      <c r="CD92" s="480"/>
      <c r="CE92" s="480"/>
      <c r="CF92" s="260"/>
      <c r="CG92" s="22"/>
      <c r="CH92" s="14"/>
      <c r="CI92" s="14"/>
      <c r="CJ92" s="14"/>
      <c r="CK92" s="862"/>
      <c r="CL92" s="862"/>
      <c r="CM92" s="862"/>
      <c r="CN92" s="862"/>
      <c r="CO92" s="862"/>
      <c r="CP92" s="862"/>
      <c r="CQ92" s="862"/>
      <c r="CR92" s="862"/>
      <c r="CS92" s="864"/>
      <c r="CT92" s="1381"/>
    </row>
    <row r="93" spans="1:256" s="8" customFormat="1" ht="14.25" customHeight="1">
      <c r="A93" s="538"/>
      <c r="B93" s="704" t="s">
        <v>104</v>
      </c>
      <c r="C93" s="268"/>
      <c r="D93" s="104"/>
      <c r="E93" s="104"/>
      <c r="F93" s="104"/>
      <c r="G93" s="105"/>
      <c r="H93" s="104"/>
      <c r="I93" s="104"/>
      <c r="J93" s="104"/>
      <c r="K93" s="105"/>
      <c r="L93" s="104"/>
      <c r="M93" s="104"/>
      <c r="N93" s="104"/>
      <c r="O93" s="105"/>
      <c r="P93" s="104"/>
      <c r="Q93" s="104"/>
      <c r="R93" s="104"/>
      <c r="S93" s="105"/>
      <c r="T93" s="104"/>
      <c r="U93" s="104"/>
      <c r="V93" s="104"/>
      <c r="W93" s="105"/>
      <c r="X93" s="104"/>
      <c r="Y93" s="707">
        <f>0.23*0.3*Y100</f>
        <v>42.292584000000005</v>
      </c>
      <c r="Z93" s="707"/>
      <c r="AA93" s="708">
        <f>0.18*0.33*AA100</f>
        <v>37.213565399999979</v>
      </c>
      <c r="AB93" s="104"/>
      <c r="AC93" s="104"/>
      <c r="AD93" s="104"/>
      <c r="AE93" s="104"/>
      <c r="AF93" s="830"/>
      <c r="AG93" s="480"/>
      <c r="AH93" s="104"/>
      <c r="AI93" s="105"/>
      <c r="AJ93" s="104"/>
      <c r="AK93" s="104"/>
      <c r="AL93" s="104"/>
      <c r="AM93" s="104"/>
      <c r="AN93" s="165"/>
      <c r="AO93" s="104"/>
      <c r="AP93" s="104"/>
      <c r="AQ93" s="105"/>
      <c r="AR93" s="165"/>
      <c r="AS93" s="104"/>
      <c r="AT93" s="104"/>
      <c r="AU93" s="105"/>
      <c r="AV93" s="165"/>
      <c r="AW93" s="104"/>
      <c r="AX93" s="104"/>
      <c r="AY93" s="105"/>
      <c r="AZ93" s="104"/>
      <c r="BA93" s="104"/>
      <c r="BB93" s="104"/>
      <c r="BC93" s="105"/>
      <c r="BD93" s="104"/>
      <c r="BE93" s="104"/>
      <c r="BF93" s="104"/>
      <c r="BG93" s="105"/>
      <c r="BH93" s="104"/>
      <c r="BI93" s="104"/>
      <c r="BJ93" s="104"/>
      <c r="BK93" s="105"/>
      <c r="BL93" s="20"/>
      <c r="BM93" s="480"/>
      <c r="BN93" s="415"/>
      <c r="BO93" s="415"/>
      <c r="BP93" s="415"/>
      <c r="BQ93" s="415"/>
      <c r="BR93" s="415"/>
      <c r="BS93" s="415"/>
      <c r="BT93" s="415"/>
      <c r="BU93" s="415"/>
      <c r="BV93" s="415"/>
      <c r="BW93" s="415"/>
      <c r="BX93" s="415"/>
      <c r="BY93" s="415"/>
      <c r="BZ93" s="415"/>
      <c r="CA93" s="105"/>
      <c r="CB93" s="830"/>
      <c r="CC93" s="480"/>
      <c r="CD93" s="480"/>
      <c r="CE93" s="480"/>
      <c r="CF93" s="260"/>
      <c r="CG93" s="22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260"/>
      <c r="CT93" s="1381"/>
    </row>
    <row r="94" spans="1:256" s="8" customFormat="1" ht="14.25" hidden="1" customHeight="1" outlineLevel="1">
      <c r="A94" s="538"/>
      <c r="B94" s="267"/>
      <c r="C94" s="268"/>
      <c r="D94" s="104"/>
      <c r="E94" s="104"/>
      <c r="F94" s="104"/>
      <c r="G94" s="105"/>
      <c r="H94" s="104"/>
      <c r="I94" s="104"/>
      <c r="J94" s="104"/>
      <c r="K94" s="105"/>
      <c r="L94" s="104"/>
      <c r="M94" s="104"/>
      <c r="N94" s="104"/>
      <c r="O94" s="105"/>
      <c r="P94" s="104"/>
      <c r="Q94" s="104"/>
      <c r="R94" s="104"/>
      <c r="S94" s="105"/>
      <c r="T94" s="104"/>
      <c r="U94" s="104"/>
      <c r="V94" s="104"/>
      <c r="W94" s="105"/>
      <c r="X94" s="104"/>
      <c r="Y94" s="104"/>
      <c r="Z94" s="104"/>
      <c r="AA94" s="105"/>
      <c r="AB94" s="104"/>
      <c r="AC94" s="104"/>
      <c r="AD94" s="104"/>
      <c r="AE94" s="104"/>
      <c r="AF94" s="830"/>
      <c r="AG94" s="480"/>
      <c r="AH94" s="104"/>
      <c r="AI94" s="105"/>
      <c r="AJ94" s="104"/>
      <c r="AK94" s="104"/>
      <c r="AL94" s="104"/>
      <c r="AM94" s="104"/>
      <c r="AN94" s="165"/>
      <c r="AO94" s="104"/>
      <c r="AP94" s="104"/>
      <c r="AQ94" s="105"/>
      <c r="AR94" s="165"/>
      <c r="AS94" s="104"/>
      <c r="AT94" s="104"/>
      <c r="AU94" s="105"/>
      <c r="AV94" s="165"/>
      <c r="AW94" s="104"/>
      <c r="AX94" s="104"/>
      <c r="AY94" s="105"/>
      <c r="AZ94" s="104"/>
      <c r="BA94" s="104"/>
      <c r="BB94" s="104"/>
      <c r="BC94" s="105"/>
      <c r="BD94" s="104"/>
      <c r="BE94" s="104"/>
      <c r="BF94" s="104"/>
      <c r="BG94" s="105"/>
      <c r="BH94" s="104"/>
      <c r="BI94" s="104"/>
      <c r="BJ94" s="104"/>
      <c r="BK94" s="105"/>
      <c r="BL94" s="20"/>
      <c r="BM94" s="480"/>
      <c r="BN94" s="415"/>
      <c r="BO94" s="415"/>
      <c r="BP94" s="415"/>
      <c r="BQ94" s="415"/>
      <c r="BR94" s="415"/>
      <c r="BS94" s="415"/>
      <c r="BT94" s="415"/>
      <c r="BU94" s="415"/>
      <c r="BV94" s="415"/>
      <c r="BW94" s="415"/>
      <c r="BX94" s="415"/>
      <c r="BY94" s="415"/>
      <c r="BZ94" s="415"/>
      <c r="CA94" s="105"/>
      <c r="CB94" s="830"/>
      <c r="CC94" s="480"/>
      <c r="CD94" s="480"/>
      <c r="CE94" s="480"/>
      <c r="CF94" s="260"/>
      <c r="CG94" s="22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260"/>
      <c r="CT94" s="1381"/>
    </row>
    <row r="95" spans="1:256" s="8" customFormat="1" ht="14.25" hidden="1" customHeight="1" outlineLevel="1">
      <c r="A95" s="538"/>
      <c r="B95" s="289" t="s">
        <v>55</v>
      </c>
      <c r="C95" s="268"/>
      <c r="D95" s="416"/>
      <c r="E95" s="416"/>
      <c r="F95" s="416"/>
      <c r="G95" s="417"/>
      <c r="H95" s="486"/>
      <c r="I95" s="416"/>
      <c r="J95" s="416"/>
      <c r="K95" s="417"/>
      <c r="L95" s="486"/>
      <c r="M95" s="416"/>
      <c r="N95" s="416"/>
      <c r="O95" s="417"/>
      <c r="P95" s="486"/>
      <c r="Q95" s="416"/>
      <c r="R95" s="416"/>
      <c r="S95" s="417"/>
      <c r="T95" s="486"/>
      <c r="U95" s="416"/>
      <c r="V95" s="416"/>
      <c r="W95" s="417"/>
      <c r="X95" s="486">
        <f t="shared" ref="X95:AG95" si="141">X111*X88</f>
        <v>46.345680000000002</v>
      </c>
      <c r="Y95" s="416">
        <f t="shared" si="141"/>
        <v>41.830250000000007</v>
      </c>
      <c r="Z95" s="416">
        <f t="shared" si="141"/>
        <v>37.265000000000001</v>
      </c>
      <c r="AA95" s="417">
        <f t="shared" si="141"/>
        <v>35.174249999999972</v>
      </c>
      <c r="AB95" s="486">
        <f t="shared" si="141"/>
        <v>35.592569999999988</v>
      </c>
      <c r="AC95" s="416">
        <f t="shared" si="141"/>
        <v>27.836800000000004</v>
      </c>
      <c r="AD95" s="416">
        <f t="shared" si="141"/>
        <v>26.834399999999995</v>
      </c>
      <c r="AE95" s="416">
        <f t="shared" si="141"/>
        <v>29.759120000000003</v>
      </c>
      <c r="AF95" s="795">
        <f t="shared" si="141"/>
        <v>23.141460000000002</v>
      </c>
      <c r="AG95" s="482">
        <f t="shared" si="141"/>
        <v>21.802499999999998</v>
      </c>
      <c r="AH95" s="482">
        <f t="shared" ref="AH95:AM95" si="142">AH111*AH88</f>
        <v>18.805099999999999</v>
      </c>
      <c r="AI95" s="481">
        <f t="shared" si="142"/>
        <v>18.569950000000002</v>
      </c>
      <c r="AJ95" s="482">
        <f t="shared" si="142"/>
        <v>17.359800000000003</v>
      </c>
      <c r="AK95" s="482">
        <f t="shared" si="142"/>
        <v>19.720320000000001</v>
      </c>
      <c r="AL95" s="482">
        <f t="shared" si="142"/>
        <v>16.996850000000002</v>
      </c>
      <c r="AM95" s="482">
        <f t="shared" si="142"/>
        <v>18.448</v>
      </c>
      <c r="AN95" s="795">
        <f>AN111*AN88</f>
        <v>16.936500000000002</v>
      </c>
      <c r="AO95" s="482">
        <f>AO111*AO88</f>
        <v>15.703850000000001</v>
      </c>
      <c r="AP95" s="482">
        <f>AP111*AP88</f>
        <v>18.916079999999997</v>
      </c>
      <c r="AQ95" s="417">
        <f>AQ98*AQ84</f>
        <v>17.47551</v>
      </c>
      <c r="AR95" s="795">
        <f>AR111*AR88</f>
        <v>14.317550000000001</v>
      </c>
      <c r="AS95" s="416">
        <f>AS111*AS88</f>
        <v>13.439773999999998</v>
      </c>
      <c r="AT95" s="416">
        <f>AT111*AT88</f>
        <v>13.072480999999998</v>
      </c>
      <c r="AU95" s="417">
        <f>AU98*AU84</f>
        <v>13.587023999999998</v>
      </c>
      <c r="AV95" s="795">
        <f>AV111*AV88</f>
        <v>13.829279999999999</v>
      </c>
      <c r="AW95" s="416">
        <f>AW111*AW88</f>
        <v>14.797743000000001</v>
      </c>
      <c r="AX95" s="416">
        <f>AX111*AX88</f>
        <v>16.327227999999998</v>
      </c>
      <c r="AY95" s="417">
        <f>AY98*AY84</f>
        <v>18.895968</v>
      </c>
      <c r="AZ95" s="416">
        <f>AZ98*AZ84</f>
        <v>14.953240000000003</v>
      </c>
      <c r="BA95" s="416">
        <f>BA98*BA84</f>
        <v>16.387039999999995</v>
      </c>
      <c r="BB95" s="416">
        <f>BB98*BB84</f>
        <v>12.71838</v>
      </c>
      <c r="BC95" s="417">
        <f>BC98*BC84</f>
        <v>12.824006939786695</v>
      </c>
      <c r="BD95" s="416">
        <f>BD111*BD88</f>
        <v>13.167208298999999</v>
      </c>
      <c r="BE95" s="416">
        <f>BE111*BE88</f>
        <v>13.582466674160999</v>
      </c>
      <c r="BF95" s="416">
        <f>BF111*BF88</f>
        <v>12.94180338021585</v>
      </c>
      <c r="BG95" s="416">
        <f>BG98*BG84</f>
        <v>12.999493439860199</v>
      </c>
      <c r="BH95" s="416">
        <f>BH111*BH88</f>
        <v>12.980263419978749</v>
      </c>
      <c r="BI95" s="416">
        <f>BI111*BI88</f>
        <v>13.369671322578114</v>
      </c>
      <c r="BJ95" s="416">
        <f>BJ111*BJ88</f>
        <v>12.738820905357203</v>
      </c>
      <c r="BK95" s="416">
        <f>BK98*BK84</f>
        <v>12.776454054265201</v>
      </c>
      <c r="BL95" s="319"/>
      <c r="BM95" s="409"/>
      <c r="BN95" s="409"/>
      <c r="BO95" s="409"/>
      <c r="BP95" s="409"/>
      <c r="BQ95" s="409"/>
      <c r="BR95" s="409">
        <f>SUM(X95:AA95)</f>
        <v>160.61517999999998</v>
      </c>
      <c r="BS95" s="409">
        <f>SUM(AB95:AE95)</f>
        <v>120.02288999999999</v>
      </c>
      <c r="BT95" s="409">
        <f>SUM(AF95:AI95)</f>
        <v>82.319010000000006</v>
      </c>
      <c r="BU95" s="409">
        <f>SUM(AJ95:AM95)</f>
        <v>72.52497000000001</v>
      </c>
      <c r="BV95" s="409">
        <f>SUM(AN95:AQ95)</f>
        <v>69.031940000000006</v>
      </c>
      <c r="BW95" s="409">
        <f>SUM(AR95:AU95)</f>
        <v>54.416828999999993</v>
      </c>
      <c r="BX95" s="409">
        <f>SUM(AV95:AY95)</f>
        <v>63.850218999999996</v>
      </c>
      <c r="BY95" s="409">
        <f>SUM(AZ95:BC95)</f>
        <v>56.882666939786702</v>
      </c>
      <c r="BZ95" s="409">
        <f>SUM(BA95:BD95)</f>
        <v>55.096635238786689</v>
      </c>
      <c r="CA95" s="51">
        <f>SUM(BB95:BE95)</f>
        <v>52.292061912947688</v>
      </c>
      <c r="CB95" s="528"/>
      <c r="CC95" s="529"/>
      <c r="CD95" s="529"/>
      <c r="CE95" s="529"/>
      <c r="CF95" s="260"/>
      <c r="CG95" s="22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260"/>
      <c r="CT95" s="1381"/>
    </row>
    <row r="96" spans="1:256" s="8" customFormat="1" ht="14.25" hidden="1" customHeight="1" outlineLevel="1">
      <c r="A96" s="538"/>
      <c r="B96" s="267" t="s">
        <v>517</v>
      </c>
      <c r="C96" s="268"/>
      <c r="D96" s="104"/>
      <c r="E96" s="104"/>
      <c r="F96" s="104"/>
      <c r="G96" s="105"/>
      <c r="H96" s="165"/>
      <c r="I96" s="104"/>
      <c r="J96" s="104"/>
      <c r="K96" s="105"/>
      <c r="L96" s="165"/>
      <c r="M96" s="104"/>
      <c r="N96" s="104"/>
      <c r="O96" s="105"/>
      <c r="P96" s="165"/>
      <c r="Q96" s="104"/>
      <c r="R96" s="104"/>
      <c r="S96" s="105"/>
      <c r="T96" s="165"/>
      <c r="U96" s="104"/>
      <c r="V96" s="104"/>
      <c r="W96" s="105"/>
      <c r="X96" s="165" t="e">
        <f>X95/W95-1</f>
        <v>#DIV/0!</v>
      </c>
      <c r="Y96" s="104">
        <f t="shared" ref="Y96:AF96" si="143">Y95/X95-1</f>
        <v>-9.7429361269486092E-2</v>
      </c>
      <c r="Z96" s="104">
        <f t="shared" si="143"/>
        <v>-0.10913752607263894</v>
      </c>
      <c r="AA96" s="105">
        <f t="shared" si="143"/>
        <v>-5.6104924191601402E-2</v>
      </c>
      <c r="AB96" s="165">
        <f t="shared" si="143"/>
        <v>1.1892790891064209E-2</v>
      </c>
      <c r="AC96" s="104">
        <f t="shared" si="143"/>
        <v>-0.21790418618267759</v>
      </c>
      <c r="AD96" s="104">
        <f t="shared" si="143"/>
        <v>-3.6009886193815732E-2</v>
      </c>
      <c r="AE96" s="104">
        <f>AE95/AD95-1</f>
        <v>0.10899144381838277</v>
      </c>
      <c r="AF96" s="830">
        <f t="shared" si="143"/>
        <v>-0.22237418310756496</v>
      </c>
      <c r="AG96" s="480">
        <f t="shared" ref="AG96:AR96" si="144">AG95/AF95-1</f>
        <v>-5.7859789313206789E-2</v>
      </c>
      <c r="AH96" s="480">
        <f t="shared" si="144"/>
        <v>-0.13747964682949199</v>
      </c>
      <c r="AI96" s="1236">
        <f t="shared" si="144"/>
        <v>-1.2504586521741246E-2</v>
      </c>
      <c r="AJ96" s="480">
        <f t="shared" si="144"/>
        <v>-6.516711138155995E-2</v>
      </c>
      <c r="AK96" s="480">
        <f t="shared" si="144"/>
        <v>0.13597622092420392</v>
      </c>
      <c r="AL96" s="480">
        <f t="shared" si="144"/>
        <v>-0.13810475692078017</v>
      </c>
      <c r="AM96" s="480">
        <f t="shared" si="144"/>
        <v>8.5377584670100592E-2</v>
      </c>
      <c r="AN96" s="830">
        <f t="shared" si="144"/>
        <v>-8.1933000867302597E-2</v>
      </c>
      <c r="AO96" s="480">
        <f t="shared" si="144"/>
        <v>-7.278068077820099E-2</v>
      </c>
      <c r="AP96" s="480">
        <f t="shared" si="144"/>
        <v>0.20455047647551372</v>
      </c>
      <c r="AQ96" s="105">
        <f t="shared" ref="AQ96:BB96" si="145">AQ95/AP95-1</f>
        <v>-7.6155842013778674E-2</v>
      </c>
      <c r="AR96" s="830">
        <f t="shared" si="144"/>
        <v>-0.18070774472390216</v>
      </c>
      <c r="AS96" s="104">
        <f t="shared" si="145"/>
        <v>-6.1307695799910022E-2</v>
      </c>
      <c r="AT96" s="104">
        <f t="shared" si="145"/>
        <v>-2.7328807761201945E-2</v>
      </c>
      <c r="AU96" s="105">
        <f t="shared" si="145"/>
        <v>3.9360776274985687E-2</v>
      </c>
      <c r="AV96" s="830">
        <f t="shared" si="145"/>
        <v>1.7829953049321334E-2</v>
      </c>
      <c r="AW96" s="104">
        <f t="shared" si="145"/>
        <v>7.0029893096386964E-2</v>
      </c>
      <c r="AX96" s="104">
        <f t="shared" si="145"/>
        <v>0.10335934338094654</v>
      </c>
      <c r="AY96" s="105">
        <f t="shared" si="145"/>
        <v>0.15732860470864996</v>
      </c>
      <c r="AZ96" s="104">
        <f t="shared" si="145"/>
        <v>-0.20865446004142241</v>
      </c>
      <c r="BA96" s="104">
        <f t="shared" si="145"/>
        <v>9.5885573962565473E-2</v>
      </c>
      <c r="BB96" s="104">
        <f t="shared" si="145"/>
        <v>-0.22387569689217801</v>
      </c>
      <c r="BC96" s="105">
        <f t="shared" ref="BC96:BG96" si="146">BC95/BB95-1</f>
        <v>8.305062420425946E-3</v>
      </c>
      <c r="BD96" s="104">
        <f t="shared" si="146"/>
        <v>2.6762412155947546E-2</v>
      </c>
      <c r="BE96" s="104">
        <f t="shared" si="146"/>
        <v>3.1537313432835834E-2</v>
      </c>
      <c r="BF96" s="104">
        <f t="shared" si="146"/>
        <v>-4.7168405365126564E-2</v>
      </c>
      <c r="BG96" s="104">
        <f t="shared" si="146"/>
        <v>4.4576523031203408E-3</v>
      </c>
      <c r="BH96" s="104">
        <f>BH95/BG95-1</f>
        <v>-1.4792899408283544E-3</v>
      </c>
      <c r="BI96" s="104">
        <f>BI95/BH95-1</f>
        <v>3.0000000000000249E-2</v>
      </c>
      <c r="BJ96" s="104">
        <f>BJ95/BI95-1</f>
        <v>-4.7185185185185441E-2</v>
      </c>
      <c r="BK96" s="104">
        <f>BK95/BJ95-1</f>
        <v>2.9542097488921559E-3</v>
      </c>
      <c r="BL96" s="20"/>
      <c r="BM96" s="270"/>
      <c r="BN96" s="270"/>
      <c r="BO96" s="270"/>
      <c r="BP96" s="270"/>
      <c r="BQ96" s="270"/>
      <c r="BR96" s="270"/>
      <c r="BS96" s="270"/>
      <c r="BT96" s="270"/>
      <c r="BU96" s="270"/>
      <c r="BV96" s="270"/>
      <c r="BW96" s="270"/>
      <c r="BX96" s="270"/>
      <c r="BY96" s="270"/>
      <c r="BZ96" s="270"/>
      <c r="CA96" s="24"/>
      <c r="CB96" s="23"/>
      <c r="CC96" s="74"/>
      <c r="CD96" s="74"/>
      <c r="CE96" s="74"/>
      <c r="CF96" s="260"/>
      <c r="CG96" s="22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260"/>
      <c r="CT96" s="1381"/>
    </row>
    <row r="97" spans="1:256" s="8" customFormat="1" ht="14.25" hidden="1" customHeight="1" outlineLevel="1">
      <c r="A97" s="538"/>
      <c r="B97" s="35" t="s">
        <v>518</v>
      </c>
      <c r="C97" s="268"/>
      <c r="D97" s="104"/>
      <c r="E97" s="104"/>
      <c r="F97" s="104"/>
      <c r="G97" s="105"/>
      <c r="H97" s="165"/>
      <c r="I97" s="104"/>
      <c r="J97" s="104"/>
      <c r="K97" s="105"/>
      <c r="L97" s="165"/>
      <c r="M97" s="104"/>
      <c r="N97" s="104"/>
      <c r="O97" s="105"/>
      <c r="P97" s="165"/>
      <c r="Q97" s="104"/>
      <c r="R97" s="104"/>
      <c r="S97" s="105"/>
      <c r="T97" s="165"/>
      <c r="U97" s="104"/>
      <c r="V97" s="104"/>
      <c r="W97" s="105"/>
      <c r="X97" s="165" t="e">
        <f t="shared" ref="X97:AD97" si="147">X95/T95-1</f>
        <v>#DIV/0!</v>
      </c>
      <c r="Y97" s="104" t="e">
        <f t="shared" si="147"/>
        <v>#DIV/0!</v>
      </c>
      <c r="Z97" s="104" t="e">
        <f t="shared" si="147"/>
        <v>#DIV/0!</v>
      </c>
      <c r="AA97" s="105" t="e">
        <f t="shared" si="147"/>
        <v>#DIV/0!</v>
      </c>
      <c r="AB97" s="165">
        <f t="shared" si="147"/>
        <v>-0.23201968338796652</v>
      </c>
      <c r="AC97" s="104">
        <f t="shared" si="147"/>
        <v>-0.33452943742865515</v>
      </c>
      <c r="AD97" s="104">
        <f t="shared" si="147"/>
        <v>-0.27990339460619895</v>
      </c>
      <c r="AE97" s="104">
        <f t="shared" ref="AE97:AR97" si="148">AE95/AA95-1</f>
        <v>-0.15395154125532096</v>
      </c>
      <c r="AF97" s="830">
        <f t="shared" si="148"/>
        <v>-0.3498232917712879</v>
      </c>
      <c r="AG97" s="480">
        <f t="shared" si="148"/>
        <v>-0.21677419818369947</v>
      </c>
      <c r="AH97" s="480">
        <f t="shared" si="148"/>
        <v>-0.29921667710103439</v>
      </c>
      <c r="AI97" s="1236">
        <f t="shared" si="148"/>
        <v>-0.37599129275328036</v>
      </c>
      <c r="AJ97" s="480">
        <f t="shared" si="148"/>
        <v>-0.24983989774197468</v>
      </c>
      <c r="AK97" s="480">
        <f t="shared" si="148"/>
        <v>-9.5501891984864029E-2</v>
      </c>
      <c r="AL97" s="480">
        <f t="shared" si="148"/>
        <v>-9.6157425379285288E-2</v>
      </c>
      <c r="AM97" s="480">
        <f t="shared" si="148"/>
        <v>-6.567061300649768E-3</v>
      </c>
      <c r="AN97" s="830">
        <f t="shared" si="148"/>
        <v>-2.4383921473749792E-2</v>
      </c>
      <c r="AO97" s="480">
        <f t="shared" si="148"/>
        <v>-0.20367164427352091</v>
      </c>
      <c r="AP97" s="480">
        <f t="shared" si="148"/>
        <v>0.11291680517272296</v>
      </c>
      <c r="AQ97" s="105">
        <f t="shared" ref="AQ97:BB97" si="149">AQ95/AM95-1</f>
        <v>-5.2715199479618446E-2</v>
      </c>
      <c r="AR97" s="830">
        <f t="shared" si="148"/>
        <v>-0.15463348389572829</v>
      </c>
      <c r="AS97" s="104">
        <f t="shared" si="149"/>
        <v>-0.14417330781942028</v>
      </c>
      <c r="AT97" s="104">
        <f t="shared" si="149"/>
        <v>-0.30892230314103131</v>
      </c>
      <c r="AU97" s="105">
        <f t="shared" si="149"/>
        <v>-0.22251058767383625</v>
      </c>
      <c r="AV97" s="830">
        <f t="shared" si="149"/>
        <v>-3.4102901683598197E-2</v>
      </c>
      <c r="AW97" s="104">
        <f t="shared" si="149"/>
        <v>0.10104105917257256</v>
      </c>
      <c r="AX97" s="104">
        <f t="shared" si="149"/>
        <v>0.24897699220216896</v>
      </c>
      <c r="AY97" s="105">
        <f t="shared" si="149"/>
        <v>0.39073633784705186</v>
      </c>
      <c r="AZ97" s="104">
        <f t="shared" si="149"/>
        <v>8.1273934724006125E-2</v>
      </c>
      <c r="BA97" s="104">
        <f t="shared" si="149"/>
        <v>0.10740131113237972</v>
      </c>
      <c r="BB97" s="104">
        <f t="shared" si="149"/>
        <v>-0.22103249859682239</v>
      </c>
      <c r="BC97" s="105">
        <f t="shared" ref="BC97:BG97" si="150">BC95/AY95-1</f>
        <v>-0.32133633271464601</v>
      </c>
      <c r="BD97" s="104">
        <f t="shared" si="150"/>
        <v>-0.1194411178446948</v>
      </c>
      <c r="BE97" s="104">
        <f t="shared" si="150"/>
        <v>-0.17114581558591402</v>
      </c>
      <c r="BF97" s="104">
        <f t="shared" si="150"/>
        <v>1.7566968451630638E-2</v>
      </c>
      <c r="BG97" s="104">
        <f t="shared" si="150"/>
        <v>1.3684217491262807E-2</v>
      </c>
      <c r="BH97" s="104">
        <f>BH95/BD95-1</f>
        <v>-1.4197761194029823E-2</v>
      </c>
      <c r="BI97" s="104">
        <f>BI95/BE95-1</f>
        <v>-1.5666915052160779E-2</v>
      </c>
      <c r="BJ97" s="104">
        <f>BJ95/BF95-1</f>
        <v>-1.5684249628529101E-2</v>
      </c>
      <c r="BK97" s="104">
        <f>BK95/BG95-1</f>
        <v>-1.7157544378698208E-2</v>
      </c>
      <c r="BL97" s="20"/>
      <c r="BM97" s="415"/>
      <c r="BN97" s="480"/>
      <c r="BO97" s="415"/>
      <c r="BP97" s="415"/>
      <c r="BQ97" s="415"/>
      <c r="BR97" s="415"/>
      <c r="BS97" s="415">
        <f t="shared" ref="BS97:CA97" si="151">BS95/BR95-1</f>
        <v>-0.25273009686880155</v>
      </c>
      <c r="BT97" s="415">
        <f t="shared" si="151"/>
        <v>-0.31413907797087692</v>
      </c>
      <c r="BU97" s="415">
        <f t="shared" si="151"/>
        <v>-0.11897664950052234</v>
      </c>
      <c r="BV97" s="415">
        <f t="shared" si="151"/>
        <v>-4.8163136089542702E-2</v>
      </c>
      <c r="BW97" s="415">
        <f t="shared" si="151"/>
        <v>-0.21171520023919377</v>
      </c>
      <c r="BX97" s="415">
        <f t="shared" si="151"/>
        <v>0.17335427611924992</v>
      </c>
      <c r="BY97" s="415">
        <f t="shared" si="151"/>
        <v>-0.10912338546894085</v>
      </c>
      <c r="BZ97" s="415">
        <f t="shared" si="151"/>
        <v>-3.1398522556803088E-2</v>
      </c>
      <c r="CA97" s="503">
        <f t="shared" si="151"/>
        <v>-5.0902805837127585E-2</v>
      </c>
      <c r="CB97" s="1234"/>
      <c r="CC97" s="809"/>
      <c r="CD97" s="809"/>
      <c r="CE97" s="809"/>
      <c r="CF97" s="260"/>
      <c r="CG97" s="22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260"/>
      <c r="CT97" s="1381"/>
    </row>
    <row r="98" spans="1:256" s="8" customFormat="1" ht="14.25" customHeight="1" collapsed="1">
      <c r="A98" s="538"/>
      <c r="B98" s="267" t="s">
        <v>538</v>
      </c>
      <c r="C98" s="268"/>
      <c r="D98" s="104"/>
      <c r="E98" s="104"/>
      <c r="F98" s="104"/>
      <c r="G98" s="105"/>
      <c r="H98" s="165"/>
      <c r="I98" s="104"/>
      <c r="J98" s="104"/>
      <c r="K98" s="105"/>
      <c r="L98" s="165"/>
      <c r="M98" s="104"/>
      <c r="N98" s="104"/>
      <c r="O98" s="105"/>
      <c r="P98" s="165"/>
      <c r="Q98" s="104"/>
      <c r="R98" s="104"/>
      <c r="S98" s="105"/>
      <c r="T98" s="165"/>
      <c r="U98" s="104"/>
      <c r="V98" s="104"/>
      <c r="W98" s="105"/>
      <c r="X98" s="165">
        <f t="shared" ref="X98:AG98" si="152">X95/X84</f>
        <v>0.61681831031128875</v>
      </c>
      <c r="Y98" s="104">
        <f t="shared" si="152"/>
        <v>0.62041550830755587</v>
      </c>
      <c r="Z98" s="104">
        <f t="shared" si="152"/>
        <v>0.6141485723703185</v>
      </c>
      <c r="AA98" s="105">
        <f t="shared" si="152"/>
        <v>0.62383178688919694</v>
      </c>
      <c r="AB98" s="165">
        <f t="shared" si="152"/>
        <v>0.62181093770145357</v>
      </c>
      <c r="AC98" s="104">
        <f t="shared" si="152"/>
        <v>0.5884073802884543</v>
      </c>
      <c r="AD98" s="104">
        <f t="shared" si="152"/>
        <v>0.58722505829709448</v>
      </c>
      <c r="AE98" s="104">
        <f t="shared" si="152"/>
        <v>0.61490257142668225</v>
      </c>
      <c r="AF98" s="830">
        <f t="shared" si="152"/>
        <v>0.61901215744493043</v>
      </c>
      <c r="AG98" s="480">
        <f t="shared" si="152"/>
        <v>0.60031620370523342</v>
      </c>
      <c r="AH98" s="480">
        <f t="shared" ref="AH98:AM98" si="153">AH95/AH84</f>
        <v>0.62177541479027376</v>
      </c>
      <c r="AI98" s="1236">
        <f t="shared" si="153"/>
        <v>0.61065877006349956</v>
      </c>
      <c r="AJ98" s="480">
        <f t="shared" si="153"/>
        <v>0.59325303592878842</v>
      </c>
      <c r="AK98" s="480">
        <f t="shared" si="153"/>
        <v>0.52988195539390659</v>
      </c>
      <c r="AL98" s="480">
        <f t="shared" si="153"/>
        <v>0.56124758742638448</v>
      </c>
      <c r="AM98" s="480">
        <f t="shared" si="153"/>
        <v>0.57428630575578199</v>
      </c>
      <c r="AN98" s="830">
        <f>AN95/AN84</f>
        <v>0.58374046788160794</v>
      </c>
      <c r="AO98" s="480">
        <f>AO95/AO84</f>
        <v>0.55411434892529943</v>
      </c>
      <c r="AP98" s="480">
        <f>AP95/AP84</f>
        <v>0.54614274602737389</v>
      </c>
      <c r="AQ98" s="105">
        <v>0.6</v>
      </c>
      <c r="AR98" s="830">
        <f>AR95/AR84</f>
        <v>0.50905939449965332</v>
      </c>
      <c r="AS98" s="104">
        <f>IS!AS32</f>
        <v>0.57194845261935934</v>
      </c>
      <c r="AT98" s="104">
        <f>IS!AT32</f>
        <v>0.57422755793765712</v>
      </c>
      <c r="AU98" s="105">
        <v>0.6</v>
      </c>
      <c r="AV98" s="830">
        <f>AV95/AV84</f>
        <v>0.61584336190496547</v>
      </c>
      <c r="AW98" s="104">
        <f>IS!AW32</f>
        <v>0.61738518107143769</v>
      </c>
      <c r="AX98" s="104">
        <f>IS!AX32</f>
        <v>0.63126961405054227</v>
      </c>
      <c r="AY98" s="105">
        <f>IS!AY32</f>
        <v>0.65392480128902586</v>
      </c>
      <c r="AZ98" s="104">
        <f>IS!AZ32</f>
        <v>0.64937742758079198</v>
      </c>
      <c r="BA98" s="104">
        <f>IS!BA32</f>
        <v>0.65796925014093277</v>
      </c>
      <c r="BB98" s="104">
        <f>IS!BB32</f>
        <v>0.6536334468600784</v>
      </c>
      <c r="BC98" s="105">
        <f>IS!BC32</f>
        <v>0.65253654795676186</v>
      </c>
      <c r="BD98" s="104">
        <f>IS!BD32</f>
        <v>0.67</v>
      </c>
      <c r="BE98" s="104">
        <f>IS!BE32</f>
        <v>0.67100000000000004</v>
      </c>
      <c r="BF98" s="104">
        <f>IS!BF32</f>
        <v>0.67300000000000004</v>
      </c>
      <c r="BG98" s="105">
        <f>IS!BG32</f>
        <v>0.67600000000000005</v>
      </c>
      <c r="BH98" s="104">
        <f>IS!BH32</f>
        <v>0.67500000000000004</v>
      </c>
      <c r="BI98" s="104">
        <f>IS!BI32</f>
        <v>0.67500000000000004</v>
      </c>
      <c r="BJ98" s="104">
        <f>IS!BJ32</f>
        <v>0.67700000000000005</v>
      </c>
      <c r="BK98" s="105">
        <f>IS!BK32</f>
        <v>0.67900000000000005</v>
      </c>
      <c r="BL98" s="20"/>
      <c r="BM98" s="480"/>
      <c r="BN98" s="415"/>
      <c r="BO98" s="415"/>
      <c r="BP98" s="415"/>
      <c r="BQ98" s="415"/>
      <c r="BR98" s="415">
        <f t="shared" ref="BR98:BW98" si="154">BR95/BR84</f>
        <v>0.61865171093607751</v>
      </c>
      <c r="BS98" s="415">
        <f t="shared" si="154"/>
        <v>0.60421604981093158</v>
      </c>
      <c r="BT98" s="415">
        <f t="shared" si="154"/>
        <v>0.61268975226851263</v>
      </c>
      <c r="BU98" s="415">
        <f t="shared" si="154"/>
        <v>0.56270682539415295</v>
      </c>
      <c r="BV98" s="415">
        <f t="shared" si="154"/>
        <v>0.56996628764381996</v>
      </c>
      <c r="BW98" s="415">
        <f t="shared" si="154"/>
        <v>0.56080110107273828</v>
      </c>
      <c r="BX98" s="415">
        <f>BX95/BX84</f>
        <v>0.63102701245905923</v>
      </c>
      <c r="BY98" s="415">
        <f>BY95/BY84</f>
        <v>0.65350046523922933</v>
      </c>
      <c r="BZ98" s="415">
        <f>BZ95/BZ84</f>
        <v>0.70316935973775485</v>
      </c>
      <c r="CA98" s="1455">
        <f>CA95/CA84</f>
        <v>0.68203992473010377</v>
      </c>
      <c r="CB98" s="1494"/>
      <c r="CC98" s="1446"/>
      <c r="CD98" s="1446"/>
      <c r="CE98" s="1446"/>
      <c r="CF98" s="260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260"/>
      <c r="CT98" s="1381"/>
    </row>
    <row r="99" spans="1:256" s="122" customFormat="1" ht="14.25" customHeight="1">
      <c r="A99" s="538"/>
      <c r="B99" s="267"/>
      <c r="C99" s="268"/>
      <c r="D99" s="104"/>
      <c r="E99" s="104"/>
      <c r="F99" s="104"/>
      <c r="G99" s="105"/>
      <c r="H99" s="104"/>
      <c r="I99" s="104"/>
      <c r="J99" s="104"/>
      <c r="K99" s="105"/>
      <c r="L99" s="104"/>
      <c r="M99" s="104"/>
      <c r="N99" s="104"/>
      <c r="O99" s="105"/>
      <c r="P99" s="104"/>
      <c r="Q99" s="104"/>
      <c r="R99" s="104"/>
      <c r="S99" s="105"/>
      <c r="T99" s="104"/>
      <c r="U99" s="104"/>
      <c r="V99" s="104"/>
      <c r="W99" s="105"/>
      <c r="X99" s="104"/>
      <c r="Y99" s="104"/>
      <c r="Z99" s="104"/>
      <c r="AA99" s="105"/>
      <c r="AB99" s="104"/>
      <c r="AC99" s="104"/>
      <c r="AD99" s="104"/>
      <c r="AE99" s="526"/>
      <c r="AF99" s="830"/>
      <c r="AG99" s="415"/>
      <c r="AH99" s="526"/>
      <c r="AI99" s="1266"/>
      <c r="AJ99" s="14"/>
      <c r="AK99" s="14"/>
      <c r="AL99" s="14"/>
      <c r="AM99" s="14"/>
      <c r="AN99" s="15"/>
      <c r="AO99" s="14"/>
      <c r="AP99" s="251"/>
      <c r="AQ99" s="16"/>
      <c r="AR99" s="22"/>
      <c r="AS99" s="14"/>
      <c r="AT99" s="14"/>
      <c r="AU99" s="16"/>
      <c r="AV99" s="22"/>
      <c r="AW99" s="14"/>
      <c r="AX99" s="14"/>
      <c r="AY99" s="16"/>
      <c r="AZ99" s="14"/>
      <c r="BA99" s="14"/>
      <c r="BB99" s="14"/>
      <c r="BC99" s="260"/>
      <c r="BD99" s="14"/>
      <c r="BE99" s="14"/>
      <c r="BF99" s="14"/>
      <c r="BG99" s="260"/>
      <c r="BH99" s="14"/>
      <c r="BI99" s="14"/>
      <c r="BJ99" s="14"/>
      <c r="BK99" s="260"/>
      <c r="BL99" s="20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24"/>
      <c r="CB99" s="23"/>
      <c r="CC99" s="74"/>
      <c r="CD99" s="74"/>
      <c r="CE99" s="74"/>
      <c r="CF99" s="260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6"/>
      <c r="CT99" s="1381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</row>
    <row r="100" spans="1:256" s="8" customFormat="1" ht="14.25" customHeight="1">
      <c r="A100" s="794"/>
      <c r="B100" s="1200" t="s">
        <v>520</v>
      </c>
      <c r="C100" s="1201"/>
      <c r="D100" s="959"/>
      <c r="E100" s="504"/>
      <c r="F100" s="504"/>
      <c r="G100" s="797"/>
      <c r="H100" s="959"/>
      <c r="I100" s="504"/>
      <c r="J100" s="504"/>
      <c r="K100" s="797"/>
      <c r="L100" s="959"/>
      <c r="M100" s="504"/>
      <c r="N100" s="504"/>
      <c r="O100" s="797"/>
      <c r="P100" s="959"/>
      <c r="Q100" s="504"/>
      <c r="R100" s="504"/>
      <c r="S100" s="797"/>
      <c r="T100" s="959"/>
      <c r="U100" s="504"/>
      <c r="V100" s="504"/>
      <c r="W100" s="797"/>
      <c r="X100" s="959">
        <f t="shared" ref="X100:BG100" si="155">+X48+X29+X12+X84+X66</f>
        <v>626.13900000000001</v>
      </c>
      <c r="Y100" s="504">
        <f t="shared" si="155"/>
        <v>612.93600000000004</v>
      </c>
      <c r="Z100" s="504">
        <f t="shared" si="155"/>
        <v>606.77499999999998</v>
      </c>
      <c r="AA100" s="797">
        <f t="shared" si="155"/>
        <v>626.49099999999964</v>
      </c>
      <c r="AB100" s="959">
        <f t="shared" si="155"/>
        <v>636.00200000000007</v>
      </c>
      <c r="AC100" s="504">
        <f t="shared" si="155"/>
        <v>591.35900000000004</v>
      </c>
      <c r="AD100" s="504">
        <f t="shared" si="155"/>
        <v>571.21199999999999</v>
      </c>
      <c r="AE100" s="488">
        <f t="shared" si="155"/>
        <v>604.95600000000002</v>
      </c>
      <c r="AF100" s="959">
        <f t="shared" si="155"/>
        <v>623.07500000000005</v>
      </c>
      <c r="AG100" s="488">
        <f t="shared" si="155"/>
        <v>605.30600000000004</v>
      </c>
      <c r="AH100" s="488">
        <f t="shared" si="155"/>
        <v>604.88400000000001</v>
      </c>
      <c r="AI100" s="489">
        <f t="shared" si="155"/>
        <v>608.19400000000007</v>
      </c>
      <c r="AJ100" s="504">
        <f t="shared" si="155"/>
        <v>585.24099999999999</v>
      </c>
      <c r="AK100" s="504">
        <f t="shared" si="155"/>
        <v>620.274</v>
      </c>
      <c r="AL100" s="504">
        <f t="shared" si="155"/>
        <v>605.68100000000004</v>
      </c>
      <c r="AM100" s="797">
        <f t="shared" si="155"/>
        <v>642.46699999999998</v>
      </c>
      <c r="AN100" s="959">
        <f t="shared" si="155"/>
        <v>580.27499999999998</v>
      </c>
      <c r="AO100" s="504">
        <f t="shared" si="155"/>
        <v>566.80899999999997</v>
      </c>
      <c r="AP100" s="504">
        <f t="shared" si="155"/>
        <v>577.26300000000015</v>
      </c>
      <c r="AQ100" s="797">
        <f t="shared" si="155"/>
        <v>582.51700000000005</v>
      </c>
      <c r="AR100" s="959">
        <f t="shared" si="155"/>
        <v>562.51</v>
      </c>
      <c r="AS100" s="504">
        <f t="shared" si="155"/>
        <v>510.83099999999996</v>
      </c>
      <c r="AT100" s="504">
        <f t="shared" si="155"/>
        <v>555.25199999999995</v>
      </c>
      <c r="AU100" s="797">
        <f t="shared" si="155"/>
        <v>566.12599999999998</v>
      </c>
      <c r="AV100" s="959">
        <f t="shared" si="155"/>
        <v>561.39599999999996</v>
      </c>
      <c r="AW100" s="504">
        <f t="shared" si="155"/>
        <v>550.99800000000005</v>
      </c>
      <c r="AX100" s="504">
        <f t="shared" si="155"/>
        <v>581.21600000000001</v>
      </c>
      <c r="AY100" s="797">
        <f t="shared" si="155"/>
        <v>602.00499999999988</v>
      </c>
      <c r="AZ100" s="504">
        <f>+AZ48+AZ29+AZ12+AZ84+AZ66</f>
        <v>575.67600000000004</v>
      </c>
      <c r="BA100" s="504">
        <f>+BA48+BA29+BA12+BA84+BA66</f>
        <v>622.63699999999994</v>
      </c>
      <c r="BB100" s="504">
        <f>+BB48+BB29+BB12+BB84+BB66</f>
        <v>648.59900000000016</v>
      </c>
      <c r="BC100" s="797">
        <f t="shared" si="155"/>
        <v>629.88691885000003</v>
      </c>
      <c r="BD100" s="504">
        <f t="shared" si="155"/>
        <v>614.40226632400004</v>
      </c>
      <c r="BE100" s="504">
        <f t="shared" si="155"/>
        <v>615.55297175386011</v>
      </c>
      <c r="BF100" s="504">
        <f t="shared" si="155"/>
        <v>647.73373676348967</v>
      </c>
      <c r="BG100" s="797">
        <f t="shared" si="155"/>
        <v>654.58378202244683</v>
      </c>
      <c r="BH100" s="504">
        <f>+BH48+BH29+BH12+BH84+BH66</f>
        <v>644.08009710326837</v>
      </c>
      <c r="BI100" s="504">
        <f>+BI48+BI29+BI12+BI84+BI66</f>
        <v>643.58537466034682</v>
      </c>
      <c r="BJ100" s="504">
        <f>+BJ48+BJ29+BJ12+BJ84+BJ66</f>
        <v>669.76471696236217</v>
      </c>
      <c r="BK100" s="797">
        <f>+BK48+BK29+BK12+BK84+BK66</f>
        <v>687.57139464671707</v>
      </c>
      <c r="BL100" s="1201"/>
      <c r="BM100" s="487"/>
      <c r="BN100" s="504"/>
      <c r="BO100" s="504"/>
      <c r="BP100" s="488"/>
      <c r="BQ100" s="488"/>
      <c r="BR100" s="488">
        <f>SUM(X100:AA100)</f>
        <v>2472.3409999999994</v>
      </c>
      <c r="BS100" s="488">
        <f>SUM(AB100:AE100)</f>
        <v>2403.529</v>
      </c>
      <c r="BT100" s="488">
        <f>SUM(AF100:AI100)</f>
        <v>2441.4590000000003</v>
      </c>
      <c r="BU100" s="488">
        <f>SUM(AJ100:AM100)</f>
        <v>2453.663</v>
      </c>
      <c r="BV100" s="488">
        <f>SUM(AN100:AQ100)</f>
        <v>2306.864</v>
      </c>
      <c r="BW100" s="488">
        <f>SUM(AR100:AU100)</f>
        <v>2194.7190000000001</v>
      </c>
      <c r="BX100" s="488">
        <f>SUM(AV100:AY100)</f>
        <v>2295.6149999999998</v>
      </c>
      <c r="BY100" s="488">
        <f>SUM(AZ100:BC100)</f>
        <v>2476.7989188500005</v>
      </c>
      <c r="BZ100" s="488">
        <f>SUM(BD100:BG100)</f>
        <v>2532.2727568637965</v>
      </c>
      <c r="CA100" s="134">
        <f>SUM(BH100:BK100)</f>
        <v>2645.0015833726943</v>
      </c>
      <c r="CB100" s="1495"/>
      <c r="CC100" s="1048"/>
      <c r="CD100" s="1048"/>
      <c r="CE100" s="1048"/>
      <c r="CF100" s="531"/>
      <c r="CG100" s="1244"/>
      <c r="CH100" s="488"/>
      <c r="CI100" s="488"/>
      <c r="CJ100" s="488">
        <f>+SUM(V100:Y100)</f>
        <v>1239.075</v>
      </c>
      <c r="CK100" s="488">
        <f>+SUM(Z100:AC100)</f>
        <v>2460.6269999999995</v>
      </c>
      <c r="CL100" s="488">
        <f>+SUM(AD100:AG100)</f>
        <v>2404.549</v>
      </c>
      <c r="CM100" s="488">
        <f>+SUM(AH100:AK100)</f>
        <v>2418.5929999999998</v>
      </c>
      <c r="CN100" s="488">
        <f>+SUM(AL100:AO100)</f>
        <v>2395.232</v>
      </c>
      <c r="CO100" s="488">
        <f>+SUM(AP100:AS100)</f>
        <v>2233.1210000000001</v>
      </c>
      <c r="CP100" s="488">
        <f>+SUM(AT100:AW100)</f>
        <v>2233.7719999999999</v>
      </c>
      <c r="CQ100" s="488">
        <f>+SUM(AX100:BA100)</f>
        <v>2381.5339999999997</v>
      </c>
      <c r="CR100" s="488">
        <f>+SUM(BB100:BE100)</f>
        <v>2508.4411569278604</v>
      </c>
      <c r="CS100" s="410">
        <f>+SUM(BF100:BI100)</f>
        <v>2589.9829905495517</v>
      </c>
      <c r="CT100" s="1381"/>
      <c r="CU100" s="122"/>
      <c r="CV100" s="122"/>
      <c r="CW100" s="122"/>
      <c r="CX100" s="122"/>
      <c r="CY100" s="122"/>
      <c r="CZ100" s="122"/>
      <c r="DA100" s="122"/>
      <c r="DB100" s="122"/>
      <c r="DC100" s="122"/>
      <c r="DD100" s="122"/>
      <c r="DE100" s="122"/>
      <c r="DF100" s="122"/>
      <c r="DG100" s="122"/>
      <c r="DH100" s="122"/>
      <c r="DI100" s="122"/>
      <c r="DJ100" s="122"/>
      <c r="DK100" s="122"/>
      <c r="DL100" s="122"/>
      <c r="DM100" s="122"/>
      <c r="DN100" s="122"/>
      <c r="DO100" s="122"/>
      <c r="DP100" s="122"/>
      <c r="DQ100" s="122"/>
      <c r="DR100" s="122"/>
      <c r="DS100" s="122"/>
      <c r="DT100" s="122"/>
      <c r="DU100" s="122"/>
      <c r="DV100" s="122"/>
      <c r="DW100" s="122"/>
      <c r="DX100" s="122"/>
      <c r="DY100" s="122"/>
      <c r="DZ100" s="122"/>
      <c r="EA100" s="122"/>
      <c r="EB100" s="122"/>
      <c r="EC100" s="122"/>
      <c r="ED100" s="122"/>
      <c r="EE100" s="122"/>
      <c r="EF100" s="122"/>
      <c r="EG100" s="122"/>
      <c r="EH100" s="122"/>
      <c r="EI100" s="122"/>
      <c r="EJ100" s="122"/>
      <c r="EK100" s="122"/>
      <c r="EL100" s="122"/>
      <c r="EM100" s="122"/>
      <c r="EN100" s="122"/>
      <c r="EO100" s="122"/>
      <c r="EP100" s="122"/>
      <c r="EQ100" s="122"/>
      <c r="ER100" s="122"/>
      <c r="ES100" s="122"/>
      <c r="ET100" s="122"/>
      <c r="EU100" s="122"/>
      <c r="EV100" s="122"/>
      <c r="EW100" s="122"/>
      <c r="EX100" s="122"/>
      <c r="EY100" s="122"/>
      <c r="EZ100" s="122"/>
      <c r="FA100" s="122"/>
      <c r="FB100" s="122"/>
      <c r="FC100" s="122"/>
      <c r="FD100" s="122"/>
      <c r="FE100" s="122"/>
      <c r="FF100" s="122"/>
      <c r="FG100" s="122"/>
      <c r="FH100" s="122"/>
      <c r="FI100" s="122"/>
      <c r="FJ100" s="122"/>
      <c r="FK100" s="122"/>
      <c r="FL100" s="122"/>
      <c r="FM100" s="122"/>
      <c r="FN100" s="122"/>
      <c r="FO100" s="122"/>
      <c r="FP100" s="122"/>
      <c r="FQ100" s="122"/>
      <c r="FR100" s="122"/>
      <c r="FS100" s="122"/>
      <c r="FT100" s="122"/>
      <c r="FU100" s="122"/>
      <c r="FV100" s="122"/>
      <c r="FW100" s="122"/>
      <c r="FX100" s="122"/>
      <c r="FY100" s="122"/>
      <c r="FZ100" s="122"/>
      <c r="GA100" s="122"/>
      <c r="GB100" s="122"/>
      <c r="GC100" s="122"/>
      <c r="GD100" s="122"/>
      <c r="GE100" s="122"/>
      <c r="GF100" s="122"/>
      <c r="GG100" s="122"/>
      <c r="GH100" s="122"/>
      <c r="GI100" s="122"/>
      <c r="GJ100" s="122"/>
      <c r="GK100" s="122"/>
      <c r="GL100" s="122"/>
      <c r="GM100" s="122"/>
      <c r="GN100" s="122"/>
      <c r="GO100" s="122"/>
      <c r="GP100" s="122"/>
      <c r="GQ100" s="122"/>
      <c r="GR100" s="122"/>
      <c r="GS100" s="122"/>
      <c r="GT100" s="122"/>
      <c r="GU100" s="122"/>
      <c r="GV100" s="122"/>
      <c r="GW100" s="122"/>
      <c r="GX100" s="122"/>
      <c r="GY100" s="122"/>
      <c r="GZ100" s="122"/>
      <c r="HA100" s="122"/>
      <c r="HB100" s="122"/>
      <c r="HC100" s="122"/>
      <c r="HD100" s="122"/>
      <c r="HE100" s="122"/>
      <c r="HF100" s="122"/>
      <c r="HG100" s="122"/>
      <c r="HH100" s="122"/>
      <c r="HI100" s="122"/>
      <c r="HJ100" s="122"/>
      <c r="HK100" s="122"/>
      <c r="HL100" s="122"/>
      <c r="HM100" s="122"/>
      <c r="HN100" s="122"/>
      <c r="HO100" s="122"/>
      <c r="HP100" s="122"/>
      <c r="HQ100" s="122"/>
      <c r="HR100" s="122"/>
      <c r="HS100" s="122"/>
      <c r="HT100" s="122"/>
      <c r="HU100" s="122"/>
      <c r="HV100" s="122"/>
      <c r="HW100" s="122"/>
      <c r="HX100" s="122"/>
      <c r="HY100" s="122"/>
      <c r="HZ100" s="122"/>
      <c r="IA100" s="122"/>
      <c r="IB100" s="122"/>
      <c r="IC100" s="122"/>
      <c r="ID100" s="122"/>
      <c r="IE100" s="122"/>
      <c r="IF100" s="122"/>
      <c r="IG100" s="122"/>
      <c r="IH100" s="122"/>
      <c r="II100" s="122"/>
      <c r="IJ100" s="122"/>
      <c r="IK100" s="122"/>
      <c r="IL100" s="122"/>
      <c r="IM100" s="122"/>
      <c r="IN100" s="122"/>
      <c r="IO100" s="122"/>
      <c r="IP100" s="122"/>
      <c r="IQ100" s="122"/>
      <c r="IR100" s="122"/>
      <c r="IS100" s="122"/>
      <c r="IT100" s="122"/>
      <c r="IU100" s="122"/>
      <c r="IV100" s="122"/>
    </row>
    <row r="101" spans="1:256" s="8" customFormat="1" ht="14.25" customHeight="1">
      <c r="A101" s="538"/>
      <c r="B101" s="267" t="s">
        <v>517</v>
      </c>
      <c r="C101" s="268"/>
      <c r="D101" s="104"/>
      <c r="E101" s="104"/>
      <c r="F101" s="104"/>
      <c r="G101" s="105"/>
      <c r="H101" s="104"/>
      <c r="I101" s="104"/>
      <c r="J101" s="104"/>
      <c r="K101" s="105"/>
      <c r="L101" s="104"/>
      <c r="M101" s="104"/>
      <c r="N101" s="104"/>
      <c r="O101" s="105"/>
      <c r="P101" s="104"/>
      <c r="Q101" s="104"/>
      <c r="R101" s="104"/>
      <c r="S101" s="105"/>
      <c r="T101" s="104"/>
      <c r="U101" s="104"/>
      <c r="V101" s="104"/>
      <c r="W101" s="105"/>
      <c r="X101" s="104" t="e">
        <f>X100/W100-1</f>
        <v>#DIV/0!</v>
      </c>
      <c r="Y101" s="104">
        <f t="shared" ref="Y101:AQ101" si="156">Y100/X100-1</f>
        <v>-2.1086372195311176E-2</v>
      </c>
      <c r="Z101" s="104">
        <f t="shared" si="156"/>
        <v>-1.0051620397562022E-2</v>
      </c>
      <c r="AA101" s="105">
        <f t="shared" si="156"/>
        <v>3.2493098759836192E-2</v>
      </c>
      <c r="AB101" s="104">
        <f t="shared" si="156"/>
        <v>1.5181383292019346E-2</v>
      </c>
      <c r="AC101" s="104">
        <f t="shared" si="156"/>
        <v>-7.0193175493158844E-2</v>
      </c>
      <c r="AD101" s="104">
        <f t="shared" si="156"/>
        <v>-3.4068983477041903E-2</v>
      </c>
      <c r="AE101" s="270">
        <f t="shared" si="156"/>
        <v>5.9074389193504384E-2</v>
      </c>
      <c r="AF101" s="830">
        <f t="shared" si="156"/>
        <v>2.9950938580657116E-2</v>
      </c>
      <c r="AG101" s="415">
        <f>AG100/AF100-1</f>
        <v>-2.8518236167395572E-2</v>
      </c>
      <c r="AH101" s="270">
        <f t="shared" si="156"/>
        <v>-6.9716804393149534E-4</v>
      </c>
      <c r="AI101" s="316">
        <f t="shared" si="156"/>
        <v>5.472123580719801E-3</v>
      </c>
      <c r="AJ101" s="270">
        <f t="shared" si="156"/>
        <v>-3.773960282409905E-2</v>
      </c>
      <c r="AK101" s="270">
        <f t="shared" si="156"/>
        <v>5.9860809478488486E-2</v>
      </c>
      <c r="AL101" s="270">
        <f t="shared" si="156"/>
        <v>-2.3526699490870051E-2</v>
      </c>
      <c r="AM101" s="316">
        <f t="shared" si="156"/>
        <v>6.0734941330502279E-2</v>
      </c>
      <c r="AN101" s="269">
        <f>AN100/AM100-1</f>
        <v>-9.6801859083812891E-2</v>
      </c>
      <c r="AO101" s="270">
        <f t="shared" si="156"/>
        <v>-2.3206238421438097E-2</v>
      </c>
      <c r="AP101" s="270">
        <f t="shared" si="156"/>
        <v>1.8443602695088046E-2</v>
      </c>
      <c r="AQ101" s="316">
        <f t="shared" si="156"/>
        <v>9.1015706878838643E-3</v>
      </c>
      <c r="AR101" s="269">
        <f t="shared" ref="AR101:BB101" si="157">AR100/AQ100-1</f>
        <v>-3.4345778749804823E-2</v>
      </c>
      <c r="AS101" s="270">
        <f t="shared" si="157"/>
        <v>-9.1872144495209085E-2</v>
      </c>
      <c r="AT101" s="270">
        <f t="shared" si="157"/>
        <v>8.6958309108100318E-2</v>
      </c>
      <c r="AU101" s="316">
        <f t="shared" si="157"/>
        <v>1.9583900643311614E-2</v>
      </c>
      <c r="AV101" s="269">
        <f t="shared" si="157"/>
        <v>-8.3550305055765106E-3</v>
      </c>
      <c r="AW101" s="270">
        <f t="shared" si="157"/>
        <v>-1.8521685227539719E-2</v>
      </c>
      <c r="AX101" s="270">
        <f t="shared" si="157"/>
        <v>5.4842304327783253E-2</v>
      </c>
      <c r="AY101" s="316">
        <f t="shared" si="157"/>
        <v>3.5768113747728592E-2</v>
      </c>
      <c r="AZ101" s="270">
        <f t="shared" si="157"/>
        <v>-4.3735517146867298E-2</v>
      </c>
      <c r="BA101" s="270">
        <f t="shared" si="157"/>
        <v>8.1575400051417724E-2</v>
      </c>
      <c r="BB101" s="270">
        <f t="shared" si="157"/>
        <v>4.1696847440804596E-2</v>
      </c>
      <c r="BC101" s="316">
        <f t="shared" ref="BC101:BG101" si="158">BC100/BB100-1</f>
        <v>-2.8850000000000153E-2</v>
      </c>
      <c r="BD101" s="270">
        <f t="shared" si="158"/>
        <v>-2.458322607218244E-2</v>
      </c>
      <c r="BE101" s="270">
        <f t="shared" si="158"/>
        <v>1.8728860437720041E-3</v>
      </c>
      <c r="BF101" s="270">
        <f t="shared" si="158"/>
        <v>5.2279440578344882E-2</v>
      </c>
      <c r="BG101" s="316">
        <f t="shared" si="158"/>
        <v>1.0575402932051281E-2</v>
      </c>
      <c r="BH101" s="270">
        <f>BH100/BG100-1</f>
        <v>-1.6046356795956007E-2</v>
      </c>
      <c r="BI101" s="270">
        <f>BI100/BH100-1</f>
        <v>-7.6810701828322614E-4</v>
      </c>
      <c r="BJ101" s="270">
        <f>BJ100/BI100-1</f>
        <v>4.0677341861336647E-2</v>
      </c>
      <c r="BK101" s="316">
        <f>BK100/BJ100-1</f>
        <v>2.658646720764124E-2</v>
      </c>
      <c r="BL101" s="260"/>
      <c r="BM101" s="22"/>
      <c r="BN101" s="14"/>
      <c r="BO101" s="14"/>
      <c r="BP101" s="14"/>
      <c r="BQ101" s="270"/>
      <c r="BR101" s="270"/>
      <c r="BS101" s="270"/>
      <c r="BT101" s="270"/>
      <c r="BU101" s="270"/>
      <c r="BV101" s="270"/>
      <c r="BW101" s="270"/>
      <c r="BX101" s="270"/>
      <c r="BY101" s="270"/>
      <c r="BZ101" s="270"/>
      <c r="CA101" s="24"/>
      <c r="CB101" s="23"/>
      <c r="CC101" s="74"/>
      <c r="CD101" s="74"/>
      <c r="CE101" s="74"/>
      <c r="CF101" s="260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260"/>
      <c r="CT101" s="1381"/>
    </row>
    <row r="102" spans="1:256" s="8" customFormat="1" ht="14.25" customHeight="1">
      <c r="A102" s="538"/>
      <c r="B102" s="35" t="s">
        <v>96</v>
      </c>
      <c r="C102" s="268"/>
      <c r="D102" s="165"/>
      <c r="E102" s="104"/>
      <c r="F102" s="104"/>
      <c r="G102" s="105"/>
      <c r="H102" s="165"/>
      <c r="I102" s="104"/>
      <c r="J102" s="104"/>
      <c r="K102" s="105"/>
      <c r="L102" s="165"/>
      <c r="M102" s="104"/>
      <c r="N102" s="104"/>
      <c r="O102" s="105"/>
      <c r="P102" s="165"/>
      <c r="Q102" s="104"/>
      <c r="R102" s="104"/>
      <c r="S102" s="105"/>
      <c r="T102" s="165"/>
      <c r="U102" s="104"/>
      <c r="V102" s="104"/>
      <c r="W102" s="105"/>
      <c r="X102" s="165"/>
      <c r="Y102" s="104"/>
      <c r="Z102" s="104"/>
      <c r="AA102" s="105"/>
      <c r="AB102" s="165"/>
      <c r="AC102" s="104"/>
      <c r="AD102" s="104"/>
      <c r="AE102" s="270">
        <f>AVERAGE(AA101,W101,S101,O101)</f>
        <v>3.2493098759836192E-2</v>
      </c>
      <c r="AF102" s="468"/>
      <c r="AG102" s="415">
        <f>AVERAGE(AC101,Y101,U101,Q101)</f>
        <v>-4.563977384423501E-2</v>
      </c>
      <c r="AH102" s="270">
        <f>AVERAGE(AD101,Z101,V101,R101)</f>
        <v>-2.2060301937301963E-2</v>
      </c>
      <c r="AI102" s="316">
        <f t="shared" ref="AI102:BB102" si="159">AE102</f>
        <v>3.2493098759836192E-2</v>
      </c>
      <c r="AJ102" s="270">
        <f t="shared" si="159"/>
        <v>0</v>
      </c>
      <c r="AK102" s="270">
        <f t="shared" si="159"/>
        <v>-4.563977384423501E-2</v>
      </c>
      <c r="AL102" s="270">
        <f t="shared" si="159"/>
        <v>-2.2060301937301963E-2</v>
      </c>
      <c r="AM102" s="316">
        <f t="shared" si="159"/>
        <v>3.2493098759836192E-2</v>
      </c>
      <c r="AN102" s="269">
        <f t="shared" si="159"/>
        <v>0</v>
      </c>
      <c r="AO102" s="270">
        <f t="shared" si="159"/>
        <v>-4.563977384423501E-2</v>
      </c>
      <c r="AP102" s="270">
        <f t="shared" si="159"/>
        <v>-2.2060301937301963E-2</v>
      </c>
      <c r="AQ102" s="316">
        <f t="shared" si="159"/>
        <v>3.2493098759836192E-2</v>
      </c>
      <c r="AR102" s="269">
        <f t="shared" si="159"/>
        <v>0</v>
      </c>
      <c r="AS102" s="270">
        <f t="shared" si="159"/>
        <v>-4.563977384423501E-2</v>
      </c>
      <c r="AT102" s="270">
        <f t="shared" si="159"/>
        <v>-2.2060301937301963E-2</v>
      </c>
      <c r="AU102" s="316">
        <f t="shared" si="159"/>
        <v>3.2493098759836192E-2</v>
      </c>
      <c r="AV102" s="269">
        <f t="shared" si="159"/>
        <v>0</v>
      </c>
      <c r="AW102" s="270">
        <f t="shared" si="159"/>
        <v>-4.563977384423501E-2</v>
      </c>
      <c r="AX102" s="270">
        <f t="shared" si="159"/>
        <v>-2.2060301937301963E-2</v>
      </c>
      <c r="AY102" s="316">
        <f t="shared" si="159"/>
        <v>3.2493098759836192E-2</v>
      </c>
      <c r="AZ102" s="270">
        <f t="shared" si="159"/>
        <v>0</v>
      </c>
      <c r="BA102" s="270">
        <f t="shared" si="159"/>
        <v>-4.563977384423501E-2</v>
      </c>
      <c r="BB102" s="270">
        <f t="shared" si="159"/>
        <v>-2.2060301937301963E-2</v>
      </c>
      <c r="BC102" s="316">
        <f t="shared" ref="BC102:BG102" si="160">AY102</f>
        <v>3.2493098759836192E-2</v>
      </c>
      <c r="BD102" s="270">
        <f t="shared" si="160"/>
        <v>0</v>
      </c>
      <c r="BE102" s="270">
        <f t="shared" si="160"/>
        <v>-4.563977384423501E-2</v>
      </c>
      <c r="BF102" s="270">
        <f t="shared" si="160"/>
        <v>-2.2060301937301963E-2</v>
      </c>
      <c r="BG102" s="316">
        <f t="shared" si="160"/>
        <v>3.2493098759836192E-2</v>
      </c>
      <c r="BH102" s="270">
        <f>BD102</f>
        <v>0</v>
      </c>
      <c r="BI102" s="270">
        <f>BE102</f>
        <v>-4.563977384423501E-2</v>
      </c>
      <c r="BJ102" s="270">
        <f>BF102</f>
        <v>-2.2060301937301963E-2</v>
      </c>
      <c r="BK102" s="316">
        <f>BG102</f>
        <v>3.2493098759836192E-2</v>
      </c>
      <c r="BL102" s="260"/>
      <c r="BM102" s="22"/>
      <c r="BN102" s="14"/>
      <c r="BO102" s="14"/>
      <c r="BP102" s="14"/>
      <c r="BQ102" s="270"/>
      <c r="BR102" s="270"/>
      <c r="BS102" s="270"/>
      <c r="BT102" s="270"/>
      <c r="BU102" s="270"/>
      <c r="BV102" s="270"/>
      <c r="BW102" s="270"/>
      <c r="BX102" s="270"/>
      <c r="BY102" s="270"/>
      <c r="BZ102" s="270"/>
      <c r="CA102" s="24"/>
      <c r="CB102" s="23"/>
      <c r="CC102" s="74"/>
      <c r="CD102" s="74"/>
      <c r="CE102" s="74"/>
      <c r="CF102" s="260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260"/>
      <c r="CT102" s="1381"/>
    </row>
    <row r="103" spans="1:256" s="8" customFormat="1" ht="14.25" customHeight="1">
      <c r="A103" s="538"/>
      <c r="B103" s="366" t="s">
        <v>518</v>
      </c>
      <c r="C103" s="1202"/>
      <c r="D103" s="271"/>
      <c r="E103" s="271"/>
      <c r="F103" s="271"/>
      <c r="G103" s="272"/>
      <c r="H103" s="271"/>
      <c r="I103" s="271"/>
      <c r="J103" s="271"/>
      <c r="K103" s="272"/>
      <c r="L103" s="271"/>
      <c r="M103" s="271"/>
      <c r="N103" s="271"/>
      <c r="O103" s="272"/>
      <c r="P103" s="271"/>
      <c r="Q103" s="271"/>
      <c r="R103" s="271"/>
      <c r="S103" s="272"/>
      <c r="T103" s="271"/>
      <c r="U103" s="271"/>
      <c r="V103" s="271"/>
      <c r="W103" s="272"/>
      <c r="X103" s="271" t="e">
        <f>X100/T100-1</f>
        <v>#DIV/0!</v>
      </c>
      <c r="Y103" s="271" t="e">
        <f>Y100/U100-1</f>
        <v>#DIV/0!</v>
      </c>
      <c r="Z103" s="271" t="e">
        <f>Z100/V100-1</f>
        <v>#DIV/0!</v>
      </c>
      <c r="AA103" s="272" t="e">
        <f>AA100/W100-1</f>
        <v>#DIV/0!</v>
      </c>
      <c r="AB103" s="271">
        <f t="shared" ref="AB103:AO103" si="161">AB100/X100-1</f>
        <v>1.5752093385015264E-2</v>
      </c>
      <c r="AC103" s="271">
        <f t="shared" si="161"/>
        <v>-3.5202696529490818E-2</v>
      </c>
      <c r="AD103" s="271">
        <f t="shared" si="161"/>
        <v>-5.8609863623254044E-2</v>
      </c>
      <c r="AE103" s="292">
        <f t="shared" si="161"/>
        <v>-3.4373997391821454E-2</v>
      </c>
      <c r="AF103" s="831">
        <f t="shared" si="161"/>
        <v>-2.0325407781736526E-2</v>
      </c>
      <c r="AG103" s="833">
        <f>AG100/AC100-1</f>
        <v>2.3584658388559276E-2</v>
      </c>
      <c r="AH103" s="292">
        <f t="shared" si="161"/>
        <v>5.8948341421398709E-2</v>
      </c>
      <c r="AI103" s="293">
        <f t="shared" si="161"/>
        <v>5.3524553851851397E-3</v>
      </c>
      <c r="AJ103" s="292">
        <f t="shared" si="161"/>
        <v>-6.0721421979697543E-2</v>
      </c>
      <c r="AK103" s="292">
        <f t="shared" si="161"/>
        <v>2.4727988818878277E-2</v>
      </c>
      <c r="AL103" s="292">
        <f t="shared" si="161"/>
        <v>1.3176080041794602E-3</v>
      </c>
      <c r="AM103" s="293">
        <f t="shared" si="161"/>
        <v>5.6352085025501486E-2</v>
      </c>
      <c r="AN103" s="294">
        <f t="shared" ref="AN103:BB103" si="162">AN100/AJ100-1</f>
        <v>-8.4853931969907093E-3</v>
      </c>
      <c r="AO103" s="292">
        <f t="shared" si="161"/>
        <v>-8.6195777994886202E-2</v>
      </c>
      <c r="AP103" s="292">
        <f t="shared" si="162"/>
        <v>-4.6919087770624923E-2</v>
      </c>
      <c r="AQ103" s="293">
        <f t="shared" si="162"/>
        <v>-9.3312185684245152E-2</v>
      </c>
      <c r="AR103" s="294">
        <f t="shared" si="162"/>
        <v>-3.061479470940498E-2</v>
      </c>
      <c r="AS103" s="292">
        <f t="shared" si="162"/>
        <v>-9.8759899719305766E-2</v>
      </c>
      <c r="AT103" s="292">
        <f t="shared" si="162"/>
        <v>-3.8129933842980024E-2</v>
      </c>
      <c r="AU103" s="293">
        <f t="shared" si="162"/>
        <v>-2.8138234592295253E-2</v>
      </c>
      <c r="AV103" s="294">
        <f t="shared" si="162"/>
        <v>-1.980409237169134E-3</v>
      </c>
      <c r="AW103" s="292">
        <f t="shared" si="162"/>
        <v>7.8630701738931386E-2</v>
      </c>
      <c r="AX103" s="292">
        <f t="shared" si="162"/>
        <v>4.6760750073840507E-2</v>
      </c>
      <c r="AY103" s="293">
        <f t="shared" si="162"/>
        <v>6.3376350847690999E-2</v>
      </c>
      <c r="AZ103" s="292">
        <f t="shared" si="162"/>
        <v>2.5436590214394261E-2</v>
      </c>
      <c r="BA103" s="292">
        <f t="shared" si="162"/>
        <v>0.13001680586862374</v>
      </c>
      <c r="BB103" s="292">
        <f t="shared" si="162"/>
        <v>0.11593452348180389</v>
      </c>
      <c r="BC103" s="293">
        <f t="shared" ref="BC103:BG103" si="163">BC100/AY100-1</f>
        <v>4.6315095140406104E-2</v>
      </c>
      <c r="BD103" s="292">
        <f t="shared" si="163"/>
        <v>6.7270941161347686E-2</v>
      </c>
      <c r="BE103" s="292">
        <f t="shared" si="163"/>
        <v>-1.1377461098745933E-2</v>
      </c>
      <c r="BF103" s="292">
        <f t="shared" si="163"/>
        <v>-1.3340496000001645E-3</v>
      </c>
      <c r="BG103" s="293">
        <f t="shared" si="163"/>
        <v>3.9208407784585342E-2</v>
      </c>
      <c r="BH103" s="292">
        <f>BH100/BD100-1</f>
        <v>4.8303582857583294E-2</v>
      </c>
      <c r="BI103" s="292">
        <f>BI100/BE100-1</f>
        <v>4.5540195877237899E-2</v>
      </c>
      <c r="BJ103" s="292">
        <f>BJ100/BF100-1</f>
        <v>3.4012401930697544E-2</v>
      </c>
      <c r="BK103" s="293">
        <f>BK100/BG100-1</f>
        <v>5.0394790598614403E-2</v>
      </c>
      <c r="BL103" s="16"/>
      <c r="BM103" s="15"/>
      <c r="BN103" s="833"/>
      <c r="BO103" s="833"/>
      <c r="BP103" s="833"/>
      <c r="BQ103" s="833"/>
      <c r="BR103" s="833"/>
      <c r="BS103" s="833">
        <f t="shared" ref="BS103:BZ103" si="164">BS100/BR100-1</f>
        <v>-2.7832730193771638E-2</v>
      </c>
      <c r="BT103" s="833">
        <f t="shared" si="164"/>
        <v>1.5780962077012628E-2</v>
      </c>
      <c r="BU103" s="833">
        <f t="shared" si="164"/>
        <v>4.998650397159965E-3</v>
      </c>
      <c r="BV103" s="833">
        <f t="shared" si="164"/>
        <v>-5.9828509457085177E-2</v>
      </c>
      <c r="BW103" s="833">
        <f t="shared" si="164"/>
        <v>-4.8613615713800185E-2</v>
      </c>
      <c r="BX103" s="833">
        <f t="shared" si="164"/>
        <v>4.5972172291760316E-2</v>
      </c>
      <c r="BY103" s="833">
        <f t="shared" si="164"/>
        <v>7.8926091199962078E-2</v>
      </c>
      <c r="BZ103" s="833">
        <f t="shared" si="164"/>
        <v>2.239739269571106E-2</v>
      </c>
      <c r="CA103" s="1268">
        <f>CA100/BZ100-1</f>
        <v>4.4516857910879892E-2</v>
      </c>
      <c r="CB103" s="830"/>
      <c r="CC103" s="480"/>
      <c r="CD103" s="480"/>
      <c r="CE103" s="480"/>
      <c r="CF103" s="260"/>
      <c r="CG103" s="251"/>
      <c r="CH103" s="251"/>
      <c r="CI103" s="833"/>
      <c r="CJ103" s="833"/>
      <c r="CK103" s="833">
        <f t="shared" ref="CK103:CP103" si="165">+CK100/CJ100-1</f>
        <v>0.98585799891047721</v>
      </c>
      <c r="CL103" s="833">
        <f t="shared" si="165"/>
        <v>-2.2790126256437726E-2</v>
      </c>
      <c r="CM103" s="833">
        <f t="shared" si="165"/>
        <v>5.8405963030905284E-3</v>
      </c>
      <c r="CN103" s="833">
        <f t="shared" si="165"/>
        <v>-9.6589215299969222E-3</v>
      </c>
      <c r="CO103" s="833">
        <f t="shared" si="165"/>
        <v>-6.76807090085636E-2</v>
      </c>
      <c r="CP103" s="833">
        <f t="shared" si="165"/>
        <v>2.9152025349277189E-4</v>
      </c>
      <c r="CQ103" s="833">
        <f>+CQ100/CP100-1</f>
        <v>6.6149096684889885E-2</v>
      </c>
      <c r="CR103" s="833">
        <f>+CR100/CQ100-1</f>
        <v>5.3287988719816992E-2</v>
      </c>
      <c r="CS103" s="1268">
        <f>+CS100/CR100-1</f>
        <v>3.2506974858265147E-2</v>
      </c>
      <c r="CT103" s="1381"/>
    </row>
    <row r="104" spans="1:256" s="8" customFormat="1" ht="14.25" customHeight="1">
      <c r="A104" s="538"/>
      <c r="B104" s="15"/>
      <c r="C104" s="16"/>
      <c r="D104" s="271"/>
      <c r="E104" s="271"/>
      <c r="F104" s="271"/>
      <c r="G104" s="272"/>
      <c r="H104" s="271"/>
      <c r="I104" s="271"/>
      <c r="J104" s="271"/>
      <c r="K104" s="272"/>
      <c r="L104" s="271"/>
      <c r="M104" s="271"/>
      <c r="N104" s="271"/>
      <c r="O104" s="272"/>
      <c r="P104" s="271"/>
      <c r="Q104" s="271"/>
      <c r="R104" s="271"/>
      <c r="S104" s="272"/>
      <c r="T104" s="271"/>
      <c r="U104" s="271"/>
      <c r="V104" s="271"/>
      <c r="W104" s="272"/>
      <c r="X104" s="271"/>
      <c r="Y104" s="271"/>
      <c r="Z104" s="271"/>
      <c r="AA104" s="272"/>
      <c r="AB104" s="271"/>
      <c r="AC104" s="271"/>
      <c r="AD104" s="271"/>
      <c r="AE104" s="292"/>
      <c r="AF104" s="831"/>
      <c r="AG104" s="833"/>
      <c r="AH104" s="292"/>
      <c r="AI104" s="293"/>
      <c r="AJ104" s="294"/>
      <c r="AK104" s="292"/>
      <c r="AL104" s="292"/>
      <c r="AM104" s="293"/>
      <c r="AN104" s="294"/>
      <c r="AO104" s="292"/>
      <c r="AP104" s="292"/>
      <c r="AQ104" s="293"/>
      <c r="AR104" s="294"/>
      <c r="AS104" s="292"/>
      <c r="AT104" s="292"/>
      <c r="AU104" s="293"/>
      <c r="AV104" s="294"/>
      <c r="AW104" s="292"/>
      <c r="AX104" s="292"/>
      <c r="AY104" s="293"/>
      <c r="AZ104" s="292"/>
      <c r="BA104" s="292"/>
      <c r="BB104" s="292"/>
      <c r="BC104" s="292"/>
      <c r="BD104" s="292"/>
      <c r="BE104" s="292"/>
      <c r="BF104" s="292"/>
      <c r="BG104" s="292"/>
      <c r="BH104" s="292"/>
      <c r="BI104" s="292"/>
      <c r="BJ104" s="292"/>
      <c r="BK104" s="292"/>
      <c r="BL104" s="260"/>
      <c r="BM104" s="22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260"/>
      <c r="CB104" s="23"/>
      <c r="CC104" s="74"/>
      <c r="CD104" s="74"/>
      <c r="CE104" s="74"/>
      <c r="CF104" s="260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260"/>
      <c r="CT104" s="1381"/>
    </row>
    <row r="105" spans="1:256" s="8" customFormat="1" ht="14.25" customHeight="1">
      <c r="A105" s="538"/>
      <c r="B105" s="289" t="s">
        <v>539</v>
      </c>
      <c r="C105" s="352"/>
      <c r="D105" s="486"/>
      <c r="E105" s="416"/>
      <c r="F105" s="416"/>
      <c r="G105" s="417"/>
      <c r="H105" s="416"/>
      <c r="I105" s="416"/>
      <c r="J105" s="416"/>
      <c r="K105" s="417"/>
      <c r="L105" s="486"/>
      <c r="M105" s="416"/>
      <c r="N105" s="416"/>
      <c r="O105" s="417"/>
      <c r="P105" s="486"/>
      <c r="Q105" s="416"/>
      <c r="R105" s="416"/>
      <c r="S105" s="417"/>
      <c r="T105" s="486"/>
      <c r="U105" s="416"/>
      <c r="V105" s="416"/>
      <c r="W105" s="417"/>
      <c r="X105" s="486">
        <f t="shared" ref="X105:BG105" si="166">X61+X42+X24+X95+X79</f>
        <v>386.214</v>
      </c>
      <c r="Y105" s="416">
        <f t="shared" si="166"/>
        <v>380.27500000000003</v>
      </c>
      <c r="Z105" s="416">
        <f t="shared" si="166"/>
        <v>372.64999999999992</v>
      </c>
      <c r="AA105" s="417">
        <f t="shared" si="166"/>
        <v>390.8249999999997</v>
      </c>
      <c r="AB105" s="486">
        <f t="shared" si="166"/>
        <v>395.47299999999984</v>
      </c>
      <c r="AC105" s="416">
        <f t="shared" si="166"/>
        <v>347.96</v>
      </c>
      <c r="AD105" s="416">
        <f t="shared" si="166"/>
        <v>335.42999999999995</v>
      </c>
      <c r="AE105" s="409">
        <f t="shared" si="166"/>
        <v>371.98900000000003</v>
      </c>
      <c r="AF105" s="795">
        <f t="shared" si="166"/>
        <v>385.69100000000003</v>
      </c>
      <c r="AG105" s="409">
        <f t="shared" si="166"/>
        <v>363.37499999999994</v>
      </c>
      <c r="AH105" s="409">
        <f t="shared" si="166"/>
        <v>373.731112</v>
      </c>
      <c r="AI105" s="410">
        <f t="shared" si="166"/>
        <v>371.39899999999994</v>
      </c>
      <c r="AJ105" s="413">
        <f t="shared" si="166"/>
        <v>347.19600000000003</v>
      </c>
      <c r="AK105" s="409">
        <f t="shared" si="166"/>
        <v>328.67200000000003</v>
      </c>
      <c r="AL105" s="409">
        <f t="shared" si="166"/>
        <v>339.93700000000001</v>
      </c>
      <c r="AM105" s="410">
        <f t="shared" si="166"/>
        <v>368.96</v>
      </c>
      <c r="AN105" s="413">
        <f t="shared" si="166"/>
        <v>338.73</v>
      </c>
      <c r="AO105" s="409">
        <f t="shared" si="166"/>
        <v>314.07699999999994</v>
      </c>
      <c r="AP105" s="409">
        <f t="shared" si="166"/>
        <v>315.26800000000003</v>
      </c>
      <c r="AQ105" s="410">
        <f t="shared" si="166"/>
        <v>305.99146000000007</v>
      </c>
      <c r="AR105" s="413">
        <f t="shared" si="166"/>
        <v>286.351</v>
      </c>
      <c r="AS105" s="409">
        <f t="shared" si="166"/>
        <v>292.16899999999993</v>
      </c>
      <c r="AT105" s="409">
        <f t="shared" si="166"/>
        <v>318.84099999999995</v>
      </c>
      <c r="AU105" s="410">
        <f t="shared" si="166"/>
        <v>346.73294399999997</v>
      </c>
      <c r="AV105" s="413">
        <f t="shared" si="166"/>
        <v>345.73199999999997</v>
      </c>
      <c r="AW105" s="409">
        <f t="shared" si="166"/>
        <v>340.17800000000005</v>
      </c>
      <c r="AX105" s="409">
        <f t="shared" si="166"/>
        <v>366.904</v>
      </c>
      <c r="AY105" s="410">
        <f t="shared" si="166"/>
        <v>393.66600000000005</v>
      </c>
      <c r="AZ105" s="409">
        <f>AZ61+AZ42+AZ24+AZ95+AZ79</f>
        <v>373.83100000000007</v>
      </c>
      <c r="BA105" s="409">
        <f>BA61+BA42+BA24+BA95+BA79</f>
        <v>409.67599999999993</v>
      </c>
      <c r="BB105" s="409">
        <f>BB61+BB42+BB24+BB95+BB79</f>
        <v>423.94599999999997</v>
      </c>
      <c r="BC105" s="410">
        <f t="shared" si="166"/>
        <v>411.02423562950003</v>
      </c>
      <c r="BD105" s="409">
        <f t="shared" si="166"/>
        <v>411.64951843708002</v>
      </c>
      <c r="BE105" s="409">
        <f t="shared" si="166"/>
        <v>413.03604404684017</v>
      </c>
      <c r="BF105" s="409">
        <f t="shared" si="166"/>
        <v>435.92480484182852</v>
      </c>
      <c r="BG105" s="410">
        <f t="shared" si="166"/>
        <v>442.49863664717407</v>
      </c>
      <c r="BH105" s="409">
        <f>BH61+BH42+BH24+BH95+BH79</f>
        <v>434.75406554470618</v>
      </c>
      <c r="BI105" s="409">
        <f>BI61+BI42+BI24+BI95+BI79</f>
        <v>434.42012789573408</v>
      </c>
      <c r="BJ105" s="409">
        <f>BJ61+BJ42+BJ24+BJ95+BJ79</f>
        <v>453.43071338351916</v>
      </c>
      <c r="BK105" s="410">
        <f>BK61+BK42+BK24+BK95+BK79</f>
        <v>466.86097696512104</v>
      </c>
      <c r="BL105" s="319"/>
      <c r="BM105" s="413"/>
      <c r="BN105" s="482"/>
      <c r="BO105" s="482"/>
      <c r="BP105" s="409"/>
      <c r="BQ105" s="409"/>
      <c r="BR105" s="409">
        <f>SUM(X105:AA105)</f>
        <v>1529.9639999999995</v>
      </c>
      <c r="BS105" s="409">
        <f>SUM(AB105:AE105)</f>
        <v>1450.8519999999999</v>
      </c>
      <c r="BT105" s="409">
        <f>SUM(AF105:AI105)</f>
        <v>1494.1961119999999</v>
      </c>
      <c r="BU105" s="409">
        <f>SUM(AJ105:AM105)</f>
        <v>1384.7650000000001</v>
      </c>
      <c r="BV105" s="409">
        <f>SUM(AN105:AQ105)</f>
        <v>1274.06646</v>
      </c>
      <c r="BW105" s="409">
        <f>SUM(AR105:AU105)</f>
        <v>1244.0939439999997</v>
      </c>
      <c r="BX105" s="409">
        <f>SUM(AV105:AY105)</f>
        <v>1446.48</v>
      </c>
      <c r="BY105" s="409">
        <f>SUM(AZ105:BC105)</f>
        <v>1618.4772356295</v>
      </c>
      <c r="BZ105" s="409">
        <f>SUM(BD105:BG105)</f>
        <v>1703.1090039729229</v>
      </c>
      <c r="CA105" s="410">
        <f>SUM(BH105:BK105)</f>
        <v>1789.4658837890806</v>
      </c>
      <c r="CB105" s="795"/>
      <c r="CC105" s="482"/>
      <c r="CD105" s="482"/>
      <c r="CE105" s="482"/>
      <c r="CF105" s="260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260"/>
      <c r="CT105" s="1381"/>
    </row>
    <row r="106" spans="1:256" s="8" customFormat="1" ht="14.25" customHeight="1">
      <c r="A106" s="538"/>
      <c r="B106" s="354" t="s">
        <v>540</v>
      </c>
      <c r="C106" s="352"/>
      <c r="D106" s="502"/>
      <c r="E106" s="502"/>
      <c r="F106" s="502"/>
      <c r="G106" s="503"/>
      <c r="H106" s="502"/>
      <c r="I106" s="502"/>
      <c r="J106" s="502"/>
      <c r="K106" s="503"/>
      <c r="L106" s="502"/>
      <c r="M106" s="502"/>
      <c r="N106" s="502"/>
      <c r="O106" s="503"/>
      <c r="P106" s="502"/>
      <c r="Q106" s="502"/>
      <c r="R106" s="502"/>
      <c r="S106" s="503"/>
      <c r="T106" s="502"/>
      <c r="U106" s="502"/>
      <c r="V106" s="502"/>
      <c r="W106" s="503"/>
      <c r="X106" s="502">
        <f t="shared" ref="X106:AQ106" si="167">X105/X100</f>
        <v>0.61681831031128864</v>
      </c>
      <c r="Y106" s="502">
        <f t="shared" si="167"/>
        <v>0.62041550830755576</v>
      </c>
      <c r="Z106" s="502">
        <f t="shared" si="167"/>
        <v>0.61414857237031839</v>
      </c>
      <c r="AA106" s="503">
        <f t="shared" si="167"/>
        <v>0.62383178688919705</v>
      </c>
      <c r="AB106" s="502">
        <f t="shared" si="167"/>
        <v>0.62181093770145346</v>
      </c>
      <c r="AC106" s="502">
        <f t="shared" si="167"/>
        <v>0.58840738028845418</v>
      </c>
      <c r="AD106" s="502">
        <f t="shared" si="167"/>
        <v>0.58722505829709448</v>
      </c>
      <c r="AE106" s="502">
        <f t="shared" si="167"/>
        <v>0.61490257142668225</v>
      </c>
      <c r="AF106" s="1234">
        <f t="shared" si="167"/>
        <v>0.61901215744493043</v>
      </c>
      <c r="AG106" s="809">
        <f>AG105/AG100</f>
        <v>0.6003162037052332</v>
      </c>
      <c r="AH106" s="502">
        <f t="shared" si="167"/>
        <v>0.61785584012802452</v>
      </c>
      <c r="AI106" s="503">
        <f t="shared" si="167"/>
        <v>0.61065877006349933</v>
      </c>
      <c r="AJ106" s="1237">
        <f t="shared" si="167"/>
        <v>0.59325303592878842</v>
      </c>
      <c r="AK106" s="502">
        <f t="shared" si="167"/>
        <v>0.52988195539390659</v>
      </c>
      <c r="AL106" s="502">
        <f t="shared" si="167"/>
        <v>0.56124758742638448</v>
      </c>
      <c r="AM106" s="503">
        <f t="shared" si="167"/>
        <v>0.57428630575578199</v>
      </c>
      <c r="AN106" s="1237">
        <f t="shared" si="167"/>
        <v>0.58374046788160794</v>
      </c>
      <c r="AO106" s="502">
        <f>AO105/AO100</f>
        <v>0.55411434892529932</v>
      </c>
      <c r="AP106" s="502">
        <f t="shared" si="167"/>
        <v>0.54614274602737389</v>
      </c>
      <c r="AQ106" s="503">
        <f t="shared" si="167"/>
        <v>0.52529189706051505</v>
      </c>
      <c r="AR106" s="1237">
        <f t="shared" ref="AR106:AY106" si="168">AR105/AR100</f>
        <v>0.50905939449965332</v>
      </c>
      <c r="AS106" s="502">
        <f t="shared" si="168"/>
        <v>0.57194845261935934</v>
      </c>
      <c r="AT106" s="502">
        <f t="shared" si="168"/>
        <v>0.57422755793765712</v>
      </c>
      <c r="AU106" s="503">
        <f t="shared" si="168"/>
        <v>0.6124660305303059</v>
      </c>
      <c r="AV106" s="1237">
        <f t="shared" si="168"/>
        <v>0.61584336190496547</v>
      </c>
      <c r="AW106" s="502">
        <f t="shared" si="168"/>
        <v>0.61738518107143769</v>
      </c>
      <c r="AX106" s="502">
        <f t="shared" si="168"/>
        <v>0.63126961405054227</v>
      </c>
      <c r="AY106" s="503">
        <f t="shared" si="168"/>
        <v>0.65392480128902608</v>
      </c>
      <c r="AZ106" s="502">
        <f>AZ105/AZ100</f>
        <v>0.64937742758079209</v>
      </c>
      <c r="BA106" s="502">
        <f>BA105/BA100</f>
        <v>0.65796925014093277</v>
      </c>
      <c r="BB106" s="502">
        <f>BB105/BB100</f>
        <v>0.65363344686007818</v>
      </c>
      <c r="BC106" s="503">
        <f t="shared" ref="BC106:BG106" si="169">BC105/BC100</f>
        <v>0.65253654795676186</v>
      </c>
      <c r="BD106" s="502">
        <f t="shared" si="169"/>
        <v>0.67</v>
      </c>
      <c r="BE106" s="502">
        <f t="shared" si="169"/>
        <v>0.67100000000000004</v>
      </c>
      <c r="BF106" s="502">
        <f t="shared" si="169"/>
        <v>0.67299999999999993</v>
      </c>
      <c r="BG106" s="503">
        <f t="shared" si="169"/>
        <v>0.67600000000000005</v>
      </c>
      <c r="BH106" s="502">
        <f>BH105/BH100</f>
        <v>0.67500000000000004</v>
      </c>
      <c r="BI106" s="502">
        <f>BI105/BI100</f>
        <v>0.67499999999999993</v>
      </c>
      <c r="BJ106" s="502">
        <f>BJ105/BJ100</f>
        <v>0.67699999999999994</v>
      </c>
      <c r="BK106" s="503">
        <f>BK105/BK100</f>
        <v>0.67900000000000027</v>
      </c>
      <c r="BL106" s="319"/>
      <c r="BM106" s="468"/>
      <c r="BN106" s="415"/>
      <c r="BO106" s="415"/>
      <c r="BP106" s="415"/>
      <c r="BQ106" s="415"/>
      <c r="BR106" s="415">
        <f t="shared" ref="BR106:BW106" si="170">BR105/BR100</f>
        <v>0.6188321109426248</v>
      </c>
      <c r="BS106" s="415">
        <f t="shared" si="170"/>
        <v>0.60363407306506389</v>
      </c>
      <c r="BT106" s="415">
        <f t="shared" si="170"/>
        <v>0.61200950415304933</v>
      </c>
      <c r="BU106" s="415">
        <f t="shared" si="170"/>
        <v>0.56436641869727022</v>
      </c>
      <c r="BV106" s="415">
        <f t="shared" si="170"/>
        <v>0.55229370261966027</v>
      </c>
      <c r="BW106" s="415">
        <f t="shared" si="170"/>
        <v>0.566857964049156</v>
      </c>
      <c r="BX106" s="415">
        <f>BX105/BX100</f>
        <v>0.63010565796093865</v>
      </c>
      <c r="BY106" s="415">
        <f>BY105/BY100</f>
        <v>0.65345524148604406</v>
      </c>
      <c r="BZ106" s="415">
        <f>BZ105/BZ100</f>
        <v>0.67256143689758463</v>
      </c>
      <c r="CA106" s="355">
        <f>CA105/CA100</f>
        <v>0.67654624293543786</v>
      </c>
      <c r="CB106" s="1234"/>
      <c r="CC106" s="809"/>
      <c r="CD106" s="809"/>
      <c r="CE106" s="809"/>
      <c r="CF106" s="260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260"/>
      <c r="CT106" s="1381"/>
    </row>
    <row r="107" spans="1:256" s="8" customFormat="1" ht="14.25" customHeight="1">
      <c r="A107" s="538"/>
      <c r="B107" s="267" t="s">
        <v>517</v>
      </c>
      <c r="C107" s="268"/>
      <c r="D107" s="104"/>
      <c r="E107" s="104"/>
      <c r="F107" s="104"/>
      <c r="G107" s="105"/>
      <c r="H107" s="104"/>
      <c r="I107" s="104"/>
      <c r="J107" s="104"/>
      <c r="K107" s="105"/>
      <c r="L107" s="104"/>
      <c r="M107" s="104"/>
      <c r="N107" s="104"/>
      <c r="O107" s="105"/>
      <c r="P107" s="104"/>
      <c r="Q107" s="104"/>
      <c r="R107" s="104"/>
      <c r="S107" s="105"/>
      <c r="T107" s="104"/>
      <c r="U107" s="104"/>
      <c r="V107" s="104"/>
      <c r="W107" s="105"/>
      <c r="X107" s="104" t="e">
        <f>X106/W106-1</f>
        <v>#DIV/0!</v>
      </c>
      <c r="Y107" s="104">
        <f t="shared" ref="Y107:AQ107" si="171">Y106/X106-1</f>
        <v>5.8318599434115104E-3</v>
      </c>
      <c r="Z107" s="104">
        <f t="shared" si="171"/>
        <v>-1.010119162612988E-2</v>
      </c>
      <c r="AA107" s="105">
        <f t="shared" si="171"/>
        <v>1.5766892498839669E-2</v>
      </c>
      <c r="AB107" s="104">
        <f t="shared" si="171"/>
        <v>-3.2394136211313374E-3</v>
      </c>
      <c r="AC107" s="104">
        <f t="shared" si="171"/>
        <v>-5.3719797108228273E-2</v>
      </c>
      <c r="AD107" s="104">
        <f t="shared" si="171"/>
        <v>-2.0093595542259868E-3</v>
      </c>
      <c r="AE107" s="104">
        <f t="shared" si="171"/>
        <v>4.7132718092532278E-2</v>
      </c>
      <c r="AF107" s="830">
        <f t="shared" si="171"/>
        <v>6.6833124615388595E-3</v>
      </c>
      <c r="AG107" s="480">
        <f>AG106/AF106-1</f>
        <v>-3.0202886187030153E-2</v>
      </c>
      <c r="AH107" s="104">
        <f t="shared" si="171"/>
        <v>2.9217329658160596E-2</v>
      </c>
      <c r="AI107" s="105">
        <f t="shared" si="171"/>
        <v>-1.164846165900757E-2</v>
      </c>
      <c r="AJ107" s="165">
        <f t="shared" si="171"/>
        <v>-2.8503208318617856E-2</v>
      </c>
      <c r="AK107" s="104">
        <f t="shared" si="171"/>
        <v>-0.10681964810457134</v>
      </c>
      <c r="AL107" s="104">
        <f t="shared" si="171"/>
        <v>5.9193621736300051E-2</v>
      </c>
      <c r="AM107" s="105">
        <f t="shared" si="171"/>
        <v>2.3231669269505373E-2</v>
      </c>
      <c r="AN107" s="165">
        <f>AN106/AM106-1</f>
        <v>1.6462454408318061E-2</v>
      </c>
      <c r="AO107" s="104">
        <f t="shared" si="171"/>
        <v>-5.0752210248197649E-2</v>
      </c>
      <c r="AP107" s="104">
        <f t="shared" si="171"/>
        <v>-1.4386205506835004E-2</v>
      </c>
      <c r="AQ107" s="105">
        <f t="shared" si="171"/>
        <v>-3.8178386728611291E-2</v>
      </c>
      <c r="AR107" s="165">
        <f t="shared" ref="AR107:BB107" si="172">AR106/AQ106-1</f>
        <v>-3.0901871229496058E-2</v>
      </c>
      <c r="AS107" s="104">
        <f t="shared" si="172"/>
        <v>0.12353972601079044</v>
      </c>
      <c r="AT107" s="104">
        <f t="shared" si="172"/>
        <v>3.984808959374142E-3</v>
      </c>
      <c r="AU107" s="105">
        <f t="shared" si="172"/>
        <v>6.6591148516073506E-2</v>
      </c>
      <c r="AV107" s="165">
        <f t="shared" si="172"/>
        <v>5.5143162335635765E-3</v>
      </c>
      <c r="AW107" s="104">
        <f t="shared" si="172"/>
        <v>2.503589811706286E-3</v>
      </c>
      <c r="AX107" s="104">
        <f t="shared" si="172"/>
        <v>2.2489093364711055E-2</v>
      </c>
      <c r="AY107" s="105">
        <f t="shared" si="172"/>
        <v>3.5888290413848223E-2</v>
      </c>
      <c r="AZ107" s="104">
        <f t="shared" si="172"/>
        <v>-6.9539703942566033E-3</v>
      </c>
      <c r="BA107" s="104">
        <f t="shared" si="172"/>
        <v>1.3230861122088822E-2</v>
      </c>
      <c r="BB107" s="104">
        <f t="shared" si="172"/>
        <v>-6.5896746389377814E-3</v>
      </c>
      <c r="BC107" s="105">
        <f t="shared" ref="BC107:BG107" si="173">BC106/BB106-1</f>
        <v>-1.6781560193799283E-3</v>
      </c>
      <c r="BD107" s="104">
        <f t="shared" si="173"/>
        <v>2.6762412155947768E-2</v>
      </c>
      <c r="BE107" s="104">
        <f t="shared" si="173"/>
        <v>1.4925373134329067E-3</v>
      </c>
      <c r="BF107" s="104">
        <f t="shared" si="173"/>
        <v>2.9806259314455463E-3</v>
      </c>
      <c r="BG107" s="105">
        <f t="shared" si="173"/>
        <v>4.4576523031205628E-3</v>
      </c>
      <c r="BH107" s="104">
        <f>BH106/BG106-1</f>
        <v>-1.4792899408283544E-3</v>
      </c>
      <c r="BI107" s="104">
        <f>BI106/BH106-1</f>
        <v>0</v>
      </c>
      <c r="BJ107" s="104">
        <f>BJ106/BI106-1</f>
        <v>2.9629629629630561E-3</v>
      </c>
      <c r="BK107" s="105">
        <f>BK106/BJ106-1</f>
        <v>2.9542097488926E-3</v>
      </c>
      <c r="BL107" s="20"/>
      <c r="BM107" s="22"/>
      <c r="BN107" s="14"/>
      <c r="BO107" s="14"/>
      <c r="BP107" s="14"/>
      <c r="BQ107" s="14"/>
      <c r="BR107" s="270"/>
      <c r="BS107" s="270"/>
      <c r="BT107" s="270"/>
      <c r="BU107" s="270"/>
      <c r="BV107" s="270"/>
      <c r="BW107" s="270"/>
      <c r="BX107" s="270"/>
      <c r="BY107" s="270"/>
      <c r="BZ107" s="270"/>
      <c r="CA107" s="260"/>
      <c r="CB107" s="23"/>
      <c r="CC107" s="74"/>
      <c r="CD107" s="74"/>
      <c r="CE107" s="74"/>
      <c r="CF107" s="260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260"/>
      <c r="CT107" s="1381"/>
    </row>
    <row r="108" spans="1:256" s="8" customFormat="1" ht="14.25" customHeight="1">
      <c r="A108" s="538"/>
      <c r="B108" s="35" t="s">
        <v>518</v>
      </c>
      <c r="C108" s="36"/>
      <c r="D108" s="104"/>
      <c r="E108" s="104"/>
      <c r="F108" s="104"/>
      <c r="G108" s="105"/>
      <c r="H108" s="104"/>
      <c r="I108" s="104"/>
      <c r="J108" s="104"/>
      <c r="K108" s="105"/>
      <c r="L108" s="104"/>
      <c r="M108" s="104"/>
      <c r="N108" s="104"/>
      <c r="O108" s="105"/>
      <c r="P108" s="104"/>
      <c r="Q108" s="104" t="e">
        <f t="shared" ref="Q108:AO108" si="174">Q106/M106-1</f>
        <v>#DIV/0!</v>
      </c>
      <c r="R108" s="104" t="e">
        <f t="shared" si="174"/>
        <v>#DIV/0!</v>
      </c>
      <c r="S108" s="105" t="e">
        <f t="shared" si="174"/>
        <v>#DIV/0!</v>
      </c>
      <c r="T108" s="104" t="e">
        <f t="shared" si="174"/>
        <v>#DIV/0!</v>
      </c>
      <c r="U108" s="104" t="e">
        <f t="shared" si="174"/>
        <v>#DIV/0!</v>
      </c>
      <c r="V108" s="104" t="e">
        <f t="shared" si="174"/>
        <v>#DIV/0!</v>
      </c>
      <c r="W108" s="105" t="e">
        <f t="shared" si="174"/>
        <v>#DIV/0!</v>
      </c>
      <c r="X108" s="104" t="e">
        <f>X106/T106-1</f>
        <v>#DIV/0!</v>
      </c>
      <c r="Y108" s="104" t="e">
        <f>Y106/U106-1</f>
        <v>#DIV/0!</v>
      </c>
      <c r="Z108" s="104" t="e">
        <f>Z106/V106-1</f>
        <v>#DIV/0!</v>
      </c>
      <c r="AA108" s="105" t="e">
        <f>AA106/W106-1</f>
        <v>#DIV/0!</v>
      </c>
      <c r="AB108" s="104">
        <f t="shared" si="174"/>
        <v>8.0941621004169129E-3</v>
      </c>
      <c r="AC108" s="104">
        <f t="shared" si="174"/>
        <v>-5.1591437658315864E-2</v>
      </c>
      <c r="AD108" s="104">
        <f t="shared" si="174"/>
        <v>-4.3838763589911234E-2</v>
      </c>
      <c r="AE108" s="104">
        <f t="shared" si="174"/>
        <v>-1.4313498686947757E-2</v>
      </c>
      <c r="AF108" s="830">
        <f t="shared" si="174"/>
        <v>-4.5010148371927849E-3</v>
      </c>
      <c r="AG108" s="480">
        <f>AG106/AC106-1</f>
        <v>2.0239078937013044E-2</v>
      </c>
      <c r="AH108" s="104">
        <f t="shared" si="174"/>
        <v>5.2161912026978063E-2</v>
      </c>
      <c r="AI108" s="105">
        <f t="shared" si="174"/>
        <v>-6.9015833733407916E-3</v>
      </c>
      <c r="AJ108" s="165">
        <f t="shared" si="174"/>
        <v>-4.1613272382996169E-2</v>
      </c>
      <c r="AK108" s="104">
        <f t="shared" si="174"/>
        <v>-0.11732858096549259</v>
      </c>
      <c r="AL108" s="104">
        <f t="shared" si="174"/>
        <v>-9.1620486568372295E-2</v>
      </c>
      <c r="AM108" s="105">
        <f t="shared" si="174"/>
        <v>-5.956266591231496E-2</v>
      </c>
      <c r="AN108" s="165">
        <f t="shared" ref="AN108:BB108" si="175">AN106/AJ106-1</f>
        <v>-1.6034588061210275E-2</v>
      </c>
      <c r="AO108" s="104">
        <f t="shared" si="174"/>
        <v>4.5731682848831223E-2</v>
      </c>
      <c r="AP108" s="104">
        <f t="shared" si="175"/>
        <v>-2.6912973413879993E-2</v>
      </c>
      <c r="AQ108" s="105">
        <f t="shared" si="175"/>
        <v>-8.5313559115411053E-2</v>
      </c>
      <c r="AR108" s="165">
        <f t="shared" si="175"/>
        <v>-0.12793540535740477</v>
      </c>
      <c r="AS108" s="104">
        <f t="shared" si="175"/>
        <v>3.2184879761098184E-2</v>
      </c>
      <c r="AT108" s="104">
        <f t="shared" si="175"/>
        <v>5.1423940196169138E-2</v>
      </c>
      <c r="AU108" s="105">
        <f t="shared" si="175"/>
        <v>0.16595369918631775</v>
      </c>
      <c r="AV108" s="165">
        <f t="shared" si="175"/>
        <v>0.20976720704716278</v>
      </c>
      <c r="AW108" s="104">
        <f t="shared" si="175"/>
        <v>7.9441999089238324E-2</v>
      </c>
      <c r="AX108" s="104">
        <f t="shared" si="175"/>
        <v>9.9337022970043654E-2</v>
      </c>
      <c r="AY108" s="105">
        <f t="shared" si="175"/>
        <v>6.769154319109405E-2</v>
      </c>
      <c r="AZ108" s="104">
        <f t="shared" si="175"/>
        <v>5.4452264569511577E-2</v>
      </c>
      <c r="BA108" s="104">
        <f t="shared" si="175"/>
        <v>6.5735411723138126E-2</v>
      </c>
      <c r="BB108" s="104">
        <f t="shared" si="175"/>
        <v>3.5426753184013338E-2</v>
      </c>
      <c r="BC108" s="105">
        <f t="shared" ref="BC108:BG108" si="176">BC106/AY106-1</f>
        <v>-2.122955620474487E-3</v>
      </c>
      <c r="BD108" s="104">
        <f t="shared" si="176"/>
        <v>3.175745189671253E-2</v>
      </c>
      <c r="BE108" s="104">
        <f t="shared" si="176"/>
        <v>1.9804496724240783E-2</v>
      </c>
      <c r="BF108" s="104">
        <f t="shared" si="176"/>
        <v>2.9629073042321652E-2</v>
      </c>
      <c r="BG108" s="105">
        <f t="shared" si="176"/>
        <v>3.5957299428986067E-2</v>
      </c>
      <c r="BH108" s="104">
        <f>BH106/BD106-1</f>
        <v>7.4626865671640896E-3</v>
      </c>
      <c r="BI108" s="104">
        <f>BI106/BE106-1</f>
        <v>5.9612518628910927E-3</v>
      </c>
      <c r="BJ108" s="104">
        <f>BJ106/BF106-1</f>
        <v>5.9435364041604544E-3</v>
      </c>
      <c r="BK108" s="105">
        <f>BK106/BG106-1</f>
        <v>4.4378698224856183E-3</v>
      </c>
      <c r="BL108" s="20"/>
      <c r="BM108" s="22"/>
      <c r="BN108" s="415"/>
      <c r="BO108" s="415"/>
      <c r="BP108" s="415"/>
      <c r="BQ108" s="415"/>
      <c r="BR108" s="415"/>
      <c r="BS108" s="415">
        <f t="shared" ref="BS108:BZ108" si="177">BS105/BR105-1</f>
        <v>-5.170840621086481E-2</v>
      </c>
      <c r="BT108" s="415">
        <f t="shared" si="177"/>
        <v>2.9874936933608653E-2</v>
      </c>
      <c r="BU108" s="415">
        <f t="shared" si="177"/>
        <v>-7.3237449302103186E-2</v>
      </c>
      <c r="BV108" s="415">
        <f t="shared" si="177"/>
        <v>-7.9940307561210844E-2</v>
      </c>
      <c r="BW108" s="415">
        <f t="shared" si="177"/>
        <v>-2.3525080473431714E-2</v>
      </c>
      <c r="BX108" s="415">
        <f t="shared" si="177"/>
        <v>0.16267747060104676</v>
      </c>
      <c r="BY108" s="415">
        <f t="shared" si="177"/>
        <v>0.11890744125705166</v>
      </c>
      <c r="BZ108" s="415">
        <f t="shared" si="177"/>
        <v>5.2290984686297337E-2</v>
      </c>
      <c r="CA108" s="355">
        <f>CA105/BZ105-1</f>
        <v>5.0705433189953686E-2</v>
      </c>
      <c r="CB108" s="1234"/>
      <c r="CC108" s="809"/>
      <c r="CD108" s="809"/>
      <c r="CE108" s="809"/>
      <c r="CF108" s="260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260"/>
      <c r="CT108" s="1381"/>
    </row>
    <row r="109" spans="1:256" s="8" customFormat="1" ht="14.25" customHeight="1">
      <c r="A109" s="538"/>
      <c r="B109" s="22"/>
      <c r="C109" s="260"/>
      <c r="D109" s="104"/>
      <c r="E109" s="104"/>
      <c r="F109" s="104"/>
      <c r="G109" s="105"/>
      <c r="H109" s="104"/>
      <c r="I109" s="104"/>
      <c r="J109" s="104"/>
      <c r="K109" s="137"/>
      <c r="L109" s="104"/>
      <c r="M109" s="104"/>
      <c r="N109" s="104"/>
      <c r="O109" s="105"/>
      <c r="P109" s="136"/>
      <c r="Q109" s="136"/>
      <c r="R109" s="136"/>
      <c r="S109" s="137"/>
      <c r="T109" s="104"/>
      <c r="U109" s="104"/>
      <c r="V109" s="104"/>
      <c r="W109" s="105"/>
      <c r="X109" s="104"/>
      <c r="Y109" s="104"/>
      <c r="Z109" s="104"/>
      <c r="AA109" s="105"/>
      <c r="AB109" s="104"/>
      <c r="AC109" s="104"/>
      <c r="AD109" s="104" t="s">
        <v>97</v>
      </c>
      <c r="AE109" s="270"/>
      <c r="AF109" s="165"/>
      <c r="AG109" s="270"/>
      <c r="AH109" s="270"/>
      <c r="AI109" s="316"/>
      <c r="AJ109" s="269"/>
      <c r="AK109" s="270"/>
      <c r="AL109" s="270"/>
      <c r="AM109" s="316"/>
      <c r="AN109" s="269"/>
      <c r="AO109" s="270"/>
      <c r="AP109" s="270"/>
      <c r="AQ109" s="316"/>
      <c r="AR109" s="269"/>
      <c r="AS109" s="270"/>
      <c r="AT109" s="270"/>
      <c r="AU109" s="316"/>
      <c r="AV109" s="269"/>
      <c r="AW109" s="270"/>
      <c r="AX109" s="270"/>
      <c r="AY109" s="316"/>
      <c r="AZ109" s="270"/>
      <c r="BA109" s="270"/>
      <c r="BB109" s="270"/>
      <c r="BC109" s="316"/>
      <c r="BD109" s="270"/>
      <c r="BE109" s="270"/>
      <c r="BF109" s="270"/>
      <c r="BG109" s="316"/>
      <c r="BH109" s="270"/>
      <c r="BI109" s="270"/>
      <c r="BJ109" s="270"/>
      <c r="BK109" s="316"/>
      <c r="BL109" s="20"/>
      <c r="BM109" s="22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260"/>
      <c r="CB109" s="23"/>
      <c r="CC109" s="74"/>
      <c r="CD109" s="74"/>
      <c r="CE109" s="74"/>
      <c r="CF109" s="260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260"/>
      <c r="CT109" s="1381"/>
    </row>
    <row r="110" spans="1:256" s="8" customFormat="1" ht="14.25" customHeight="1">
      <c r="A110" s="538"/>
      <c r="B110" s="9" t="s">
        <v>521</v>
      </c>
      <c r="C110" s="1269"/>
      <c r="D110" s="133">
        <f>IS!D$10</f>
        <v>424.09500000000003</v>
      </c>
      <c r="E110" s="133">
        <f>IS!E$10</f>
        <v>445.52</v>
      </c>
      <c r="F110" s="133">
        <f>IS!F$10</f>
        <v>478.17</v>
      </c>
      <c r="G110" s="134">
        <f>IS!G$10</f>
        <v>509.15999999999985</v>
      </c>
      <c r="H110" s="133">
        <f>IS!H$10</f>
        <v>502.745</v>
      </c>
      <c r="I110" s="133">
        <f>IS!I$10</f>
        <v>497.45299999999997</v>
      </c>
      <c r="J110" s="133">
        <f>IS!J$10</f>
        <v>476.55599999999998</v>
      </c>
      <c r="K110" s="134">
        <f>IS!K$10</f>
        <v>532.37</v>
      </c>
      <c r="L110" s="133">
        <f>IS!L$10</f>
        <v>524.08100000000002</v>
      </c>
      <c r="M110" s="133">
        <f>IS!M$10</f>
        <v>540.02499999999998</v>
      </c>
      <c r="N110" s="133">
        <f>IS!N$10</f>
        <v>487.41</v>
      </c>
      <c r="O110" s="134">
        <f>IS!O$10</f>
        <v>501.26699999999994</v>
      </c>
      <c r="P110" s="133">
        <f>IS!P$10</f>
        <v>501.20400000000001</v>
      </c>
      <c r="Q110" s="133">
        <f>IS!Q$10</f>
        <v>410.67500000000001</v>
      </c>
      <c r="R110" s="133">
        <f>IS!R$10</f>
        <v>339.66500000000002</v>
      </c>
      <c r="S110" s="134">
        <f>IS!S$10</f>
        <v>394.47100000000017</v>
      </c>
      <c r="T110" s="133">
        <f>IS!T$10</f>
        <v>449.24599999999998</v>
      </c>
      <c r="U110" s="133">
        <f>IS!U$10</f>
        <v>473.51499999999999</v>
      </c>
      <c r="V110" s="133">
        <f>IS!V$10</f>
        <v>508.88</v>
      </c>
      <c r="W110" s="134">
        <f>IS!W$10</f>
        <v>565.96199999999999</v>
      </c>
      <c r="X110" s="133">
        <f>IS!X$10</f>
        <v>626.13900000000001</v>
      </c>
      <c r="Y110" s="133">
        <f>IS!Y$10</f>
        <v>612.93600000000004</v>
      </c>
      <c r="Z110" s="133">
        <f>IS!Z$10</f>
        <v>606.77499999999998</v>
      </c>
      <c r="AA110" s="134">
        <f>IS!AA$10</f>
        <v>626.49099999999964</v>
      </c>
      <c r="AB110" s="133">
        <f>IS!AB$10</f>
        <v>636.00199999999995</v>
      </c>
      <c r="AC110" s="133">
        <f>IS!AC$10</f>
        <v>591.35900000000004</v>
      </c>
      <c r="AD110" s="133">
        <f>IS!AD$10</f>
        <v>571.21199999999999</v>
      </c>
      <c r="AE110" s="1270">
        <f>IS!AE$10</f>
        <v>604.95600000000002</v>
      </c>
      <c r="AF110" s="135">
        <f>IS!AF$10</f>
        <v>623.07500000000005</v>
      </c>
      <c r="AG110" s="1270">
        <f>IS!AG$10</f>
        <v>605.30600000000004</v>
      </c>
      <c r="AH110" s="1270">
        <f>IS!AH$10</f>
        <v>604.88400000000001</v>
      </c>
      <c r="AI110" s="1271">
        <f>IS!AI$10</f>
        <v>608.19399999999996</v>
      </c>
      <c r="AJ110" s="1272">
        <f>IS!AJ$10</f>
        <v>585.24099999999999</v>
      </c>
      <c r="AK110" s="1270">
        <f>IS!AK$10</f>
        <v>620.274</v>
      </c>
      <c r="AL110" s="1270">
        <f>IS!AL$10</f>
        <v>605.68100000000004</v>
      </c>
      <c r="AM110" s="1271">
        <f>IS!AM$10</f>
        <v>642.46699999999998</v>
      </c>
      <c r="AN110" s="1272">
        <f>IS!AN$10</f>
        <v>580.27499999999998</v>
      </c>
      <c r="AO110" s="1270">
        <f>IS!AO$10</f>
        <v>566.80899999999997</v>
      </c>
      <c r="AP110" s="1270">
        <f>IS!AP$10</f>
        <v>577.26300000000003</v>
      </c>
      <c r="AQ110" s="1271">
        <f>IS!AQ$10</f>
        <v>582.51700000000005</v>
      </c>
      <c r="AR110" s="1272">
        <f>IS!AR$10</f>
        <v>562.51</v>
      </c>
      <c r="AS110" s="1270">
        <f>IS!AS$10</f>
        <v>510.83100000000002</v>
      </c>
      <c r="AT110" s="1270">
        <f>IS!AT$10</f>
        <v>555.25199999999995</v>
      </c>
      <c r="AU110" s="1271">
        <f>IS!AU$10</f>
        <v>566.12599999999998</v>
      </c>
      <c r="AV110" s="1272">
        <f>IS!AV$10</f>
        <v>561.39599999999996</v>
      </c>
      <c r="AW110" s="1270">
        <f>IS!AW$10</f>
        <v>550.99800000000005</v>
      </c>
      <c r="AX110" s="1270">
        <f>IS!AX$10</f>
        <v>581.21600000000001</v>
      </c>
      <c r="AY110" s="1271">
        <f>IS!AY$10</f>
        <v>602.005</v>
      </c>
      <c r="AZ110" s="1270">
        <f>IS!AZ$10</f>
        <v>575.67600000000004</v>
      </c>
      <c r="BA110" s="1270">
        <f>IS!BA$10</f>
        <v>622.63699999999994</v>
      </c>
      <c r="BB110" s="1270">
        <f>IS!BB$10</f>
        <v>648.59900000000005</v>
      </c>
      <c r="BC110" s="1271">
        <f>IS!BC$10</f>
        <v>629.88691885000003</v>
      </c>
      <c r="BD110" s="1270">
        <f>IS!BD$10</f>
        <v>614.40226632400004</v>
      </c>
      <c r="BE110" s="1270">
        <f>IS!BE$10</f>
        <v>615.55297175386011</v>
      </c>
      <c r="BF110" s="1270">
        <f>IS!BF$10</f>
        <v>647.73373676348967</v>
      </c>
      <c r="BG110" s="1271">
        <f>IS!BG$10</f>
        <v>654.58378202244683</v>
      </c>
      <c r="BH110" s="1270">
        <f>IS!BH$10</f>
        <v>644.08009710326837</v>
      </c>
      <c r="BI110" s="1270">
        <f>IS!BI$10</f>
        <v>643.58537466034682</v>
      </c>
      <c r="BJ110" s="1270">
        <f>IS!BJ$10</f>
        <v>669.76471696236217</v>
      </c>
      <c r="BK110" s="1271">
        <f>IS!BK$10</f>
        <v>687.57139464671707</v>
      </c>
      <c r="BL110" s="1273"/>
      <c r="BM110" s="487">
        <f>IS!BM$10</f>
        <v>1856.9449999999999</v>
      </c>
      <c r="BN110" s="488">
        <f>IS!BN$10</f>
        <v>2009.1239999999998</v>
      </c>
      <c r="BO110" s="488">
        <f>IS!BO$10</f>
        <v>2052.7829999999999</v>
      </c>
      <c r="BP110" s="488">
        <f>IS!BP$10</f>
        <v>1646.0150000000003</v>
      </c>
      <c r="BQ110" s="488">
        <f>IS!BQ$10</f>
        <v>1997.6030000000001</v>
      </c>
      <c r="BR110" s="488">
        <f>IS!BR$10</f>
        <v>2472.3409999999994</v>
      </c>
      <c r="BS110" s="488">
        <f>IS!BS$10</f>
        <v>2403.529</v>
      </c>
      <c r="BT110" s="488">
        <f>IS!BT$10</f>
        <v>2441.4589999999998</v>
      </c>
      <c r="BU110" s="488">
        <f>IS!BU$10</f>
        <v>2453.663</v>
      </c>
      <c r="BV110" s="488">
        <f>IS!BV$10</f>
        <v>2306.8639999999996</v>
      </c>
      <c r="BW110" s="488">
        <f>IS!BW$10</f>
        <v>2194.7190000000001</v>
      </c>
      <c r="BX110" s="488">
        <f>IS!BX$10</f>
        <v>2295.6150000000002</v>
      </c>
      <c r="BY110" s="488">
        <f>IS!BY$10</f>
        <v>2476.7989188500005</v>
      </c>
      <c r="BZ110" s="488">
        <f>IS!BZ$10</f>
        <v>2532.2727568637965</v>
      </c>
      <c r="CA110" s="489">
        <f>IS!CA$10</f>
        <v>2645.0015833726943</v>
      </c>
      <c r="CB110" s="795"/>
      <c r="CC110" s="482"/>
      <c r="CD110" s="482"/>
      <c r="CE110" s="482"/>
      <c r="CF110" s="260"/>
      <c r="CG110" s="1239"/>
      <c r="CH110" s="1239"/>
      <c r="CI110" s="1239"/>
      <c r="CJ110" s="1239"/>
      <c r="CK110" s="1275">
        <f>IS!CK10</f>
        <v>2460.6269999999995</v>
      </c>
      <c r="CL110" s="1275">
        <f>IS!CL10</f>
        <v>2404.549</v>
      </c>
      <c r="CM110" s="1275">
        <f>IS!CM10</f>
        <v>2418.5929999999998</v>
      </c>
      <c r="CN110" s="1275">
        <f>IS!CN10</f>
        <v>2395.232</v>
      </c>
      <c r="CO110" s="1275">
        <f>IS!CO10</f>
        <v>2233.1210000000001</v>
      </c>
      <c r="CP110" s="1275">
        <f>IS!CP10</f>
        <v>2233.7719999999999</v>
      </c>
      <c r="CQ110" s="1275">
        <f>IS!CQ10</f>
        <v>2381.5339999999997</v>
      </c>
      <c r="CR110" s="1275">
        <f>IS!CR10</f>
        <v>2508.44115692786</v>
      </c>
      <c r="CS110" s="1276">
        <f>IS!CS10</f>
        <v>2589.9829905495517</v>
      </c>
      <c r="CT110" s="1381"/>
    </row>
    <row r="111" spans="1:256" s="8" customFormat="1" ht="14.25" customHeight="1">
      <c r="A111" s="538"/>
      <c r="B111" s="289" t="s">
        <v>541</v>
      </c>
      <c r="C111" s="310"/>
      <c r="D111" s="136">
        <f>IS!D$31</f>
        <v>282.06400000000002</v>
      </c>
      <c r="E111" s="136">
        <f>IS!E$31</f>
        <v>293.20499999999998</v>
      </c>
      <c r="F111" s="136">
        <f>IS!F$31</f>
        <v>314.35700000000003</v>
      </c>
      <c r="G111" s="137">
        <f>IS!G$31</f>
        <v>328.77199999999982</v>
      </c>
      <c r="H111" s="136">
        <f>IS!H$31</f>
        <v>299.05799999999999</v>
      </c>
      <c r="I111" s="136">
        <f>IS!I$31</f>
        <v>308.18299999999999</v>
      </c>
      <c r="J111" s="136">
        <f>IS!J$31</f>
        <v>286.27</v>
      </c>
      <c r="K111" s="137">
        <f>IS!K$31</f>
        <v>333.11899999999991</v>
      </c>
      <c r="L111" s="136">
        <f>IS!L$31</f>
        <v>320.54600000000005</v>
      </c>
      <c r="M111" s="136">
        <f>IS!M$31</f>
        <v>335.70499999999998</v>
      </c>
      <c r="N111" s="136">
        <f>IS!N$31</f>
        <v>289.38600000000002</v>
      </c>
      <c r="O111" s="137">
        <f>IS!O$31</f>
        <v>303.06299999999999</v>
      </c>
      <c r="P111" s="136">
        <f>IS!P$31</f>
        <v>291.55</v>
      </c>
      <c r="Q111" s="136">
        <f>IS!Q$31</f>
        <v>199.08500000000001</v>
      </c>
      <c r="R111" s="136">
        <f>IS!R$31</f>
        <v>167.70500000000001</v>
      </c>
      <c r="S111" s="137">
        <f>IS!S$31</f>
        <v>190.53700000000021</v>
      </c>
      <c r="T111" s="136">
        <f>IS!T$31</f>
        <v>251.62699999999998</v>
      </c>
      <c r="U111" s="136">
        <f>IS!U$31</f>
        <v>291.78800000000001</v>
      </c>
      <c r="V111" s="136">
        <f>IS!V$31</f>
        <v>308.70299999999997</v>
      </c>
      <c r="W111" s="137">
        <f>IS!W$31</f>
        <v>340.94799999999998</v>
      </c>
      <c r="X111" s="136">
        <f>IS!X$31</f>
        <v>386.214</v>
      </c>
      <c r="Y111" s="136">
        <f>IS!Y$31</f>
        <v>380.27500000000003</v>
      </c>
      <c r="Z111" s="136">
        <f>IS!Z$31</f>
        <v>372.65</v>
      </c>
      <c r="AA111" s="137">
        <f>IS!AA$31</f>
        <v>390.8249999999997</v>
      </c>
      <c r="AB111" s="136">
        <f>IS!AB$31</f>
        <v>395.47299999999996</v>
      </c>
      <c r="AC111" s="136">
        <f>IS!AC$31</f>
        <v>347.96000000000004</v>
      </c>
      <c r="AD111" s="136">
        <f>IS!AD$31</f>
        <v>335.42999999999995</v>
      </c>
      <c r="AE111" s="317">
        <f>IS!AE$31</f>
        <v>371.98900000000003</v>
      </c>
      <c r="AF111" s="147">
        <f>IS!AF$31</f>
        <v>385.69100000000003</v>
      </c>
      <c r="AG111" s="317">
        <f>IS!AG$31</f>
        <v>363.375</v>
      </c>
      <c r="AH111" s="317">
        <f>IS!AH$31</f>
        <v>376.10199999999998</v>
      </c>
      <c r="AI111" s="318">
        <f>IS!AI$31</f>
        <v>371.399</v>
      </c>
      <c r="AJ111" s="1238">
        <f>IS!AJ$31</f>
        <v>347.19600000000003</v>
      </c>
      <c r="AK111" s="317">
        <f>IS!AK$31</f>
        <v>328.67200000000003</v>
      </c>
      <c r="AL111" s="317">
        <f>IS!AL$31</f>
        <v>339.93700000000001</v>
      </c>
      <c r="AM111" s="318">
        <f>IS!AM$31</f>
        <v>368.96</v>
      </c>
      <c r="AN111" s="1238">
        <f>IS!AN$31</f>
        <v>338.73</v>
      </c>
      <c r="AO111" s="317">
        <f>IS!AO$31</f>
        <v>314.077</v>
      </c>
      <c r="AP111" s="317">
        <f>IS!AP$31</f>
        <v>315.26800000000003</v>
      </c>
      <c r="AQ111" s="318">
        <f>IS!AQ$31</f>
        <v>303.70100000000008</v>
      </c>
      <c r="AR111" s="1238">
        <f>IS!AR$31</f>
        <v>286.351</v>
      </c>
      <c r="AS111" s="317">
        <f>IS!AS$31</f>
        <v>292.16899999999998</v>
      </c>
      <c r="AT111" s="317">
        <f>IS!AT$31</f>
        <v>318.84099999999995</v>
      </c>
      <c r="AU111" s="318">
        <f>IS!AU$31</f>
        <v>347.02699999999999</v>
      </c>
      <c r="AV111" s="1238">
        <f>IS!AV$31</f>
        <v>345.73199999999997</v>
      </c>
      <c r="AW111" s="317">
        <f>IS!AW$31</f>
        <v>340.17800000000005</v>
      </c>
      <c r="AX111" s="317">
        <f>IS!AX$31</f>
        <v>366.904</v>
      </c>
      <c r="AY111" s="318">
        <f>IS!AY$31</f>
        <v>393.666</v>
      </c>
      <c r="AZ111" s="317">
        <f>IS!AZ$31</f>
        <v>373.83100000000002</v>
      </c>
      <c r="BA111" s="317">
        <f>IS!BA$31</f>
        <v>409.67599999999993</v>
      </c>
      <c r="BB111" s="317">
        <f>IS!BB$31</f>
        <v>423.94600000000003</v>
      </c>
      <c r="BC111" s="318">
        <f>IS!BC$31</f>
        <v>411.02423562950003</v>
      </c>
      <c r="BD111" s="317">
        <f>IS!BD$31</f>
        <v>411.64951843708002</v>
      </c>
      <c r="BE111" s="317">
        <f>IS!BE$31</f>
        <v>413.03604404684017</v>
      </c>
      <c r="BF111" s="317">
        <f>IS!BF$31</f>
        <v>435.92480484182857</v>
      </c>
      <c r="BG111" s="318">
        <f>IS!BG$31</f>
        <v>442.49863664717407</v>
      </c>
      <c r="BH111" s="317">
        <f>IS!BH$31</f>
        <v>434.75406554470618</v>
      </c>
      <c r="BI111" s="317">
        <f>IS!BI$31</f>
        <v>434.42012789573414</v>
      </c>
      <c r="BJ111" s="317">
        <f>IS!BJ$31</f>
        <v>453.43071338351922</v>
      </c>
      <c r="BK111" s="318">
        <f>IS!BK$31</f>
        <v>466.86097696512093</v>
      </c>
      <c r="BL111" s="319"/>
      <c r="BM111" s="413">
        <f>IS!BM$31</f>
        <v>1218.3979999999999</v>
      </c>
      <c r="BN111" s="409">
        <f>IS!BN$31</f>
        <v>1226.6299999999997</v>
      </c>
      <c r="BO111" s="409">
        <f>IS!BO$31</f>
        <v>1248.6999999999998</v>
      </c>
      <c r="BP111" s="409">
        <f>IS!BP$31</f>
        <v>848.87700000000029</v>
      </c>
      <c r="BQ111" s="409">
        <f>IS!BQ$31</f>
        <v>1193.066</v>
      </c>
      <c r="BR111" s="409">
        <f>IS!BR$31</f>
        <v>1529.9639999999995</v>
      </c>
      <c r="BS111" s="409">
        <f>IS!BS$31</f>
        <v>1450.8519999999999</v>
      </c>
      <c r="BT111" s="409">
        <f>IS!BT$31</f>
        <v>1496.567</v>
      </c>
      <c r="BU111" s="409">
        <f>IS!BU$31</f>
        <v>1384.7650000000001</v>
      </c>
      <c r="BV111" s="409">
        <f>IS!BV$31</f>
        <v>1271.7759999999996</v>
      </c>
      <c r="BW111" s="409">
        <f>IS!BW$31</f>
        <v>1244.3880000000001</v>
      </c>
      <c r="BX111" s="409">
        <f>IS!BX$31</f>
        <v>1446.4800000000002</v>
      </c>
      <c r="BY111" s="409">
        <f>IS!BY$31</f>
        <v>1618.4772356295005</v>
      </c>
      <c r="BZ111" s="409">
        <f>IS!BZ$31</f>
        <v>1703.1090039729227</v>
      </c>
      <c r="CA111" s="410">
        <f>IS!CA$31</f>
        <v>1789.4658837890802</v>
      </c>
      <c r="CB111" s="795"/>
      <c r="CC111" s="482"/>
      <c r="CD111" s="482"/>
      <c r="CE111" s="482"/>
      <c r="CF111" s="260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260"/>
      <c r="CT111" s="1381"/>
    </row>
    <row r="112" spans="1:256" s="8" customFormat="1" ht="14.25" customHeight="1">
      <c r="A112" s="538"/>
      <c r="B112" s="47" t="s">
        <v>574</v>
      </c>
      <c r="C112" s="310"/>
      <c r="D112" s="136">
        <f>IS!D$78</f>
        <v>115.15000000000003</v>
      </c>
      <c r="E112" s="136">
        <f>IS!E$78</f>
        <v>132.94299999999998</v>
      </c>
      <c r="F112" s="136">
        <f>IS!F$78</f>
        <v>147.02900000000002</v>
      </c>
      <c r="G112" s="137">
        <f>IS!G$78</f>
        <v>130.37699999999978</v>
      </c>
      <c r="H112" s="136">
        <f>IS!H$78</f>
        <v>16.129999999999995</v>
      </c>
      <c r="I112" s="136">
        <f>IS!I$78</f>
        <v>126.846</v>
      </c>
      <c r="J112" s="136">
        <f>IS!J$78</f>
        <v>86.268999999999977</v>
      </c>
      <c r="K112" s="137">
        <f>IS!K$78</f>
        <v>123.16799999999984</v>
      </c>
      <c r="L112" s="136">
        <f>IS!L$78</f>
        <v>109.53900000000004</v>
      </c>
      <c r="M112" s="136">
        <f>IS!M$78</f>
        <v>140.57699999999997</v>
      </c>
      <c r="N112" s="136">
        <f>IS!N$78</f>
        <v>81.058000000000021</v>
      </c>
      <c r="O112" s="137">
        <f>IS!O$78</f>
        <v>94.878999999999962</v>
      </c>
      <c r="P112" s="136">
        <f>IS!P$78</f>
        <v>93.585000000000036</v>
      </c>
      <c r="Q112" s="136">
        <f>IS!Q$78</f>
        <v>-80.839999999999947</v>
      </c>
      <c r="R112" s="136">
        <f>IS!R$78</f>
        <v>-16.954000000000008</v>
      </c>
      <c r="S112" s="137">
        <f>IS!S$78</f>
        <v>21.587000000000216</v>
      </c>
      <c r="T112" s="136">
        <f>IS!T$78</f>
        <v>90.09899999999999</v>
      </c>
      <c r="U112" s="136">
        <f>IS!U$78</f>
        <v>109.12899999999999</v>
      </c>
      <c r="V112" s="136">
        <f>IS!V$78</f>
        <v>-48.261000000000024</v>
      </c>
      <c r="W112" s="137">
        <f>IS!W$78</f>
        <v>141.08299999999997</v>
      </c>
      <c r="X112" s="136">
        <f>IS!X$78</f>
        <v>179.12300000000002</v>
      </c>
      <c r="Y112" s="136">
        <f>IS!Y$78</f>
        <v>151.99900000000005</v>
      </c>
      <c r="Z112" s="136">
        <f>IS!Z$78</f>
        <v>163.99499999999998</v>
      </c>
      <c r="AA112" s="137">
        <f>IS!AA$78</f>
        <v>177.92199999999971</v>
      </c>
      <c r="AB112" s="136">
        <f>IS!AB$78</f>
        <v>172.37999999999997</v>
      </c>
      <c r="AC112" s="136">
        <f>IS!AC$78</f>
        <v>114.51000000000005</v>
      </c>
      <c r="AD112" s="136">
        <f>IS!AD$78</f>
        <v>111.88599999999997</v>
      </c>
      <c r="AE112" s="317">
        <f>IS!AE$78</f>
        <v>136.02100000000002</v>
      </c>
      <c r="AF112" s="147">
        <f>IS!AF$78</f>
        <v>165.40300000000002</v>
      </c>
      <c r="AG112" s="317">
        <f>IS!AG$78</f>
        <v>117.548</v>
      </c>
      <c r="AH112" s="317">
        <f>IS!AH$78</f>
        <v>154.27799999999999</v>
      </c>
      <c r="AI112" s="318">
        <f>IS!AI$78</f>
        <v>151.09</v>
      </c>
      <c r="AJ112" s="1238">
        <f>IS!AJ$78</f>
        <v>128.60900000000004</v>
      </c>
      <c r="AK112" s="317">
        <f>IS!AK$78</f>
        <v>70.394000000000005</v>
      </c>
      <c r="AL112" s="317">
        <f>IS!AL$78</f>
        <v>106.738</v>
      </c>
      <c r="AM112" s="318">
        <f>IS!AM$78</f>
        <v>116.54999999999998</v>
      </c>
      <c r="AN112" s="1238">
        <f>IS!AN$78</f>
        <v>100.95800000000003</v>
      </c>
      <c r="AO112" s="317">
        <f>IS!AO$78</f>
        <v>-64.076000000000022</v>
      </c>
      <c r="AP112" s="317">
        <f>IS!AP$78</f>
        <v>105.45000000000002</v>
      </c>
      <c r="AQ112" s="318">
        <f>IS!AQ$78</f>
        <v>94.948000000000064</v>
      </c>
      <c r="AR112" s="1238">
        <f>IS!AR$78</f>
        <v>-75.764999999999986</v>
      </c>
      <c r="AS112" s="317">
        <f>IS!AS$78</f>
        <v>89.532999999999987</v>
      </c>
      <c r="AT112" s="317">
        <f>IS!AT$78</f>
        <v>177.70799999999994</v>
      </c>
      <c r="AU112" s="318">
        <f>IS!AU$78</f>
        <v>122.37299999999999</v>
      </c>
      <c r="AV112" s="1238">
        <f>IS!AV$78</f>
        <v>172.07299999999995</v>
      </c>
      <c r="AW112" s="317">
        <f>IS!AW$78</f>
        <v>149.07400000000004</v>
      </c>
      <c r="AX112" s="317">
        <f>IS!AX$78</f>
        <v>174.25200000000001</v>
      </c>
      <c r="AY112" s="318">
        <f>IS!AY$78</f>
        <v>199.37800000000001</v>
      </c>
      <c r="AZ112" s="317">
        <f>IS!AZ$78</f>
        <v>185.16600000000003</v>
      </c>
      <c r="BA112" s="317">
        <f>IS!BA$78</f>
        <v>201.04799999999994</v>
      </c>
      <c r="BB112" s="317">
        <f>IS!BB$78</f>
        <v>224.83800000000002</v>
      </c>
      <c r="BC112" s="318">
        <f>IS!BC$78</f>
        <v>218.2235112095</v>
      </c>
      <c r="BD112" s="317">
        <f>IS!BD$78</f>
        <v>218.22708541782183</v>
      </c>
      <c r="BE112" s="317">
        <f>IS!BE$78</f>
        <v>219.48739489306902</v>
      </c>
      <c r="BF112" s="317">
        <f>IS!BF$78</f>
        <v>239.50611110399879</v>
      </c>
      <c r="BG112" s="318">
        <f>IS!BG$78</f>
        <v>245.66292071066468</v>
      </c>
      <c r="BH112" s="317">
        <f>IS!BH$78</f>
        <v>239.10963224300136</v>
      </c>
      <c r="BI112" s="317">
        <f>IS!BI$78</f>
        <v>238.82805564422497</v>
      </c>
      <c r="BJ112" s="317">
        <f>IS!BJ$78</f>
        <v>254.60953712495294</v>
      </c>
      <c r="BK112" s="318">
        <f>IS!BK$78</f>
        <v>266.1978686784264</v>
      </c>
      <c r="BL112" s="319"/>
      <c r="BM112" s="413">
        <f>IS!BM$78</f>
        <v>525.49899999999991</v>
      </c>
      <c r="BN112" s="409">
        <f>IS!BN$78</f>
        <v>352.41299999999967</v>
      </c>
      <c r="BO112" s="409">
        <f>IS!BO$78</f>
        <v>426.05299999999977</v>
      </c>
      <c r="BP112" s="409">
        <f>IS!BP$78</f>
        <v>17.378000000000384</v>
      </c>
      <c r="BQ112" s="409">
        <f>IS!BQ$78</f>
        <v>292.05000000000007</v>
      </c>
      <c r="BR112" s="409">
        <f>IS!BR$78</f>
        <v>673.03899999999942</v>
      </c>
      <c r="BS112" s="409">
        <f>IS!BS$78</f>
        <v>534.7969999999998</v>
      </c>
      <c r="BT112" s="409">
        <f>IS!BT$78</f>
        <v>588.31899999999985</v>
      </c>
      <c r="BU112" s="409">
        <f>IS!BU$78</f>
        <v>422.29100000000005</v>
      </c>
      <c r="BV112" s="409">
        <f>IS!BV$78</f>
        <v>237.27999999999952</v>
      </c>
      <c r="BW112" s="409">
        <f>IS!BW$78</f>
        <v>313.84900000000016</v>
      </c>
      <c r="BX112" s="409">
        <f>IS!BX$78</f>
        <v>694.77700000000016</v>
      </c>
      <c r="BY112" s="409">
        <f>IS!BY$78</f>
        <v>829.27551120950045</v>
      </c>
      <c r="BZ112" s="409">
        <f>IS!BZ$78</f>
        <v>922.88351212555415</v>
      </c>
      <c r="CA112" s="410">
        <f>IS!CA$78</f>
        <v>998.74509369060536</v>
      </c>
      <c r="CB112" s="795"/>
      <c r="CC112" s="482"/>
      <c r="CD112" s="482"/>
      <c r="CE112" s="482"/>
      <c r="CF112" s="260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260"/>
      <c r="CT112" s="1381"/>
    </row>
    <row r="113" spans="1:256" s="8" customFormat="1" ht="14.25" customHeight="1">
      <c r="A113" s="538"/>
      <c r="B113" s="47"/>
      <c r="C113" s="310"/>
      <c r="D113" s="136"/>
      <c r="E113" s="136"/>
      <c r="F113" s="136"/>
      <c r="G113" s="137"/>
      <c r="H113" s="136"/>
      <c r="I113" s="136"/>
      <c r="J113" s="136"/>
      <c r="K113" s="137"/>
      <c r="L113" s="136"/>
      <c r="M113" s="136"/>
      <c r="N113" s="136"/>
      <c r="O113" s="137"/>
      <c r="P113" s="136"/>
      <c r="Q113" s="136"/>
      <c r="R113" s="136"/>
      <c r="S113" s="137"/>
      <c r="T113" s="136"/>
      <c r="U113" s="136"/>
      <c r="V113" s="136"/>
      <c r="W113" s="137"/>
      <c r="X113" s="136"/>
      <c r="Y113" s="136"/>
      <c r="Z113" s="136"/>
      <c r="AA113" s="137"/>
      <c r="AB113" s="136"/>
      <c r="AC113" s="136"/>
      <c r="AD113" s="136"/>
      <c r="AE113" s="317"/>
      <c r="AF113" s="147"/>
      <c r="AG113" s="317"/>
      <c r="AH113" s="317"/>
      <c r="AI113" s="318"/>
      <c r="AJ113" s="1238"/>
      <c r="AK113" s="317"/>
      <c r="AL113" s="317"/>
      <c r="AM113" s="318"/>
      <c r="AN113" s="1238"/>
      <c r="AO113" s="317"/>
      <c r="AP113" s="317"/>
      <c r="AQ113" s="318"/>
      <c r="AR113" s="1238"/>
      <c r="AS113" s="317"/>
      <c r="AT113" s="317"/>
      <c r="AU113" s="318"/>
      <c r="AV113" s="1238"/>
      <c r="AW113" s="317"/>
      <c r="AX113" s="317"/>
      <c r="AY113" s="318"/>
      <c r="AZ113" s="317"/>
      <c r="BA113" s="317"/>
      <c r="BB113" s="317"/>
      <c r="BC113" s="318"/>
      <c r="BD113" s="317"/>
      <c r="BE113" s="317"/>
      <c r="BF113" s="317"/>
      <c r="BG113" s="318"/>
      <c r="BH113" s="317"/>
      <c r="BI113" s="317"/>
      <c r="BJ113" s="317"/>
      <c r="BK113" s="318"/>
      <c r="BL113" s="319"/>
      <c r="BM113" s="413"/>
      <c r="BN113" s="409"/>
      <c r="BO113" s="409"/>
      <c r="BP113" s="409"/>
      <c r="BQ113" s="409"/>
      <c r="BR113" s="409"/>
      <c r="BS113" s="409"/>
      <c r="BT113" s="409"/>
      <c r="BU113" s="409"/>
      <c r="BV113" s="409"/>
      <c r="BW113" s="409"/>
      <c r="BX113" s="409"/>
      <c r="BY113" s="409"/>
      <c r="BZ113" s="409"/>
      <c r="CA113" s="410"/>
      <c r="CB113" s="795"/>
      <c r="CC113" s="482"/>
      <c r="CD113" s="482"/>
      <c r="CE113" s="482"/>
      <c r="CF113" s="260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260"/>
      <c r="CT113" s="1381"/>
    </row>
    <row r="114" spans="1:256" s="8" customFormat="1" ht="14.25" hidden="1" customHeight="1" outlineLevel="1">
      <c r="A114" s="538"/>
      <c r="B114" s="532" t="s">
        <v>65</v>
      </c>
      <c r="C114" s="533"/>
      <c r="D114" s="534"/>
      <c r="E114" s="534"/>
      <c r="F114" s="534"/>
      <c r="G114" s="535"/>
      <c r="H114" s="536"/>
      <c r="I114" s="536"/>
      <c r="J114" s="536"/>
      <c r="K114" s="537"/>
      <c r="L114" s="536"/>
      <c r="M114" s="536">
        <f t="shared" ref="M114:AQ114" si="178">M110-M100</f>
        <v>540.02499999999998</v>
      </c>
      <c r="N114" s="536">
        <f t="shared" si="178"/>
        <v>487.41</v>
      </c>
      <c r="O114" s="537">
        <f t="shared" si="178"/>
        <v>501.26699999999994</v>
      </c>
      <c r="P114" s="536">
        <f t="shared" si="178"/>
        <v>501.20400000000001</v>
      </c>
      <c r="Q114" s="536">
        <f t="shared" si="178"/>
        <v>410.67500000000001</v>
      </c>
      <c r="R114" s="536">
        <f t="shared" si="178"/>
        <v>339.66500000000002</v>
      </c>
      <c r="S114" s="537">
        <f t="shared" si="178"/>
        <v>394.47100000000017</v>
      </c>
      <c r="T114" s="536">
        <f t="shared" si="178"/>
        <v>449.24599999999998</v>
      </c>
      <c r="U114" s="536">
        <f t="shared" si="178"/>
        <v>473.51499999999999</v>
      </c>
      <c r="V114" s="536">
        <f t="shared" si="178"/>
        <v>508.88</v>
      </c>
      <c r="W114" s="537">
        <f t="shared" si="178"/>
        <v>565.96199999999999</v>
      </c>
      <c r="X114" s="536">
        <f t="shared" si="178"/>
        <v>0</v>
      </c>
      <c r="Y114" s="536">
        <f t="shared" si="178"/>
        <v>0</v>
      </c>
      <c r="Z114" s="536">
        <f t="shared" si="178"/>
        <v>0</v>
      </c>
      <c r="AA114" s="537">
        <f t="shared" si="178"/>
        <v>0</v>
      </c>
      <c r="AB114" s="536">
        <f t="shared" si="178"/>
        <v>0</v>
      </c>
      <c r="AC114" s="536">
        <f t="shared" si="178"/>
        <v>0</v>
      </c>
      <c r="AD114" s="536">
        <f>AD110-AD100</f>
        <v>0</v>
      </c>
      <c r="AE114" s="536">
        <f t="shared" si="178"/>
        <v>0</v>
      </c>
      <c r="AF114" s="1235">
        <f t="shared" si="178"/>
        <v>0</v>
      </c>
      <c r="AG114" s="536">
        <f t="shared" si="178"/>
        <v>0</v>
      </c>
      <c r="AH114" s="536">
        <f t="shared" si="178"/>
        <v>0</v>
      </c>
      <c r="AI114" s="537">
        <f t="shared" si="178"/>
        <v>0</v>
      </c>
      <c r="AJ114" s="1235">
        <f t="shared" si="178"/>
        <v>0</v>
      </c>
      <c r="AK114" s="536">
        <f t="shared" si="178"/>
        <v>0</v>
      </c>
      <c r="AL114" s="536">
        <f t="shared" si="178"/>
        <v>0</v>
      </c>
      <c r="AM114" s="537">
        <f t="shared" si="178"/>
        <v>0</v>
      </c>
      <c r="AN114" s="1235">
        <f t="shared" si="178"/>
        <v>0</v>
      </c>
      <c r="AO114" s="536">
        <f>AO110-AO100</f>
        <v>0</v>
      </c>
      <c r="AP114" s="536">
        <f t="shared" si="178"/>
        <v>0</v>
      </c>
      <c r="AQ114" s="537">
        <f t="shared" si="178"/>
        <v>0</v>
      </c>
      <c r="AR114" s="1235">
        <f t="shared" ref="AR114:AY114" si="179">AR110-AR100</f>
        <v>0</v>
      </c>
      <c r="AS114" s="536">
        <f t="shared" si="179"/>
        <v>0</v>
      </c>
      <c r="AT114" s="536">
        <f t="shared" si="179"/>
        <v>0</v>
      </c>
      <c r="AU114" s="537">
        <f t="shared" si="179"/>
        <v>0</v>
      </c>
      <c r="AV114" s="536">
        <f t="shared" si="179"/>
        <v>0</v>
      </c>
      <c r="AW114" s="536">
        <f t="shared" si="179"/>
        <v>0</v>
      </c>
      <c r="AX114" s="536">
        <f t="shared" si="179"/>
        <v>0</v>
      </c>
      <c r="AY114" s="537">
        <f t="shared" si="179"/>
        <v>0</v>
      </c>
      <c r="AZ114" s="536">
        <f>AZ110-AZ100</f>
        <v>0</v>
      </c>
      <c r="BA114" s="536">
        <f t="shared" ref="BA114:BG114" si="180">BA110-BA100</f>
        <v>0</v>
      </c>
      <c r="BB114" s="536">
        <f t="shared" si="180"/>
        <v>0</v>
      </c>
      <c r="BC114" s="537">
        <f t="shared" si="180"/>
        <v>0</v>
      </c>
      <c r="BD114" s="536">
        <f t="shared" si="180"/>
        <v>0</v>
      </c>
      <c r="BE114" s="536">
        <f t="shared" si="180"/>
        <v>0</v>
      </c>
      <c r="BF114" s="536">
        <f t="shared" si="180"/>
        <v>0</v>
      </c>
      <c r="BG114" s="537">
        <f t="shared" si="180"/>
        <v>0</v>
      </c>
      <c r="BH114" s="536">
        <f>BH110-BH100</f>
        <v>0</v>
      </c>
      <c r="BI114" s="536">
        <f>BI110-BI100</f>
        <v>0</v>
      </c>
      <c r="BJ114" s="536">
        <f>BJ110-BJ100</f>
        <v>0</v>
      </c>
      <c r="BK114" s="537">
        <f>BK110-BK100</f>
        <v>0</v>
      </c>
      <c r="BL114" s="319"/>
      <c r="BM114" s="536"/>
      <c r="BN114" s="536"/>
      <c r="BO114" s="536"/>
      <c r="BP114" s="536">
        <f t="shared" ref="BP114:CA114" si="181">BP110-BP100</f>
        <v>1646.0150000000003</v>
      </c>
      <c r="BQ114" s="536">
        <f t="shared" si="181"/>
        <v>1997.6030000000001</v>
      </c>
      <c r="BR114" s="536">
        <f t="shared" si="181"/>
        <v>0</v>
      </c>
      <c r="BS114" s="536">
        <f t="shared" si="181"/>
        <v>0</v>
      </c>
      <c r="BT114" s="536">
        <f t="shared" si="181"/>
        <v>0</v>
      </c>
      <c r="BU114" s="536">
        <f t="shared" si="181"/>
        <v>0</v>
      </c>
      <c r="BV114" s="536">
        <f t="shared" si="181"/>
        <v>0</v>
      </c>
      <c r="BW114" s="536">
        <f>BW110-BW100</f>
        <v>0</v>
      </c>
      <c r="BX114" s="536">
        <f>BX110-BX100</f>
        <v>0</v>
      </c>
      <c r="BY114" s="536">
        <f t="shared" si="181"/>
        <v>0</v>
      </c>
      <c r="BZ114" s="536">
        <f t="shared" si="181"/>
        <v>0</v>
      </c>
      <c r="CA114" s="537">
        <f t="shared" si="181"/>
        <v>0</v>
      </c>
      <c r="CB114" s="1496"/>
      <c r="CC114" s="1447"/>
      <c r="CD114" s="1447"/>
      <c r="CE114" s="1447"/>
      <c r="CF114" s="260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260"/>
      <c r="CT114" s="1381"/>
    </row>
    <row r="115" spans="1:256" s="8" customFormat="1" ht="14.25" hidden="1" customHeight="1" outlineLevel="1">
      <c r="A115" s="538"/>
      <c r="B115" s="532" t="s">
        <v>66</v>
      </c>
      <c r="C115" s="533"/>
      <c r="D115" s="534"/>
      <c r="E115" s="534"/>
      <c r="F115" s="534"/>
      <c r="G115" s="535"/>
      <c r="H115" s="536"/>
      <c r="I115" s="536"/>
      <c r="J115" s="536"/>
      <c r="K115" s="537"/>
      <c r="L115" s="536"/>
      <c r="M115" s="536">
        <f t="shared" ref="M115:AQ115" si="182">M111-M105</f>
        <v>335.70499999999998</v>
      </c>
      <c r="N115" s="536">
        <f t="shared" si="182"/>
        <v>289.38600000000002</v>
      </c>
      <c r="O115" s="537">
        <f t="shared" si="182"/>
        <v>303.06299999999999</v>
      </c>
      <c r="P115" s="536">
        <f t="shared" si="182"/>
        <v>291.55</v>
      </c>
      <c r="Q115" s="536">
        <f t="shared" si="182"/>
        <v>199.08500000000001</v>
      </c>
      <c r="R115" s="536">
        <f t="shared" si="182"/>
        <v>167.70500000000001</v>
      </c>
      <c r="S115" s="537">
        <f t="shared" si="182"/>
        <v>190.53700000000021</v>
      </c>
      <c r="T115" s="536">
        <f t="shared" si="182"/>
        <v>251.62699999999998</v>
      </c>
      <c r="U115" s="536">
        <f t="shared" si="182"/>
        <v>291.78800000000001</v>
      </c>
      <c r="V115" s="536">
        <f t="shared" si="182"/>
        <v>308.70299999999997</v>
      </c>
      <c r="W115" s="537">
        <f t="shared" si="182"/>
        <v>340.94799999999998</v>
      </c>
      <c r="X115" s="536">
        <f t="shared" si="182"/>
        <v>0</v>
      </c>
      <c r="Y115" s="536">
        <f t="shared" si="182"/>
        <v>0</v>
      </c>
      <c r="Z115" s="536">
        <f t="shared" si="182"/>
        <v>0</v>
      </c>
      <c r="AA115" s="537">
        <f t="shared" si="182"/>
        <v>0</v>
      </c>
      <c r="AB115" s="536">
        <f t="shared" si="182"/>
        <v>0</v>
      </c>
      <c r="AC115" s="536">
        <f t="shared" si="182"/>
        <v>0</v>
      </c>
      <c r="AD115" s="536">
        <f>AD111-AD105</f>
        <v>0</v>
      </c>
      <c r="AE115" s="536">
        <f t="shared" si="182"/>
        <v>0</v>
      </c>
      <c r="AF115" s="1235">
        <f t="shared" si="182"/>
        <v>0</v>
      </c>
      <c r="AG115" s="536">
        <f t="shared" si="182"/>
        <v>0</v>
      </c>
      <c r="AH115" s="536">
        <f>AH111-AH105</f>
        <v>2.3708879999999795</v>
      </c>
      <c r="AI115" s="537">
        <f t="shared" si="182"/>
        <v>0</v>
      </c>
      <c r="AJ115" s="1235">
        <f t="shared" si="182"/>
        <v>0</v>
      </c>
      <c r="AK115" s="536">
        <f t="shared" si="182"/>
        <v>0</v>
      </c>
      <c r="AL115" s="536">
        <f t="shared" si="182"/>
        <v>0</v>
      </c>
      <c r="AM115" s="537">
        <f t="shared" si="182"/>
        <v>0</v>
      </c>
      <c r="AN115" s="1235">
        <f t="shared" si="182"/>
        <v>0</v>
      </c>
      <c r="AO115" s="536">
        <f>AO111-AO105</f>
        <v>0</v>
      </c>
      <c r="AP115" s="536">
        <f t="shared" si="182"/>
        <v>0</v>
      </c>
      <c r="AQ115" s="537">
        <f t="shared" si="182"/>
        <v>-2.2904599999999959</v>
      </c>
      <c r="AR115" s="1235">
        <f t="shared" ref="AR115:AY115" si="183">AR111-AR105</f>
        <v>0</v>
      </c>
      <c r="AS115" s="536">
        <f t="shared" si="183"/>
        <v>0</v>
      </c>
      <c r="AT115" s="536">
        <f t="shared" si="183"/>
        <v>0</v>
      </c>
      <c r="AU115" s="537">
        <f t="shared" si="183"/>
        <v>0.29405600000001186</v>
      </c>
      <c r="AV115" s="536">
        <f t="shared" si="183"/>
        <v>0</v>
      </c>
      <c r="AW115" s="536">
        <f t="shared" si="183"/>
        <v>0</v>
      </c>
      <c r="AX115" s="536">
        <f t="shared" si="183"/>
        <v>0</v>
      </c>
      <c r="AY115" s="537">
        <f t="shared" si="183"/>
        <v>0</v>
      </c>
      <c r="AZ115" s="536">
        <f>AZ111-AZ105</f>
        <v>0</v>
      </c>
      <c r="BA115" s="536">
        <f t="shared" ref="BA115:BG115" si="184">BA111-BA105</f>
        <v>0</v>
      </c>
      <c r="BB115" s="536">
        <f t="shared" si="184"/>
        <v>0</v>
      </c>
      <c r="BC115" s="537">
        <f t="shared" si="184"/>
        <v>0</v>
      </c>
      <c r="BD115" s="536">
        <f t="shared" si="184"/>
        <v>0</v>
      </c>
      <c r="BE115" s="536">
        <f t="shared" si="184"/>
        <v>0</v>
      </c>
      <c r="BF115" s="536">
        <f t="shared" si="184"/>
        <v>0</v>
      </c>
      <c r="BG115" s="537">
        <f t="shared" si="184"/>
        <v>0</v>
      </c>
      <c r="BH115" s="536">
        <f>BH111-BH105</f>
        <v>0</v>
      </c>
      <c r="BI115" s="536">
        <f>BI111-BI105</f>
        <v>0</v>
      </c>
      <c r="BJ115" s="536">
        <f>BJ111-BJ105</f>
        <v>0</v>
      </c>
      <c r="BK115" s="537">
        <f>BK111-BK105</f>
        <v>0</v>
      </c>
      <c r="BL115" s="319"/>
      <c r="BM115" s="536"/>
      <c r="BN115" s="536"/>
      <c r="BO115" s="536"/>
      <c r="BP115" s="536">
        <f t="shared" ref="BP115:CA115" si="185">BP111-BP105</f>
        <v>848.87700000000029</v>
      </c>
      <c r="BQ115" s="536">
        <f t="shared" si="185"/>
        <v>1193.066</v>
      </c>
      <c r="BR115" s="536">
        <f t="shared" si="185"/>
        <v>0</v>
      </c>
      <c r="BS115" s="536">
        <f t="shared" si="185"/>
        <v>0</v>
      </c>
      <c r="BT115" s="536">
        <f t="shared" si="185"/>
        <v>2.37088800000015</v>
      </c>
      <c r="BU115" s="536">
        <f t="shared" si="185"/>
        <v>0</v>
      </c>
      <c r="BV115" s="536">
        <f t="shared" si="185"/>
        <v>-2.2904600000003938</v>
      </c>
      <c r="BW115" s="536">
        <f>BW111-BW105</f>
        <v>0.29405600000040977</v>
      </c>
      <c r="BX115" s="536">
        <f>BX111-BX105</f>
        <v>0</v>
      </c>
      <c r="BY115" s="536">
        <f t="shared" si="185"/>
        <v>0</v>
      </c>
      <c r="BZ115" s="536">
        <f t="shared" si="185"/>
        <v>0</v>
      </c>
      <c r="CA115" s="537">
        <f t="shared" si="185"/>
        <v>0</v>
      </c>
      <c r="CB115" s="1496"/>
      <c r="CC115" s="1447"/>
      <c r="CD115" s="1447"/>
      <c r="CE115" s="1447"/>
      <c r="CF115" s="260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260"/>
      <c r="CT115" s="1381"/>
    </row>
    <row r="116" spans="1:256" ht="14.25" customHeight="1" collapsed="1">
      <c r="A116" s="538"/>
      <c r="B116" s="279"/>
      <c r="C116" s="314"/>
      <c r="D116" s="491"/>
      <c r="E116" s="491"/>
      <c r="F116" s="491"/>
      <c r="G116" s="501"/>
      <c r="H116" s="491"/>
      <c r="I116" s="491"/>
      <c r="J116" s="491"/>
      <c r="K116" s="501"/>
      <c r="L116" s="491"/>
      <c r="M116" s="491"/>
      <c r="N116" s="491"/>
      <c r="O116" s="501"/>
      <c r="P116" s="491"/>
      <c r="Q116" s="491"/>
      <c r="R116" s="491"/>
      <c r="S116" s="501"/>
      <c r="T116" s="491"/>
      <c r="U116" s="491"/>
      <c r="V116" s="491"/>
      <c r="W116" s="501"/>
      <c r="X116" s="491"/>
      <c r="Y116" s="491"/>
      <c r="Z116" s="491"/>
      <c r="AA116" s="501"/>
      <c r="AB116" s="491"/>
      <c r="AC116" s="491"/>
      <c r="AD116" s="491"/>
      <c r="AE116" s="320"/>
      <c r="AF116" s="490"/>
      <c r="AG116" s="320"/>
      <c r="AH116" s="320"/>
      <c r="AI116" s="321"/>
      <c r="AJ116" s="490"/>
      <c r="AK116" s="320"/>
      <c r="AL116" s="320"/>
      <c r="AM116" s="321"/>
      <c r="AN116" s="490"/>
      <c r="AO116" s="320"/>
      <c r="AP116" s="320"/>
      <c r="AQ116" s="321"/>
      <c r="AR116" s="490"/>
      <c r="AS116" s="320"/>
      <c r="AT116" s="320"/>
      <c r="AU116" s="321"/>
      <c r="AV116" s="320"/>
      <c r="AW116" s="320"/>
      <c r="AX116" s="320"/>
      <c r="AY116" s="321"/>
      <c r="AZ116" s="320"/>
      <c r="BA116" s="320"/>
      <c r="BB116" s="320"/>
      <c r="BC116" s="321"/>
      <c r="BD116" s="320"/>
      <c r="BE116" s="320"/>
      <c r="BF116" s="320"/>
      <c r="BG116" s="321"/>
      <c r="BH116" s="320"/>
      <c r="BI116" s="320"/>
      <c r="BJ116" s="320"/>
      <c r="BK116" s="321"/>
      <c r="BL116" s="1274"/>
      <c r="BM116" s="490"/>
      <c r="BN116" s="320"/>
      <c r="BO116" s="320"/>
      <c r="BP116" s="320"/>
      <c r="BQ116" s="320"/>
      <c r="BR116" s="320"/>
      <c r="BS116" s="320"/>
      <c r="BT116" s="320"/>
      <c r="BU116" s="320"/>
      <c r="BV116" s="320"/>
      <c r="BW116" s="320"/>
      <c r="BX116" s="320"/>
      <c r="BY116" s="320"/>
      <c r="BZ116" s="320"/>
      <c r="CA116" s="16"/>
      <c r="CB116" s="23"/>
      <c r="CC116" s="74"/>
      <c r="CD116" s="74"/>
      <c r="CE116" s="74"/>
      <c r="CF116" s="260"/>
      <c r="CG116" s="251"/>
      <c r="CH116" s="251"/>
      <c r="CI116" s="251"/>
      <c r="CJ116" s="251"/>
      <c r="CK116" s="251"/>
      <c r="CL116" s="251"/>
      <c r="CM116" s="251"/>
      <c r="CN116" s="251"/>
      <c r="CO116" s="251"/>
      <c r="CP116" s="251"/>
      <c r="CQ116" s="251"/>
      <c r="CR116" s="251"/>
      <c r="CS116" s="16"/>
      <c r="CT116" s="1381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</row>
    <row r="117" spans="1:256" ht="14.25" customHeight="1">
      <c r="BV117" s="371"/>
      <c r="BW117" s="1209"/>
      <c r="BX117" s="1209"/>
      <c r="BY117" s="1209"/>
      <c r="BZ117" s="1209"/>
      <c r="CP117" s="1209"/>
      <c r="CQ117" s="1209"/>
      <c r="CR117" s="1209"/>
      <c r="CT117" s="1381"/>
    </row>
    <row r="118" spans="1:256" ht="14.25" customHeight="1">
      <c r="A118" s="1"/>
      <c r="B118" s="162" t="s">
        <v>568</v>
      </c>
      <c r="C118" s="163"/>
      <c r="D118" s="766" t="str">
        <f t="shared" ref="D118:AI118" si="186">D136</f>
        <v>F1Q06A</v>
      </c>
      <c r="E118" s="767" t="str">
        <f t="shared" si="186"/>
        <v>F2Q06A</v>
      </c>
      <c r="F118" s="767" t="str">
        <f t="shared" si="186"/>
        <v>F3Q06A</v>
      </c>
      <c r="G118" s="767" t="str">
        <f t="shared" si="186"/>
        <v>F4Q06A</v>
      </c>
      <c r="H118" s="766" t="str">
        <f t="shared" si="186"/>
        <v>F1Q07A</v>
      </c>
      <c r="I118" s="767" t="str">
        <f t="shared" si="186"/>
        <v>F2Q07A</v>
      </c>
      <c r="J118" s="767" t="str">
        <f t="shared" si="186"/>
        <v>F3Q07A</v>
      </c>
      <c r="K118" s="767" t="str">
        <f t="shared" si="186"/>
        <v>F4Q07A</v>
      </c>
      <c r="L118" s="766" t="str">
        <f t="shared" si="186"/>
        <v>F1Q08A</v>
      </c>
      <c r="M118" s="767" t="str">
        <f t="shared" si="186"/>
        <v>F2Q08A</v>
      </c>
      <c r="N118" s="767" t="str">
        <f t="shared" si="186"/>
        <v>F3Q08A</v>
      </c>
      <c r="O118" s="767" t="str">
        <f t="shared" si="186"/>
        <v>F4Q08A</v>
      </c>
      <c r="P118" s="766" t="str">
        <f t="shared" si="186"/>
        <v>F1Q09A</v>
      </c>
      <c r="Q118" s="767" t="str">
        <f t="shared" si="186"/>
        <v>F2Q09A</v>
      </c>
      <c r="R118" s="767" t="str">
        <f t="shared" si="186"/>
        <v>F3Q09A</v>
      </c>
      <c r="S118" s="767" t="str">
        <f t="shared" si="186"/>
        <v>F4Q09A</v>
      </c>
      <c r="T118" s="766" t="str">
        <f t="shared" si="186"/>
        <v>F1Q10A</v>
      </c>
      <c r="U118" s="767" t="str">
        <f t="shared" si="186"/>
        <v>F2Q10A</v>
      </c>
      <c r="V118" s="767" t="str">
        <f t="shared" si="186"/>
        <v>F3Q10A</v>
      </c>
      <c r="W118" s="767" t="str">
        <f t="shared" si="186"/>
        <v>F4Q10A</v>
      </c>
      <c r="X118" s="766" t="str">
        <f t="shared" si="186"/>
        <v>F1Q11A</v>
      </c>
      <c r="Y118" s="767" t="str">
        <f t="shared" si="186"/>
        <v>F2Q11A</v>
      </c>
      <c r="Z118" s="767" t="str">
        <f t="shared" si="186"/>
        <v>F3Q11A</v>
      </c>
      <c r="AA118" s="767" t="str">
        <f t="shared" si="186"/>
        <v>F4Q11A</v>
      </c>
      <c r="AB118" s="766" t="str">
        <f t="shared" si="186"/>
        <v>F1Q12A</v>
      </c>
      <c r="AC118" s="767" t="str">
        <f t="shared" si="186"/>
        <v>F2Q12A</v>
      </c>
      <c r="AD118" s="767" t="str">
        <f t="shared" si="186"/>
        <v>F3Q12A</v>
      </c>
      <c r="AE118" s="767" t="str">
        <f t="shared" si="186"/>
        <v>F4Q12A</v>
      </c>
      <c r="AF118" s="766" t="str">
        <f t="shared" si="186"/>
        <v>F1Q13A</v>
      </c>
      <c r="AG118" s="767" t="str">
        <f t="shared" si="186"/>
        <v>F2Q13A</v>
      </c>
      <c r="AH118" s="767" t="str">
        <f t="shared" si="186"/>
        <v>F3Q13A</v>
      </c>
      <c r="AI118" s="767" t="str">
        <f t="shared" si="186"/>
        <v>F4Q13A</v>
      </c>
      <c r="AJ118" s="766" t="str">
        <f t="shared" ref="AJ118:BU118" si="187">AJ136</f>
        <v>F1Q14A</v>
      </c>
      <c r="AK118" s="767" t="str">
        <f t="shared" si="187"/>
        <v>F2Q14</v>
      </c>
      <c r="AL118" s="767" t="str">
        <f t="shared" si="187"/>
        <v>F3Q14A</v>
      </c>
      <c r="AM118" s="767" t="str">
        <f t="shared" si="187"/>
        <v>F4Q14A</v>
      </c>
      <c r="AN118" s="766" t="str">
        <f t="shared" si="187"/>
        <v>F1Q15A</v>
      </c>
      <c r="AO118" s="767" t="str">
        <f t="shared" si="187"/>
        <v>F2Q15A</v>
      </c>
      <c r="AP118" s="767" t="str">
        <f t="shared" si="187"/>
        <v>F3Q15A</v>
      </c>
      <c r="AQ118" s="768" t="str">
        <f t="shared" si="187"/>
        <v>F4Q15A</v>
      </c>
      <c r="AR118" s="766" t="str">
        <f t="shared" si="187"/>
        <v>F1Q16A</v>
      </c>
      <c r="AS118" s="767" t="str">
        <f t="shared" si="187"/>
        <v>F2Q16A</v>
      </c>
      <c r="AT118" s="767" t="str">
        <f t="shared" si="187"/>
        <v>F3Q16A</v>
      </c>
      <c r="AU118" s="768" t="str">
        <f t="shared" si="187"/>
        <v>F4Q16A</v>
      </c>
      <c r="AV118" s="766" t="str">
        <f t="shared" ref="AV118:BC118" si="188">AV136</f>
        <v>F1Q17A</v>
      </c>
      <c r="AW118" s="767" t="str">
        <f t="shared" si="188"/>
        <v>F2Q17A</v>
      </c>
      <c r="AX118" s="767" t="str">
        <f t="shared" si="188"/>
        <v>F3Q17A</v>
      </c>
      <c r="AY118" s="768" t="str">
        <f t="shared" si="188"/>
        <v>F4Q17A</v>
      </c>
      <c r="AZ118" s="766" t="str">
        <f t="shared" si="188"/>
        <v>F1Q18A</v>
      </c>
      <c r="BA118" s="767" t="str">
        <f t="shared" si="188"/>
        <v>F2Q18A</v>
      </c>
      <c r="BB118" s="767" t="str">
        <f t="shared" si="188"/>
        <v>F3Q18A</v>
      </c>
      <c r="BC118" s="768" t="str">
        <f t="shared" si="188"/>
        <v>F4Q18E</v>
      </c>
      <c r="BD118" s="766" t="str">
        <f t="shared" ref="BD118:BK118" si="189">BD136</f>
        <v>F1Q19E</v>
      </c>
      <c r="BE118" s="767" t="str">
        <f t="shared" si="189"/>
        <v>F2Q19E</v>
      </c>
      <c r="BF118" s="767" t="str">
        <f t="shared" si="189"/>
        <v>F3Q19E</v>
      </c>
      <c r="BG118" s="768" t="str">
        <f t="shared" si="189"/>
        <v>F4Q19E</v>
      </c>
      <c r="BH118" s="766" t="str">
        <f t="shared" si="189"/>
        <v>F1Q20E</v>
      </c>
      <c r="BI118" s="767" t="str">
        <f t="shared" si="189"/>
        <v>F2Q20E</v>
      </c>
      <c r="BJ118" s="767" t="str">
        <f t="shared" si="189"/>
        <v>F3Q20E</v>
      </c>
      <c r="BK118" s="768" t="str">
        <f t="shared" si="189"/>
        <v>F4Q20E</v>
      </c>
      <c r="BL118" s="539"/>
      <c r="BM118" s="766" t="str">
        <f t="shared" si="187"/>
        <v>FY2006A</v>
      </c>
      <c r="BN118" s="767" t="str">
        <f t="shared" si="187"/>
        <v>FY2007A</v>
      </c>
      <c r="BO118" s="767" t="str">
        <f t="shared" si="187"/>
        <v>FY2008A</v>
      </c>
      <c r="BP118" s="767" t="str">
        <f t="shared" si="187"/>
        <v>FY2009A</v>
      </c>
      <c r="BQ118" s="767" t="str">
        <f t="shared" si="187"/>
        <v>FY2010A</v>
      </c>
      <c r="BR118" s="767" t="str">
        <f t="shared" si="187"/>
        <v>FY2011A</v>
      </c>
      <c r="BS118" s="767" t="str">
        <f t="shared" si="187"/>
        <v>FY2012A</v>
      </c>
      <c r="BT118" s="767" t="str">
        <f t="shared" si="187"/>
        <v>FY2013A</v>
      </c>
      <c r="BU118" s="768" t="str">
        <f t="shared" si="187"/>
        <v>FY2014A</v>
      </c>
      <c r="BV118" s="1036" t="str">
        <f t="shared" ref="BV118:CA118" si="190">BV9</f>
        <v>FY2015A</v>
      </c>
      <c r="BW118" s="1036" t="str">
        <f t="shared" si="190"/>
        <v>FY2016A</v>
      </c>
      <c r="BX118" s="1240" t="str">
        <f t="shared" si="190"/>
        <v>FY2017A</v>
      </c>
      <c r="BY118" s="1240" t="str">
        <f t="shared" si="190"/>
        <v>FY2018E</v>
      </c>
      <c r="BZ118" s="1240" t="str">
        <f t="shared" si="190"/>
        <v>FY2019E</v>
      </c>
      <c r="CA118" s="386" t="str">
        <f t="shared" si="190"/>
        <v>FY2020E</v>
      </c>
      <c r="CB118" s="1046"/>
      <c r="CC118" s="1037"/>
      <c r="CD118" s="1037"/>
      <c r="CE118" s="1037"/>
      <c r="CF118" s="371"/>
      <c r="CG118" s="371"/>
      <c r="CH118" s="371"/>
      <c r="CI118" s="371"/>
      <c r="CP118" s="1209"/>
      <c r="CQ118" s="1209"/>
      <c r="CR118" s="1209"/>
      <c r="CT118" s="1381"/>
    </row>
    <row r="119" spans="1:256" ht="14.25" customHeight="1">
      <c r="B119" s="368" t="str">
        <f>B128</f>
        <v>Consumer</v>
      </c>
      <c r="C119" s="418"/>
      <c r="D119" s="604"/>
      <c r="E119" s="605"/>
      <c r="F119" s="605"/>
      <c r="G119" s="606"/>
      <c r="H119" s="604"/>
      <c r="I119" s="605"/>
      <c r="J119" s="605"/>
      <c r="K119" s="606"/>
      <c r="L119" s="604"/>
      <c r="M119" s="573"/>
      <c r="N119" s="573"/>
      <c r="O119" s="574"/>
      <c r="P119" s="572"/>
      <c r="Q119" s="573"/>
      <c r="R119" s="573"/>
      <c r="S119" s="574"/>
      <c r="T119" s="572"/>
      <c r="U119" s="573"/>
      <c r="V119" s="573"/>
      <c r="W119" s="574"/>
      <c r="X119" s="572">
        <f t="shared" ref="X119:AL119" si="191">X128*X$110</f>
        <v>206.62587000000002</v>
      </c>
      <c r="Y119" s="573">
        <f t="shared" si="191"/>
        <v>196.13952</v>
      </c>
      <c r="Z119" s="573">
        <f t="shared" si="191"/>
        <v>194.16800000000001</v>
      </c>
      <c r="AA119" s="574">
        <f t="shared" si="191"/>
        <v>225.53675999999987</v>
      </c>
      <c r="AB119" s="572">
        <f t="shared" si="191"/>
        <v>260.76081999999997</v>
      </c>
      <c r="AC119" s="573">
        <f t="shared" si="191"/>
        <v>242.45719</v>
      </c>
      <c r="AD119" s="573">
        <f t="shared" si="191"/>
        <v>234.19691999999998</v>
      </c>
      <c r="AE119" s="573">
        <f t="shared" si="191"/>
        <v>260.13108</v>
      </c>
      <c r="AF119" s="572">
        <f t="shared" si="191"/>
        <v>292.84525000000002</v>
      </c>
      <c r="AG119" s="573">
        <f t="shared" si="191"/>
        <v>278.44076000000001</v>
      </c>
      <c r="AH119" s="573">
        <f t="shared" si="191"/>
        <v>296.39316000000002</v>
      </c>
      <c r="AI119" s="573">
        <f t="shared" si="191"/>
        <v>267.60535999999996</v>
      </c>
      <c r="AJ119" s="572">
        <f t="shared" si="191"/>
        <v>251.65362999999999</v>
      </c>
      <c r="AK119" s="573">
        <f t="shared" si="191"/>
        <v>241.90685999999999</v>
      </c>
      <c r="AL119" s="573">
        <f t="shared" si="191"/>
        <v>230.15878000000001</v>
      </c>
      <c r="AM119" s="573">
        <f t="shared" ref="AM119:AO123" si="192">AM128*AM$110</f>
        <v>224.86344999999997</v>
      </c>
      <c r="AN119" s="572">
        <f t="shared" si="192"/>
        <v>174.08249999999998</v>
      </c>
      <c r="AO119" s="573">
        <f t="shared" si="192"/>
        <v>187.04696999999999</v>
      </c>
      <c r="AP119" s="573">
        <f t="shared" ref="AP119:AS123" si="193">AP128*AP$110</f>
        <v>178.95153000000002</v>
      </c>
      <c r="AQ119" s="573">
        <f t="shared" si="193"/>
        <v>186.40544000000003</v>
      </c>
      <c r="AR119" s="572">
        <f t="shared" si="193"/>
        <v>180.00319999999999</v>
      </c>
      <c r="AS119" s="573">
        <f t="shared" si="193"/>
        <v>145.58683499999998</v>
      </c>
      <c r="AT119" s="573">
        <f t="shared" ref="AT119:AW123" si="194">AT128*AT$110</f>
        <v>161.02307999999996</v>
      </c>
      <c r="AU119" s="573">
        <f t="shared" si="194"/>
        <v>164.17653999999999</v>
      </c>
      <c r="AV119" s="572">
        <f t="shared" si="194"/>
        <v>174.03276</v>
      </c>
      <c r="AW119" s="573">
        <f t="shared" si="194"/>
        <v>169.156386</v>
      </c>
      <c r="AX119" s="573">
        <f t="shared" ref="AX119:BA123" si="195">AX128*AX$110</f>
        <v>148.79129600000002</v>
      </c>
      <c r="AY119" s="573">
        <f t="shared" si="195"/>
        <v>146.58821749999998</v>
      </c>
      <c r="AZ119" s="572">
        <f t="shared" si="195"/>
        <v>161.18928000000002</v>
      </c>
      <c r="BA119" s="573">
        <f t="shared" si="195"/>
        <v>161.88561999999999</v>
      </c>
      <c r="BB119" s="573">
        <f t="shared" ref="BB119" si="196">BB128*BB$110</f>
        <v>201.06569000000002</v>
      </c>
      <c r="BC119" s="422"/>
      <c r="BD119" s="423"/>
      <c r="BE119" s="421"/>
      <c r="BF119" s="421"/>
      <c r="BG119" s="422"/>
      <c r="BH119" s="423"/>
      <c r="BI119" s="421"/>
      <c r="BJ119" s="421"/>
      <c r="BK119" s="422"/>
      <c r="BL119" s="424"/>
      <c r="BM119" s="544"/>
      <c r="BN119" s="607"/>
      <c r="BO119" s="425">
        <f>SUM(L119:O119)</f>
        <v>0</v>
      </c>
      <c r="BP119" s="425">
        <f>SUM(P119:S119)</f>
        <v>0</v>
      </c>
      <c r="BQ119" s="425">
        <f>SUM(T119:W119)</f>
        <v>0</v>
      </c>
      <c r="BR119" s="425">
        <f>SUM(X119:AA119)</f>
        <v>822.47014999999988</v>
      </c>
      <c r="BS119" s="411">
        <f>SUM(AB119:AE119)</f>
        <v>997.54600999999991</v>
      </c>
      <c r="BT119" s="411">
        <f>SUM(AF119:AI119)</f>
        <v>1135.2845300000001</v>
      </c>
      <c r="BU119" s="425"/>
      <c r="BV119" s="425"/>
      <c r="BW119" s="425"/>
      <c r="BX119" s="425"/>
      <c r="BY119" s="425"/>
      <c r="BZ119" s="425"/>
      <c r="CA119" s="418"/>
      <c r="CB119" s="1497"/>
      <c r="CC119" s="448"/>
      <c r="CD119" s="448"/>
      <c r="CE119" s="448"/>
      <c r="CF119" s="371"/>
      <c r="CG119" s="371"/>
      <c r="CH119" s="371"/>
      <c r="CI119" s="371"/>
      <c r="CP119" s="1209"/>
      <c r="CQ119" s="1209"/>
      <c r="CR119" s="1209"/>
      <c r="CT119" s="1381"/>
    </row>
    <row r="120" spans="1:256" ht="14.25" customHeight="1">
      <c r="B120" s="369" t="str">
        <f>B129</f>
        <v>Industrial</v>
      </c>
      <c r="C120" s="372"/>
      <c r="D120" s="550"/>
      <c r="E120" s="551"/>
      <c r="F120" s="551"/>
      <c r="G120" s="552"/>
      <c r="H120" s="550"/>
      <c r="I120" s="551"/>
      <c r="J120" s="551"/>
      <c r="K120" s="552"/>
      <c r="L120" s="550"/>
      <c r="M120" s="576"/>
      <c r="N120" s="576"/>
      <c r="O120" s="577"/>
      <c r="P120" s="575"/>
      <c r="Q120" s="576"/>
      <c r="R120" s="576"/>
      <c r="S120" s="577"/>
      <c r="T120" s="575"/>
      <c r="U120" s="576"/>
      <c r="V120" s="576"/>
      <c r="W120" s="577"/>
      <c r="X120" s="575">
        <f t="shared" ref="X120:AL120" si="197">X129*X$110</f>
        <v>156.53475</v>
      </c>
      <c r="Y120" s="576">
        <f t="shared" si="197"/>
        <v>165.49272000000002</v>
      </c>
      <c r="Z120" s="576">
        <f t="shared" si="197"/>
        <v>175.96474999999998</v>
      </c>
      <c r="AA120" s="577">
        <f t="shared" si="197"/>
        <v>175.41747999999993</v>
      </c>
      <c r="AB120" s="575">
        <f t="shared" si="197"/>
        <v>159.00049999999999</v>
      </c>
      <c r="AC120" s="576">
        <f t="shared" si="197"/>
        <v>147.83975000000001</v>
      </c>
      <c r="AD120" s="576">
        <f t="shared" si="197"/>
        <v>142.803</v>
      </c>
      <c r="AE120" s="576">
        <f t="shared" si="197"/>
        <v>145.18943999999999</v>
      </c>
      <c r="AF120" s="575">
        <f t="shared" si="197"/>
        <v>143.30725000000001</v>
      </c>
      <c r="AG120" s="576">
        <f t="shared" si="197"/>
        <v>145.27343999999999</v>
      </c>
      <c r="AH120" s="576">
        <f t="shared" si="197"/>
        <v>133.07447999999999</v>
      </c>
      <c r="AI120" s="576">
        <f t="shared" si="197"/>
        <v>152.04849999999999</v>
      </c>
      <c r="AJ120" s="575">
        <f t="shared" si="197"/>
        <v>152.16265999999999</v>
      </c>
      <c r="AK120" s="576">
        <f t="shared" si="197"/>
        <v>148.86575999999999</v>
      </c>
      <c r="AL120" s="576">
        <f t="shared" si="197"/>
        <v>151.42025000000001</v>
      </c>
      <c r="AM120" s="576">
        <f t="shared" si="192"/>
        <v>173.46609000000001</v>
      </c>
      <c r="AN120" s="575">
        <f t="shared" si="192"/>
        <v>162.477</v>
      </c>
      <c r="AO120" s="576">
        <f t="shared" si="192"/>
        <v>153.03843000000001</v>
      </c>
      <c r="AP120" s="576">
        <f t="shared" si="193"/>
        <v>155.86101000000002</v>
      </c>
      <c r="AQ120" s="576">
        <f t="shared" si="193"/>
        <v>157.27959000000001</v>
      </c>
      <c r="AR120" s="575">
        <f t="shared" si="193"/>
        <v>151.8777</v>
      </c>
      <c r="AS120" s="576">
        <f t="shared" si="193"/>
        <v>145.58683499999998</v>
      </c>
      <c r="AT120" s="576">
        <f t="shared" si="194"/>
        <v>154.91530800000001</v>
      </c>
      <c r="AU120" s="576">
        <f t="shared" si="194"/>
        <v>151.155642</v>
      </c>
      <c r="AV120" s="575">
        <f t="shared" si="194"/>
        <v>145.96295999999998</v>
      </c>
      <c r="AW120" s="576">
        <f t="shared" si="194"/>
        <v>139.95349200000001</v>
      </c>
      <c r="AX120" s="576">
        <f t="shared" si="195"/>
        <v>165.355952</v>
      </c>
      <c r="AY120" s="576">
        <f t="shared" si="195"/>
        <v>177.29047249999999</v>
      </c>
      <c r="AZ120" s="575">
        <f t="shared" si="195"/>
        <v>161.18928000000002</v>
      </c>
      <c r="BA120" s="576">
        <f t="shared" si="195"/>
        <v>180.56472999999997</v>
      </c>
      <c r="BB120" s="576">
        <f t="shared" ref="BB120" si="198">BB129*BB$110</f>
        <v>175.12173000000001</v>
      </c>
      <c r="BC120" s="430"/>
      <c r="BD120" s="431"/>
      <c r="BE120" s="429"/>
      <c r="BF120" s="429"/>
      <c r="BG120" s="430"/>
      <c r="BH120" s="431"/>
      <c r="BI120" s="429"/>
      <c r="BJ120" s="429"/>
      <c r="BK120" s="430"/>
      <c r="BL120" s="424"/>
      <c r="BM120" s="549"/>
      <c r="BN120" s="608"/>
      <c r="BO120" s="411">
        <f>SUM(L120:O120)</f>
        <v>0</v>
      </c>
      <c r="BP120" s="411">
        <f>SUM(P120:S120)</f>
        <v>0</v>
      </c>
      <c r="BQ120" s="411">
        <f>SUM(T120:W120)</f>
        <v>0</v>
      </c>
      <c r="BR120" s="411">
        <f>SUM(X120:AA120)</f>
        <v>673.40969999999993</v>
      </c>
      <c r="BS120" s="411">
        <f>SUM(AB120:AE120)</f>
        <v>594.83268999999996</v>
      </c>
      <c r="BT120" s="411">
        <f>SUM(AF120:AI120)</f>
        <v>573.70366999999999</v>
      </c>
      <c r="BU120" s="411"/>
      <c r="BV120" s="411"/>
      <c r="BW120" s="411"/>
      <c r="BX120" s="411"/>
      <c r="BY120" s="411"/>
      <c r="BZ120" s="411"/>
      <c r="CA120" s="372"/>
      <c r="CB120" s="1497"/>
      <c r="CC120" s="448"/>
      <c r="CD120" s="448"/>
      <c r="CE120" s="448"/>
      <c r="CF120" s="371"/>
      <c r="CG120" s="371"/>
      <c r="CH120" s="371"/>
      <c r="CI120" s="371"/>
      <c r="CP120" s="1209"/>
      <c r="CQ120" s="1209"/>
      <c r="CR120" s="1209"/>
      <c r="CT120" s="1381"/>
    </row>
    <row r="121" spans="1:256" ht="14.25" customHeight="1">
      <c r="B121" s="369" t="str">
        <f>B130</f>
        <v>Comm &amp; Data Center</v>
      </c>
      <c r="C121" s="372"/>
      <c r="D121" s="550"/>
      <c r="E121" s="551"/>
      <c r="F121" s="551"/>
      <c r="G121" s="552"/>
      <c r="H121" s="550"/>
      <c r="I121" s="551"/>
      <c r="J121" s="551"/>
      <c r="K121" s="552"/>
      <c r="L121" s="550"/>
      <c r="M121" s="576"/>
      <c r="N121" s="576"/>
      <c r="O121" s="577"/>
      <c r="P121" s="575"/>
      <c r="Q121" s="576"/>
      <c r="R121" s="576"/>
      <c r="S121" s="577"/>
      <c r="T121" s="575"/>
      <c r="U121" s="576"/>
      <c r="V121" s="576"/>
      <c r="W121" s="577"/>
      <c r="X121" s="575">
        <f t="shared" ref="X121:AL121" si="199">X130*X$110</f>
        <v>156.53475</v>
      </c>
      <c r="Y121" s="576">
        <f t="shared" si="199"/>
        <v>153.23400000000001</v>
      </c>
      <c r="Z121" s="576">
        <f t="shared" si="199"/>
        <v>145.62599999999998</v>
      </c>
      <c r="AA121" s="577">
        <f t="shared" si="199"/>
        <v>137.82801999999992</v>
      </c>
      <c r="AB121" s="575">
        <f t="shared" si="199"/>
        <v>127.2004</v>
      </c>
      <c r="AC121" s="576">
        <f t="shared" si="199"/>
        <v>124.18539</v>
      </c>
      <c r="AD121" s="576">
        <f t="shared" si="199"/>
        <v>114.2424</v>
      </c>
      <c r="AE121" s="576">
        <f t="shared" si="199"/>
        <v>114.94164000000001</v>
      </c>
      <c r="AF121" s="575">
        <f t="shared" si="199"/>
        <v>112.15350000000001</v>
      </c>
      <c r="AG121" s="576">
        <f t="shared" si="199"/>
        <v>115.00814000000001</v>
      </c>
      <c r="AH121" s="576">
        <f t="shared" si="199"/>
        <v>108.87912</v>
      </c>
      <c r="AI121" s="576">
        <f t="shared" si="199"/>
        <v>115.55686</v>
      </c>
      <c r="AJ121" s="575">
        <f t="shared" si="199"/>
        <v>111.19579</v>
      </c>
      <c r="AK121" s="576">
        <f t="shared" si="199"/>
        <v>142.66302000000002</v>
      </c>
      <c r="AL121" s="576">
        <f t="shared" si="199"/>
        <v>139.30663000000001</v>
      </c>
      <c r="AM121" s="576">
        <f t="shared" si="192"/>
        <v>147.76741000000001</v>
      </c>
      <c r="AN121" s="575">
        <f t="shared" si="192"/>
        <v>150.8715</v>
      </c>
      <c r="AO121" s="576">
        <f t="shared" si="192"/>
        <v>130.36607000000001</v>
      </c>
      <c r="AP121" s="576">
        <f t="shared" si="193"/>
        <v>132.77049000000002</v>
      </c>
      <c r="AQ121" s="576">
        <f t="shared" si="193"/>
        <v>128.15374</v>
      </c>
      <c r="AR121" s="575">
        <f t="shared" si="193"/>
        <v>112.50200000000001</v>
      </c>
      <c r="AS121" s="576">
        <f t="shared" si="193"/>
        <v>109.317834</v>
      </c>
      <c r="AT121" s="576">
        <f t="shared" si="194"/>
        <v>122.15543999999998</v>
      </c>
      <c r="AU121" s="576">
        <f t="shared" si="194"/>
        <v>120.58483799999999</v>
      </c>
      <c r="AV121" s="575">
        <f t="shared" si="194"/>
        <v>117.89315999999998</v>
      </c>
      <c r="AW121" s="576">
        <f t="shared" si="194"/>
        <v>115.15858200000001</v>
      </c>
      <c r="AX121" s="576">
        <f t="shared" si="195"/>
        <v>122.05535999999999</v>
      </c>
      <c r="AY121" s="576">
        <f t="shared" si="195"/>
        <v>129.13007249999998</v>
      </c>
      <c r="AZ121" s="575">
        <f t="shared" si="195"/>
        <v>115.13520000000001</v>
      </c>
      <c r="BA121" s="576">
        <f t="shared" si="195"/>
        <v>124.5274</v>
      </c>
      <c r="BB121" s="576">
        <f t="shared" ref="BB121" si="200">BB130*BB$110</f>
        <v>123.23381000000001</v>
      </c>
      <c r="BC121" s="430"/>
      <c r="BD121" s="431"/>
      <c r="BE121" s="429"/>
      <c r="BF121" s="429"/>
      <c r="BG121" s="430"/>
      <c r="BH121" s="431"/>
      <c r="BI121" s="429"/>
      <c r="BJ121" s="429"/>
      <c r="BK121" s="430"/>
      <c r="BL121" s="424"/>
      <c r="BM121" s="549"/>
      <c r="BN121" s="608"/>
      <c r="BO121" s="411">
        <f>SUM(L121:O121)</f>
        <v>0</v>
      </c>
      <c r="BP121" s="411">
        <f>SUM(P121:S121)</f>
        <v>0</v>
      </c>
      <c r="BQ121" s="411">
        <f>SUM(T121:W121)</f>
        <v>0</v>
      </c>
      <c r="BR121" s="411">
        <f>SUM(X121:AA121)</f>
        <v>593.22276999999985</v>
      </c>
      <c r="BS121" s="411">
        <f>SUM(AB121:AE121)</f>
        <v>480.56983000000002</v>
      </c>
      <c r="BT121" s="411">
        <f>SUM(AF121:AI121)</f>
        <v>451.59762000000001</v>
      </c>
      <c r="BU121" s="411"/>
      <c r="BV121" s="411"/>
      <c r="BW121" s="411"/>
      <c r="BX121" s="411"/>
      <c r="BY121" s="411"/>
      <c r="BZ121" s="411"/>
      <c r="CA121" s="372"/>
      <c r="CB121" s="1497"/>
      <c r="CC121" s="448"/>
      <c r="CD121" s="448"/>
      <c r="CE121" s="448"/>
      <c r="CF121" s="371"/>
      <c r="CG121" s="371"/>
      <c r="CH121" s="371"/>
      <c r="CI121" s="371"/>
      <c r="CP121" s="1209"/>
      <c r="CQ121" s="1209"/>
      <c r="CR121" s="1209"/>
      <c r="CT121" s="1381"/>
    </row>
    <row r="122" spans="1:256" ht="14.25" customHeight="1">
      <c r="B122" s="369" t="str">
        <f>B131</f>
        <v>Automotive</v>
      </c>
      <c r="C122" s="372"/>
      <c r="D122" s="550"/>
      <c r="E122" s="551"/>
      <c r="F122" s="551"/>
      <c r="G122" s="552"/>
      <c r="H122" s="550"/>
      <c r="I122" s="551"/>
      <c r="J122" s="551"/>
      <c r="K122" s="552"/>
      <c r="L122" s="550"/>
      <c r="M122" s="576"/>
      <c r="N122" s="576"/>
      <c r="O122" s="577"/>
      <c r="P122" s="575"/>
      <c r="Q122" s="576"/>
      <c r="R122" s="576"/>
      <c r="S122" s="577"/>
      <c r="T122" s="575"/>
      <c r="U122" s="576"/>
      <c r="V122" s="576"/>
      <c r="W122" s="577"/>
      <c r="X122" s="575">
        <f t="shared" ref="X122:AL122" si="201">X131*X$110</f>
        <v>31.306950000000001</v>
      </c>
      <c r="Y122" s="576">
        <f t="shared" si="201"/>
        <v>30.646800000000002</v>
      </c>
      <c r="Z122" s="576">
        <f t="shared" si="201"/>
        <v>30.338750000000001</v>
      </c>
      <c r="AA122" s="577">
        <f t="shared" si="201"/>
        <v>31.324549999999984</v>
      </c>
      <c r="AB122" s="575">
        <f t="shared" si="201"/>
        <v>31.8001</v>
      </c>
      <c r="AC122" s="576">
        <f t="shared" si="201"/>
        <v>29.567950000000003</v>
      </c>
      <c r="AD122" s="576">
        <f t="shared" si="201"/>
        <v>34.27272</v>
      </c>
      <c r="AE122" s="576">
        <f t="shared" si="201"/>
        <v>36.297359999999998</v>
      </c>
      <c r="AF122" s="575">
        <f t="shared" si="201"/>
        <v>37.384500000000003</v>
      </c>
      <c r="AG122" s="576">
        <f t="shared" si="201"/>
        <v>30.265300000000003</v>
      </c>
      <c r="AH122" s="576">
        <f t="shared" si="201"/>
        <v>36.293039999999998</v>
      </c>
      <c r="AI122" s="576">
        <f t="shared" si="201"/>
        <v>42.57358</v>
      </c>
      <c r="AJ122" s="575">
        <f t="shared" si="201"/>
        <v>40.96687</v>
      </c>
      <c r="AK122" s="576">
        <f t="shared" si="201"/>
        <v>49.621920000000003</v>
      </c>
      <c r="AL122" s="576">
        <f t="shared" si="201"/>
        <v>54.511290000000002</v>
      </c>
      <c r="AM122" s="576">
        <f t="shared" si="192"/>
        <v>64.246700000000004</v>
      </c>
      <c r="AN122" s="575">
        <f t="shared" si="192"/>
        <v>63.830249999999999</v>
      </c>
      <c r="AO122" s="576">
        <f t="shared" si="192"/>
        <v>68.017079999999993</v>
      </c>
      <c r="AP122" s="576">
        <f t="shared" si="193"/>
        <v>75.04419</v>
      </c>
      <c r="AQ122" s="576">
        <f t="shared" si="193"/>
        <v>81.552380000000014</v>
      </c>
      <c r="AR122" s="575">
        <f t="shared" si="193"/>
        <v>90.001599999999996</v>
      </c>
      <c r="AS122" s="576">
        <f t="shared" si="193"/>
        <v>86.841270000000009</v>
      </c>
      <c r="AT122" s="576">
        <f t="shared" si="194"/>
        <v>94.392839999999993</v>
      </c>
      <c r="AU122" s="576">
        <f t="shared" si="194"/>
        <v>107.56394</v>
      </c>
      <c r="AV122" s="575">
        <f t="shared" si="194"/>
        <v>101.05127999999999</v>
      </c>
      <c r="AW122" s="576">
        <f t="shared" si="194"/>
        <v>102.761127</v>
      </c>
      <c r="AX122" s="576">
        <f t="shared" si="195"/>
        <v>119.14927999999999</v>
      </c>
      <c r="AY122" s="576">
        <f t="shared" si="195"/>
        <v>120.0999975</v>
      </c>
      <c r="AZ122" s="575">
        <f t="shared" si="195"/>
        <v>115.13520000000001</v>
      </c>
      <c r="BA122" s="576">
        <f t="shared" si="195"/>
        <v>130.75376999999997</v>
      </c>
      <c r="BB122" s="576">
        <f t="shared" ref="BB122" si="202">BB131*BB$110</f>
        <v>129.71980000000002</v>
      </c>
      <c r="BC122" s="430"/>
      <c r="BD122" s="431"/>
      <c r="BE122" s="429"/>
      <c r="BF122" s="429"/>
      <c r="BG122" s="430"/>
      <c r="BH122" s="431"/>
      <c r="BI122" s="429"/>
      <c r="BJ122" s="429"/>
      <c r="BK122" s="430"/>
      <c r="BL122" s="424"/>
      <c r="BM122" s="549"/>
      <c r="BN122" s="608"/>
      <c r="BO122" s="411">
        <f>SUM(L122:O122)</f>
        <v>0</v>
      </c>
      <c r="BP122" s="411">
        <f>SUM(P122:S122)</f>
        <v>0</v>
      </c>
      <c r="BQ122" s="411">
        <f>SUM(T122:W122)</f>
        <v>0</v>
      </c>
      <c r="BR122" s="411">
        <f>SUM(X122:AA122)</f>
        <v>123.61704999999999</v>
      </c>
      <c r="BS122" s="411">
        <f>SUM(AB122:AE122)</f>
        <v>131.93813</v>
      </c>
      <c r="BT122" s="411">
        <f>SUM(AF122:AI122)</f>
        <v>146.51641999999998</v>
      </c>
      <c r="BU122" s="411"/>
      <c r="BV122" s="411"/>
      <c r="BW122" s="411"/>
      <c r="BX122" s="411"/>
      <c r="BY122" s="411"/>
      <c r="BZ122" s="411"/>
      <c r="CA122" s="372"/>
      <c r="CB122" s="1497"/>
      <c r="CC122" s="448"/>
      <c r="CD122" s="448"/>
      <c r="CE122" s="448"/>
      <c r="CF122" s="371"/>
      <c r="CG122" s="371"/>
      <c r="CH122" s="371"/>
      <c r="CI122" s="371"/>
      <c r="CP122" s="1209"/>
      <c r="CQ122" s="1209"/>
      <c r="CR122" s="1209"/>
      <c r="CT122" s="1381"/>
    </row>
    <row r="123" spans="1:256" s="121" customFormat="1" ht="14.25" customHeight="1">
      <c r="A123"/>
      <c r="B123" s="369" t="str">
        <f>B132</f>
        <v>Computing</v>
      </c>
      <c r="C123" s="372"/>
      <c r="D123" s="550"/>
      <c r="E123" s="551"/>
      <c r="F123" s="551"/>
      <c r="G123" s="552"/>
      <c r="H123" s="550"/>
      <c r="I123" s="551"/>
      <c r="J123" s="551"/>
      <c r="K123" s="552"/>
      <c r="L123" s="550"/>
      <c r="M123" s="576"/>
      <c r="N123" s="576"/>
      <c r="O123" s="577"/>
      <c r="P123" s="575"/>
      <c r="Q123" s="576"/>
      <c r="R123" s="576"/>
      <c r="S123" s="577"/>
      <c r="T123" s="575"/>
      <c r="U123" s="576"/>
      <c r="V123" s="576"/>
      <c r="W123" s="577"/>
      <c r="X123" s="575">
        <f t="shared" ref="X123:AL123" si="203">X132*X$110</f>
        <v>75.136679999999998</v>
      </c>
      <c r="Y123" s="576">
        <f t="shared" si="203"/>
        <v>67.422960000000003</v>
      </c>
      <c r="Z123" s="576">
        <f t="shared" si="203"/>
        <v>60.677500000000002</v>
      </c>
      <c r="AA123" s="577">
        <f t="shared" si="203"/>
        <v>56.384189999999968</v>
      </c>
      <c r="AB123" s="575">
        <f t="shared" si="203"/>
        <v>57.240179999999995</v>
      </c>
      <c r="AC123" s="576">
        <f t="shared" si="203"/>
        <v>47.308720000000001</v>
      </c>
      <c r="AD123" s="576">
        <f t="shared" si="203"/>
        <v>45.696959999999997</v>
      </c>
      <c r="AE123" s="576">
        <f t="shared" si="203"/>
        <v>48.396480000000004</v>
      </c>
      <c r="AF123" s="575">
        <f t="shared" si="203"/>
        <v>37.384500000000003</v>
      </c>
      <c r="AG123" s="576">
        <f t="shared" si="203"/>
        <v>36.318359999999998</v>
      </c>
      <c r="AH123" s="576">
        <f t="shared" si="203"/>
        <v>30.244200000000003</v>
      </c>
      <c r="AI123" s="576">
        <f t="shared" si="203"/>
        <v>30.409700000000001</v>
      </c>
      <c r="AJ123" s="575">
        <f t="shared" si="203"/>
        <v>29.262050000000002</v>
      </c>
      <c r="AK123" s="576">
        <f t="shared" si="203"/>
        <v>37.216439999999999</v>
      </c>
      <c r="AL123" s="576">
        <f t="shared" si="203"/>
        <v>30.284050000000004</v>
      </c>
      <c r="AM123" s="576">
        <f t="shared" si="192"/>
        <v>32.123350000000002</v>
      </c>
      <c r="AN123" s="575">
        <f t="shared" si="192"/>
        <v>29.013750000000002</v>
      </c>
      <c r="AO123" s="576">
        <f t="shared" si="192"/>
        <v>28.340450000000001</v>
      </c>
      <c r="AP123" s="576">
        <f t="shared" si="193"/>
        <v>34.635780000000004</v>
      </c>
      <c r="AQ123" s="576">
        <f t="shared" si="193"/>
        <v>29.125850000000003</v>
      </c>
      <c r="AR123" s="575">
        <f t="shared" si="193"/>
        <v>28.125500000000002</v>
      </c>
      <c r="AS123" s="576">
        <f t="shared" si="193"/>
        <v>23.498225999999999</v>
      </c>
      <c r="AT123" s="576">
        <f t="shared" si="194"/>
        <v>22.765332000000001</v>
      </c>
      <c r="AU123" s="576">
        <f t="shared" si="194"/>
        <v>22.645039999999998</v>
      </c>
      <c r="AV123" s="575">
        <f t="shared" si="194"/>
        <v>22.455839999999998</v>
      </c>
      <c r="AW123" s="576">
        <f t="shared" si="194"/>
        <v>23.968413000000002</v>
      </c>
      <c r="AX123" s="576">
        <f t="shared" si="195"/>
        <v>25.864111999999999</v>
      </c>
      <c r="AY123" s="576">
        <f t="shared" si="195"/>
        <v>28.896239999999999</v>
      </c>
      <c r="AZ123" s="575">
        <f t="shared" si="195"/>
        <v>23.027040000000003</v>
      </c>
      <c r="BA123" s="576">
        <f t="shared" si="195"/>
        <v>24.905479999999997</v>
      </c>
      <c r="BB123" s="576">
        <f t="shared" ref="BB123" si="204">BB132*BB$110</f>
        <v>19.45797</v>
      </c>
      <c r="BC123" s="430"/>
      <c r="BD123" s="431"/>
      <c r="BE123" s="429"/>
      <c r="BF123" s="429"/>
      <c r="BG123" s="430"/>
      <c r="BH123" s="431"/>
      <c r="BI123" s="429"/>
      <c r="BJ123" s="429"/>
      <c r="BK123" s="430"/>
      <c r="BL123" s="424"/>
      <c r="BM123" s="549"/>
      <c r="BN123" s="608"/>
      <c r="BO123" s="411">
        <f>SUM(L123:O123)</f>
        <v>0</v>
      </c>
      <c r="BP123" s="411">
        <f>SUM(P123:S123)</f>
        <v>0</v>
      </c>
      <c r="BQ123" s="411">
        <f>SUM(T123:W123)</f>
        <v>0</v>
      </c>
      <c r="BR123" s="411">
        <f>SUM(X123:AA123)</f>
        <v>259.62133</v>
      </c>
      <c r="BS123" s="411">
        <f>SUM(AB123:AE123)</f>
        <v>198.64233999999999</v>
      </c>
      <c r="BT123" s="411">
        <f>SUM(AF123:AI123)</f>
        <v>134.35676000000001</v>
      </c>
      <c r="BU123" s="411"/>
      <c r="BV123" s="411"/>
      <c r="BW123" s="411"/>
      <c r="BX123" s="411"/>
      <c r="BY123" s="411"/>
      <c r="BZ123" s="411"/>
      <c r="CA123" s="372"/>
      <c r="CB123" s="1497"/>
      <c r="CC123" s="448"/>
      <c r="CD123" s="448"/>
      <c r="CE123" s="448"/>
      <c r="CF123" s="371"/>
      <c r="CG123" s="371"/>
      <c r="CH123" s="371"/>
      <c r="CI123" s="371"/>
      <c r="CJ123"/>
      <c r="CK123"/>
      <c r="CL123"/>
      <c r="CM123"/>
      <c r="CN123"/>
      <c r="CO123"/>
      <c r="CP123" s="1209"/>
      <c r="CQ123" s="1209"/>
      <c r="CR123" s="1209"/>
      <c r="CS123"/>
      <c r="CT123" s="1381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</row>
    <row r="124" spans="1:256" s="121" customFormat="1" ht="14.25" customHeight="1">
      <c r="B124" s="434" t="s">
        <v>576</v>
      </c>
      <c r="C124" s="435"/>
      <c r="D124" s="553"/>
      <c r="E124" s="554"/>
      <c r="F124" s="554"/>
      <c r="G124" s="555"/>
      <c r="H124" s="553"/>
      <c r="I124" s="554"/>
      <c r="J124" s="554"/>
      <c r="K124" s="555"/>
      <c r="L124" s="553"/>
      <c r="M124" s="437"/>
      <c r="N124" s="437"/>
      <c r="O124" s="438"/>
      <c r="P124" s="436"/>
      <c r="Q124" s="437"/>
      <c r="R124" s="437"/>
      <c r="S124" s="438"/>
      <c r="T124" s="436"/>
      <c r="U124" s="437"/>
      <c r="V124" s="437"/>
      <c r="W124" s="438"/>
      <c r="X124" s="436">
        <f t="shared" ref="X124:AJ124" si="205">SUM(X119:X123)</f>
        <v>626.13900000000001</v>
      </c>
      <c r="Y124" s="437">
        <f t="shared" si="205"/>
        <v>612.93600000000004</v>
      </c>
      <c r="Z124" s="437">
        <f t="shared" si="205"/>
        <v>606.77499999999998</v>
      </c>
      <c r="AA124" s="438">
        <f t="shared" si="205"/>
        <v>626.49099999999964</v>
      </c>
      <c r="AB124" s="436">
        <f t="shared" si="205"/>
        <v>636.00200000000007</v>
      </c>
      <c r="AC124" s="437">
        <f t="shared" si="205"/>
        <v>591.35900000000004</v>
      </c>
      <c r="AD124" s="437">
        <f t="shared" si="205"/>
        <v>571.21199999999999</v>
      </c>
      <c r="AE124" s="437">
        <f t="shared" si="205"/>
        <v>604.95600000000002</v>
      </c>
      <c r="AF124" s="436">
        <f t="shared" si="205"/>
        <v>623.07500000000005</v>
      </c>
      <c r="AG124" s="437">
        <f t="shared" si="205"/>
        <v>605.30600000000004</v>
      </c>
      <c r="AH124" s="437">
        <f t="shared" si="205"/>
        <v>604.88400000000001</v>
      </c>
      <c r="AI124" s="437">
        <f t="shared" si="205"/>
        <v>608.19399999999996</v>
      </c>
      <c r="AJ124" s="436">
        <f t="shared" si="205"/>
        <v>585.24099999999999</v>
      </c>
      <c r="AK124" s="437">
        <f t="shared" ref="AK124:AP124" si="206">SUM(AK119:AK123)</f>
        <v>620.274</v>
      </c>
      <c r="AL124" s="437">
        <f t="shared" si="206"/>
        <v>605.68100000000004</v>
      </c>
      <c r="AM124" s="437">
        <f t="shared" si="206"/>
        <v>642.46699999999998</v>
      </c>
      <c r="AN124" s="436">
        <f t="shared" si="206"/>
        <v>580.27499999999986</v>
      </c>
      <c r="AO124" s="437">
        <f t="shared" si="206"/>
        <v>566.80899999999997</v>
      </c>
      <c r="AP124" s="437">
        <f t="shared" si="206"/>
        <v>577.26299999999992</v>
      </c>
      <c r="AQ124" s="437">
        <f t="shared" ref="AQ124:AV124" si="207">SUM(AQ119:AQ123)</f>
        <v>582.51700000000005</v>
      </c>
      <c r="AR124" s="436">
        <f t="shared" si="207"/>
        <v>562.51</v>
      </c>
      <c r="AS124" s="437">
        <f t="shared" si="207"/>
        <v>510.83099999999996</v>
      </c>
      <c r="AT124" s="437">
        <f t="shared" si="207"/>
        <v>555.25199999999995</v>
      </c>
      <c r="AU124" s="437">
        <f t="shared" si="207"/>
        <v>566.12599999999998</v>
      </c>
      <c r="AV124" s="436">
        <f t="shared" si="207"/>
        <v>561.39599999999996</v>
      </c>
      <c r="AW124" s="437">
        <f t="shared" ref="AW124:BB124" si="208">SUM(AW119:AW123)</f>
        <v>550.99800000000005</v>
      </c>
      <c r="AX124" s="437">
        <f t="shared" si="208"/>
        <v>581.21600000000001</v>
      </c>
      <c r="AY124" s="437">
        <f t="shared" si="208"/>
        <v>602.005</v>
      </c>
      <c r="AZ124" s="436">
        <f t="shared" si="208"/>
        <v>575.67600000000016</v>
      </c>
      <c r="BA124" s="437">
        <f t="shared" si="208"/>
        <v>622.63699999999994</v>
      </c>
      <c r="BB124" s="437">
        <f t="shared" si="208"/>
        <v>648.59900000000005</v>
      </c>
      <c r="BC124" s="440"/>
      <c r="BD124" s="441"/>
      <c r="BE124" s="439"/>
      <c r="BF124" s="439"/>
      <c r="BG124" s="440"/>
      <c r="BH124" s="441"/>
      <c r="BI124" s="439"/>
      <c r="BJ124" s="439"/>
      <c r="BK124" s="440"/>
      <c r="BL124" s="442"/>
      <c r="BM124" s="578"/>
      <c r="BN124" s="609"/>
      <c r="BO124" s="444">
        <f t="shared" ref="BO124:BT124" si="209">SUM(BO119:BO123)</f>
        <v>0</v>
      </c>
      <c r="BP124" s="444">
        <f t="shared" si="209"/>
        <v>0</v>
      </c>
      <c r="BQ124" s="444">
        <f t="shared" si="209"/>
        <v>0</v>
      </c>
      <c r="BR124" s="444">
        <f t="shared" si="209"/>
        <v>2472.3409999999994</v>
      </c>
      <c r="BS124" s="444">
        <f t="shared" si="209"/>
        <v>2403.5289999999995</v>
      </c>
      <c r="BT124" s="444">
        <f t="shared" si="209"/>
        <v>2441.4590000000003</v>
      </c>
      <c r="BU124" s="444"/>
      <c r="BV124" s="444"/>
      <c r="BW124" s="444"/>
      <c r="BX124" s="444"/>
      <c r="BY124" s="444"/>
      <c r="BZ124" s="444"/>
      <c r="CA124" s="435"/>
      <c r="CB124" s="1498"/>
      <c r="CC124" s="835"/>
      <c r="CD124" s="835"/>
      <c r="CE124" s="835"/>
      <c r="CF124" s="804"/>
      <c r="CG124" s="804"/>
      <c r="CH124" s="804"/>
      <c r="CI124" s="804"/>
      <c r="CP124" s="804"/>
      <c r="CQ124" s="804"/>
      <c r="CR124" s="804"/>
      <c r="CT124" s="1381"/>
    </row>
    <row r="125" spans="1:256" ht="14.25" customHeight="1">
      <c r="A125" s="121"/>
      <c r="B125" s="961"/>
      <c r="C125" s="804"/>
      <c r="D125" s="962"/>
      <c r="E125" s="962"/>
      <c r="F125" s="962"/>
      <c r="G125" s="962"/>
      <c r="H125" s="962"/>
      <c r="I125" s="962"/>
      <c r="J125" s="962"/>
      <c r="K125" s="962"/>
      <c r="L125" s="962"/>
      <c r="M125" s="963"/>
      <c r="N125" s="963"/>
      <c r="O125" s="963"/>
      <c r="P125" s="963"/>
      <c r="Q125" s="963"/>
      <c r="R125" s="963"/>
      <c r="S125" s="963"/>
      <c r="T125" s="963"/>
      <c r="U125" s="963"/>
      <c r="V125" s="963"/>
      <c r="W125" s="963"/>
      <c r="X125" s="963"/>
      <c r="Y125" s="963"/>
      <c r="Z125" s="963"/>
      <c r="AA125" s="963"/>
      <c r="AB125" s="963"/>
      <c r="AC125" s="963"/>
      <c r="AD125" s="963"/>
      <c r="AE125" s="963"/>
      <c r="AF125" s="963"/>
      <c r="AG125" s="963"/>
      <c r="AH125" s="963"/>
      <c r="AI125" s="963"/>
      <c r="AJ125" s="963"/>
      <c r="AK125" s="963"/>
      <c r="AL125" s="963"/>
      <c r="AM125" s="964"/>
      <c r="AN125" s="964"/>
      <c r="AO125" s="963"/>
      <c r="AP125" s="964"/>
      <c r="AQ125" s="964"/>
      <c r="AR125" s="964"/>
      <c r="AS125" s="964"/>
      <c r="AT125" s="964"/>
      <c r="AU125" s="964"/>
      <c r="AV125" s="964"/>
      <c r="AW125" s="964"/>
      <c r="AX125" s="964"/>
      <c r="AY125" s="964"/>
      <c r="AZ125" s="964"/>
      <c r="BA125" s="964"/>
      <c r="BB125" s="964"/>
      <c r="BC125" s="964"/>
      <c r="BD125" s="964"/>
      <c r="BE125" s="964"/>
      <c r="BF125" s="964"/>
      <c r="BG125" s="964"/>
      <c r="BH125" s="964"/>
      <c r="BI125" s="964"/>
      <c r="BJ125" s="964"/>
      <c r="BK125" s="964"/>
      <c r="BL125" s="804"/>
      <c r="BM125" s="965"/>
      <c r="BN125" s="965"/>
      <c r="BO125" s="803"/>
      <c r="BP125" s="803"/>
      <c r="BQ125" s="803"/>
      <c r="BR125" s="803"/>
      <c r="BS125" s="803"/>
      <c r="BT125" s="803"/>
      <c r="BU125" s="803"/>
      <c r="BV125" s="803"/>
      <c r="BW125" s="803"/>
      <c r="BX125" s="803"/>
      <c r="BY125" s="803"/>
      <c r="BZ125" s="803"/>
      <c r="CA125" s="804"/>
      <c r="CB125" s="835"/>
      <c r="CC125" s="835"/>
      <c r="CD125" s="835"/>
      <c r="CE125" s="835"/>
      <c r="CF125" s="804"/>
      <c r="CG125" s="804"/>
      <c r="CH125" s="804"/>
      <c r="CI125" s="804"/>
      <c r="CJ125" s="121"/>
      <c r="CK125" s="121"/>
      <c r="CL125" s="121"/>
      <c r="CM125" s="121"/>
      <c r="CN125" s="121"/>
      <c r="CO125" s="121"/>
      <c r="CP125" s="804"/>
      <c r="CQ125" s="804"/>
      <c r="CR125" s="804"/>
      <c r="CS125" s="121"/>
      <c r="CT125" s="1381"/>
      <c r="CU125" s="121"/>
      <c r="CV125" s="121"/>
      <c r="CW125" s="121"/>
      <c r="CX125" s="121"/>
      <c r="CY125" s="121"/>
      <c r="CZ125" s="121"/>
      <c r="DA125" s="121"/>
      <c r="DB125" s="121"/>
      <c r="DC125" s="121"/>
      <c r="DD125" s="121"/>
      <c r="DE125" s="121"/>
      <c r="DF125" s="121"/>
      <c r="DG125" s="121"/>
      <c r="DH125" s="121"/>
      <c r="DI125" s="121"/>
      <c r="DJ125" s="121"/>
      <c r="DK125" s="121"/>
      <c r="DL125" s="121"/>
      <c r="DM125" s="121"/>
      <c r="DN125" s="121"/>
      <c r="DO125" s="121"/>
      <c r="DP125" s="121"/>
      <c r="DQ125" s="121"/>
      <c r="DR125" s="121"/>
      <c r="DS125" s="121"/>
      <c r="DT125" s="121"/>
      <c r="DU125" s="121"/>
      <c r="DV125" s="121"/>
      <c r="DW125" s="121"/>
      <c r="DX125" s="121"/>
      <c r="DY125" s="121"/>
      <c r="DZ125" s="121"/>
      <c r="EA125" s="121"/>
      <c r="EB125" s="121"/>
      <c r="EC125" s="121"/>
      <c r="ED125" s="121"/>
      <c r="EE125" s="121"/>
      <c r="EF125" s="121"/>
      <c r="EG125" s="121"/>
      <c r="EH125" s="121"/>
      <c r="EI125" s="121"/>
      <c r="EJ125" s="121"/>
      <c r="EK125" s="121"/>
      <c r="EL125" s="121"/>
      <c r="EM125" s="121"/>
      <c r="EN125" s="121"/>
      <c r="EO125" s="121"/>
      <c r="EP125" s="121"/>
      <c r="EQ125" s="121"/>
      <c r="ER125" s="121"/>
      <c r="ES125" s="121"/>
      <c r="ET125" s="121"/>
      <c r="EU125" s="121"/>
      <c r="EV125" s="121"/>
      <c r="EW125" s="121"/>
      <c r="EX125" s="121"/>
      <c r="EY125" s="121"/>
      <c r="EZ125" s="121"/>
      <c r="FA125" s="121"/>
      <c r="FB125" s="121"/>
      <c r="FC125" s="121"/>
      <c r="FD125" s="121"/>
      <c r="FE125" s="121"/>
      <c r="FF125" s="121"/>
      <c r="FG125" s="121"/>
      <c r="FH125" s="121"/>
      <c r="FI125" s="121"/>
      <c r="FJ125" s="121"/>
      <c r="FK125" s="121"/>
      <c r="FL125" s="121"/>
      <c r="FM125" s="121"/>
      <c r="FN125" s="121"/>
      <c r="FO125" s="121"/>
      <c r="FP125" s="121"/>
      <c r="FQ125" s="121"/>
      <c r="FR125" s="121"/>
      <c r="FS125" s="121"/>
      <c r="FT125" s="121"/>
      <c r="FU125" s="121"/>
      <c r="FV125" s="121"/>
      <c r="FW125" s="121"/>
      <c r="FX125" s="121"/>
      <c r="FY125" s="121"/>
      <c r="FZ125" s="121"/>
      <c r="GA125" s="121"/>
      <c r="GB125" s="121"/>
      <c r="GC125" s="121"/>
      <c r="GD125" s="121"/>
      <c r="GE125" s="121"/>
      <c r="GF125" s="121"/>
      <c r="GG125" s="121"/>
      <c r="GH125" s="121"/>
      <c r="GI125" s="121"/>
      <c r="GJ125" s="121"/>
      <c r="GK125" s="121"/>
      <c r="GL125" s="121"/>
      <c r="GM125" s="121"/>
      <c r="GN125" s="121"/>
      <c r="GO125" s="121"/>
      <c r="GP125" s="121"/>
      <c r="GQ125" s="121"/>
      <c r="GR125" s="121"/>
      <c r="GS125" s="121"/>
      <c r="GT125" s="121"/>
      <c r="GU125" s="121"/>
      <c r="GV125" s="121"/>
      <c r="GW125" s="121"/>
      <c r="GX125" s="121"/>
      <c r="GY125" s="121"/>
      <c r="GZ125" s="121"/>
      <c r="HA125" s="121"/>
      <c r="HB125" s="121"/>
      <c r="HC125" s="121"/>
      <c r="HD125" s="121"/>
      <c r="HE125" s="121"/>
      <c r="HF125" s="121"/>
      <c r="HG125" s="121"/>
      <c r="HH125" s="121"/>
      <c r="HI125" s="121"/>
      <c r="HJ125" s="121"/>
      <c r="HK125" s="121"/>
      <c r="HL125" s="121"/>
      <c r="HM125" s="121"/>
      <c r="HN125" s="121"/>
      <c r="HO125" s="121"/>
      <c r="HP125" s="121"/>
      <c r="HQ125" s="121"/>
      <c r="HR125" s="121"/>
      <c r="HS125" s="121"/>
      <c r="HT125" s="121"/>
      <c r="HU125" s="121"/>
      <c r="HV125" s="121"/>
      <c r="HW125" s="121"/>
      <c r="HX125" s="121"/>
      <c r="HY125" s="121"/>
      <c r="HZ125" s="121"/>
      <c r="IA125" s="121"/>
      <c r="IB125" s="121"/>
      <c r="IC125" s="121"/>
      <c r="ID125" s="121"/>
      <c r="IE125" s="121"/>
      <c r="IF125" s="121"/>
      <c r="IG125" s="121"/>
      <c r="IH125" s="121"/>
      <c r="II125" s="121"/>
      <c r="IJ125" s="121"/>
      <c r="IK125" s="121"/>
      <c r="IL125" s="121"/>
      <c r="IM125" s="121"/>
      <c r="IN125" s="121"/>
      <c r="IO125" s="121"/>
      <c r="IP125" s="121"/>
      <c r="IQ125" s="121"/>
      <c r="IR125" s="121"/>
      <c r="IS125" s="121"/>
      <c r="IT125" s="121"/>
      <c r="IU125" s="121"/>
      <c r="IV125" s="121"/>
    </row>
    <row r="126" spans="1:256" ht="14.25" customHeight="1">
      <c r="B126" s="74"/>
      <c r="AB126" s="8"/>
      <c r="AC126" s="8"/>
      <c r="AD126" s="8"/>
      <c r="AF126" s="8"/>
      <c r="BL126" s="371"/>
      <c r="BM126" s="371"/>
      <c r="BN126" s="371"/>
      <c r="BO126" s="371"/>
      <c r="BP126" s="371"/>
      <c r="BQ126" s="371"/>
      <c r="BR126" s="371"/>
      <c r="BS126" s="371"/>
      <c r="BT126" s="371"/>
      <c r="BU126" s="371"/>
      <c r="BV126" s="371"/>
      <c r="BW126" s="371"/>
      <c r="BX126" s="371"/>
      <c r="BY126" s="371"/>
      <c r="BZ126" s="371"/>
      <c r="CP126" s="1209"/>
      <c r="CQ126" s="1209"/>
      <c r="CR126" s="1209"/>
      <c r="CT126" s="1381"/>
    </row>
    <row r="127" spans="1:256" ht="14.25" customHeight="1">
      <c r="A127" s="1"/>
      <c r="B127" s="162" t="s">
        <v>569</v>
      </c>
      <c r="C127" s="163"/>
      <c r="D127" s="766" t="str">
        <f t="shared" ref="D127:AI127" si="210">D118</f>
        <v>F1Q06A</v>
      </c>
      <c r="E127" s="767" t="str">
        <f t="shared" si="210"/>
        <v>F2Q06A</v>
      </c>
      <c r="F127" s="767" t="str">
        <f t="shared" si="210"/>
        <v>F3Q06A</v>
      </c>
      <c r="G127" s="767" t="str">
        <f t="shared" si="210"/>
        <v>F4Q06A</v>
      </c>
      <c r="H127" s="766" t="str">
        <f t="shared" si="210"/>
        <v>F1Q07A</v>
      </c>
      <c r="I127" s="767" t="str">
        <f t="shared" si="210"/>
        <v>F2Q07A</v>
      </c>
      <c r="J127" s="767" t="str">
        <f t="shared" si="210"/>
        <v>F3Q07A</v>
      </c>
      <c r="K127" s="767" t="str">
        <f t="shared" si="210"/>
        <v>F4Q07A</v>
      </c>
      <c r="L127" s="766" t="str">
        <f t="shared" si="210"/>
        <v>F1Q08A</v>
      </c>
      <c r="M127" s="767" t="str">
        <f t="shared" si="210"/>
        <v>F2Q08A</v>
      </c>
      <c r="N127" s="767" t="str">
        <f t="shared" si="210"/>
        <v>F3Q08A</v>
      </c>
      <c r="O127" s="767" t="str">
        <f t="shared" si="210"/>
        <v>F4Q08A</v>
      </c>
      <c r="P127" s="766" t="str">
        <f t="shared" si="210"/>
        <v>F1Q09A</v>
      </c>
      <c r="Q127" s="767" t="str">
        <f t="shared" si="210"/>
        <v>F2Q09A</v>
      </c>
      <c r="R127" s="767" t="str">
        <f t="shared" si="210"/>
        <v>F3Q09A</v>
      </c>
      <c r="S127" s="767" t="str">
        <f t="shared" si="210"/>
        <v>F4Q09A</v>
      </c>
      <c r="T127" s="766" t="str">
        <f t="shared" si="210"/>
        <v>F1Q10A</v>
      </c>
      <c r="U127" s="767" t="str">
        <f t="shared" si="210"/>
        <v>F2Q10A</v>
      </c>
      <c r="V127" s="767" t="str">
        <f t="shared" si="210"/>
        <v>F3Q10A</v>
      </c>
      <c r="W127" s="767" t="str">
        <f t="shared" si="210"/>
        <v>F4Q10A</v>
      </c>
      <c r="X127" s="766" t="str">
        <f t="shared" si="210"/>
        <v>F1Q11A</v>
      </c>
      <c r="Y127" s="767" t="str">
        <f t="shared" si="210"/>
        <v>F2Q11A</v>
      </c>
      <c r="Z127" s="767" t="str">
        <f t="shared" si="210"/>
        <v>F3Q11A</v>
      </c>
      <c r="AA127" s="767" t="str">
        <f t="shared" si="210"/>
        <v>F4Q11A</v>
      </c>
      <c r="AB127" s="766" t="str">
        <f t="shared" si="210"/>
        <v>F1Q12A</v>
      </c>
      <c r="AC127" s="767" t="str">
        <f t="shared" si="210"/>
        <v>F2Q12A</v>
      </c>
      <c r="AD127" s="767" t="str">
        <f t="shared" si="210"/>
        <v>F3Q12A</v>
      </c>
      <c r="AE127" s="767" t="str">
        <f t="shared" si="210"/>
        <v>F4Q12A</v>
      </c>
      <c r="AF127" s="766" t="str">
        <f t="shared" si="210"/>
        <v>F1Q13A</v>
      </c>
      <c r="AG127" s="767" t="str">
        <f t="shared" si="210"/>
        <v>F2Q13A</v>
      </c>
      <c r="AH127" s="767" t="str">
        <f t="shared" si="210"/>
        <v>F3Q13A</v>
      </c>
      <c r="AI127" s="767" t="str">
        <f t="shared" si="210"/>
        <v>F4Q13A</v>
      </c>
      <c r="AJ127" s="766" t="str">
        <f t="shared" ref="AJ127:BU127" si="211">AJ118</f>
        <v>F1Q14A</v>
      </c>
      <c r="AK127" s="767" t="str">
        <f t="shared" si="211"/>
        <v>F2Q14</v>
      </c>
      <c r="AL127" s="767" t="str">
        <f t="shared" si="211"/>
        <v>F3Q14A</v>
      </c>
      <c r="AM127" s="767" t="str">
        <f t="shared" si="211"/>
        <v>F4Q14A</v>
      </c>
      <c r="AN127" s="766" t="str">
        <f t="shared" si="211"/>
        <v>F1Q15A</v>
      </c>
      <c r="AO127" s="767" t="str">
        <f>AO118</f>
        <v>F2Q15A</v>
      </c>
      <c r="AP127" s="767" t="str">
        <f t="shared" si="211"/>
        <v>F3Q15A</v>
      </c>
      <c r="AQ127" s="768" t="str">
        <f t="shared" si="211"/>
        <v>F4Q15A</v>
      </c>
      <c r="AR127" s="766" t="str">
        <f t="shared" si="211"/>
        <v>F1Q16A</v>
      </c>
      <c r="AS127" s="767" t="str">
        <f t="shared" si="211"/>
        <v>F2Q16A</v>
      </c>
      <c r="AT127" s="767" t="str">
        <f t="shared" si="211"/>
        <v>F3Q16A</v>
      </c>
      <c r="AU127" s="768" t="str">
        <f t="shared" si="211"/>
        <v>F4Q16A</v>
      </c>
      <c r="AV127" s="766" t="str">
        <f>AV118</f>
        <v>F1Q17A</v>
      </c>
      <c r="AW127" s="767" t="str">
        <f>AW118</f>
        <v>F2Q17A</v>
      </c>
      <c r="AX127" s="767" t="str">
        <f t="shared" ref="AX127:BC127" si="212">AX118</f>
        <v>F3Q17A</v>
      </c>
      <c r="AY127" s="768" t="str">
        <f t="shared" si="212"/>
        <v>F4Q17A</v>
      </c>
      <c r="AZ127" s="766" t="str">
        <f t="shared" si="212"/>
        <v>F1Q18A</v>
      </c>
      <c r="BA127" s="767" t="str">
        <f t="shared" si="212"/>
        <v>F2Q18A</v>
      </c>
      <c r="BB127" s="767" t="str">
        <f t="shared" si="212"/>
        <v>F3Q18A</v>
      </c>
      <c r="BC127" s="768" t="str">
        <f t="shared" si="212"/>
        <v>F4Q18E</v>
      </c>
      <c r="BD127" s="766" t="str">
        <f t="shared" ref="BD127:BK127" si="213">BD118</f>
        <v>F1Q19E</v>
      </c>
      <c r="BE127" s="767" t="str">
        <f t="shared" si="213"/>
        <v>F2Q19E</v>
      </c>
      <c r="BF127" s="767" t="str">
        <f t="shared" si="213"/>
        <v>F3Q19E</v>
      </c>
      <c r="BG127" s="768" t="str">
        <f t="shared" si="213"/>
        <v>F4Q19E</v>
      </c>
      <c r="BH127" s="766" t="str">
        <f t="shared" si="213"/>
        <v>F1Q20E</v>
      </c>
      <c r="BI127" s="767" t="str">
        <f t="shared" si="213"/>
        <v>F2Q20E</v>
      </c>
      <c r="BJ127" s="767" t="str">
        <f t="shared" si="213"/>
        <v>F3Q20E</v>
      </c>
      <c r="BK127" s="768" t="str">
        <f t="shared" si="213"/>
        <v>F4Q20E</v>
      </c>
      <c r="BL127" s="539"/>
      <c r="BM127" s="766" t="str">
        <f t="shared" si="211"/>
        <v>FY2006A</v>
      </c>
      <c r="BN127" s="767" t="str">
        <f t="shared" si="211"/>
        <v>FY2007A</v>
      </c>
      <c r="BO127" s="767" t="str">
        <f t="shared" si="211"/>
        <v>FY2008A</v>
      </c>
      <c r="BP127" s="767" t="str">
        <f t="shared" si="211"/>
        <v>FY2009A</v>
      </c>
      <c r="BQ127" s="767" t="str">
        <f t="shared" si="211"/>
        <v>FY2010A</v>
      </c>
      <c r="BR127" s="767" t="str">
        <f t="shared" si="211"/>
        <v>FY2011A</v>
      </c>
      <c r="BS127" s="767" t="str">
        <f t="shared" si="211"/>
        <v>FY2012A</v>
      </c>
      <c r="BT127" s="767" t="str">
        <f t="shared" si="211"/>
        <v>FY2013A</v>
      </c>
      <c r="BU127" s="768" t="str">
        <f t="shared" si="211"/>
        <v>FY2014A</v>
      </c>
      <c r="BV127" s="1036" t="str">
        <f t="shared" ref="BV127:CA127" si="214">BV9</f>
        <v>FY2015A</v>
      </c>
      <c r="BW127" s="1240" t="str">
        <f t="shared" si="214"/>
        <v>FY2016A</v>
      </c>
      <c r="BX127" s="1240" t="str">
        <f t="shared" si="214"/>
        <v>FY2017A</v>
      </c>
      <c r="BY127" s="1240" t="str">
        <f t="shared" si="214"/>
        <v>FY2018E</v>
      </c>
      <c r="BZ127" s="1240" t="str">
        <f t="shared" si="214"/>
        <v>FY2019E</v>
      </c>
      <c r="CA127" s="351" t="str">
        <f t="shared" si="214"/>
        <v>FY2020E</v>
      </c>
      <c r="CB127" s="1046"/>
      <c r="CC127" s="1037"/>
      <c r="CD127" s="1037"/>
      <c r="CE127" s="1037"/>
      <c r="CF127" s="371"/>
      <c r="CG127" s="371"/>
      <c r="CH127" s="371"/>
      <c r="CI127" s="371"/>
      <c r="CP127" s="1209"/>
      <c r="CQ127" s="1209"/>
      <c r="CR127" s="1209"/>
      <c r="CT127" s="1381"/>
    </row>
    <row r="128" spans="1:256" ht="14.25" customHeight="1">
      <c r="B128" s="368" t="s">
        <v>52</v>
      </c>
      <c r="C128" s="418"/>
      <c r="D128" s="598"/>
      <c r="E128" s="599"/>
      <c r="F128" s="599"/>
      <c r="G128" s="600"/>
      <c r="H128" s="598"/>
      <c r="I128" s="599"/>
      <c r="J128" s="599"/>
      <c r="K128" s="600"/>
      <c r="L128" s="598"/>
      <c r="M128" s="580"/>
      <c r="N128" s="580"/>
      <c r="O128" s="581"/>
      <c r="P128" s="579"/>
      <c r="Q128" s="580"/>
      <c r="R128" s="580"/>
      <c r="S128" s="581"/>
      <c r="T128" s="579"/>
      <c r="U128" s="580"/>
      <c r="V128" s="580"/>
      <c r="W128" s="581"/>
      <c r="X128" s="579">
        <v>0.33</v>
      </c>
      <c r="Y128" s="580">
        <v>0.32</v>
      </c>
      <c r="Z128" s="580">
        <v>0.32</v>
      </c>
      <c r="AA128" s="581">
        <v>0.36</v>
      </c>
      <c r="AB128" s="579">
        <v>0.41</v>
      </c>
      <c r="AC128" s="580">
        <v>0.41</v>
      </c>
      <c r="AD128" s="580">
        <v>0.41</v>
      </c>
      <c r="AE128" s="580">
        <v>0.43</v>
      </c>
      <c r="AF128" s="579">
        <v>0.47</v>
      </c>
      <c r="AG128" s="580">
        <v>0.46</v>
      </c>
      <c r="AH128" s="580">
        <v>0.49</v>
      </c>
      <c r="AI128" s="580">
        <v>0.44</v>
      </c>
      <c r="AJ128" s="579">
        <v>0.43</v>
      </c>
      <c r="AK128" s="580">
        <v>0.39</v>
      </c>
      <c r="AL128" s="580">
        <v>0.38</v>
      </c>
      <c r="AM128" s="580">
        <v>0.35</v>
      </c>
      <c r="AN128" s="579">
        <v>0.3</v>
      </c>
      <c r="AO128" s="580">
        <v>0.33</v>
      </c>
      <c r="AP128" s="580">
        <v>0.31</v>
      </c>
      <c r="AQ128" s="580">
        <v>0.32</v>
      </c>
      <c r="AR128" s="579">
        <v>0.32</v>
      </c>
      <c r="AS128" s="580">
        <v>0.28499999999999998</v>
      </c>
      <c r="AT128" s="580">
        <v>0.28999999999999998</v>
      </c>
      <c r="AU128" s="580">
        <v>0.28999999999999998</v>
      </c>
      <c r="AV128" s="579">
        <v>0.31</v>
      </c>
      <c r="AW128" s="580">
        <v>0.307</v>
      </c>
      <c r="AX128" s="580">
        <v>0.25600000000000001</v>
      </c>
      <c r="AY128" s="580">
        <v>0.24349999999999999</v>
      </c>
      <c r="AZ128" s="579">
        <v>0.28000000000000003</v>
      </c>
      <c r="BA128" s="580">
        <v>0.26</v>
      </c>
      <c r="BB128" s="580">
        <v>0.31</v>
      </c>
      <c r="BC128" s="454"/>
      <c r="BD128" s="455"/>
      <c r="BE128" s="453"/>
      <c r="BF128" s="453"/>
      <c r="BG128" s="454"/>
      <c r="BH128" s="455"/>
      <c r="BI128" s="453"/>
      <c r="BJ128" s="453"/>
      <c r="BK128" s="454"/>
      <c r="BL128" s="424"/>
      <c r="BM128" s="560"/>
      <c r="BN128" s="611"/>
      <c r="BO128" s="457"/>
      <c r="BP128" s="457"/>
      <c r="BQ128" s="457"/>
      <c r="BR128" s="457">
        <f t="shared" ref="BR128:BS131" si="215">BR119/BR$110</f>
        <v>0.33266857201332667</v>
      </c>
      <c r="BS128" s="467">
        <f t="shared" si="215"/>
        <v>0.41503389807237606</v>
      </c>
      <c r="BT128" s="467">
        <f t="shared" ref="BT128:BT133" si="216">BT119/BT$110</f>
        <v>0.46500249645806063</v>
      </c>
      <c r="BU128" s="456"/>
      <c r="BV128" s="456"/>
      <c r="BW128" s="456"/>
      <c r="BX128" s="456"/>
      <c r="BY128" s="456"/>
      <c r="BZ128" s="456"/>
      <c r="CA128" s="485"/>
      <c r="CB128" s="1497"/>
      <c r="CC128" s="448"/>
      <c r="CD128" s="448"/>
      <c r="CE128" s="448"/>
      <c r="CF128" s="448"/>
      <c r="CG128" s="448"/>
      <c r="CH128" s="448"/>
      <c r="CI128" s="448"/>
      <c r="CP128" s="1209"/>
      <c r="CQ128" s="1209"/>
      <c r="CR128" s="1209"/>
      <c r="CT128" s="1381"/>
    </row>
    <row r="129" spans="1:256" ht="14.25" customHeight="1">
      <c r="B129" s="369" t="s">
        <v>50</v>
      </c>
      <c r="C129" s="372"/>
      <c r="D129" s="601"/>
      <c r="E129" s="602"/>
      <c r="F129" s="602"/>
      <c r="G129" s="603"/>
      <c r="H129" s="601"/>
      <c r="I129" s="602"/>
      <c r="J129" s="602"/>
      <c r="K129" s="603"/>
      <c r="L129" s="601"/>
      <c r="M129" s="583"/>
      <c r="N129" s="583"/>
      <c r="O129" s="584"/>
      <c r="P129" s="582"/>
      <c r="Q129" s="583"/>
      <c r="R129" s="583"/>
      <c r="S129" s="584"/>
      <c r="T129" s="582"/>
      <c r="U129" s="583"/>
      <c r="V129" s="583"/>
      <c r="W129" s="584"/>
      <c r="X129" s="582">
        <v>0.25</v>
      </c>
      <c r="Y129" s="583">
        <v>0.27</v>
      </c>
      <c r="Z129" s="583">
        <v>0.28999999999999998</v>
      </c>
      <c r="AA129" s="584">
        <v>0.28000000000000003</v>
      </c>
      <c r="AB129" s="582">
        <v>0.25</v>
      </c>
      <c r="AC129" s="583">
        <v>0.25</v>
      </c>
      <c r="AD129" s="583">
        <v>0.25</v>
      </c>
      <c r="AE129" s="583">
        <v>0.24</v>
      </c>
      <c r="AF129" s="582">
        <v>0.23</v>
      </c>
      <c r="AG129" s="583">
        <v>0.24</v>
      </c>
      <c r="AH129" s="583">
        <v>0.22</v>
      </c>
      <c r="AI129" s="583">
        <v>0.25</v>
      </c>
      <c r="AJ129" s="582">
        <v>0.26</v>
      </c>
      <c r="AK129" s="583">
        <v>0.24</v>
      </c>
      <c r="AL129" s="583">
        <v>0.25</v>
      </c>
      <c r="AM129" s="583">
        <v>0.27</v>
      </c>
      <c r="AN129" s="582">
        <v>0.28000000000000003</v>
      </c>
      <c r="AO129" s="583">
        <v>0.27</v>
      </c>
      <c r="AP129" s="583">
        <v>0.27</v>
      </c>
      <c r="AQ129" s="583">
        <v>0.27</v>
      </c>
      <c r="AR129" s="582">
        <v>0.27</v>
      </c>
      <c r="AS129" s="583">
        <v>0.28499999999999998</v>
      </c>
      <c r="AT129" s="583">
        <v>0.27900000000000003</v>
      </c>
      <c r="AU129" s="583">
        <v>0.26700000000000002</v>
      </c>
      <c r="AV129" s="582">
        <v>0.26</v>
      </c>
      <c r="AW129" s="583">
        <v>0.254</v>
      </c>
      <c r="AX129" s="583">
        <v>0.28449999999999998</v>
      </c>
      <c r="AY129" s="583">
        <v>0.29449999999999998</v>
      </c>
      <c r="AZ129" s="582">
        <v>0.28000000000000003</v>
      </c>
      <c r="BA129" s="583">
        <v>0.28999999999999998</v>
      </c>
      <c r="BB129" s="583">
        <v>0.27</v>
      </c>
      <c r="BC129" s="465"/>
      <c r="BD129" s="466"/>
      <c r="BE129" s="464"/>
      <c r="BF129" s="464"/>
      <c r="BG129" s="465"/>
      <c r="BH129" s="466"/>
      <c r="BI129" s="464"/>
      <c r="BJ129" s="464"/>
      <c r="BK129" s="465"/>
      <c r="BL129" s="424"/>
      <c r="BM129" s="564"/>
      <c r="BN129" s="612"/>
      <c r="BO129" s="270"/>
      <c r="BP129" s="270"/>
      <c r="BQ129" s="270"/>
      <c r="BR129" s="270">
        <f t="shared" si="215"/>
        <v>0.27237735409476282</v>
      </c>
      <c r="BS129" s="467">
        <f t="shared" si="215"/>
        <v>0.24748305096381196</v>
      </c>
      <c r="BT129" s="467">
        <f t="shared" si="216"/>
        <v>0.23498394607486753</v>
      </c>
      <c r="BU129" s="415"/>
      <c r="BV129" s="415"/>
      <c r="BW129" s="415"/>
      <c r="BX129" s="415"/>
      <c r="BY129" s="415"/>
      <c r="BZ129" s="415"/>
      <c r="CA129" s="459"/>
      <c r="CB129" s="1497"/>
      <c r="CC129" s="448"/>
      <c r="CD129" s="448"/>
      <c r="CE129" s="448"/>
      <c r="CF129" s="448"/>
      <c r="CG129" s="448"/>
      <c r="CH129" s="448"/>
      <c r="CI129" s="448"/>
      <c r="CT129" s="1381"/>
    </row>
    <row r="130" spans="1:256" ht="14.25" customHeight="1">
      <c r="B130" s="369" t="s">
        <v>562</v>
      </c>
      <c r="C130" s="372"/>
      <c r="D130" s="601"/>
      <c r="E130" s="602"/>
      <c r="F130" s="602"/>
      <c r="G130" s="603"/>
      <c r="H130" s="601"/>
      <c r="I130" s="602"/>
      <c r="J130" s="602"/>
      <c r="K130" s="603"/>
      <c r="L130" s="601"/>
      <c r="M130" s="583"/>
      <c r="N130" s="583"/>
      <c r="O130" s="584"/>
      <c r="P130" s="582"/>
      <c r="Q130" s="583"/>
      <c r="R130" s="583"/>
      <c r="S130" s="584"/>
      <c r="T130" s="582"/>
      <c r="U130" s="583"/>
      <c r="V130" s="583"/>
      <c r="W130" s="584"/>
      <c r="X130" s="582">
        <v>0.25</v>
      </c>
      <c r="Y130" s="583">
        <v>0.25</v>
      </c>
      <c r="Z130" s="583">
        <v>0.24</v>
      </c>
      <c r="AA130" s="584">
        <v>0.22</v>
      </c>
      <c r="AB130" s="582">
        <v>0.2</v>
      </c>
      <c r="AC130" s="583">
        <v>0.21</v>
      </c>
      <c r="AD130" s="583">
        <v>0.2</v>
      </c>
      <c r="AE130" s="583">
        <v>0.19</v>
      </c>
      <c r="AF130" s="582">
        <v>0.18</v>
      </c>
      <c r="AG130" s="583">
        <v>0.19</v>
      </c>
      <c r="AH130" s="583">
        <v>0.18</v>
      </c>
      <c r="AI130" s="583">
        <v>0.19</v>
      </c>
      <c r="AJ130" s="582">
        <v>0.19</v>
      </c>
      <c r="AK130" s="583">
        <v>0.23</v>
      </c>
      <c r="AL130" s="583">
        <v>0.23</v>
      </c>
      <c r="AM130" s="583">
        <v>0.23</v>
      </c>
      <c r="AN130" s="582">
        <v>0.26</v>
      </c>
      <c r="AO130" s="583">
        <v>0.23</v>
      </c>
      <c r="AP130" s="583">
        <v>0.23</v>
      </c>
      <c r="AQ130" s="583">
        <v>0.22</v>
      </c>
      <c r="AR130" s="582">
        <v>0.2</v>
      </c>
      <c r="AS130" s="583">
        <v>0.214</v>
      </c>
      <c r="AT130" s="583">
        <v>0.22</v>
      </c>
      <c r="AU130" s="583">
        <v>0.21299999999999999</v>
      </c>
      <c r="AV130" s="582">
        <v>0.21</v>
      </c>
      <c r="AW130" s="583">
        <v>0.20899999999999999</v>
      </c>
      <c r="AX130" s="583">
        <v>0.21</v>
      </c>
      <c r="AY130" s="583">
        <v>0.2145</v>
      </c>
      <c r="AZ130" s="582">
        <v>0.2</v>
      </c>
      <c r="BA130" s="583">
        <v>0.2</v>
      </c>
      <c r="BB130" s="583">
        <v>0.19</v>
      </c>
      <c r="BC130" s="465"/>
      <c r="BD130" s="466"/>
      <c r="BE130" s="464"/>
      <c r="BF130" s="464"/>
      <c r="BG130" s="465"/>
      <c r="BH130" s="466"/>
      <c r="BI130" s="464"/>
      <c r="BJ130" s="464"/>
      <c r="BK130" s="465"/>
      <c r="BL130" s="424"/>
      <c r="BM130" s="564"/>
      <c r="BN130" s="612"/>
      <c r="BO130" s="270"/>
      <c r="BP130" s="270"/>
      <c r="BQ130" s="270"/>
      <c r="BR130" s="270">
        <f t="shared" si="215"/>
        <v>0.23994374966883614</v>
      </c>
      <c r="BS130" s="467">
        <f t="shared" si="215"/>
        <v>0.1999434290162507</v>
      </c>
      <c r="BT130" s="467">
        <f t="shared" si="216"/>
        <v>0.1849703886077956</v>
      </c>
      <c r="BU130" s="415"/>
      <c r="BV130" s="415"/>
      <c r="BW130" s="415"/>
      <c r="BX130" s="415"/>
      <c r="BY130" s="415"/>
      <c r="BZ130" s="415"/>
      <c r="CA130" s="459"/>
      <c r="CB130" s="1497"/>
      <c r="CC130" s="448"/>
      <c r="CD130" s="448"/>
      <c r="CE130" s="448"/>
      <c r="CF130" s="448"/>
      <c r="CG130" s="448"/>
      <c r="CH130" s="448"/>
      <c r="CI130" s="448"/>
      <c r="CT130" s="1381"/>
    </row>
    <row r="131" spans="1:256" ht="14.25" customHeight="1">
      <c r="B131" s="369" t="s">
        <v>563</v>
      </c>
      <c r="C131" s="372"/>
      <c r="D131" s="601"/>
      <c r="E131" s="602"/>
      <c r="F131" s="602"/>
      <c r="G131" s="603"/>
      <c r="H131" s="601"/>
      <c r="I131" s="602"/>
      <c r="J131" s="602"/>
      <c r="K131" s="603"/>
      <c r="L131" s="601"/>
      <c r="M131" s="583"/>
      <c r="N131" s="583"/>
      <c r="O131" s="584"/>
      <c r="P131" s="582"/>
      <c r="Q131" s="583"/>
      <c r="R131" s="583"/>
      <c r="S131" s="584"/>
      <c r="T131" s="582"/>
      <c r="U131" s="583"/>
      <c r="V131" s="583"/>
      <c r="W131" s="584"/>
      <c r="X131" s="582">
        <v>0.05</v>
      </c>
      <c r="Y131" s="583">
        <v>0.05</v>
      </c>
      <c r="Z131" s="583">
        <v>0.05</v>
      </c>
      <c r="AA131" s="584">
        <v>0.05</v>
      </c>
      <c r="AB131" s="582">
        <v>0.05</v>
      </c>
      <c r="AC131" s="583">
        <v>0.05</v>
      </c>
      <c r="AD131" s="583">
        <v>0.06</v>
      </c>
      <c r="AE131" s="583">
        <v>0.06</v>
      </c>
      <c r="AF131" s="582">
        <v>0.06</v>
      </c>
      <c r="AG131" s="583">
        <v>0.05</v>
      </c>
      <c r="AH131" s="583">
        <v>0.06</v>
      </c>
      <c r="AI131" s="583">
        <v>7.0000000000000007E-2</v>
      </c>
      <c r="AJ131" s="582">
        <v>7.0000000000000007E-2</v>
      </c>
      <c r="AK131" s="583">
        <v>0.08</v>
      </c>
      <c r="AL131" s="583">
        <v>0.09</v>
      </c>
      <c r="AM131" s="583">
        <v>0.1</v>
      </c>
      <c r="AN131" s="582">
        <v>0.11</v>
      </c>
      <c r="AO131" s="583">
        <v>0.12</v>
      </c>
      <c r="AP131" s="583">
        <v>0.13</v>
      </c>
      <c r="AQ131" s="583">
        <v>0.14000000000000001</v>
      </c>
      <c r="AR131" s="582">
        <v>0.16</v>
      </c>
      <c r="AS131" s="583">
        <v>0.17</v>
      </c>
      <c r="AT131" s="583">
        <v>0.17</v>
      </c>
      <c r="AU131" s="583">
        <v>0.19</v>
      </c>
      <c r="AV131" s="582">
        <v>0.18</v>
      </c>
      <c r="AW131" s="583">
        <v>0.1865</v>
      </c>
      <c r="AX131" s="583">
        <v>0.20499999999999999</v>
      </c>
      <c r="AY131" s="583">
        <v>0.19950000000000001</v>
      </c>
      <c r="AZ131" s="582">
        <v>0.2</v>
      </c>
      <c r="BA131" s="583">
        <v>0.21</v>
      </c>
      <c r="BB131" s="583">
        <v>0.2</v>
      </c>
      <c r="BC131" s="465"/>
      <c r="BD131" s="466"/>
      <c r="BE131" s="464"/>
      <c r="BF131" s="464"/>
      <c r="BG131" s="465"/>
      <c r="BH131" s="466"/>
      <c r="BI131" s="464"/>
      <c r="BJ131" s="464"/>
      <c r="BK131" s="465"/>
      <c r="BL131" s="424"/>
      <c r="BM131" s="564"/>
      <c r="BN131" s="612"/>
      <c r="BO131" s="270"/>
      <c r="BP131" s="270"/>
      <c r="BQ131" s="270"/>
      <c r="BR131" s="270">
        <f t="shared" si="215"/>
        <v>5.000000000000001E-2</v>
      </c>
      <c r="BS131" s="467">
        <f t="shared" si="215"/>
        <v>5.4893504509410954E-2</v>
      </c>
      <c r="BT131" s="467">
        <f t="shared" si="216"/>
        <v>6.0011828992418054E-2</v>
      </c>
      <c r="BU131" s="415"/>
      <c r="BV131" s="415"/>
      <c r="BW131" s="415"/>
      <c r="BX131" s="415"/>
      <c r="BY131" s="415"/>
      <c r="BZ131" s="415"/>
      <c r="CA131" s="459"/>
      <c r="CB131" s="1497"/>
      <c r="CC131" s="448"/>
      <c r="CD131" s="448"/>
      <c r="CE131" s="448"/>
      <c r="CF131" s="448"/>
      <c r="CG131" s="448"/>
      <c r="CH131" s="448"/>
      <c r="CI131" s="448"/>
      <c r="CT131" s="1381"/>
    </row>
    <row r="132" spans="1:256" s="121" customFormat="1" ht="14.25" customHeight="1">
      <c r="A132"/>
      <c r="B132" s="369" t="s">
        <v>564</v>
      </c>
      <c r="C132" s="372"/>
      <c r="D132" s="601"/>
      <c r="E132" s="602"/>
      <c r="F132" s="602"/>
      <c r="G132" s="603"/>
      <c r="H132" s="601"/>
      <c r="I132" s="602"/>
      <c r="J132" s="602"/>
      <c r="K132" s="603"/>
      <c r="L132" s="601"/>
      <c r="M132" s="583"/>
      <c r="N132" s="583"/>
      <c r="O132" s="584"/>
      <c r="P132" s="582"/>
      <c r="Q132" s="583"/>
      <c r="R132" s="583"/>
      <c r="S132" s="584"/>
      <c r="T132" s="582"/>
      <c r="U132" s="583"/>
      <c r="V132" s="583"/>
      <c r="W132" s="584"/>
      <c r="X132" s="582">
        <v>0.12</v>
      </c>
      <c r="Y132" s="583">
        <v>0.11</v>
      </c>
      <c r="Z132" s="583">
        <v>0.1</v>
      </c>
      <c r="AA132" s="584">
        <v>0.09</v>
      </c>
      <c r="AB132" s="582">
        <v>0.09</v>
      </c>
      <c r="AC132" s="583">
        <v>0.08</v>
      </c>
      <c r="AD132" s="583">
        <v>0.08</v>
      </c>
      <c r="AE132" s="583">
        <v>0.08</v>
      </c>
      <c r="AF132" s="582">
        <v>0.06</v>
      </c>
      <c r="AG132" s="583">
        <v>0.06</v>
      </c>
      <c r="AH132" s="583">
        <v>0.05</v>
      </c>
      <c r="AI132" s="583">
        <v>0.05</v>
      </c>
      <c r="AJ132" s="582">
        <v>0.05</v>
      </c>
      <c r="AK132" s="583">
        <v>0.06</v>
      </c>
      <c r="AL132" s="583">
        <v>0.05</v>
      </c>
      <c r="AM132" s="583">
        <v>0.05</v>
      </c>
      <c r="AN132" s="582">
        <v>0.05</v>
      </c>
      <c r="AO132" s="583">
        <v>0.05</v>
      </c>
      <c r="AP132" s="583">
        <v>0.06</v>
      </c>
      <c r="AQ132" s="583">
        <v>0.05</v>
      </c>
      <c r="AR132" s="582">
        <v>0.05</v>
      </c>
      <c r="AS132" s="583">
        <v>4.5999999999999999E-2</v>
      </c>
      <c r="AT132" s="583">
        <v>4.1000000000000002E-2</v>
      </c>
      <c r="AU132" s="583">
        <v>0.04</v>
      </c>
      <c r="AV132" s="582">
        <v>0.04</v>
      </c>
      <c r="AW132" s="583">
        <v>4.3499999999999997E-2</v>
      </c>
      <c r="AX132" s="583">
        <v>4.4499999999999998E-2</v>
      </c>
      <c r="AY132" s="583">
        <v>4.8000000000000001E-2</v>
      </c>
      <c r="AZ132" s="582">
        <v>0.04</v>
      </c>
      <c r="BA132" s="583">
        <v>0.04</v>
      </c>
      <c r="BB132" s="583">
        <v>0.03</v>
      </c>
      <c r="BC132" s="465"/>
      <c r="BD132" s="466"/>
      <c r="BE132" s="464"/>
      <c r="BF132" s="464"/>
      <c r="BG132" s="465"/>
      <c r="BH132" s="466"/>
      <c r="BI132" s="464"/>
      <c r="BJ132" s="464"/>
      <c r="BK132" s="465"/>
      <c r="BL132" s="424"/>
      <c r="BM132" s="564"/>
      <c r="BN132" s="612"/>
      <c r="BO132" s="270"/>
      <c r="BP132" s="270"/>
      <c r="BQ132" s="270"/>
      <c r="BR132" s="270">
        <f>BR123/BR$110</f>
        <v>0.10501032422307444</v>
      </c>
      <c r="BS132" s="467">
        <f>BS123/BS$110</f>
        <v>8.2646117438150313E-2</v>
      </c>
      <c r="BT132" s="467">
        <f t="shared" si="216"/>
        <v>5.5031339866858306E-2</v>
      </c>
      <c r="BU132" s="415"/>
      <c r="BV132" s="415"/>
      <c r="BW132" s="415"/>
      <c r="BX132" s="415"/>
      <c r="BY132" s="415"/>
      <c r="BZ132" s="415"/>
      <c r="CA132" s="459"/>
      <c r="CB132" s="1497"/>
      <c r="CC132" s="448"/>
      <c r="CD132" s="448"/>
      <c r="CE132" s="448"/>
      <c r="CF132" s="448"/>
      <c r="CG132" s="448"/>
      <c r="CH132" s="448"/>
      <c r="CI132" s="448"/>
      <c r="CJ132"/>
      <c r="CK132"/>
      <c r="CL132"/>
      <c r="CM132"/>
      <c r="CN132"/>
      <c r="CO132"/>
      <c r="CP132"/>
      <c r="CQ132"/>
      <c r="CR132"/>
      <c r="CS132"/>
      <c r="CT132" s="1381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</row>
    <row r="133" spans="1:256" s="121" customFormat="1" ht="14.25" customHeight="1">
      <c r="B133" s="469" t="s">
        <v>576</v>
      </c>
      <c r="C133" s="435"/>
      <c r="D133" s="568"/>
      <c r="E133" s="569"/>
      <c r="F133" s="569"/>
      <c r="G133" s="570"/>
      <c r="H133" s="568"/>
      <c r="I133" s="569"/>
      <c r="J133" s="569"/>
      <c r="K133" s="570"/>
      <c r="L133" s="568"/>
      <c r="M133" s="471"/>
      <c r="N133" s="471"/>
      <c r="O133" s="472"/>
      <c r="P133" s="470"/>
      <c r="Q133" s="471"/>
      <c r="R133" s="471"/>
      <c r="S133" s="472"/>
      <c r="T133" s="470"/>
      <c r="U133" s="471"/>
      <c r="V133" s="471"/>
      <c r="W133" s="472"/>
      <c r="X133" s="470">
        <f t="shared" ref="X133:AK133" si="217">SUM(X128:X132)</f>
        <v>1</v>
      </c>
      <c r="Y133" s="471">
        <f t="shared" si="217"/>
        <v>1.0000000000000002</v>
      </c>
      <c r="Z133" s="471">
        <f t="shared" si="217"/>
        <v>1</v>
      </c>
      <c r="AA133" s="472">
        <f t="shared" si="217"/>
        <v>1</v>
      </c>
      <c r="AB133" s="470">
        <f t="shared" si="217"/>
        <v>0.99999999999999989</v>
      </c>
      <c r="AC133" s="471">
        <f t="shared" si="217"/>
        <v>0.99999999999999989</v>
      </c>
      <c r="AD133" s="471">
        <f t="shared" si="217"/>
        <v>0.99999999999999989</v>
      </c>
      <c r="AE133" s="471">
        <f t="shared" si="217"/>
        <v>0.99999999999999989</v>
      </c>
      <c r="AF133" s="470">
        <f t="shared" si="217"/>
        <v>1</v>
      </c>
      <c r="AG133" s="471">
        <f t="shared" si="217"/>
        <v>1</v>
      </c>
      <c r="AH133" s="471">
        <f t="shared" si="217"/>
        <v>1</v>
      </c>
      <c r="AI133" s="471">
        <f t="shared" si="217"/>
        <v>1</v>
      </c>
      <c r="AJ133" s="470">
        <f t="shared" si="217"/>
        <v>1</v>
      </c>
      <c r="AK133" s="471">
        <f t="shared" si="217"/>
        <v>1</v>
      </c>
      <c r="AL133" s="471">
        <f t="shared" ref="AL133:AQ133" si="218">SUM(AL128:AL132)</f>
        <v>1</v>
      </c>
      <c r="AM133" s="471">
        <f t="shared" si="218"/>
        <v>1</v>
      </c>
      <c r="AN133" s="470">
        <f t="shared" si="218"/>
        <v>1</v>
      </c>
      <c r="AO133" s="471">
        <f t="shared" si="218"/>
        <v>1</v>
      </c>
      <c r="AP133" s="471">
        <f t="shared" si="218"/>
        <v>1</v>
      </c>
      <c r="AQ133" s="471">
        <f t="shared" si="218"/>
        <v>1</v>
      </c>
      <c r="AR133" s="470">
        <f t="shared" ref="AR133:AW133" si="219">SUM(AR128:AR132)</f>
        <v>1</v>
      </c>
      <c r="AS133" s="471">
        <f t="shared" si="219"/>
        <v>1</v>
      </c>
      <c r="AT133" s="471">
        <f t="shared" si="219"/>
        <v>1</v>
      </c>
      <c r="AU133" s="471">
        <f t="shared" si="219"/>
        <v>1</v>
      </c>
      <c r="AV133" s="470">
        <f t="shared" si="219"/>
        <v>1</v>
      </c>
      <c r="AW133" s="471">
        <f t="shared" si="219"/>
        <v>0.99999999999999989</v>
      </c>
      <c r="AX133" s="471">
        <f>SUM(AX128:AX132)</f>
        <v>0.99999999999999989</v>
      </c>
      <c r="AY133" s="471">
        <f>SUM(AY128:AY132)</f>
        <v>1</v>
      </c>
      <c r="AZ133" s="470">
        <f>SUM(AZ128:AZ132)</f>
        <v>1</v>
      </c>
      <c r="BA133" s="471">
        <f>SUM(BA128:BA132)</f>
        <v>1</v>
      </c>
      <c r="BB133" s="471">
        <f>SUM(BB128:BB132)</f>
        <v>1</v>
      </c>
      <c r="BC133" s="474"/>
      <c r="BD133" s="475"/>
      <c r="BE133" s="473"/>
      <c r="BF133" s="473"/>
      <c r="BG133" s="474"/>
      <c r="BH133" s="475"/>
      <c r="BI133" s="473"/>
      <c r="BJ133" s="473"/>
      <c r="BK133" s="474"/>
      <c r="BL133" s="442"/>
      <c r="BM133" s="568"/>
      <c r="BN133" s="613"/>
      <c r="BO133" s="477"/>
      <c r="BP133" s="477"/>
      <c r="BQ133" s="477"/>
      <c r="BR133" s="477">
        <f>BR124/BR$110</f>
        <v>1</v>
      </c>
      <c r="BS133" s="477">
        <f>BS124/BS$110</f>
        <v>0.99999999999999978</v>
      </c>
      <c r="BT133" s="477">
        <f t="shared" si="216"/>
        <v>1.0000000000000002</v>
      </c>
      <c r="BU133" s="476"/>
      <c r="BV133" s="476"/>
      <c r="BW133" s="476"/>
      <c r="BX133" s="476"/>
      <c r="BY133" s="476"/>
      <c r="BZ133" s="476"/>
      <c r="CA133" s="435"/>
      <c r="CB133" s="1498"/>
      <c r="CC133" s="835"/>
      <c r="CD133" s="835"/>
      <c r="CE133" s="835"/>
      <c r="CF133" s="804"/>
      <c r="CG133" s="804"/>
      <c r="CH133" s="804"/>
      <c r="CI133" s="804"/>
      <c r="CT133" s="1381"/>
    </row>
    <row r="134" spans="1:256" s="121" customFormat="1" ht="14.25" customHeight="1">
      <c r="B134" s="961"/>
      <c r="C134" s="804"/>
      <c r="D134" s="962"/>
      <c r="E134" s="962"/>
      <c r="F134" s="962"/>
      <c r="G134" s="962"/>
      <c r="H134" s="962"/>
      <c r="I134" s="962"/>
      <c r="J134" s="962"/>
      <c r="K134" s="962"/>
      <c r="L134" s="962"/>
      <c r="M134" s="963"/>
      <c r="N134" s="963"/>
      <c r="O134" s="963"/>
      <c r="P134" s="963"/>
      <c r="Q134" s="963"/>
      <c r="R134" s="963"/>
      <c r="S134" s="963"/>
      <c r="T134" s="963"/>
      <c r="U134" s="963"/>
      <c r="V134" s="963"/>
      <c r="W134" s="963"/>
      <c r="X134" s="963"/>
      <c r="Y134" s="963"/>
      <c r="Z134" s="963"/>
      <c r="AA134" s="963"/>
      <c r="AB134" s="963"/>
      <c r="AC134" s="963"/>
      <c r="AD134" s="963"/>
      <c r="AE134" s="963"/>
      <c r="AF134" s="963"/>
      <c r="AG134" s="963"/>
      <c r="AH134" s="963"/>
      <c r="AI134" s="963"/>
      <c r="AJ134" s="963"/>
      <c r="AK134" s="963"/>
      <c r="AL134" s="963"/>
      <c r="AM134" s="964"/>
      <c r="AN134" s="964"/>
      <c r="AO134" s="964"/>
      <c r="AP134" s="964"/>
      <c r="AQ134" s="964"/>
      <c r="AR134" s="964"/>
      <c r="AS134" s="964"/>
      <c r="AT134" s="964"/>
      <c r="AU134" s="964"/>
      <c r="AV134" s="964"/>
      <c r="AW134" s="964"/>
      <c r="AX134" s="964"/>
      <c r="AY134" s="964"/>
      <c r="AZ134" s="964"/>
      <c r="BA134" s="964"/>
      <c r="BB134" s="964"/>
      <c r="BC134" s="964"/>
      <c r="BD134" s="964"/>
      <c r="BE134" s="964"/>
      <c r="BF134" s="964"/>
      <c r="BG134" s="964"/>
      <c r="BH134" s="964"/>
      <c r="BI134" s="964"/>
      <c r="BJ134" s="964"/>
      <c r="BK134" s="964"/>
      <c r="BL134" s="804"/>
      <c r="BM134" s="1430"/>
      <c r="BN134" s="1430"/>
      <c r="BO134" s="803"/>
      <c r="BP134" s="803"/>
      <c r="BQ134" s="803"/>
      <c r="BR134" s="803"/>
      <c r="BS134" s="803"/>
      <c r="BT134" s="803"/>
      <c r="BU134" s="803"/>
      <c r="BV134" s="803"/>
      <c r="BW134" s="803"/>
      <c r="BX134" s="803"/>
      <c r="BY134" s="803"/>
      <c r="BZ134" s="803"/>
      <c r="CA134" s="804"/>
      <c r="CB134" s="835"/>
      <c r="CC134" s="835"/>
      <c r="CD134" s="835"/>
      <c r="CE134" s="835"/>
      <c r="CF134" s="804"/>
      <c r="CG134" s="804"/>
      <c r="CH134" s="804"/>
      <c r="CI134" s="804"/>
      <c r="CT134" s="1381"/>
    </row>
    <row r="135" spans="1:256" ht="14.25" hidden="1" customHeight="1" outlineLevel="1">
      <c r="A135" s="121"/>
      <c r="B135" s="961"/>
      <c r="C135" s="804"/>
      <c r="D135" s="962"/>
      <c r="E135" s="962"/>
      <c r="F135" s="962"/>
      <c r="G135" s="962"/>
      <c r="H135" s="962"/>
      <c r="I135" s="962"/>
      <c r="J135" s="962"/>
      <c r="K135" s="962"/>
      <c r="L135" s="962"/>
      <c r="M135" s="963"/>
      <c r="N135" s="963"/>
      <c r="O135" s="963"/>
      <c r="P135" s="963"/>
      <c r="Q135" s="963"/>
      <c r="R135" s="963"/>
      <c r="S135" s="963"/>
      <c r="T135" s="963"/>
      <c r="U135" s="963"/>
      <c r="V135" s="963"/>
      <c r="W135" s="963"/>
      <c r="X135" s="963"/>
      <c r="Y135" s="963"/>
      <c r="Z135" s="963"/>
      <c r="AA135" s="963"/>
      <c r="AB135" s="963"/>
      <c r="AC135" s="963"/>
      <c r="AD135" s="963"/>
      <c r="AE135" s="963"/>
      <c r="AF135" s="963"/>
      <c r="AG135" s="963"/>
      <c r="AH135" s="963"/>
      <c r="AI135" s="964"/>
      <c r="AJ135" s="964"/>
      <c r="AK135" s="964"/>
      <c r="AL135" s="964"/>
      <c r="AM135" s="964"/>
      <c r="AN135" s="964"/>
      <c r="AO135" s="964"/>
      <c r="AP135" s="964"/>
      <c r="AQ135" s="964"/>
      <c r="AR135" s="964"/>
      <c r="AS135" s="964"/>
      <c r="AT135" s="964"/>
      <c r="AU135" s="964"/>
      <c r="AV135" s="964"/>
      <c r="AW135" s="964"/>
      <c r="AX135" s="964"/>
      <c r="AY135" s="964"/>
      <c r="AZ135" s="964"/>
      <c r="BA135" s="964"/>
      <c r="BB135" s="964"/>
      <c r="BC135" s="964"/>
      <c r="BD135" s="964"/>
      <c r="BE135" s="964"/>
      <c r="BF135" s="964"/>
      <c r="BG135" s="964"/>
      <c r="BH135" s="964"/>
      <c r="BI135" s="964"/>
      <c r="BJ135" s="964"/>
      <c r="BK135" s="964"/>
      <c r="BL135" s="804"/>
      <c r="BM135" s="1430"/>
      <c r="BN135" s="1430"/>
      <c r="BO135" s="803"/>
      <c r="BP135" s="803"/>
      <c r="BQ135" s="803"/>
      <c r="BR135" s="803"/>
      <c r="BS135" s="803"/>
      <c r="BT135" s="803"/>
      <c r="BU135" s="803"/>
      <c r="BV135" s="803"/>
      <c r="BW135" s="803"/>
      <c r="BX135" s="803"/>
      <c r="BY135" s="803"/>
      <c r="BZ135" s="803"/>
      <c r="CA135" s="804"/>
      <c r="CB135" s="835"/>
      <c r="CC135" s="835"/>
      <c r="CD135" s="835"/>
      <c r="CE135" s="835"/>
      <c r="CF135" s="804"/>
      <c r="CG135" s="804"/>
      <c r="CH135" s="804"/>
      <c r="CI135" s="804"/>
      <c r="CJ135" s="121"/>
      <c r="CK135" s="121"/>
      <c r="CL135" s="121"/>
      <c r="CM135" s="121"/>
      <c r="CN135" s="121"/>
      <c r="CO135" s="121"/>
      <c r="CP135" s="121"/>
      <c r="CQ135" s="121"/>
      <c r="CR135" s="121"/>
      <c r="CS135" s="121"/>
      <c r="CT135" s="1381"/>
      <c r="CU135" s="121"/>
      <c r="CV135" s="121"/>
      <c r="CW135" s="121"/>
      <c r="CX135" s="121"/>
      <c r="CY135" s="121"/>
      <c r="CZ135" s="121"/>
      <c r="DA135" s="121"/>
      <c r="DB135" s="121"/>
      <c r="DC135" s="121"/>
      <c r="DD135" s="121"/>
      <c r="DE135" s="121"/>
      <c r="DF135" s="121"/>
      <c r="DG135" s="121"/>
      <c r="DH135" s="121"/>
      <c r="DI135" s="121"/>
      <c r="DJ135" s="121"/>
      <c r="DK135" s="121"/>
      <c r="DL135" s="121"/>
      <c r="DM135" s="121"/>
      <c r="DN135" s="121"/>
      <c r="DO135" s="121"/>
      <c r="DP135" s="121"/>
      <c r="DQ135" s="121"/>
      <c r="DR135" s="121"/>
      <c r="DS135" s="121"/>
      <c r="DT135" s="121"/>
      <c r="DU135" s="121"/>
      <c r="DV135" s="121"/>
      <c r="DW135" s="121"/>
      <c r="DX135" s="121"/>
      <c r="DY135" s="121"/>
      <c r="DZ135" s="121"/>
      <c r="EA135" s="121"/>
      <c r="EB135" s="121"/>
      <c r="EC135" s="121"/>
      <c r="ED135" s="121"/>
      <c r="EE135" s="121"/>
      <c r="EF135" s="121"/>
      <c r="EG135" s="121"/>
      <c r="EH135" s="121"/>
      <c r="EI135" s="121"/>
      <c r="EJ135" s="121"/>
      <c r="EK135" s="121"/>
      <c r="EL135" s="121"/>
      <c r="EM135" s="121"/>
      <c r="EN135" s="121"/>
      <c r="EO135" s="121"/>
      <c r="EP135" s="121"/>
      <c r="EQ135" s="121"/>
      <c r="ER135" s="121"/>
      <c r="ES135" s="121"/>
      <c r="ET135" s="121"/>
      <c r="EU135" s="121"/>
      <c r="EV135" s="121"/>
      <c r="EW135" s="121"/>
      <c r="EX135" s="121"/>
      <c r="EY135" s="121"/>
      <c r="EZ135" s="121"/>
      <c r="FA135" s="121"/>
      <c r="FB135" s="121"/>
      <c r="FC135" s="121"/>
      <c r="FD135" s="121"/>
      <c r="FE135" s="121"/>
      <c r="FF135" s="121"/>
      <c r="FG135" s="121"/>
      <c r="FH135" s="121"/>
      <c r="FI135" s="121"/>
      <c r="FJ135" s="121"/>
      <c r="FK135" s="121"/>
      <c r="FL135" s="121"/>
      <c r="FM135" s="121"/>
      <c r="FN135" s="121"/>
      <c r="FO135" s="121"/>
      <c r="FP135" s="121"/>
      <c r="FQ135" s="121"/>
      <c r="FR135" s="121"/>
      <c r="FS135" s="121"/>
      <c r="FT135" s="121"/>
      <c r="FU135" s="121"/>
      <c r="FV135" s="121"/>
      <c r="FW135" s="121"/>
      <c r="FX135" s="121"/>
      <c r="FY135" s="121"/>
      <c r="FZ135" s="121"/>
      <c r="GA135" s="121"/>
      <c r="GB135" s="121"/>
      <c r="GC135" s="121"/>
      <c r="GD135" s="121"/>
      <c r="GE135" s="121"/>
      <c r="GF135" s="121"/>
      <c r="GG135" s="121"/>
      <c r="GH135" s="121"/>
      <c r="GI135" s="121"/>
      <c r="GJ135" s="121"/>
      <c r="GK135" s="121"/>
      <c r="GL135" s="121"/>
      <c r="GM135" s="121"/>
      <c r="GN135" s="121"/>
      <c r="GO135" s="121"/>
      <c r="GP135" s="121"/>
      <c r="GQ135" s="121"/>
      <c r="GR135" s="121"/>
      <c r="GS135" s="121"/>
      <c r="GT135" s="121"/>
      <c r="GU135" s="121"/>
      <c r="GV135" s="121"/>
      <c r="GW135" s="121"/>
      <c r="GX135" s="121"/>
      <c r="GY135" s="121"/>
      <c r="GZ135" s="121"/>
      <c r="HA135" s="121"/>
      <c r="HB135" s="121"/>
      <c r="HC135" s="121"/>
      <c r="HD135" s="121"/>
      <c r="HE135" s="121"/>
      <c r="HF135" s="121"/>
      <c r="HG135" s="121"/>
      <c r="HH135" s="121"/>
      <c r="HI135" s="121"/>
      <c r="HJ135" s="121"/>
      <c r="HK135" s="121"/>
      <c r="HL135" s="121"/>
      <c r="HM135" s="121"/>
      <c r="HN135" s="121"/>
      <c r="HO135" s="121"/>
      <c r="HP135" s="121"/>
      <c r="HQ135" s="121"/>
      <c r="HR135" s="121"/>
      <c r="HS135" s="121"/>
      <c r="HT135" s="121"/>
      <c r="HU135" s="121"/>
      <c r="HV135" s="121"/>
      <c r="HW135" s="121"/>
      <c r="HX135" s="121"/>
      <c r="HY135" s="121"/>
      <c r="HZ135" s="121"/>
      <c r="IA135" s="121"/>
      <c r="IB135" s="121"/>
      <c r="IC135" s="121"/>
      <c r="ID135" s="121"/>
      <c r="IE135" s="121"/>
      <c r="IF135" s="121"/>
      <c r="IG135" s="121"/>
      <c r="IH135" s="121"/>
      <c r="II135" s="121"/>
      <c r="IJ135" s="121"/>
      <c r="IK135" s="121"/>
      <c r="IL135" s="121"/>
      <c r="IM135" s="121"/>
      <c r="IN135" s="121"/>
      <c r="IO135" s="121"/>
      <c r="IP135" s="121"/>
      <c r="IQ135" s="121"/>
      <c r="IR135" s="121"/>
      <c r="IS135" s="121"/>
      <c r="IT135" s="121"/>
      <c r="IU135" s="121"/>
      <c r="IV135" s="121"/>
    </row>
    <row r="136" spans="1:256" ht="14.25" hidden="1" customHeight="1" outlineLevel="2">
      <c r="A136" s="1"/>
      <c r="B136" s="162" t="s">
        <v>69</v>
      </c>
      <c r="C136" s="163"/>
      <c r="D136" s="766" t="str">
        <f t="shared" ref="D136:AI136" si="220">D9</f>
        <v>F1Q06A</v>
      </c>
      <c r="E136" s="767" t="str">
        <f t="shared" si="220"/>
        <v>F2Q06A</v>
      </c>
      <c r="F136" s="767" t="str">
        <f t="shared" si="220"/>
        <v>F3Q06A</v>
      </c>
      <c r="G136" s="767" t="str">
        <f t="shared" si="220"/>
        <v>F4Q06A</v>
      </c>
      <c r="H136" s="766" t="str">
        <f t="shared" si="220"/>
        <v>F1Q07A</v>
      </c>
      <c r="I136" s="767" t="str">
        <f t="shared" si="220"/>
        <v>F2Q07A</v>
      </c>
      <c r="J136" s="767" t="str">
        <f t="shared" si="220"/>
        <v>F3Q07A</v>
      </c>
      <c r="K136" s="767" t="str">
        <f t="shared" si="220"/>
        <v>F4Q07A</v>
      </c>
      <c r="L136" s="766" t="str">
        <f t="shared" si="220"/>
        <v>F1Q08A</v>
      </c>
      <c r="M136" s="767" t="str">
        <f t="shared" si="220"/>
        <v>F2Q08A</v>
      </c>
      <c r="N136" s="767" t="str">
        <f t="shared" si="220"/>
        <v>F3Q08A</v>
      </c>
      <c r="O136" s="767" t="str">
        <f t="shared" si="220"/>
        <v>F4Q08A</v>
      </c>
      <c r="P136" s="766" t="str">
        <f t="shared" si="220"/>
        <v>F1Q09A</v>
      </c>
      <c r="Q136" s="767" t="str">
        <f t="shared" si="220"/>
        <v>F2Q09A</v>
      </c>
      <c r="R136" s="767" t="str">
        <f t="shared" si="220"/>
        <v>F3Q09A</v>
      </c>
      <c r="S136" s="767" t="str">
        <f t="shared" si="220"/>
        <v>F4Q09A</v>
      </c>
      <c r="T136" s="766" t="str">
        <f t="shared" si="220"/>
        <v>F1Q10A</v>
      </c>
      <c r="U136" s="767" t="str">
        <f t="shared" si="220"/>
        <v>F2Q10A</v>
      </c>
      <c r="V136" s="767" t="str">
        <f t="shared" si="220"/>
        <v>F3Q10A</v>
      </c>
      <c r="W136" s="767" t="str">
        <f t="shared" si="220"/>
        <v>F4Q10A</v>
      </c>
      <c r="X136" s="766" t="str">
        <f t="shared" si="220"/>
        <v>F1Q11A</v>
      </c>
      <c r="Y136" s="767" t="str">
        <f t="shared" si="220"/>
        <v>F2Q11A</v>
      </c>
      <c r="Z136" s="767" t="str">
        <f t="shared" si="220"/>
        <v>F3Q11A</v>
      </c>
      <c r="AA136" s="767" t="str">
        <f t="shared" si="220"/>
        <v>F4Q11A</v>
      </c>
      <c r="AB136" s="766" t="str">
        <f t="shared" si="220"/>
        <v>F1Q12A</v>
      </c>
      <c r="AC136" s="767" t="str">
        <f t="shared" si="220"/>
        <v>F2Q12A</v>
      </c>
      <c r="AD136" s="767" t="str">
        <f t="shared" si="220"/>
        <v>F3Q12A</v>
      </c>
      <c r="AE136" s="767" t="str">
        <f t="shared" si="220"/>
        <v>F4Q12A</v>
      </c>
      <c r="AF136" s="766" t="str">
        <f t="shared" si="220"/>
        <v>F1Q13A</v>
      </c>
      <c r="AG136" s="767" t="str">
        <f t="shared" si="220"/>
        <v>F2Q13A</v>
      </c>
      <c r="AH136" s="767" t="str">
        <f t="shared" si="220"/>
        <v>F3Q13A</v>
      </c>
      <c r="AI136" s="767" t="str">
        <f t="shared" si="220"/>
        <v>F4Q13A</v>
      </c>
      <c r="AJ136" s="766" t="str">
        <f t="shared" ref="AJ136:BG136" si="221">AJ9</f>
        <v>F1Q14A</v>
      </c>
      <c r="AK136" s="767" t="str">
        <f t="shared" si="221"/>
        <v>F2Q14</v>
      </c>
      <c r="AL136" s="767" t="str">
        <f t="shared" si="221"/>
        <v>F3Q14A</v>
      </c>
      <c r="AM136" s="767" t="str">
        <f t="shared" si="221"/>
        <v>F4Q14A</v>
      </c>
      <c r="AN136" s="766" t="str">
        <f t="shared" si="221"/>
        <v>F1Q15A</v>
      </c>
      <c r="AO136" s="767" t="str">
        <f t="shared" si="221"/>
        <v>F2Q15A</v>
      </c>
      <c r="AP136" s="767" t="str">
        <f t="shared" si="221"/>
        <v>F3Q15A</v>
      </c>
      <c r="AQ136" s="768" t="str">
        <f t="shared" si="221"/>
        <v>F4Q15A</v>
      </c>
      <c r="AR136" s="766" t="str">
        <f t="shared" si="221"/>
        <v>F1Q16A</v>
      </c>
      <c r="AS136" s="767" t="str">
        <f t="shared" si="221"/>
        <v>F2Q16A</v>
      </c>
      <c r="AT136" s="767" t="str">
        <f t="shared" si="221"/>
        <v>F3Q16A</v>
      </c>
      <c r="AU136" s="768" t="str">
        <f t="shared" si="221"/>
        <v>F4Q16A</v>
      </c>
      <c r="AV136" s="766" t="str">
        <f t="shared" si="221"/>
        <v>F1Q17A</v>
      </c>
      <c r="AW136" s="767" t="str">
        <f t="shared" si="221"/>
        <v>F2Q17A</v>
      </c>
      <c r="AX136" s="767" t="str">
        <f t="shared" si="221"/>
        <v>F3Q17A</v>
      </c>
      <c r="AY136" s="768" t="str">
        <f t="shared" si="221"/>
        <v>F4Q17A</v>
      </c>
      <c r="AZ136" s="766" t="str">
        <f t="shared" si="221"/>
        <v>F1Q18A</v>
      </c>
      <c r="BA136" s="767" t="str">
        <f t="shared" si="221"/>
        <v>F2Q18A</v>
      </c>
      <c r="BB136" s="767" t="str">
        <f t="shared" si="221"/>
        <v>F3Q18A</v>
      </c>
      <c r="BC136" s="768" t="str">
        <f t="shared" si="221"/>
        <v>F4Q18E</v>
      </c>
      <c r="BD136" s="766" t="str">
        <f t="shared" si="221"/>
        <v>F1Q19E</v>
      </c>
      <c r="BE136" s="767" t="str">
        <f t="shared" si="221"/>
        <v>F2Q19E</v>
      </c>
      <c r="BF136" s="767" t="str">
        <f t="shared" si="221"/>
        <v>F3Q19E</v>
      </c>
      <c r="BG136" s="768" t="str">
        <f t="shared" si="221"/>
        <v>F4Q19E</v>
      </c>
      <c r="BH136" s="766" t="str">
        <f>BH9</f>
        <v>F1Q20E</v>
      </c>
      <c r="BI136" s="767" t="str">
        <f>BI9</f>
        <v>F2Q20E</v>
      </c>
      <c r="BJ136" s="767" t="str">
        <f>BJ9</f>
        <v>F3Q20E</v>
      </c>
      <c r="BK136" s="768" t="str">
        <f>BK9</f>
        <v>F4Q20E</v>
      </c>
      <c r="BL136" s="20"/>
      <c r="BM136" s="766" t="str">
        <f t="shared" ref="BM136:CA136" si="222">BM9</f>
        <v>FY2006A</v>
      </c>
      <c r="BN136" s="767" t="str">
        <f t="shared" si="222"/>
        <v>FY2007A</v>
      </c>
      <c r="BO136" s="767" t="str">
        <f t="shared" si="222"/>
        <v>FY2008A</v>
      </c>
      <c r="BP136" s="767" t="str">
        <f t="shared" si="222"/>
        <v>FY2009A</v>
      </c>
      <c r="BQ136" s="767" t="str">
        <f t="shared" si="222"/>
        <v>FY2010A</v>
      </c>
      <c r="BR136" s="767" t="str">
        <f t="shared" si="222"/>
        <v>FY2011A</v>
      </c>
      <c r="BS136" s="767" t="str">
        <f t="shared" si="222"/>
        <v>FY2012A</v>
      </c>
      <c r="BT136" s="767" t="str">
        <f t="shared" si="222"/>
        <v>FY2013A</v>
      </c>
      <c r="BU136" s="768" t="str">
        <f t="shared" si="222"/>
        <v>FY2014A</v>
      </c>
      <c r="BV136" s="1036" t="str">
        <f t="shared" si="222"/>
        <v>FY2015A</v>
      </c>
      <c r="BW136" s="1036" t="str">
        <f t="shared" si="222"/>
        <v>FY2016A</v>
      </c>
      <c r="BX136" s="1240" t="str">
        <f t="shared" si="222"/>
        <v>FY2017A</v>
      </c>
      <c r="BY136" s="1240" t="str">
        <f t="shared" si="222"/>
        <v>FY2018E</v>
      </c>
      <c r="BZ136" s="1240" t="str">
        <f t="shared" si="222"/>
        <v>FY2019E</v>
      </c>
      <c r="CA136" s="386" t="str">
        <f t="shared" si="222"/>
        <v>FY2020E</v>
      </c>
      <c r="CB136" s="1037"/>
      <c r="CC136" s="1037"/>
      <c r="CD136" s="1037"/>
      <c r="CE136" s="1037"/>
      <c r="CF136" s="371"/>
      <c r="CG136" s="371"/>
      <c r="CH136" s="371"/>
      <c r="CI136" s="371"/>
      <c r="CT136" s="1381"/>
    </row>
    <row r="137" spans="1:256" ht="14.25" hidden="1" customHeight="1" outlineLevel="2">
      <c r="B137" s="368" t="s">
        <v>50</v>
      </c>
      <c r="C137" s="418"/>
      <c r="D137" s="604"/>
      <c r="E137" s="605"/>
      <c r="F137" s="605"/>
      <c r="G137" s="606"/>
      <c r="H137" s="604"/>
      <c r="I137" s="605"/>
      <c r="J137" s="605"/>
      <c r="K137" s="606"/>
      <c r="L137" s="604"/>
      <c r="M137" s="573">
        <f t="shared" ref="M137:AL137" si="223">M224*M$110</f>
        <v>113.40525</v>
      </c>
      <c r="N137" s="573">
        <f t="shared" si="223"/>
        <v>116.97840000000001</v>
      </c>
      <c r="O137" s="574">
        <f t="shared" si="223"/>
        <v>115.29140999999998</v>
      </c>
      <c r="P137" s="572">
        <f t="shared" si="223"/>
        <v>120.28896</v>
      </c>
      <c r="Q137" s="573">
        <f t="shared" si="223"/>
        <v>98.561999999999998</v>
      </c>
      <c r="R137" s="573">
        <f t="shared" si="223"/>
        <v>95.106200000000015</v>
      </c>
      <c r="S137" s="574">
        <f t="shared" si="223"/>
        <v>98.617750000000044</v>
      </c>
      <c r="T137" s="572">
        <f t="shared" si="223"/>
        <v>107.81903999999999</v>
      </c>
      <c r="U137" s="573">
        <f t="shared" si="223"/>
        <v>118.37875</v>
      </c>
      <c r="V137" s="573">
        <f t="shared" si="223"/>
        <v>132.30879999999999</v>
      </c>
      <c r="W137" s="574">
        <f t="shared" si="223"/>
        <v>152.80974000000001</v>
      </c>
      <c r="X137" s="572">
        <f t="shared" si="223"/>
        <v>169.05753000000001</v>
      </c>
      <c r="Y137" s="573">
        <f t="shared" si="223"/>
        <v>171.62208000000004</v>
      </c>
      <c r="Z137" s="573">
        <f t="shared" si="223"/>
        <v>175.96474999999998</v>
      </c>
      <c r="AA137" s="574">
        <f t="shared" si="223"/>
        <v>175.41747999999993</v>
      </c>
      <c r="AB137" s="572">
        <f t="shared" si="223"/>
        <v>165.36051999999998</v>
      </c>
      <c r="AC137" s="573">
        <f t="shared" si="223"/>
        <v>153.75334000000001</v>
      </c>
      <c r="AD137" s="573">
        <f t="shared" si="223"/>
        <v>154.22723999999999</v>
      </c>
      <c r="AE137" s="573">
        <f t="shared" si="223"/>
        <v>157.28856000000002</v>
      </c>
      <c r="AF137" s="572">
        <f t="shared" si="223"/>
        <v>149.53800000000001</v>
      </c>
      <c r="AG137" s="573">
        <f t="shared" si="223"/>
        <v>151.32650000000001</v>
      </c>
      <c r="AH137" s="573">
        <f t="shared" si="223"/>
        <v>151.221</v>
      </c>
      <c r="AI137" s="573">
        <f t="shared" si="223"/>
        <v>176.37625999999997</v>
      </c>
      <c r="AJ137" s="572">
        <f t="shared" si="223"/>
        <v>169.71988999999999</v>
      </c>
      <c r="AK137" s="573">
        <f t="shared" si="223"/>
        <v>173.67672000000002</v>
      </c>
      <c r="AL137" s="573">
        <f t="shared" si="223"/>
        <v>187.76111</v>
      </c>
      <c r="AM137" s="573">
        <f>AM224*AM$110</f>
        <v>199.16477</v>
      </c>
      <c r="AN137" s="423"/>
      <c r="AO137" s="421"/>
      <c r="AP137" s="421"/>
      <c r="AQ137" s="422"/>
      <c r="AR137" s="423"/>
      <c r="AS137" s="421"/>
      <c r="AT137" s="421"/>
      <c r="AU137" s="422"/>
      <c r="AV137" s="423"/>
      <c r="AW137" s="421"/>
      <c r="AX137" s="421"/>
      <c r="AY137" s="422"/>
      <c r="AZ137" s="423"/>
      <c r="BA137" s="421"/>
      <c r="BB137" s="421"/>
      <c r="BC137" s="422"/>
      <c r="BD137" s="423"/>
      <c r="BE137" s="421"/>
      <c r="BF137" s="421"/>
      <c r="BG137" s="422"/>
      <c r="BH137" s="423"/>
      <c r="BI137" s="421"/>
      <c r="BJ137" s="421"/>
      <c r="BK137" s="422"/>
      <c r="BL137" s="424"/>
      <c r="BM137" s="544"/>
      <c r="BN137" s="607"/>
      <c r="BO137" s="425">
        <f>SUM(L137:O137)</f>
        <v>345.67505999999997</v>
      </c>
      <c r="BP137" s="425">
        <f>SUM(P137:S137)</f>
        <v>412.57491000000005</v>
      </c>
      <c r="BQ137" s="425">
        <f>SUM(T137:W137)</f>
        <v>511.31632999999999</v>
      </c>
      <c r="BR137" s="425">
        <f>SUM(X137:AA137)</f>
        <v>692.06183999999996</v>
      </c>
      <c r="BS137" s="411">
        <f>SUM(AB137:AE137)</f>
        <v>630.62966000000006</v>
      </c>
      <c r="BT137" s="411">
        <f>SUM(AF137:AI137)</f>
        <v>628.46176000000003</v>
      </c>
      <c r="BU137" s="425"/>
      <c r="BV137" s="425"/>
      <c r="BW137" s="425"/>
      <c r="BX137" s="425"/>
      <c r="BY137" s="425"/>
      <c r="BZ137" s="425"/>
      <c r="CA137" s="418"/>
      <c r="CB137" s="448"/>
      <c r="CC137" s="448"/>
      <c r="CD137" s="448"/>
      <c r="CE137" s="448"/>
      <c r="CF137" s="371"/>
      <c r="CG137" s="371"/>
      <c r="CH137" s="371"/>
      <c r="CI137" s="371"/>
      <c r="CT137" s="1381"/>
    </row>
    <row r="138" spans="1:256" ht="14.25" hidden="1" customHeight="1" outlineLevel="2">
      <c r="B138" s="369" t="s">
        <v>52</v>
      </c>
      <c r="C138" s="372"/>
      <c r="D138" s="550"/>
      <c r="E138" s="551"/>
      <c r="F138" s="551"/>
      <c r="G138" s="552"/>
      <c r="H138" s="550"/>
      <c r="I138" s="551"/>
      <c r="J138" s="551"/>
      <c r="K138" s="552"/>
      <c r="L138" s="550"/>
      <c r="M138" s="576">
        <f t="shared" ref="M138:AL138" si="224">M225*M$110</f>
        <v>156.60724999999999</v>
      </c>
      <c r="N138" s="576">
        <f t="shared" si="224"/>
        <v>131.60070000000002</v>
      </c>
      <c r="O138" s="577">
        <f t="shared" si="224"/>
        <v>130.32942</v>
      </c>
      <c r="P138" s="575">
        <f t="shared" si="224"/>
        <v>140.33712000000003</v>
      </c>
      <c r="Q138" s="576">
        <f t="shared" si="224"/>
        <v>110.88225000000001</v>
      </c>
      <c r="R138" s="576">
        <f t="shared" si="224"/>
        <v>95.106200000000015</v>
      </c>
      <c r="S138" s="577">
        <f t="shared" si="224"/>
        <v>126.23072000000006</v>
      </c>
      <c r="T138" s="575">
        <f t="shared" si="224"/>
        <v>148.25118000000001</v>
      </c>
      <c r="U138" s="576">
        <f t="shared" si="224"/>
        <v>146.78964999999999</v>
      </c>
      <c r="V138" s="576">
        <f t="shared" si="224"/>
        <v>157.75280000000001</v>
      </c>
      <c r="W138" s="577">
        <f t="shared" si="224"/>
        <v>186.76746</v>
      </c>
      <c r="X138" s="575">
        <f t="shared" si="224"/>
        <v>206.62587000000002</v>
      </c>
      <c r="Y138" s="576">
        <f t="shared" si="224"/>
        <v>196.13952</v>
      </c>
      <c r="Z138" s="576">
        <f t="shared" si="224"/>
        <v>194.16800000000001</v>
      </c>
      <c r="AA138" s="577">
        <f t="shared" si="224"/>
        <v>225.53675999999987</v>
      </c>
      <c r="AB138" s="575">
        <f t="shared" si="224"/>
        <v>260.76081999999997</v>
      </c>
      <c r="AC138" s="576">
        <f t="shared" si="224"/>
        <v>242.45719</v>
      </c>
      <c r="AD138" s="576">
        <f t="shared" si="224"/>
        <v>234.19691999999998</v>
      </c>
      <c r="AE138" s="576">
        <f t="shared" si="224"/>
        <v>260.13108</v>
      </c>
      <c r="AF138" s="575">
        <f t="shared" si="224"/>
        <v>292.84525000000002</v>
      </c>
      <c r="AG138" s="576">
        <f t="shared" si="224"/>
        <v>278.44076000000001</v>
      </c>
      <c r="AH138" s="576">
        <f t="shared" si="224"/>
        <v>296.39316000000002</v>
      </c>
      <c r="AI138" s="576">
        <f t="shared" si="224"/>
        <v>267.60535999999996</v>
      </c>
      <c r="AJ138" s="575">
        <f t="shared" si="224"/>
        <v>251.65362999999999</v>
      </c>
      <c r="AK138" s="576">
        <f t="shared" si="224"/>
        <v>241.90685999999999</v>
      </c>
      <c r="AL138" s="576">
        <f t="shared" si="224"/>
        <v>230.15878000000001</v>
      </c>
      <c r="AM138" s="576">
        <f>AM225*AM$110</f>
        <v>244.13746</v>
      </c>
      <c r="AN138" s="431"/>
      <c r="AO138" s="429"/>
      <c r="AP138" s="429"/>
      <c r="AQ138" s="430"/>
      <c r="AR138" s="431"/>
      <c r="AS138" s="429"/>
      <c r="AT138" s="429"/>
      <c r="AU138" s="430"/>
      <c r="AV138" s="431"/>
      <c r="AW138" s="429"/>
      <c r="AX138" s="429"/>
      <c r="AY138" s="430"/>
      <c r="AZ138" s="431"/>
      <c r="BA138" s="429"/>
      <c r="BB138" s="429"/>
      <c r="BC138" s="430"/>
      <c r="BD138" s="431"/>
      <c r="BE138" s="429"/>
      <c r="BF138" s="429"/>
      <c r="BG138" s="430"/>
      <c r="BH138" s="431"/>
      <c r="BI138" s="429"/>
      <c r="BJ138" s="429"/>
      <c r="BK138" s="430"/>
      <c r="BL138" s="424"/>
      <c r="BM138" s="549"/>
      <c r="BN138" s="608"/>
      <c r="BO138" s="411">
        <f>SUM(L138:O138)</f>
        <v>418.53737000000001</v>
      </c>
      <c r="BP138" s="411">
        <f>SUM(P138:S138)</f>
        <v>472.5562900000001</v>
      </c>
      <c r="BQ138" s="411">
        <f>SUM(T138:W138)</f>
        <v>639.56109000000004</v>
      </c>
      <c r="BR138" s="411">
        <f>SUM(X138:AA138)</f>
        <v>822.47014999999988</v>
      </c>
      <c r="BS138" s="411">
        <f>SUM(AB138:AE138)</f>
        <v>997.54600999999991</v>
      </c>
      <c r="BT138" s="411">
        <f>SUM(AF138:AI138)</f>
        <v>1135.2845300000001</v>
      </c>
      <c r="BU138" s="411"/>
      <c r="BV138" s="411"/>
      <c r="BW138" s="411"/>
      <c r="BX138" s="411"/>
      <c r="BY138" s="411"/>
      <c r="BZ138" s="411"/>
      <c r="CA138" s="372"/>
      <c r="CB138" s="448"/>
      <c r="CC138" s="448"/>
      <c r="CD138" s="448"/>
      <c r="CE138" s="448"/>
      <c r="CF138" s="371"/>
      <c r="CG138" s="371"/>
      <c r="CH138" s="371"/>
      <c r="CI138" s="371"/>
      <c r="CT138" s="1381"/>
    </row>
    <row r="139" spans="1:256" ht="14.25" hidden="1" customHeight="1" outlineLevel="2">
      <c r="B139" s="369" t="s">
        <v>53</v>
      </c>
      <c r="C139" s="372"/>
      <c r="D139" s="550"/>
      <c r="E139" s="551"/>
      <c r="F139" s="551"/>
      <c r="G139" s="552"/>
      <c r="H139" s="550"/>
      <c r="I139" s="551"/>
      <c r="J139" s="551"/>
      <c r="K139" s="552"/>
      <c r="L139" s="550"/>
      <c r="M139" s="576">
        <f t="shared" ref="M139:AL139" si="225">M226*M$110</f>
        <v>102.60475</v>
      </c>
      <c r="N139" s="576">
        <f t="shared" si="225"/>
        <v>97.482000000000014</v>
      </c>
      <c r="O139" s="577">
        <f t="shared" si="225"/>
        <v>100.2534</v>
      </c>
      <c r="P139" s="575">
        <f t="shared" si="225"/>
        <v>100.24080000000001</v>
      </c>
      <c r="Q139" s="576">
        <f t="shared" si="225"/>
        <v>90.348500000000001</v>
      </c>
      <c r="R139" s="576">
        <f t="shared" si="225"/>
        <v>71.329650000000001</v>
      </c>
      <c r="S139" s="577">
        <f t="shared" si="225"/>
        <v>71.004780000000025</v>
      </c>
      <c r="T139" s="575">
        <f t="shared" si="225"/>
        <v>80.864279999999994</v>
      </c>
      <c r="U139" s="576">
        <f t="shared" si="225"/>
        <v>89.967849999999999</v>
      </c>
      <c r="V139" s="576">
        <f t="shared" si="225"/>
        <v>96.687200000000004</v>
      </c>
      <c r="W139" s="577">
        <f t="shared" si="225"/>
        <v>101.87316</v>
      </c>
      <c r="X139" s="575">
        <f t="shared" si="225"/>
        <v>125.2278</v>
      </c>
      <c r="Y139" s="576">
        <f t="shared" si="225"/>
        <v>128.71656000000002</v>
      </c>
      <c r="Z139" s="576">
        <f t="shared" si="225"/>
        <v>121.355</v>
      </c>
      <c r="AA139" s="577">
        <f t="shared" si="225"/>
        <v>119.03328999999994</v>
      </c>
      <c r="AB139" s="575">
        <f t="shared" si="225"/>
        <v>108.12034</v>
      </c>
      <c r="AC139" s="576">
        <f t="shared" si="225"/>
        <v>100.53103000000002</v>
      </c>
      <c r="AD139" s="576">
        <f t="shared" si="225"/>
        <v>97.106040000000007</v>
      </c>
      <c r="AE139" s="576">
        <f t="shared" si="225"/>
        <v>96.792960000000008</v>
      </c>
      <c r="AF139" s="575">
        <f t="shared" si="225"/>
        <v>93.461250000000007</v>
      </c>
      <c r="AG139" s="576">
        <f t="shared" si="225"/>
        <v>90.795900000000003</v>
      </c>
      <c r="AH139" s="576">
        <f t="shared" si="225"/>
        <v>84.683760000000007</v>
      </c>
      <c r="AI139" s="576">
        <f t="shared" si="225"/>
        <v>91.229099999999988</v>
      </c>
      <c r="AJ139" s="575">
        <f t="shared" si="225"/>
        <v>93.638559999999998</v>
      </c>
      <c r="AK139" s="576">
        <f t="shared" si="225"/>
        <v>99.243840000000006</v>
      </c>
      <c r="AL139" s="576">
        <f t="shared" si="225"/>
        <v>102.96577000000002</v>
      </c>
      <c r="AM139" s="576">
        <f>AM226*AM$110</f>
        <v>109.21939</v>
      </c>
      <c r="AN139" s="431"/>
      <c r="AO139" s="429"/>
      <c r="AP139" s="429"/>
      <c r="AQ139" s="430"/>
      <c r="AR139" s="431"/>
      <c r="AS139" s="429"/>
      <c r="AT139" s="429"/>
      <c r="AU139" s="430"/>
      <c r="AV139" s="431"/>
      <c r="AW139" s="429"/>
      <c r="AX139" s="429"/>
      <c r="AY139" s="430"/>
      <c r="AZ139" s="431"/>
      <c r="BA139" s="429"/>
      <c r="BB139" s="429"/>
      <c r="BC139" s="430"/>
      <c r="BD139" s="431"/>
      <c r="BE139" s="429"/>
      <c r="BF139" s="429"/>
      <c r="BG139" s="430"/>
      <c r="BH139" s="431"/>
      <c r="BI139" s="429"/>
      <c r="BJ139" s="429"/>
      <c r="BK139" s="430"/>
      <c r="BL139" s="424"/>
      <c r="BM139" s="549"/>
      <c r="BN139" s="608"/>
      <c r="BO139" s="411">
        <f>SUM(L139:O139)</f>
        <v>300.34014999999999</v>
      </c>
      <c r="BP139" s="411">
        <f>SUM(P139:S139)</f>
        <v>332.92373000000003</v>
      </c>
      <c r="BQ139" s="411">
        <f>SUM(T139:W139)</f>
        <v>369.39249000000001</v>
      </c>
      <c r="BR139" s="411">
        <f>SUM(X139:AA139)</f>
        <v>494.33264999999994</v>
      </c>
      <c r="BS139" s="411">
        <f>SUM(AB139:AE139)</f>
        <v>402.55037000000004</v>
      </c>
      <c r="BT139" s="411">
        <f>SUM(AF139:AI139)</f>
        <v>360.17001000000005</v>
      </c>
      <c r="BU139" s="411"/>
      <c r="BV139" s="411"/>
      <c r="BW139" s="411"/>
      <c r="BX139" s="411"/>
      <c r="BY139" s="411"/>
      <c r="BZ139" s="411"/>
      <c r="CA139" s="372"/>
      <c r="CB139" s="448"/>
      <c r="CC139" s="448"/>
      <c r="CD139" s="448"/>
      <c r="CE139" s="448"/>
      <c r="CF139" s="371"/>
      <c r="CG139" s="371"/>
      <c r="CH139" s="371"/>
      <c r="CI139" s="371"/>
      <c r="CT139" s="1381"/>
    </row>
    <row r="140" spans="1:256" s="121" customFormat="1" ht="14.25" hidden="1" customHeight="1" outlineLevel="2">
      <c r="A140"/>
      <c r="B140" s="369" t="s">
        <v>54</v>
      </c>
      <c r="C140" s="372"/>
      <c r="D140" s="550"/>
      <c r="E140" s="551"/>
      <c r="F140" s="551"/>
      <c r="G140" s="552"/>
      <c r="H140" s="550"/>
      <c r="I140" s="551"/>
      <c r="J140" s="551"/>
      <c r="K140" s="552"/>
      <c r="L140" s="550"/>
      <c r="M140" s="576">
        <f t="shared" ref="M140:AL140" si="226">M227*M$110</f>
        <v>167.40774999999999</v>
      </c>
      <c r="N140" s="576">
        <f t="shared" si="226"/>
        <v>141.34889999999999</v>
      </c>
      <c r="O140" s="577">
        <f t="shared" si="226"/>
        <v>155.39276999999998</v>
      </c>
      <c r="P140" s="575">
        <f t="shared" si="226"/>
        <v>140.33712000000003</v>
      </c>
      <c r="Q140" s="576">
        <f t="shared" si="226"/>
        <v>110.88225000000001</v>
      </c>
      <c r="R140" s="576">
        <f t="shared" si="226"/>
        <v>78.122950000000003</v>
      </c>
      <c r="S140" s="577">
        <f t="shared" si="226"/>
        <v>98.617750000000044</v>
      </c>
      <c r="T140" s="575">
        <f t="shared" si="226"/>
        <v>112.3115</v>
      </c>
      <c r="U140" s="576">
        <f t="shared" si="226"/>
        <v>118.37875</v>
      </c>
      <c r="V140" s="576">
        <f t="shared" si="226"/>
        <v>122.13119999999999</v>
      </c>
      <c r="W140" s="577">
        <f t="shared" si="226"/>
        <v>124.51164</v>
      </c>
      <c r="X140" s="575">
        <f t="shared" si="226"/>
        <v>125.2278</v>
      </c>
      <c r="Y140" s="576">
        <f t="shared" si="226"/>
        <v>116.45784</v>
      </c>
      <c r="Z140" s="576">
        <f t="shared" si="226"/>
        <v>115.28725</v>
      </c>
      <c r="AA140" s="577">
        <f t="shared" si="226"/>
        <v>106.50346999999995</v>
      </c>
      <c r="AB140" s="575">
        <f t="shared" si="226"/>
        <v>101.76031999999999</v>
      </c>
      <c r="AC140" s="576">
        <f t="shared" si="226"/>
        <v>94.617440000000002</v>
      </c>
      <c r="AD140" s="576">
        <f t="shared" si="226"/>
        <v>85.681799999999996</v>
      </c>
      <c r="AE140" s="576">
        <f t="shared" si="226"/>
        <v>90.743399999999994</v>
      </c>
      <c r="AF140" s="575">
        <f t="shared" si="226"/>
        <v>87.230500000000021</v>
      </c>
      <c r="AG140" s="576">
        <f t="shared" si="226"/>
        <v>84.742840000000015</v>
      </c>
      <c r="AH140" s="576">
        <f t="shared" si="226"/>
        <v>72.586079999999995</v>
      </c>
      <c r="AI140" s="576">
        <f t="shared" si="226"/>
        <v>72.983279999999993</v>
      </c>
      <c r="AJ140" s="575">
        <f t="shared" si="226"/>
        <v>70.228920000000002</v>
      </c>
      <c r="AK140" s="576">
        <f t="shared" si="226"/>
        <v>105.44658000000001</v>
      </c>
      <c r="AL140" s="576">
        <f t="shared" si="226"/>
        <v>84.79534000000001</v>
      </c>
      <c r="AM140" s="576">
        <f>AM227*AM$110</f>
        <v>89.94538</v>
      </c>
      <c r="AN140" s="431"/>
      <c r="AO140" s="429"/>
      <c r="AP140" s="429"/>
      <c r="AQ140" s="430"/>
      <c r="AR140" s="431"/>
      <c r="AS140" s="429"/>
      <c r="AT140" s="429"/>
      <c r="AU140" s="430"/>
      <c r="AV140" s="431"/>
      <c r="AW140" s="429"/>
      <c r="AX140" s="429"/>
      <c r="AY140" s="430"/>
      <c r="AZ140" s="431"/>
      <c r="BA140" s="429"/>
      <c r="BB140" s="429"/>
      <c r="BC140" s="430"/>
      <c r="BD140" s="431"/>
      <c r="BE140" s="429"/>
      <c r="BF140" s="429"/>
      <c r="BG140" s="430"/>
      <c r="BH140" s="431"/>
      <c r="BI140" s="429"/>
      <c r="BJ140" s="429"/>
      <c r="BK140" s="430"/>
      <c r="BL140" s="424"/>
      <c r="BM140" s="549"/>
      <c r="BN140" s="608"/>
      <c r="BO140" s="411">
        <f>SUM(L140:O140)</f>
        <v>464.14941999999996</v>
      </c>
      <c r="BP140" s="411">
        <f>SUM(P140:S140)</f>
        <v>427.96007000000009</v>
      </c>
      <c r="BQ140" s="411">
        <f>SUM(T140:W140)</f>
        <v>477.33308999999997</v>
      </c>
      <c r="BR140" s="411">
        <f>SUM(X140:AA140)</f>
        <v>463.47635999999994</v>
      </c>
      <c r="BS140" s="411">
        <f>SUM(AB140:AE140)</f>
        <v>372.80295999999998</v>
      </c>
      <c r="BT140" s="411">
        <f>SUM(AF140:AI140)</f>
        <v>317.54270000000002</v>
      </c>
      <c r="BU140" s="411"/>
      <c r="BV140" s="411"/>
      <c r="BW140" s="411"/>
      <c r="BX140" s="411"/>
      <c r="BY140" s="411"/>
      <c r="BZ140" s="411"/>
      <c r="CA140" s="372"/>
      <c r="CB140" s="448"/>
      <c r="CC140" s="448"/>
      <c r="CD140" s="448"/>
      <c r="CE140" s="448"/>
      <c r="CF140" s="371"/>
      <c r="CG140" s="371"/>
      <c r="CH140" s="371"/>
      <c r="CI140" s="371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</row>
    <row r="141" spans="1:256" s="121" customFormat="1" ht="14.25" hidden="1" customHeight="1" outlineLevel="2">
      <c r="B141" s="434" t="s">
        <v>576</v>
      </c>
      <c r="C141" s="435"/>
      <c r="D141" s="553"/>
      <c r="E141" s="554"/>
      <c r="F141" s="554"/>
      <c r="G141" s="555"/>
      <c r="H141" s="553"/>
      <c r="I141" s="554"/>
      <c r="J141" s="554"/>
      <c r="K141" s="555"/>
      <c r="L141" s="553"/>
      <c r="M141" s="437">
        <f t="shared" ref="M141:AJ141" si="227">SUM(M137:M140)</f>
        <v>540.02499999999998</v>
      </c>
      <c r="N141" s="437">
        <f t="shared" si="227"/>
        <v>487.41000000000008</v>
      </c>
      <c r="O141" s="438">
        <f t="shared" si="227"/>
        <v>501.267</v>
      </c>
      <c r="P141" s="436">
        <f t="shared" si="227"/>
        <v>501.20400000000006</v>
      </c>
      <c r="Q141" s="437">
        <f t="shared" si="227"/>
        <v>410.67500000000001</v>
      </c>
      <c r="R141" s="437">
        <f t="shared" si="227"/>
        <v>339.66500000000002</v>
      </c>
      <c r="S141" s="438">
        <f t="shared" si="227"/>
        <v>394.47100000000017</v>
      </c>
      <c r="T141" s="436">
        <f t="shared" si="227"/>
        <v>449.24599999999998</v>
      </c>
      <c r="U141" s="437">
        <f t="shared" si="227"/>
        <v>473.51499999999999</v>
      </c>
      <c r="V141" s="437">
        <f t="shared" si="227"/>
        <v>508.88</v>
      </c>
      <c r="W141" s="438">
        <f t="shared" si="227"/>
        <v>565.96199999999999</v>
      </c>
      <c r="X141" s="436">
        <f t="shared" si="227"/>
        <v>626.13900000000001</v>
      </c>
      <c r="Y141" s="437">
        <f t="shared" si="227"/>
        <v>612.93600000000004</v>
      </c>
      <c r="Z141" s="437">
        <f t="shared" si="227"/>
        <v>606.77499999999998</v>
      </c>
      <c r="AA141" s="438">
        <f t="shared" si="227"/>
        <v>626.49099999999976</v>
      </c>
      <c r="AB141" s="436">
        <f t="shared" si="227"/>
        <v>636.00199999999984</v>
      </c>
      <c r="AC141" s="437">
        <f t="shared" si="227"/>
        <v>591.35900000000004</v>
      </c>
      <c r="AD141" s="437">
        <f t="shared" si="227"/>
        <v>571.21199999999999</v>
      </c>
      <c r="AE141" s="437">
        <f t="shared" si="227"/>
        <v>604.95600000000002</v>
      </c>
      <c r="AF141" s="436">
        <f t="shared" si="227"/>
        <v>623.07500000000005</v>
      </c>
      <c r="AG141" s="437">
        <f t="shared" si="227"/>
        <v>605.30600000000004</v>
      </c>
      <c r="AH141" s="437">
        <f t="shared" si="227"/>
        <v>604.88400000000001</v>
      </c>
      <c r="AI141" s="437">
        <f t="shared" si="227"/>
        <v>608.19399999999996</v>
      </c>
      <c r="AJ141" s="436">
        <f t="shared" si="227"/>
        <v>585.24099999999999</v>
      </c>
      <c r="AK141" s="437">
        <f>SUM(AK137:AK140)</f>
        <v>620.274</v>
      </c>
      <c r="AL141" s="437">
        <f>SUM(AL137:AL140)</f>
        <v>605.68100000000004</v>
      </c>
      <c r="AM141" s="437">
        <f>SUM(AM137:AM140)</f>
        <v>642.46699999999998</v>
      </c>
      <c r="AN141" s="441"/>
      <c r="AO141" s="439"/>
      <c r="AP141" s="439"/>
      <c r="AQ141" s="440"/>
      <c r="AR141" s="441"/>
      <c r="AS141" s="439"/>
      <c r="AT141" s="439"/>
      <c r="AU141" s="440"/>
      <c r="AV141" s="441"/>
      <c r="AW141" s="439"/>
      <c r="AX141" s="439"/>
      <c r="AY141" s="440"/>
      <c r="AZ141" s="441"/>
      <c r="BA141" s="439"/>
      <c r="BB141" s="439"/>
      <c r="BC141" s="440"/>
      <c r="BD141" s="441"/>
      <c r="BE141" s="439"/>
      <c r="BF141" s="439"/>
      <c r="BG141" s="440"/>
      <c r="BH141" s="441"/>
      <c r="BI141" s="439"/>
      <c r="BJ141" s="439"/>
      <c r="BK141" s="440"/>
      <c r="BL141" s="442"/>
      <c r="BM141" s="578"/>
      <c r="BN141" s="609"/>
      <c r="BO141" s="444">
        <f t="shared" ref="BO141:BT141" si="228">SUM(BO137:BO140)</f>
        <v>1528.702</v>
      </c>
      <c r="BP141" s="444">
        <f t="shared" si="228"/>
        <v>1646.0150000000003</v>
      </c>
      <c r="BQ141" s="444">
        <f t="shared" si="228"/>
        <v>1997.6030000000001</v>
      </c>
      <c r="BR141" s="444">
        <f t="shared" si="228"/>
        <v>2472.3409999999999</v>
      </c>
      <c r="BS141" s="444">
        <f t="shared" si="228"/>
        <v>2403.529</v>
      </c>
      <c r="BT141" s="444">
        <f t="shared" si="228"/>
        <v>2441.4589999999998</v>
      </c>
      <c r="BU141" s="444"/>
      <c r="BV141" s="444"/>
      <c r="BW141" s="444"/>
      <c r="BX141" s="444"/>
      <c r="BY141" s="444"/>
      <c r="BZ141" s="444"/>
      <c r="CA141" s="435"/>
      <c r="CB141" s="835"/>
      <c r="CC141" s="835"/>
      <c r="CD141" s="835"/>
      <c r="CE141" s="835"/>
      <c r="CF141" s="804"/>
      <c r="CG141" s="804"/>
      <c r="CH141" s="804"/>
      <c r="CI141" s="804"/>
    </row>
    <row r="142" spans="1:256" s="121" customFormat="1" ht="14.25" hidden="1" customHeight="1" outlineLevel="2">
      <c r="B142" s="961"/>
      <c r="C142" s="804"/>
      <c r="D142" s="962"/>
      <c r="E142" s="962"/>
      <c r="F142" s="962"/>
      <c r="G142" s="962"/>
      <c r="H142" s="962"/>
      <c r="I142" s="962"/>
      <c r="J142" s="962"/>
      <c r="K142" s="962"/>
      <c r="L142" s="962"/>
      <c r="M142" s="963"/>
      <c r="N142" s="963"/>
      <c r="O142" s="963"/>
      <c r="P142" s="963"/>
      <c r="Q142" s="963"/>
      <c r="R142" s="963"/>
      <c r="S142" s="963"/>
      <c r="T142" s="963"/>
      <c r="U142" s="963"/>
      <c r="V142" s="963"/>
      <c r="W142" s="963"/>
      <c r="X142" s="963"/>
      <c r="Y142" s="963"/>
      <c r="Z142" s="963"/>
      <c r="AA142" s="963"/>
      <c r="AB142" s="963"/>
      <c r="AC142" s="963"/>
      <c r="AD142" s="963"/>
      <c r="AE142" s="963"/>
      <c r="AF142" s="963"/>
      <c r="AG142" s="963"/>
      <c r="AH142" s="963"/>
      <c r="AI142" s="964"/>
      <c r="AJ142" s="964"/>
      <c r="AK142" s="964"/>
      <c r="AL142" s="964"/>
      <c r="AM142" s="964"/>
      <c r="AN142" s="964"/>
      <c r="AO142" s="964"/>
      <c r="AP142" s="964"/>
      <c r="AQ142" s="964"/>
      <c r="AR142" s="964"/>
      <c r="AS142" s="964"/>
      <c r="AT142" s="964"/>
      <c r="AU142" s="964"/>
      <c r="AV142" s="964"/>
      <c r="AW142" s="964"/>
      <c r="AX142" s="964"/>
      <c r="AY142" s="964"/>
      <c r="AZ142" s="964"/>
      <c r="BA142" s="964"/>
      <c r="BB142" s="964"/>
      <c r="BC142" s="964"/>
      <c r="BD142" s="964"/>
      <c r="BE142" s="964"/>
      <c r="BF142" s="964"/>
      <c r="BG142" s="964"/>
      <c r="BH142" s="964"/>
      <c r="BI142" s="964"/>
      <c r="BJ142" s="964"/>
      <c r="BK142" s="964"/>
      <c r="BL142" s="804"/>
      <c r="BM142" s="965"/>
      <c r="BN142" s="965"/>
      <c r="BO142" s="803"/>
      <c r="BP142" s="803"/>
      <c r="BQ142" s="803"/>
      <c r="BR142" s="803"/>
      <c r="BS142" s="803"/>
      <c r="BT142" s="803"/>
      <c r="BU142" s="803"/>
      <c r="BV142" s="803"/>
      <c r="BW142" s="803"/>
      <c r="BX142" s="803"/>
      <c r="BY142" s="803"/>
      <c r="BZ142" s="803"/>
      <c r="CA142" s="804"/>
      <c r="CB142" s="835"/>
      <c r="CC142" s="835"/>
      <c r="CD142" s="835"/>
      <c r="CE142" s="835"/>
      <c r="CF142" s="804"/>
      <c r="CG142" s="804"/>
      <c r="CH142" s="804"/>
      <c r="CI142" s="804"/>
    </row>
    <row r="143" spans="1:256" ht="14.25" hidden="1" customHeight="1" outlineLevel="3">
      <c r="A143" s="1"/>
      <c r="B143" s="162" t="s">
        <v>67</v>
      </c>
      <c r="C143" s="163"/>
      <c r="D143" s="766" t="str">
        <f t="shared" ref="D143:AI143" si="229">D9</f>
        <v>F1Q06A</v>
      </c>
      <c r="E143" s="767" t="str">
        <f t="shared" si="229"/>
        <v>F2Q06A</v>
      </c>
      <c r="F143" s="767" t="str">
        <f t="shared" si="229"/>
        <v>F3Q06A</v>
      </c>
      <c r="G143" s="767" t="str">
        <f t="shared" si="229"/>
        <v>F4Q06A</v>
      </c>
      <c r="H143" s="766" t="str">
        <f t="shared" si="229"/>
        <v>F1Q07A</v>
      </c>
      <c r="I143" s="767" t="str">
        <f t="shared" si="229"/>
        <v>F2Q07A</v>
      </c>
      <c r="J143" s="767" t="str">
        <f t="shared" si="229"/>
        <v>F3Q07A</v>
      </c>
      <c r="K143" s="767" t="str">
        <f t="shared" si="229"/>
        <v>F4Q07A</v>
      </c>
      <c r="L143" s="766" t="str">
        <f t="shared" si="229"/>
        <v>F1Q08A</v>
      </c>
      <c r="M143" s="767" t="str">
        <f t="shared" si="229"/>
        <v>F2Q08A</v>
      </c>
      <c r="N143" s="767" t="str">
        <f t="shared" si="229"/>
        <v>F3Q08A</v>
      </c>
      <c r="O143" s="767" t="str">
        <f t="shared" si="229"/>
        <v>F4Q08A</v>
      </c>
      <c r="P143" s="766" t="str">
        <f t="shared" si="229"/>
        <v>F1Q09A</v>
      </c>
      <c r="Q143" s="767" t="str">
        <f t="shared" si="229"/>
        <v>F2Q09A</v>
      </c>
      <c r="R143" s="767" t="str">
        <f t="shared" si="229"/>
        <v>F3Q09A</v>
      </c>
      <c r="S143" s="767" t="str">
        <f t="shared" si="229"/>
        <v>F4Q09A</v>
      </c>
      <c r="T143" s="766" t="str">
        <f t="shared" si="229"/>
        <v>F1Q10A</v>
      </c>
      <c r="U143" s="767" t="str">
        <f t="shared" si="229"/>
        <v>F2Q10A</v>
      </c>
      <c r="V143" s="767" t="str">
        <f t="shared" si="229"/>
        <v>F3Q10A</v>
      </c>
      <c r="W143" s="767" t="str">
        <f t="shared" si="229"/>
        <v>F4Q10A</v>
      </c>
      <c r="X143" s="766" t="str">
        <f t="shared" si="229"/>
        <v>F1Q11A</v>
      </c>
      <c r="Y143" s="767" t="str">
        <f t="shared" si="229"/>
        <v>F2Q11A</v>
      </c>
      <c r="Z143" s="767" t="str">
        <f t="shared" si="229"/>
        <v>F3Q11A</v>
      </c>
      <c r="AA143" s="767" t="str">
        <f t="shared" si="229"/>
        <v>F4Q11A</v>
      </c>
      <c r="AB143" s="766" t="str">
        <f t="shared" si="229"/>
        <v>F1Q12A</v>
      </c>
      <c r="AC143" s="767" t="str">
        <f t="shared" si="229"/>
        <v>F2Q12A</v>
      </c>
      <c r="AD143" s="767" t="str">
        <f t="shared" si="229"/>
        <v>F3Q12A</v>
      </c>
      <c r="AE143" s="767" t="str">
        <f t="shared" si="229"/>
        <v>F4Q12A</v>
      </c>
      <c r="AF143" s="766" t="str">
        <f t="shared" si="229"/>
        <v>F1Q13A</v>
      </c>
      <c r="AG143" s="767" t="str">
        <f t="shared" si="229"/>
        <v>F2Q13A</v>
      </c>
      <c r="AH143" s="767" t="str">
        <f t="shared" si="229"/>
        <v>F3Q13A</v>
      </c>
      <c r="AI143" s="767" t="str">
        <f t="shared" si="229"/>
        <v>F4Q13A</v>
      </c>
      <c r="AJ143" s="766" t="str">
        <f t="shared" ref="AJ143:BG143" si="230">AJ9</f>
        <v>F1Q14A</v>
      </c>
      <c r="AK143" s="767" t="str">
        <f t="shared" si="230"/>
        <v>F2Q14</v>
      </c>
      <c r="AL143" s="767" t="str">
        <f t="shared" si="230"/>
        <v>F3Q14A</v>
      </c>
      <c r="AM143" s="767" t="str">
        <f t="shared" si="230"/>
        <v>F4Q14A</v>
      </c>
      <c r="AN143" s="766" t="str">
        <f t="shared" si="230"/>
        <v>F1Q15A</v>
      </c>
      <c r="AO143" s="767" t="str">
        <f t="shared" si="230"/>
        <v>F2Q15A</v>
      </c>
      <c r="AP143" s="767" t="str">
        <f t="shared" si="230"/>
        <v>F3Q15A</v>
      </c>
      <c r="AQ143" s="768" t="str">
        <f t="shared" si="230"/>
        <v>F4Q15A</v>
      </c>
      <c r="AR143" s="766" t="str">
        <f t="shared" si="230"/>
        <v>F1Q16A</v>
      </c>
      <c r="AS143" s="767" t="str">
        <f t="shared" si="230"/>
        <v>F2Q16A</v>
      </c>
      <c r="AT143" s="767" t="str">
        <f t="shared" si="230"/>
        <v>F3Q16A</v>
      </c>
      <c r="AU143" s="768" t="str">
        <f t="shared" si="230"/>
        <v>F4Q16A</v>
      </c>
      <c r="AV143" s="766" t="str">
        <f t="shared" si="230"/>
        <v>F1Q17A</v>
      </c>
      <c r="AW143" s="767" t="str">
        <f t="shared" si="230"/>
        <v>F2Q17A</v>
      </c>
      <c r="AX143" s="767" t="str">
        <f t="shared" si="230"/>
        <v>F3Q17A</v>
      </c>
      <c r="AY143" s="768" t="str">
        <f t="shared" si="230"/>
        <v>F4Q17A</v>
      </c>
      <c r="AZ143" s="766" t="str">
        <f t="shared" si="230"/>
        <v>F1Q18A</v>
      </c>
      <c r="BA143" s="767" t="str">
        <f t="shared" si="230"/>
        <v>F2Q18A</v>
      </c>
      <c r="BB143" s="767" t="str">
        <f t="shared" si="230"/>
        <v>F3Q18A</v>
      </c>
      <c r="BC143" s="768" t="str">
        <f t="shared" si="230"/>
        <v>F4Q18E</v>
      </c>
      <c r="BD143" s="766" t="str">
        <f t="shared" si="230"/>
        <v>F1Q19E</v>
      </c>
      <c r="BE143" s="767" t="str">
        <f t="shared" si="230"/>
        <v>F2Q19E</v>
      </c>
      <c r="BF143" s="767" t="str">
        <f t="shared" si="230"/>
        <v>F3Q19E</v>
      </c>
      <c r="BG143" s="768" t="str">
        <f t="shared" si="230"/>
        <v>F4Q19E</v>
      </c>
      <c r="BH143" s="766" t="str">
        <f>BH9</f>
        <v>F1Q20E</v>
      </c>
      <c r="BI143" s="767" t="str">
        <f>BI9</f>
        <v>F2Q20E</v>
      </c>
      <c r="BJ143" s="767" t="str">
        <f>BJ9</f>
        <v>F3Q20E</v>
      </c>
      <c r="BK143" s="768" t="str">
        <f>BK9</f>
        <v>F4Q20E</v>
      </c>
      <c r="BL143" s="539"/>
      <c r="BM143" s="766" t="str">
        <f t="shared" ref="BM143:CA143" si="231">BM9</f>
        <v>FY2006A</v>
      </c>
      <c r="BN143" s="767" t="str">
        <f t="shared" si="231"/>
        <v>FY2007A</v>
      </c>
      <c r="BO143" s="767" t="str">
        <f t="shared" si="231"/>
        <v>FY2008A</v>
      </c>
      <c r="BP143" s="767" t="str">
        <f t="shared" si="231"/>
        <v>FY2009A</v>
      </c>
      <c r="BQ143" s="767" t="str">
        <f t="shared" si="231"/>
        <v>FY2010A</v>
      </c>
      <c r="BR143" s="767" t="str">
        <f t="shared" si="231"/>
        <v>FY2011A</v>
      </c>
      <c r="BS143" s="767" t="str">
        <f t="shared" si="231"/>
        <v>FY2012A</v>
      </c>
      <c r="BT143" s="767" t="str">
        <f t="shared" si="231"/>
        <v>FY2013A</v>
      </c>
      <c r="BU143" s="768" t="str">
        <f t="shared" si="231"/>
        <v>FY2014A</v>
      </c>
      <c r="BV143" s="1036" t="str">
        <f t="shared" si="231"/>
        <v>FY2015A</v>
      </c>
      <c r="BW143" s="1036" t="str">
        <f t="shared" si="231"/>
        <v>FY2016A</v>
      </c>
      <c r="BX143" s="1240" t="str">
        <f t="shared" si="231"/>
        <v>FY2017A</v>
      </c>
      <c r="BY143" s="1240" t="str">
        <f t="shared" si="231"/>
        <v>FY2018E</v>
      </c>
      <c r="BZ143" s="1240" t="str">
        <f t="shared" si="231"/>
        <v>FY2019E</v>
      </c>
      <c r="CA143" s="351" t="str">
        <f t="shared" si="231"/>
        <v>FY2020E</v>
      </c>
      <c r="CB143" s="1037"/>
      <c r="CC143" s="1037"/>
      <c r="CD143" s="1037"/>
      <c r="CE143" s="1037"/>
      <c r="CF143" s="371"/>
      <c r="CG143" s="371"/>
      <c r="CH143" s="371"/>
      <c r="CI143" s="371"/>
      <c r="CP143" s="1209"/>
      <c r="CQ143" s="1209"/>
      <c r="CR143" s="1209"/>
    </row>
    <row r="144" spans="1:256" s="121" customFormat="1" ht="14.25" hidden="1" customHeight="1" outlineLevel="4">
      <c r="A144"/>
      <c r="B144" s="621" t="s">
        <v>85</v>
      </c>
      <c r="C144" s="418"/>
      <c r="D144" s="622">
        <v>424.09500000000003</v>
      </c>
      <c r="E144" s="623">
        <v>445.52</v>
      </c>
      <c r="F144" s="623">
        <v>478.17</v>
      </c>
      <c r="G144" s="624">
        <v>509.16</v>
      </c>
      <c r="H144" s="622">
        <v>502.745</v>
      </c>
      <c r="I144" s="623">
        <v>497.45299999999997</v>
      </c>
      <c r="J144" s="623">
        <v>476.55599999999998</v>
      </c>
      <c r="K144" s="624">
        <v>532.37</v>
      </c>
      <c r="L144" s="622">
        <v>524.08100000000002</v>
      </c>
      <c r="M144" s="623">
        <v>540.02499999999998</v>
      </c>
      <c r="N144" s="623">
        <v>487.41</v>
      </c>
      <c r="O144" s="624">
        <v>501.26699999999994</v>
      </c>
      <c r="P144" s="622">
        <v>501.20400000000001</v>
      </c>
      <c r="Q144" s="623">
        <v>410.67500000000001</v>
      </c>
      <c r="R144" s="623">
        <v>339.66500000000002</v>
      </c>
      <c r="S144" s="624">
        <v>394.47100000000017</v>
      </c>
      <c r="T144" s="622">
        <v>449.24599999999998</v>
      </c>
      <c r="U144" s="623">
        <v>473.51499999999999</v>
      </c>
      <c r="V144" s="623">
        <v>508.88</v>
      </c>
      <c r="W144" s="624">
        <v>565.96199999999999</v>
      </c>
      <c r="X144" s="622">
        <v>626.13900000000001</v>
      </c>
      <c r="Y144" s="623">
        <v>612.93600000000004</v>
      </c>
      <c r="Z144" s="623">
        <v>606.77499999999998</v>
      </c>
      <c r="AA144" s="624">
        <v>626.49099999999964</v>
      </c>
      <c r="AB144" s="622">
        <v>636.00199999999995</v>
      </c>
      <c r="AC144" s="623">
        <v>591.35900000000004</v>
      </c>
      <c r="AD144" s="420">
        <v>571.21199999999999</v>
      </c>
      <c r="AE144" s="624">
        <v>604.95600000000002</v>
      </c>
      <c r="AF144" s="622">
        <v>623.07500000000005</v>
      </c>
      <c r="AG144" s="421"/>
      <c r="AH144" s="421"/>
      <c r="AI144" s="422"/>
      <c r="AJ144" s="423"/>
      <c r="AK144" s="421"/>
      <c r="AL144" s="421"/>
      <c r="AM144" s="422"/>
      <c r="AN144" s="423"/>
      <c r="AO144" s="421"/>
      <c r="AP144" s="421"/>
      <c r="AQ144" s="422"/>
      <c r="AR144" s="423"/>
      <c r="AS144" s="421"/>
      <c r="AT144" s="421"/>
      <c r="AU144" s="422"/>
      <c r="AV144" s="423"/>
      <c r="AW144" s="421"/>
      <c r="AX144" s="421"/>
      <c r="AY144" s="422"/>
      <c r="AZ144" s="423"/>
      <c r="BA144" s="421"/>
      <c r="BB144" s="421"/>
      <c r="BC144" s="422"/>
      <c r="BD144" s="423"/>
      <c r="BE144" s="421"/>
      <c r="BF144" s="421"/>
      <c r="BG144" s="422"/>
      <c r="BH144" s="423"/>
      <c r="BI144" s="421"/>
      <c r="BJ144" s="421"/>
      <c r="BK144" s="422"/>
      <c r="BL144" s="424"/>
      <c r="BM144" s="544"/>
      <c r="BN144" s="425">
        <f>SUM(H144:K144)</f>
        <v>2009.1239999999998</v>
      </c>
      <c r="BO144" s="425">
        <f>SUM(L144:O144)</f>
        <v>2052.7829999999999</v>
      </c>
      <c r="BP144" s="425">
        <f>SUM(P144:S144)</f>
        <v>1646.0150000000003</v>
      </c>
      <c r="BQ144" s="425">
        <f>SUM(T144:W144)</f>
        <v>1997.6030000000001</v>
      </c>
      <c r="BR144" s="425">
        <f>SUM(X144:AA144)</f>
        <v>2472.3409999999994</v>
      </c>
      <c r="BS144" s="411"/>
      <c r="BT144" s="411"/>
      <c r="BU144" s="425"/>
      <c r="BV144" s="425"/>
      <c r="BW144" s="425"/>
      <c r="BX144" s="425"/>
      <c r="BY144" s="425"/>
      <c r="BZ144" s="425"/>
      <c r="CA144" s="418"/>
      <c r="CB144" s="448"/>
      <c r="CC144" s="448"/>
      <c r="CD144" s="448"/>
      <c r="CE144" s="448"/>
      <c r="CF144" s="371"/>
      <c r="CG144" s="371"/>
      <c r="CH144" s="371"/>
      <c r="CI144" s="371"/>
      <c r="CJ144"/>
      <c r="CK144"/>
      <c r="CL144"/>
      <c r="CM144"/>
      <c r="CN144"/>
      <c r="CO144"/>
      <c r="CP144" s="1209"/>
      <c r="CQ144" s="1209"/>
      <c r="CR144" s="1209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</row>
    <row r="145" spans="1:256" ht="14.25" hidden="1" customHeight="1" outlineLevel="3">
      <c r="A145" s="121"/>
      <c r="B145" s="434" t="s">
        <v>576</v>
      </c>
      <c r="C145" s="435"/>
      <c r="D145" s="436">
        <f>SUM(D144)</f>
        <v>424.09500000000003</v>
      </c>
      <c r="E145" s="437">
        <f>SUM(E144)</f>
        <v>445.52</v>
      </c>
      <c r="F145" s="437">
        <f>SUM(F144)</f>
        <v>478.17</v>
      </c>
      <c r="G145" s="438">
        <f>SUM(G144)</f>
        <v>509.16</v>
      </c>
      <c r="H145" s="436">
        <f>SUM(H144)</f>
        <v>502.745</v>
      </c>
      <c r="I145" s="437">
        <f t="shared" ref="I145:AD145" si="232">SUM(I144)</f>
        <v>497.45299999999997</v>
      </c>
      <c r="J145" s="437">
        <f t="shared" si="232"/>
        <v>476.55599999999998</v>
      </c>
      <c r="K145" s="438">
        <f t="shared" si="232"/>
        <v>532.37</v>
      </c>
      <c r="L145" s="436">
        <f t="shared" si="232"/>
        <v>524.08100000000002</v>
      </c>
      <c r="M145" s="437">
        <f t="shared" si="232"/>
        <v>540.02499999999998</v>
      </c>
      <c r="N145" s="437">
        <f t="shared" si="232"/>
        <v>487.41</v>
      </c>
      <c r="O145" s="438">
        <f t="shared" si="232"/>
        <v>501.26699999999994</v>
      </c>
      <c r="P145" s="436">
        <f t="shared" si="232"/>
        <v>501.20400000000001</v>
      </c>
      <c r="Q145" s="437">
        <f t="shared" si="232"/>
        <v>410.67500000000001</v>
      </c>
      <c r="R145" s="437">
        <f t="shared" si="232"/>
        <v>339.66500000000002</v>
      </c>
      <c r="S145" s="438">
        <f t="shared" si="232"/>
        <v>394.47100000000017</v>
      </c>
      <c r="T145" s="436">
        <f t="shared" si="232"/>
        <v>449.24599999999998</v>
      </c>
      <c r="U145" s="437">
        <f t="shared" si="232"/>
        <v>473.51499999999999</v>
      </c>
      <c r="V145" s="437">
        <f t="shared" si="232"/>
        <v>508.88</v>
      </c>
      <c r="W145" s="438">
        <f t="shared" si="232"/>
        <v>565.96199999999999</v>
      </c>
      <c r="X145" s="436">
        <f t="shared" si="232"/>
        <v>626.13900000000001</v>
      </c>
      <c r="Y145" s="437">
        <f t="shared" si="232"/>
        <v>612.93600000000004</v>
      </c>
      <c r="Z145" s="437">
        <f t="shared" si="232"/>
        <v>606.77499999999998</v>
      </c>
      <c r="AA145" s="438">
        <f t="shared" si="232"/>
        <v>626.49099999999964</v>
      </c>
      <c r="AB145" s="436">
        <f t="shared" si="232"/>
        <v>636.00199999999995</v>
      </c>
      <c r="AC145" s="437">
        <f t="shared" si="232"/>
        <v>591.35900000000004</v>
      </c>
      <c r="AD145" s="437">
        <f t="shared" si="232"/>
        <v>571.21199999999999</v>
      </c>
      <c r="AE145" s="438">
        <f>SUM(AE144)</f>
        <v>604.95600000000002</v>
      </c>
      <c r="AF145" s="436">
        <f>SUM(AF144)</f>
        <v>623.07500000000005</v>
      </c>
      <c r="AG145" s="439"/>
      <c r="AH145" s="439"/>
      <c r="AI145" s="440"/>
      <c r="AJ145" s="441"/>
      <c r="AK145" s="439"/>
      <c r="AL145" s="439"/>
      <c r="AM145" s="440"/>
      <c r="AN145" s="441"/>
      <c r="AO145" s="439"/>
      <c r="AP145" s="439"/>
      <c r="AQ145" s="440"/>
      <c r="AR145" s="441"/>
      <c r="AS145" s="439"/>
      <c r="AT145" s="439"/>
      <c r="AU145" s="440"/>
      <c r="AV145" s="441"/>
      <c r="AW145" s="439"/>
      <c r="AX145" s="439"/>
      <c r="AY145" s="440"/>
      <c r="AZ145" s="441"/>
      <c r="BA145" s="439"/>
      <c r="BB145" s="439"/>
      <c r="BC145" s="440"/>
      <c r="BD145" s="441"/>
      <c r="BE145" s="439"/>
      <c r="BF145" s="439"/>
      <c r="BG145" s="440"/>
      <c r="BH145" s="441"/>
      <c r="BI145" s="439"/>
      <c r="BJ145" s="439"/>
      <c r="BK145" s="440"/>
      <c r="BL145" s="442"/>
      <c r="BM145" s="556"/>
      <c r="BN145" s="444">
        <f>SUM(BN144)</f>
        <v>2009.1239999999998</v>
      </c>
      <c r="BO145" s="444">
        <f>SUM(BO144)</f>
        <v>2052.7829999999999</v>
      </c>
      <c r="BP145" s="444">
        <f>SUM(BP144)</f>
        <v>1646.0150000000003</v>
      </c>
      <c r="BQ145" s="444">
        <f>SUM(BQ144)</f>
        <v>1997.6030000000001</v>
      </c>
      <c r="BR145" s="444">
        <f>SUM(BR144)</f>
        <v>2472.3409999999994</v>
      </c>
      <c r="BS145" s="444"/>
      <c r="BT145" s="444"/>
      <c r="BU145" s="444"/>
      <c r="BV145" s="444"/>
      <c r="BW145" s="444"/>
      <c r="BX145" s="444"/>
      <c r="BY145" s="444"/>
      <c r="BZ145" s="444"/>
      <c r="CA145" s="435"/>
      <c r="CB145" s="835"/>
      <c r="CC145" s="835"/>
      <c r="CD145" s="835"/>
      <c r="CE145" s="835"/>
      <c r="CF145" s="804"/>
      <c r="CG145" s="804"/>
      <c r="CH145" s="804"/>
      <c r="CI145" s="804"/>
      <c r="CJ145" s="121"/>
      <c r="CK145" s="121"/>
      <c r="CL145" s="121"/>
      <c r="CM145" s="121"/>
      <c r="CN145" s="121"/>
      <c r="CO145" s="121"/>
      <c r="CP145" s="804"/>
      <c r="CQ145" s="804"/>
      <c r="CR145" s="804"/>
      <c r="CS145" s="121"/>
      <c r="CT145" s="121"/>
      <c r="CU145" s="121"/>
      <c r="CV145" s="121"/>
      <c r="CW145" s="121"/>
      <c r="CX145" s="121"/>
      <c r="CY145" s="121"/>
      <c r="CZ145" s="121"/>
      <c r="DA145" s="121"/>
      <c r="DB145" s="121"/>
      <c r="DC145" s="121"/>
      <c r="DD145" s="121"/>
      <c r="DE145" s="121"/>
      <c r="DF145" s="121"/>
      <c r="DG145" s="121"/>
      <c r="DH145" s="121"/>
      <c r="DI145" s="121"/>
      <c r="DJ145" s="121"/>
      <c r="DK145" s="121"/>
      <c r="DL145" s="121"/>
      <c r="DM145" s="121"/>
      <c r="DN145" s="121"/>
      <c r="DO145" s="121"/>
      <c r="DP145" s="121"/>
      <c r="DQ145" s="121"/>
      <c r="DR145" s="121"/>
      <c r="DS145" s="121"/>
      <c r="DT145" s="121"/>
      <c r="DU145" s="121"/>
      <c r="DV145" s="121"/>
      <c r="DW145" s="121"/>
      <c r="DX145" s="121"/>
      <c r="DY145" s="121"/>
      <c r="DZ145" s="121"/>
      <c r="EA145" s="121"/>
      <c r="EB145" s="121"/>
      <c r="EC145" s="121"/>
      <c r="ED145" s="121"/>
      <c r="EE145" s="121"/>
      <c r="EF145" s="121"/>
      <c r="EG145" s="121"/>
      <c r="EH145" s="121"/>
      <c r="EI145" s="121"/>
      <c r="EJ145" s="121"/>
      <c r="EK145" s="121"/>
      <c r="EL145" s="121"/>
      <c r="EM145" s="121"/>
      <c r="EN145" s="121"/>
      <c r="EO145" s="121"/>
      <c r="EP145" s="121"/>
      <c r="EQ145" s="121"/>
      <c r="ER145" s="121"/>
      <c r="ES145" s="121"/>
      <c r="ET145" s="121"/>
      <c r="EU145" s="121"/>
      <c r="EV145" s="121"/>
      <c r="EW145" s="121"/>
      <c r="EX145" s="121"/>
      <c r="EY145" s="121"/>
      <c r="EZ145" s="121"/>
      <c r="FA145" s="121"/>
      <c r="FB145" s="121"/>
      <c r="FC145" s="121"/>
      <c r="FD145" s="121"/>
      <c r="FE145" s="121"/>
      <c r="FF145" s="121"/>
      <c r="FG145" s="121"/>
      <c r="FH145" s="121"/>
      <c r="FI145" s="121"/>
      <c r="FJ145" s="121"/>
      <c r="FK145" s="121"/>
      <c r="FL145" s="121"/>
      <c r="FM145" s="121"/>
      <c r="FN145" s="121"/>
      <c r="FO145" s="121"/>
      <c r="FP145" s="121"/>
      <c r="FQ145" s="121"/>
      <c r="FR145" s="121"/>
      <c r="FS145" s="121"/>
      <c r="FT145" s="121"/>
      <c r="FU145" s="121"/>
      <c r="FV145" s="121"/>
      <c r="FW145" s="121"/>
      <c r="FX145" s="121"/>
      <c r="FY145" s="121"/>
      <c r="FZ145" s="121"/>
      <c r="GA145" s="121"/>
      <c r="GB145" s="121"/>
      <c r="GC145" s="121"/>
      <c r="GD145" s="121"/>
      <c r="GE145" s="121"/>
      <c r="GF145" s="121"/>
      <c r="GG145" s="121"/>
      <c r="GH145" s="121"/>
      <c r="GI145" s="121"/>
      <c r="GJ145" s="121"/>
      <c r="GK145" s="121"/>
      <c r="GL145" s="121"/>
      <c r="GM145" s="121"/>
      <c r="GN145" s="121"/>
      <c r="GO145" s="121"/>
      <c r="GP145" s="121"/>
      <c r="GQ145" s="121"/>
      <c r="GR145" s="121"/>
      <c r="GS145" s="121"/>
      <c r="GT145" s="121"/>
      <c r="GU145" s="121"/>
      <c r="GV145" s="121"/>
      <c r="GW145" s="121"/>
      <c r="GX145" s="121"/>
      <c r="GY145" s="121"/>
      <c r="GZ145" s="121"/>
      <c r="HA145" s="121"/>
      <c r="HB145" s="121"/>
      <c r="HC145" s="121"/>
      <c r="HD145" s="121"/>
      <c r="HE145" s="121"/>
      <c r="HF145" s="121"/>
      <c r="HG145" s="121"/>
      <c r="HH145" s="121"/>
      <c r="HI145" s="121"/>
      <c r="HJ145" s="121"/>
      <c r="HK145" s="121"/>
      <c r="HL145" s="121"/>
      <c r="HM145" s="121"/>
      <c r="HN145" s="121"/>
      <c r="HO145" s="121"/>
      <c r="HP145" s="121"/>
      <c r="HQ145" s="121"/>
      <c r="HR145" s="121"/>
      <c r="HS145" s="121"/>
      <c r="HT145" s="121"/>
      <c r="HU145" s="121"/>
      <c r="HV145" s="121"/>
      <c r="HW145" s="121"/>
      <c r="HX145" s="121"/>
      <c r="HY145" s="121"/>
      <c r="HZ145" s="121"/>
      <c r="IA145" s="121"/>
      <c r="IB145" s="121"/>
      <c r="IC145" s="121"/>
      <c r="ID145" s="121"/>
      <c r="IE145" s="121"/>
      <c r="IF145" s="121"/>
      <c r="IG145" s="121"/>
      <c r="IH145" s="121"/>
      <c r="II145" s="121"/>
      <c r="IJ145" s="121"/>
      <c r="IK145" s="121"/>
      <c r="IL145" s="121"/>
      <c r="IM145" s="121"/>
      <c r="IN145" s="121"/>
      <c r="IO145" s="121"/>
      <c r="IP145" s="121"/>
      <c r="IQ145" s="121"/>
      <c r="IR145" s="121"/>
      <c r="IS145" s="121"/>
      <c r="IT145" s="121"/>
      <c r="IU145" s="121"/>
      <c r="IV145" s="121"/>
    </row>
    <row r="146" spans="1:256" ht="14.25" hidden="1" customHeight="1" outlineLevel="3">
      <c r="B146" s="74"/>
      <c r="AB146" s="8"/>
      <c r="AC146" s="8"/>
      <c r="AD146" s="8"/>
      <c r="AF146" s="8"/>
      <c r="BL146" s="371"/>
      <c r="BM146" s="371"/>
      <c r="BN146" s="371"/>
      <c r="BO146" s="371"/>
      <c r="BP146" s="371"/>
      <c r="BQ146" s="371"/>
      <c r="BR146" s="371"/>
      <c r="BS146" s="371"/>
      <c r="BT146" s="371"/>
      <c r="BU146" s="371"/>
      <c r="BV146" s="371"/>
      <c r="BW146" s="371"/>
      <c r="BX146" s="371"/>
      <c r="BY146" s="371"/>
      <c r="BZ146" s="371"/>
      <c r="CP146" s="1209"/>
      <c r="CQ146" s="1209"/>
      <c r="CR146" s="1209"/>
    </row>
    <row r="147" spans="1:256" ht="14.25" hidden="1" customHeight="1" outlineLevel="3">
      <c r="A147" s="1"/>
      <c r="B147" s="162" t="s">
        <v>68</v>
      </c>
      <c r="C147" s="163"/>
      <c r="D147" s="766" t="str">
        <f t="shared" ref="D147:AI147" si="233">D9</f>
        <v>F1Q06A</v>
      </c>
      <c r="E147" s="767" t="str">
        <f t="shared" si="233"/>
        <v>F2Q06A</v>
      </c>
      <c r="F147" s="767" t="str">
        <f t="shared" si="233"/>
        <v>F3Q06A</v>
      </c>
      <c r="G147" s="767" t="str">
        <f t="shared" si="233"/>
        <v>F4Q06A</v>
      </c>
      <c r="H147" s="766" t="str">
        <f t="shared" si="233"/>
        <v>F1Q07A</v>
      </c>
      <c r="I147" s="767" t="str">
        <f t="shared" si="233"/>
        <v>F2Q07A</v>
      </c>
      <c r="J147" s="767" t="str">
        <f t="shared" si="233"/>
        <v>F3Q07A</v>
      </c>
      <c r="K147" s="767" t="str">
        <f t="shared" si="233"/>
        <v>F4Q07A</v>
      </c>
      <c r="L147" s="766" t="str">
        <f t="shared" si="233"/>
        <v>F1Q08A</v>
      </c>
      <c r="M147" s="767" t="str">
        <f t="shared" si="233"/>
        <v>F2Q08A</v>
      </c>
      <c r="N147" s="767" t="str">
        <f t="shared" si="233"/>
        <v>F3Q08A</v>
      </c>
      <c r="O147" s="767" t="str">
        <f t="shared" si="233"/>
        <v>F4Q08A</v>
      </c>
      <c r="P147" s="766" t="str">
        <f t="shared" si="233"/>
        <v>F1Q09A</v>
      </c>
      <c r="Q147" s="767" t="str">
        <f t="shared" si="233"/>
        <v>F2Q09A</v>
      </c>
      <c r="R147" s="767" t="str">
        <f t="shared" si="233"/>
        <v>F3Q09A</v>
      </c>
      <c r="S147" s="767" t="str">
        <f t="shared" si="233"/>
        <v>F4Q09A</v>
      </c>
      <c r="T147" s="766" t="str">
        <f t="shared" si="233"/>
        <v>F1Q10A</v>
      </c>
      <c r="U147" s="767" t="str">
        <f t="shared" si="233"/>
        <v>F2Q10A</v>
      </c>
      <c r="V147" s="767" t="str">
        <f t="shared" si="233"/>
        <v>F3Q10A</v>
      </c>
      <c r="W147" s="767" t="str">
        <f t="shared" si="233"/>
        <v>F4Q10A</v>
      </c>
      <c r="X147" s="766" t="str">
        <f t="shared" si="233"/>
        <v>F1Q11A</v>
      </c>
      <c r="Y147" s="767" t="str">
        <f t="shared" si="233"/>
        <v>F2Q11A</v>
      </c>
      <c r="Z147" s="767" t="str">
        <f t="shared" si="233"/>
        <v>F3Q11A</v>
      </c>
      <c r="AA147" s="767" t="str">
        <f t="shared" si="233"/>
        <v>F4Q11A</v>
      </c>
      <c r="AB147" s="766" t="str">
        <f t="shared" si="233"/>
        <v>F1Q12A</v>
      </c>
      <c r="AC147" s="767" t="str">
        <f t="shared" si="233"/>
        <v>F2Q12A</v>
      </c>
      <c r="AD147" s="767" t="str">
        <f t="shared" si="233"/>
        <v>F3Q12A</v>
      </c>
      <c r="AE147" s="767" t="str">
        <f t="shared" si="233"/>
        <v>F4Q12A</v>
      </c>
      <c r="AF147" s="766" t="str">
        <f t="shared" si="233"/>
        <v>F1Q13A</v>
      </c>
      <c r="AG147" s="767" t="str">
        <f t="shared" si="233"/>
        <v>F2Q13A</v>
      </c>
      <c r="AH147" s="767" t="str">
        <f t="shared" si="233"/>
        <v>F3Q13A</v>
      </c>
      <c r="AI147" s="767" t="str">
        <f t="shared" si="233"/>
        <v>F4Q13A</v>
      </c>
      <c r="AJ147" s="766" t="str">
        <f t="shared" ref="AJ147:BG147" si="234">AJ9</f>
        <v>F1Q14A</v>
      </c>
      <c r="AK147" s="767" t="str">
        <f t="shared" si="234"/>
        <v>F2Q14</v>
      </c>
      <c r="AL147" s="767" t="str">
        <f t="shared" si="234"/>
        <v>F3Q14A</v>
      </c>
      <c r="AM147" s="767" t="str">
        <f t="shared" si="234"/>
        <v>F4Q14A</v>
      </c>
      <c r="AN147" s="766" t="str">
        <f t="shared" si="234"/>
        <v>F1Q15A</v>
      </c>
      <c r="AO147" s="767" t="str">
        <f t="shared" si="234"/>
        <v>F2Q15A</v>
      </c>
      <c r="AP147" s="767" t="str">
        <f t="shared" si="234"/>
        <v>F3Q15A</v>
      </c>
      <c r="AQ147" s="768" t="str">
        <f t="shared" si="234"/>
        <v>F4Q15A</v>
      </c>
      <c r="AR147" s="766" t="str">
        <f t="shared" si="234"/>
        <v>F1Q16A</v>
      </c>
      <c r="AS147" s="767" t="str">
        <f t="shared" si="234"/>
        <v>F2Q16A</v>
      </c>
      <c r="AT147" s="767" t="str">
        <f t="shared" si="234"/>
        <v>F3Q16A</v>
      </c>
      <c r="AU147" s="768" t="str">
        <f t="shared" si="234"/>
        <v>F4Q16A</v>
      </c>
      <c r="AV147" s="766" t="str">
        <f t="shared" si="234"/>
        <v>F1Q17A</v>
      </c>
      <c r="AW147" s="767" t="str">
        <f t="shared" si="234"/>
        <v>F2Q17A</v>
      </c>
      <c r="AX147" s="767" t="str">
        <f t="shared" si="234"/>
        <v>F3Q17A</v>
      </c>
      <c r="AY147" s="768" t="str">
        <f t="shared" si="234"/>
        <v>F4Q17A</v>
      </c>
      <c r="AZ147" s="766" t="str">
        <f t="shared" si="234"/>
        <v>F1Q18A</v>
      </c>
      <c r="BA147" s="767" t="str">
        <f t="shared" si="234"/>
        <v>F2Q18A</v>
      </c>
      <c r="BB147" s="767" t="str">
        <f t="shared" si="234"/>
        <v>F3Q18A</v>
      </c>
      <c r="BC147" s="768" t="str">
        <f t="shared" si="234"/>
        <v>F4Q18E</v>
      </c>
      <c r="BD147" s="766" t="str">
        <f t="shared" si="234"/>
        <v>F1Q19E</v>
      </c>
      <c r="BE147" s="767" t="str">
        <f t="shared" si="234"/>
        <v>F2Q19E</v>
      </c>
      <c r="BF147" s="767" t="str">
        <f t="shared" si="234"/>
        <v>F3Q19E</v>
      </c>
      <c r="BG147" s="768" t="str">
        <f t="shared" si="234"/>
        <v>F4Q19E</v>
      </c>
      <c r="BH147" s="766" t="str">
        <f>BH9</f>
        <v>F1Q20E</v>
      </c>
      <c r="BI147" s="767" t="str">
        <f>BI9</f>
        <v>F2Q20E</v>
      </c>
      <c r="BJ147" s="767" t="str">
        <f>BJ9</f>
        <v>F3Q20E</v>
      </c>
      <c r="BK147" s="768" t="str">
        <f>BK9</f>
        <v>F4Q20E</v>
      </c>
      <c r="BL147" s="539"/>
      <c r="BM147" s="766" t="str">
        <f t="shared" ref="BM147:CA147" si="235">BM9</f>
        <v>FY2006A</v>
      </c>
      <c r="BN147" s="767" t="str">
        <f t="shared" si="235"/>
        <v>FY2007A</v>
      </c>
      <c r="BO147" s="767" t="str">
        <f t="shared" si="235"/>
        <v>FY2008A</v>
      </c>
      <c r="BP147" s="767" t="str">
        <f t="shared" si="235"/>
        <v>FY2009A</v>
      </c>
      <c r="BQ147" s="767" t="str">
        <f t="shared" si="235"/>
        <v>FY2010A</v>
      </c>
      <c r="BR147" s="767" t="str">
        <f t="shared" si="235"/>
        <v>FY2011A</v>
      </c>
      <c r="BS147" s="767" t="str">
        <f t="shared" si="235"/>
        <v>FY2012A</v>
      </c>
      <c r="BT147" s="767" t="str">
        <f t="shared" si="235"/>
        <v>FY2013A</v>
      </c>
      <c r="BU147" s="768" t="str">
        <f t="shared" si="235"/>
        <v>FY2014A</v>
      </c>
      <c r="BV147" s="1036" t="str">
        <f t="shared" si="235"/>
        <v>FY2015A</v>
      </c>
      <c r="BW147" s="1036" t="str">
        <f t="shared" si="235"/>
        <v>FY2016A</v>
      </c>
      <c r="BX147" s="1240" t="str">
        <f t="shared" si="235"/>
        <v>FY2017A</v>
      </c>
      <c r="BY147" s="1240" t="str">
        <f t="shared" si="235"/>
        <v>FY2018E</v>
      </c>
      <c r="BZ147" s="1240" t="str">
        <f t="shared" si="235"/>
        <v>FY2019E</v>
      </c>
      <c r="CA147" s="351" t="str">
        <f t="shared" si="235"/>
        <v>FY2020E</v>
      </c>
      <c r="CB147" s="1037"/>
      <c r="CC147" s="1037"/>
      <c r="CD147" s="1037"/>
      <c r="CE147" s="1037"/>
      <c r="CF147" s="371"/>
      <c r="CG147" s="371"/>
      <c r="CH147" s="371"/>
      <c r="CI147" s="371"/>
      <c r="CP147" s="1209"/>
      <c r="CQ147" s="1209"/>
      <c r="CR147" s="1209"/>
    </row>
    <row r="148" spans="1:256" s="121" customFormat="1" ht="14.25" hidden="1" customHeight="1" outlineLevel="3">
      <c r="A148"/>
      <c r="B148" s="449" t="str">
        <f>B144</f>
        <v>Analog</v>
      </c>
      <c r="C148" s="418"/>
      <c r="D148" s="450">
        <f t="shared" ref="D148:AF148" si="236">D144/D$110</f>
        <v>1</v>
      </c>
      <c r="E148" s="451">
        <f t="shared" si="236"/>
        <v>1</v>
      </c>
      <c r="F148" s="451">
        <f t="shared" si="236"/>
        <v>1</v>
      </c>
      <c r="G148" s="452">
        <f t="shared" si="236"/>
        <v>1.0000000000000004</v>
      </c>
      <c r="H148" s="450">
        <f t="shared" si="236"/>
        <v>1</v>
      </c>
      <c r="I148" s="451">
        <f t="shared" si="236"/>
        <v>1</v>
      </c>
      <c r="J148" s="451">
        <f t="shared" si="236"/>
        <v>1</v>
      </c>
      <c r="K148" s="452">
        <f t="shared" si="236"/>
        <v>1</v>
      </c>
      <c r="L148" s="450">
        <f t="shared" si="236"/>
        <v>1</v>
      </c>
      <c r="M148" s="451">
        <f t="shared" si="236"/>
        <v>1</v>
      </c>
      <c r="N148" s="451">
        <f t="shared" si="236"/>
        <v>1</v>
      </c>
      <c r="O148" s="452">
        <f t="shared" si="236"/>
        <v>1</v>
      </c>
      <c r="P148" s="450">
        <f t="shared" si="236"/>
        <v>1</v>
      </c>
      <c r="Q148" s="451">
        <f t="shared" si="236"/>
        <v>1</v>
      </c>
      <c r="R148" s="451">
        <f t="shared" si="236"/>
        <v>1</v>
      </c>
      <c r="S148" s="452">
        <f t="shared" si="236"/>
        <v>1</v>
      </c>
      <c r="T148" s="450">
        <f t="shared" si="236"/>
        <v>1</v>
      </c>
      <c r="U148" s="451">
        <f t="shared" si="236"/>
        <v>1</v>
      </c>
      <c r="V148" s="451">
        <f t="shared" si="236"/>
        <v>1</v>
      </c>
      <c r="W148" s="452">
        <f t="shared" si="236"/>
        <v>1</v>
      </c>
      <c r="X148" s="450">
        <f t="shared" si="236"/>
        <v>1</v>
      </c>
      <c r="Y148" s="451">
        <f t="shared" si="236"/>
        <v>1</v>
      </c>
      <c r="Z148" s="451">
        <f t="shared" si="236"/>
        <v>1</v>
      </c>
      <c r="AA148" s="452">
        <f t="shared" si="236"/>
        <v>1</v>
      </c>
      <c r="AB148" s="450">
        <f t="shared" si="236"/>
        <v>1</v>
      </c>
      <c r="AC148" s="451">
        <f t="shared" si="236"/>
        <v>1</v>
      </c>
      <c r="AD148" s="451">
        <f t="shared" si="236"/>
        <v>1</v>
      </c>
      <c r="AE148" s="452">
        <f t="shared" si="236"/>
        <v>1</v>
      </c>
      <c r="AF148" s="450">
        <f t="shared" si="236"/>
        <v>1</v>
      </c>
      <c r="AG148" s="453"/>
      <c r="AH148" s="453"/>
      <c r="AI148" s="454"/>
      <c r="AJ148" s="455"/>
      <c r="AK148" s="453"/>
      <c r="AL148" s="453"/>
      <c r="AM148" s="454"/>
      <c r="AN148" s="455"/>
      <c r="AO148" s="453"/>
      <c r="AP148" s="453"/>
      <c r="AQ148" s="454"/>
      <c r="AR148" s="455"/>
      <c r="AS148" s="453"/>
      <c r="AT148" s="453"/>
      <c r="AU148" s="454"/>
      <c r="AV148" s="455"/>
      <c r="AW148" s="453"/>
      <c r="AX148" s="453"/>
      <c r="AY148" s="454"/>
      <c r="AZ148" s="455"/>
      <c r="BA148" s="453"/>
      <c r="BB148" s="453"/>
      <c r="BC148" s="454"/>
      <c r="BD148" s="455"/>
      <c r="BE148" s="453"/>
      <c r="BF148" s="453"/>
      <c r="BG148" s="454"/>
      <c r="BH148" s="455"/>
      <c r="BI148" s="453"/>
      <c r="BJ148" s="453"/>
      <c r="BK148" s="454"/>
      <c r="BL148" s="424"/>
      <c r="BM148" s="563"/>
      <c r="BN148" s="456">
        <f>BN144/BN$110</f>
        <v>1</v>
      </c>
      <c r="BO148" s="457">
        <f>BO144/BO$110</f>
        <v>1</v>
      </c>
      <c r="BP148" s="457">
        <f>BP144/BP$110</f>
        <v>1</v>
      </c>
      <c r="BQ148" s="457">
        <f>BQ144/BQ$110</f>
        <v>1</v>
      </c>
      <c r="BR148" s="457">
        <f>BR144/BR$110</f>
        <v>1</v>
      </c>
      <c r="BS148" s="467"/>
      <c r="BT148" s="467"/>
      <c r="BU148" s="456"/>
      <c r="BV148" s="456"/>
      <c r="BW148" s="456"/>
      <c r="BX148" s="456"/>
      <c r="BY148" s="456"/>
      <c r="BZ148" s="456"/>
      <c r="CA148" s="485"/>
      <c r="CB148" s="448"/>
      <c r="CC148" s="448"/>
      <c r="CD148" s="448"/>
      <c r="CE148" s="448"/>
      <c r="CF148" s="448"/>
      <c r="CG148" s="448"/>
      <c r="CH148" s="448"/>
      <c r="CI148" s="448"/>
      <c r="CJ148"/>
      <c r="CK148"/>
      <c r="CL148"/>
      <c r="CM148"/>
      <c r="CN148"/>
      <c r="CO148"/>
      <c r="CP148" s="1209"/>
      <c r="CQ148" s="1209"/>
      <c r="CR148" s="1209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</row>
    <row r="149" spans="1:256" ht="14.25" hidden="1" customHeight="1" outlineLevel="3">
      <c r="A149" s="121"/>
      <c r="B149" s="469" t="s">
        <v>576</v>
      </c>
      <c r="C149" s="435"/>
      <c r="D149" s="470">
        <f>SUM(D148)</f>
        <v>1</v>
      </c>
      <c r="E149" s="471">
        <f>SUM(E148)</f>
        <v>1</v>
      </c>
      <c r="F149" s="471">
        <f>SUM(F148)</f>
        <v>1</v>
      </c>
      <c r="G149" s="472">
        <f>SUM(G148)</f>
        <v>1.0000000000000004</v>
      </c>
      <c r="H149" s="470">
        <f>SUM(H148)</f>
        <v>1</v>
      </c>
      <c r="I149" s="471">
        <f t="shared" ref="I149:AD149" si="237">SUM(I148)</f>
        <v>1</v>
      </c>
      <c r="J149" s="471">
        <f t="shared" si="237"/>
        <v>1</v>
      </c>
      <c r="K149" s="472">
        <f t="shared" si="237"/>
        <v>1</v>
      </c>
      <c r="L149" s="470">
        <f t="shared" si="237"/>
        <v>1</v>
      </c>
      <c r="M149" s="471">
        <f t="shared" si="237"/>
        <v>1</v>
      </c>
      <c r="N149" s="471">
        <f t="shared" si="237"/>
        <v>1</v>
      </c>
      <c r="O149" s="472">
        <f t="shared" si="237"/>
        <v>1</v>
      </c>
      <c r="P149" s="470">
        <f t="shared" si="237"/>
        <v>1</v>
      </c>
      <c r="Q149" s="471">
        <f t="shared" si="237"/>
        <v>1</v>
      </c>
      <c r="R149" s="471">
        <f t="shared" si="237"/>
        <v>1</v>
      </c>
      <c r="S149" s="472">
        <f t="shared" si="237"/>
        <v>1</v>
      </c>
      <c r="T149" s="470">
        <f t="shared" si="237"/>
        <v>1</v>
      </c>
      <c r="U149" s="471">
        <f t="shared" si="237"/>
        <v>1</v>
      </c>
      <c r="V149" s="471">
        <f t="shared" si="237"/>
        <v>1</v>
      </c>
      <c r="W149" s="472">
        <f t="shared" si="237"/>
        <v>1</v>
      </c>
      <c r="X149" s="470">
        <f t="shared" si="237"/>
        <v>1</v>
      </c>
      <c r="Y149" s="471">
        <f t="shared" si="237"/>
        <v>1</v>
      </c>
      <c r="Z149" s="471">
        <f t="shared" si="237"/>
        <v>1</v>
      </c>
      <c r="AA149" s="472">
        <f t="shared" si="237"/>
        <v>1</v>
      </c>
      <c r="AB149" s="470">
        <f t="shared" si="237"/>
        <v>1</v>
      </c>
      <c r="AC149" s="471">
        <f t="shared" si="237"/>
        <v>1</v>
      </c>
      <c r="AD149" s="471">
        <f t="shared" si="237"/>
        <v>1</v>
      </c>
      <c r="AE149" s="472">
        <f>SUM(AE148)</f>
        <v>1</v>
      </c>
      <c r="AF149" s="470">
        <f>SUM(AF148)</f>
        <v>1</v>
      </c>
      <c r="AG149" s="473"/>
      <c r="AH149" s="473"/>
      <c r="AI149" s="474"/>
      <c r="AJ149" s="475"/>
      <c r="AK149" s="473"/>
      <c r="AL149" s="473"/>
      <c r="AM149" s="474"/>
      <c r="AN149" s="475"/>
      <c r="AO149" s="473"/>
      <c r="AP149" s="473"/>
      <c r="AQ149" s="474"/>
      <c r="AR149" s="475"/>
      <c r="AS149" s="473"/>
      <c r="AT149" s="473"/>
      <c r="AU149" s="474"/>
      <c r="AV149" s="475"/>
      <c r="AW149" s="473"/>
      <c r="AX149" s="473"/>
      <c r="AY149" s="474"/>
      <c r="AZ149" s="475"/>
      <c r="BA149" s="473"/>
      <c r="BB149" s="473"/>
      <c r="BC149" s="474"/>
      <c r="BD149" s="475"/>
      <c r="BE149" s="473"/>
      <c r="BF149" s="473"/>
      <c r="BG149" s="474"/>
      <c r="BH149" s="475"/>
      <c r="BI149" s="473"/>
      <c r="BJ149" s="473"/>
      <c r="BK149" s="474"/>
      <c r="BL149" s="442"/>
      <c r="BM149" s="571"/>
      <c r="BN149" s="476">
        <f>SUM(BN148)</f>
        <v>1</v>
      </c>
      <c r="BO149" s="477">
        <f>SUM(BO148)</f>
        <v>1</v>
      </c>
      <c r="BP149" s="477">
        <f>SUM(BP148)</f>
        <v>1</v>
      </c>
      <c r="BQ149" s="477">
        <f>SUM(BQ148)</f>
        <v>1</v>
      </c>
      <c r="BR149" s="477">
        <f>SUM(BR148)</f>
        <v>1</v>
      </c>
      <c r="BS149" s="477"/>
      <c r="BT149" s="477"/>
      <c r="BU149" s="476"/>
      <c r="BV149" s="476"/>
      <c r="BW149" s="476"/>
      <c r="BX149" s="476"/>
      <c r="BY149" s="476"/>
      <c r="BZ149" s="476"/>
      <c r="CA149" s="435"/>
      <c r="CB149" s="835"/>
      <c r="CC149" s="835"/>
      <c r="CD149" s="835"/>
      <c r="CE149" s="835"/>
      <c r="CF149" s="804"/>
      <c r="CG149" s="804"/>
      <c r="CH149" s="804"/>
      <c r="CI149" s="804"/>
      <c r="CJ149" s="121"/>
      <c r="CK149" s="121"/>
      <c r="CL149" s="121"/>
      <c r="CM149" s="121"/>
      <c r="CN149" s="121"/>
      <c r="CO149" s="121"/>
      <c r="CP149" s="804"/>
      <c r="CQ149" s="804"/>
      <c r="CR149" s="804"/>
      <c r="CS149" s="121"/>
      <c r="CT149" s="121"/>
      <c r="CU149" s="121"/>
      <c r="CV149" s="121"/>
      <c r="CW149" s="121"/>
      <c r="CX149" s="121"/>
      <c r="CY149" s="121"/>
      <c r="CZ149" s="121"/>
      <c r="DA149" s="121"/>
      <c r="DB149" s="121"/>
      <c r="DC149" s="121"/>
      <c r="DD149" s="121"/>
      <c r="DE149" s="121"/>
      <c r="DF149" s="121"/>
      <c r="DG149" s="121"/>
      <c r="DH149" s="121"/>
      <c r="DI149" s="121"/>
      <c r="DJ149" s="121"/>
      <c r="DK149" s="121"/>
      <c r="DL149" s="121"/>
      <c r="DM149" s="121"/>
      <c r="DN149" s="121"/>
      <c r="DO149" s="121"/>
      <c r="DP149" s="121"/>
      <c r="DQ149" s="121"/>
      <c r="DR149" s="121"/>
      <c r="DS149" s="121"/>
      <c r="DT149" s="121"/>
      <c r="DU149" s="121"/>
      <c r="DV149" s="121"/>
      <c r="DW149" s="121"/>
      <c r="DX149" s="121"/>
      <c r="DY149" s="121"/>
      <c r="DZ149" s="121"/>
      <c r="EA149" s="121"/>
      <c r="EB149" s="121"/>
      <c r="EC149" s="121"/>
      <c r="ED149" s="121"/>
      <c r="EE149" s="121"/>
      <c r="EF149" s="121"/>
      <c r="EG149" s="121"/>
      <c r="EH149" s="121"/>
      <c r="EI149" s="121"/>
      <c r="EJ149" s="121"/>
      <c r="EK149" s="121"/>
      <c r="EL149" s="121"/>
      <c r="EM149" s="121"/>
      <c r="EN149" s="121"/>
      <c r="EO149" s="121"/>
      <c r="EP149" s="121"/>
      <c r="EQ149" s="121"/>
      <c r="ER149" s="121"/>
      <c r="ES149" s="121"/>
      <c r="ET149" s="121"/>
      <c r="EU149" s="121"/>
      <c r="EV149" s="121"/>
      <c r="EW149" s="121"/>
      <c r="EX149" s="121"/>
      <c r="EY149" s="121"/>
      <c r="EZ149" s="121"/>
      <c r="FA149" s="121"/>
      <c r="FB149" s="121"/>
      <c r="FC149" s="121"/>
      <c r="FD149" s="121"/>
      <c r="FE149" s="121"/>
      <c r="FF149" s="121"/>
      <c r="FG149" s="121"/>
      <c r="FH149" s="121"/>
      <c r="FI149" s="121"/>
      <c r="FJ149" s="121"/>
      <c r="FK149" s="121"/>
      <c r="FL149" s="121"/>
      <c r="FM149" s="121"/>
      <c r="FN149" s="121"/>
      <c r="FO149" s="121"/>
      <c r="FP149" s="121"/>
      <c r="FQ149" s="121"/>
      <c r="FR149" s="121"/>
      <c r="FS149" s="121"/>
      <c r="FT149" s="121"/>
      <c r="FU149" s="121"/>
      <c r="FV149" s="121"/>
      <c r="FW149" s="121"/>
      <c r="FX149" s="121"/>
      <c r="FY149" s="121"/>
      <c r="FZ149" s="121"/>
      <c r="GA149" s="121"/>
      <c r="GB149" s="121"/>
      <c r="GC149" s="121"/>
      <c r="GD149" s="121"/>
      <c r="GE149" s="121"/>
      <c r="GF149" s="121"/>
      <c r="GG149" s="121"/>
      <c r="GH149" s="121"/>
      <c r="GI149" s="121"/>
      <c r="GJ149" s="121"/>
      <c r="GK149" s="121"/>
      <c r="GL149" s="121"/>
      <c r="GM149" s="121"/>
      <c r="GN149" s="121"/>
      <c r="GO149" s="121"/>
      <c r="GP149" s="121"/>
      <c r="GQ149" s="121"/>
      <c r="GR149" s="121"/>
      <c r="GS149" s="121"/>
      <c r="GT149" s="121"/>
      <c r="GU149" s="121"/>
      <c r="GV149" s="121"/>
      <c r="GW149" s="121"/>
      <c r="GX149" s="121"/>
      <c r="GY149" s="121"/>
      <c r="GZ149" s="121"/>
      <c r="HA149" s="121"/>
      <c r="HB149" s="121"/>
      <c r="HC149" s="121"/>
      <c r="HD149" s="121"/>
      <c r="HE149" s="121"/>
      <c r="HF149" s="121"/>
      <c r="HG149" s="121"/>
      <c r="HH149" s="121"/>
      <c r="HI149" s="121"/>
      <c r="HJ149" s="121"/>
      <c r="HK149" s="121"/>
      <c r="HL149" s="121"/>
      <c r="HM149" s="121"/>
      <c r="HN149" s="121"/>
      <c r="HO149" s="121"/>
      <c r="HP149" s="121"/>
      <c r="HQ149" s="121"/>
      <c r="HR149" s="121"/>
      <c r="HS149" s="121"/>
      <c r="HT149" s="121"/>
      <c r="HU149" s="121"/>
      <c r="HV149" s="121"/>
      <c r="HW149" s="121"/>
      <c r="HX149" s="121"/>
      <c r="HY149" s="121"/>
      <c r="HZ149" s="121"/>
      <c r="IA149" s="121"/>
      <c r="IB149" s="121"/>
      <c r="IC149" s="121"/>
      <c r="ID149" s="121"/>
      <c r="IE149" s="121"/>
      <c r="IF149" s="121"/>
      <c r="IG149" s="121"/>
      <c r="IH149" s="121"/>
      <c r="II149" s="121"/>
      <c r="IJ149" s="121"/>
      <c r="IK149" s="121"/>
      <c r="IL149" s="121"/>
      <c r="IM149" s="121"/>
      <c r="IN149" s="121"/>
      <c r="IO149" s="121"/>
      <c r="IP149" s="121"/>
      <c r="IQ149" s="121"/>
      <c r="IR149" s="121"/>
      <c r="IS149" s="121"/>
      <c r="IT149" s="121"/>
      <c r="IU149" s="121"/>
      <c r="IV149" s="121"/>
    </row>
    <row r="150" spans="1:256" s="8" customFormat="1" ht="14.25" hidden="1" customHeight="1" outlineLevel="4">
      <c r="A150"/>
      <c r="B150" s="37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V150" s="14"/>
      <c r="BW150" s="14"/>
      <c r="BX150" s="14"/>
      <c r="BY150" s="14"/>
      <c r="BZ150" s="14"/>
      <c r="CA150"/>
      <c r="CB150" s="1425"/>
      <c r="CC150" s="1425"/>
      <c r="CD150" s="1425"/>
      <c r="CE150" s="1425"/>
      <c r="CF150"/>
      <c r="CG150"/>
      <c r="CH150"/>
      <c r="CI150"/>
      <c r="CJ150"/>
      <c r="CK150"/>
      <c r="CL150"/>
      <c r="CM150"/>
      <c r="CN150"/>
      <c r="CO150"/>
      <c r="CP150" s="1209"/>
      <c r="CQ150" s="1209"/>
      <c r="CR150" s="1209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</row>
    <row r="151" spans="1:256" ht="14.25" hidden="1" customHeight="1" outlineLevel="3">
      <c r="A151" s="8"/>
      <c r="B151" s="322" t="s">
        <v>575</v>
      </c>
      <c r="C151" s="323"/>
      <c r="D151" s="446" t="str">
        <f>IF(ROUND(D149,1)=1,"OK",D149)</f>
        <v>OK</v>
      </c>
      <c r="E151" s="447" t="str">
        <f>IF(ROUND(E149,1)=1,"OK",E149)</f>
        <v>OK</v>
      </c>
      <c r="F151" s="447" t="str">
        <f>IF(ROUND(F149,1)=1,"OK",F149)</f>
        <v>OK</v>
      </c>
      <c r="G151" s="447" t="str">
        <f>IF(ROUND(G149,1)=1,"OK",G149)</f>
        <v>OK</v>
      </c>
      <c r="H151" s="446" t="str">
        <f t="shared" ref="H151:AC151" si="238">IF(ROUND(H149,1)=1,"OK",H149)</f>
        <v>OK</v>
      </c>
      <c r="I151" s="447" t="str">
        <f t="shared" si="238"/>
        <v>OK</v>
      </c>
      <c r="J151" s="447" t="str">
        <f t="shared" si="238"/>
        <v>OK</v>
      </c>
      <c r="K151" s="447" t="str">
        <f t="shared" si="238"/>
        <v>OK</v>
      </c>
      <c r="L151" s="446" t="str">
        <f t="shared" si="238"/>
        <v>OK</v>
      </c>
      <c r="M151" s="447" t="str">
        <f t="shared" si="238"/>
        <v>OK</v>
      </c>
      <c r="N151" s="447" t="str">
        <f t="shared" si="238"/>
        <v>OK</v>
      </c>
      <c r="O151" s="447" t="str">
        <f t="shared" si="238"/>
        <v>OK</v>
      </c>
      <c r="P151" s="446" t="str">
        <f t="shared" si="238"/>
        <v>OK</v>
      </c>
      <c r="Q151" s="447" t="str">
        <f t="shared" si="238"/>
        <v>OK</v>
      </c>
      <c r="R151" s="447" t="str">
        <f t="shared" si="238"/>
        <v>OK</v>
      </c>
      <c r="S151" s="447" t="str">
        <f t="shared" si="238"/>
        <v>OK</v>
      </c>
      <c r="T151" s="446" t="str">
        <f t="shared" si="238"/>
        <v>OK</v>
      </c>
      <c r="U151" s="447" t="str">
        <f t="shared" si="238"/>
        <v>OK</v>
      </c>
      <c r="V151" s="447" t="str">
        <f t="shared" si="238"/>
        <v>OK</v>
      </c>
      <c r="W151" s="447" t="str">
        <f t="shared" si="238"/>
        <v>OK</v>
      </c>
      <c r="X151" s="446" t="str">
        <f t="shared" si="238"/>
        <v>OK</v>
      </c>
      <c r="Y151" s="447" t="str">
        <f t="shared" si="238"/>
        <v>OK</v>
      </c>
      <c r="Z151" s="447" t="str">
        <f t="shared" si="238"/>
        <v>OK</v>
      </c>
      <c r="AA151" s="447" t="str">
        <f t="shared" si="238"/>
        <v>OK</v>
      </c>
      <c r="AB151" s="446" t="str">
        <f t="shared" si="238"/>
        <v>OK</v>
      </c>
      <c r="AC151" s="447" t="str">
        <f t="shared" si="238"/>
        <v>OK</v>
      </c>
      <c r="AD151" s="447" t="str">
        <f>IF(ROUND(AD149,1)=1,"OK",AD149)</f>
        <v>OK</v>
      </c>
      <c r="AE151" s="447" t="str">
        <f>IF(ROUND(AE149,1)=1,"OK",AE149)</f>
        <v>OK</v>
      </c>
      <c r="AF151" s="446" t="str">
        <f>IF(ROUND(AF149,1)=1,"OK",AF149)</f>
        <v>OK</v>
      </c>
      <c r="AG151" s="325"/>
      <c r="AH151" s="325"/>
      <c r="AI151" s="325"/>
      <c r="AJ151" s="324"/>
      <c r="AK151" s="325"/>
      <c r="AL151" s="325"/>
      <c r="AM151" s="325"/>
      <c r="AN151" s="324"/>
      <c r="AO151" s="325"/>
      <c r="AP151" s="325"/>
      <c r="AQ151" s="325"/>
      <c r="AR151" s="324"/>
      <c r="AS151" s="325"/>
      <c r="AT151" s="325"/>
      <c r="AU151" s="325"/>
      <c r="AV151" s="324"/>
      <c r="AW151" s="325"/>
      <c r="AX151" s="325"/>
      <c r="AY151" s="325"/>
      <c r="AZ151" s="324"/>
      <c r="BA151" s="325"/>
      <c r="BB151" s="325"/>
      <c r="BC151" s="325"/>
      <c r="BD151" s="324"/>
      <c r="BE151" s="325"/>
      <c r="BF151" s="325"/>
      <c r="BG151" s="325"/>
      <c r="BH151" s="324"/>
      <c r="BI151" s="325"/>
      <c r="BJ151" s="325"/>
      <c r="BK151" s="325"/>
      <c r="BL151" s="20"/>
      <c r="BM151" s="559"/>
      <c r="BN151" s="325" t="str">
        <f>IF(ROUND(BN149,1)=1,"OK",BN149)</f>
        <v>OK</v>
      </c>
      <c r="BO151" s="325" t="str">
        <f>IF(ROUND(BO149,1)=1,"OK",BO149)</f>
        <v>OK</v>
      </c>
      <c r="BP151" s="325" t="str">
        <f>IF(ROUND(BP149,1)=1,"OK",BP149)</f>
        <v>OK</v>
      </c>
      <c r="BQ151" s="325" t="str">
        <f>IF(ROUND(BQ149,1)=1,"OK",BQ149)</f>
        <v>OK</v>
      </c>
      <c r="BR151" s="447" t="str">
        <f>IF(ROUND(BR149,1)=1,"OK",BR149)</f>
        <v>OK</v>
      </c>
      <c r="BS151" s="447"/>
      <c r="BT151" s="325"/>
      <c r="BU151" s="325"/>
      <c r="BV151" s="325"/>
      <c r="BW151" s="325"/>
      <c r="BX151" s="325"/>
      <c r="BY151" s="325"/>
      <c r="BZ151" s="325"/>
      <c r="CA151" s="484"/>
      <c r="CB151" s="74"/>
      <c r="CC151" s="74"/>
      <c r="CD151" s="74"/>
      <c r="CE151" s="74"/>
      <c r="CF151" s="8"/>
      <c r="CG151" s="8"/>
      <c r="CH151" s="8"/>
      <c r="CI151" s="8"/>
      <c r="CJ151" s="14"/>
      <c r="CK151" s="8"/>
      <c r="CL151" s="8"/>
      <c r="CM151" s="8"/>
      <c r="CN151" s="8"/>
      <c r="CO151" s="8"/>
      <c r="CP151" s="14"/>
      <c r="CQ151" s="14"/>
      <c r="CR151" s="14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8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</row>
    <row r="152" spans="1:256" ht="14.25" hidden="1" customHeight="1" outlineLevel="3">
      <c r="B152" s="371"/>
      <c r="BM152" s="8"/>
      <c r="BN152" s="8"/>
      <c r="BO152" s="8"/>
      <c r="BP152" s="8"/>
      <c r="BQ152" s="8"/>
      <c r="BR152" s="8"/>
      <c r="BS152" s="8"/>
      <c r="BT152" s="8"/>
      <c r="BU152" s="8"/>
      <c r="BV152" s="14"/>
      <c r="BW152" s="251"/>
      <c r="BX152" s="14"/>
      <c r="BY152" s="14"/>
      <c r="BZ152" s="14"/>
      <c r="CP152" s="1209"/>
      <c r="CQ152" s="1209"/>
      <c r="CR152" s="1209"/>
    </row>
    <row r="153" spans="1:256" ht="14.25" hidden="1" customHeight="1" outlineLevel="3">
      <c r="A153" s="1"/>
      <c r="B153" s="162" t="s">
        <v>80</v>
      </c>
      <c r="C153" s="163"/>
      <c r="D153" s="766" t="str">
        <f>D$9</f>
        <v>F1Q06A</v>
      </c>
      <c r="E153" s="767" t="str">
        <f t="shared" ref="E153:BK153" si="239">E$9</f>
        <v>F2Q06A</v>
      </c>
      <c r="F153" s="767" t="str">
        <f t="shared" si="239"/>
        <v>F3Q06A</v>
      </c>
      <c r="G153" s="767" t="str">
        <f t="shared" si="239"/>
        <v>F4Q06A</v>
      </c>
      <c r="H153" s="766" t="str">
        <f t="shared" si="239"/>
        <v>F1Q07A</v>
      </c>
      <c r="I153" s="767" t="str">
        <f t="shared" si="239"/>
        <v>F2Q07A</v>
      </c>
      <c r="J153" s="767" t="str">
        <f t="shared" si="239"/>
        <v>F3Q07A</v>
      </c>
      <c r="K153" s="767" t="str">
        <f t="shared" si="239"/>
        <v>F4Q07A</v>
      </c>
      <c r="L153" s="766" t="str">
        <f t="shared" si="239"/>
        <v>F1Q08A</v>
      </c>
      <c r="M153" s="767" t="str">
        <f t="shared" si="239"/>
        <v>F2Q08A</v>
      </c>
      <c r="N153" s="767" t="str">
        <f t="shared" si="239"/>
        <v>F3Q08A</v>
      </c>
      <c r="O153" s="767" t="str">
        <f t="shared" si="239"/>
        <v>F4Q08A</v>
      </c>
      <c r="P153" s="766" t="str">
        <f t="shared" si="239"/>
        <v>F1Q09A</v>
      </c>
      <c r="Q153" s="767" t="str">
        <f t="shared" si="239"/>
        <v>F2Q09A</v>
      </c>
      <c r="R153" s="767" t="str">
        <f t="shared" si="239"/>
        <v>F3Q09A</v>
      </c>
      <c r="S153" s="767" t="str">
        <f t="shared" si="239"/>
        <v>F4Q09A</v>
      </c>
      <c r="T153" s="766" t="str">
        <f t="shared" si="239"/>
        <v>F1Q10A</v>
      </c>
      <c r="U153" s="767" t="str">
        <f t="shared" si="239"/>
        <v>F2Q10A</v>
      </c>
      <c r="V153" s="767" t="str">
        <f t="shared" si="239"/>
        <v>F3Q10A</v>
      </c>
      <c r="W153" s="767" t="str">
        <f t="shared" si="239"/>
        <v>F4Q10A</v>
      </c>
      <c r="X153" s="766" t="str">
        <f t="shared" si="239"/>
        <v>F1Q11A</v>
      </c>
      <c r="Y153" s="767" t="str">
        <f t="shared" si="239"/>
        <v>F2Q11A</v>
      </c>
      <c r="Z153" s="767" t="str">
        <f t="shared" si="239"/>
        <v>F3Q11A</v>
      </c>
      <c r="AA153" s="767" t="str">
        <f t="shared" si="239"/>
        <v>F4Q11A</v>
      </c>
      <c r="AB153" s="766" t="str">
        <f t="shared" si="239"/>
        <v>F1Q12A</v>
      </c>
      <c r="AC153" s="767" t="str">
        <f t="shared" si="239"/>
        <v>F2Q12A</v>
      </c>
      <c r="AD153" s="767" t="str">
        <f t="shared" si="239"/>
        <v>F3Q12A</v>
      </c>
      <c r="AE153" s="767" t="str">
        <f t="shared" si="239"/>
        <v>F4Q12A</v>
      </c>
      <c r="AF153" s="766" t="str">
        <f t="shared" si="239"/>
        <v>F1Q13A</v>
      </c>
      <c r="AG153" s="767" t="str">
        <f t="shared" si="239"/>
        <v>F2Q13A</v>
      </c>
      <c r="AH153" s="767" t="str">
        <f t="shared" si="239"/>
        <v>F3Q13A</v>
      </c>
      <c r="AI153" s="767" t="str">
        <f t="shared" si="239"/>
        <v>F4Q13A</v>
      </c>
      <c r="AJ153" s="766" t="str">
        <f t="shared" si="239"/>
        <v>F1Q14A</v>
      </c>
      <c r="AK153" s="767" t="str">
        <f t="shared" si="239"/>
        <v>F2Q14</v>
      </c>
      <c r="AL153" s="767" t="str">
        <f t="shared" si="239"/>
        <v>F3Q14A</v>
      </c>
      <c r="AM153" s="767" t="str">
        <f t="shared" si="239"/>
        <v>F4Q14A</v>
      </c>
      <c r="AN153" s="766" t="str">
        <f t="shared" si="239"/>
        <v>F1Q15A</v>
      </c>
      <c r="AO153" s="767" t="str">
        <f t="shared" si="239"/>
        <v>F2Q15A</v>
      </c>
      <c r="AP153" s="767" t="str">
        <f t="shared" si="239"/>
        <v>F3Q15A</v>
      </c>
      <c r="AQ153" s="768" t="str">
        <f t="shared" si="239"/>
        <v>F4Q15A</v>
      </c>
      <c r="AR153" s="766" t="str">
        <f t="shared" si="239"/>
        <v>F1Q16A</v>
      </c>
      <c r="AS153" s="767" t="str">
        <f t="shared" si="239"/>
        <v>F2Q16A</v>
      </c>
      <c r="AT153" s="767" t="str">
        <f t="shared" si="239"/>
        <v>F3Q16A</v>
      </c>
      <c r="AU153" s="768" t="str">
        <f t="shared" si="239"/>
        <v>F4Q16A</v>
      </c>
      <c r="AV153" s="766" t="str">
        <f t="shared" si="239"/>
        <v>F1Q17A</v>
      </c>
      <c r="AW153" s="767" t="str">
        <f t="shared" si="239"/>
        <v>F2Q17A</v>
      </c>
      <c r="AX153" s="767" t="str">
        <f t="shared" si="239"/>
        <v>F3Q17A</v>
      </c>
      <c r="AY153" s="768" t="str">
        <f t="shared" si="239"/>
        <v>F4Q17A</v>
      </c>
      <c r="AZ153" s="766" t="str">
        <f t="shared" si="239"/>
        <v>F1Q18A</v>
      </c>
      <c r="BA153" s="767" t="str">
        <f t="shared" si="239"/>
        <v>F2Q18A</v>
      </c>
      <c r="BB153" s="767" t="str">
        <f t="shared" si="239"/>
        <v>F3Q18A</v>
      </c>
      <c r="BC153" s="768" t="str">
        <f t="shared" si="239"/>
        <v>F4Q18E</v>
      </c>
      <c r="BD153" s="766" t="str">
        <f t="shared" si="239"/>
        <v>F1Q19E</v>
      </c>
      <c r="BE153" s="767" t="str">
        <f t="shared" si="239"/>
        <v>F2Q19E</v>
      </c>
      <c r="BF153" s="767" t="str">
        <f t="shared" si="239"/>
        <v>F3Q19E</v>
      </c>
      <c r="BG153" s="768" t="str">
        <f t="shared" si="239"/>
        <v>F4Q19E</v>
      </c>
      <c r="BH153" s="766" t="str">
        <f t="shared" si="239"/>
        <v>F1Q20E</v>
      </c>
      <c r="BI153" s="767" t="str">
        <f t="shared" si="239"/>
        <v>F2Q20E</v>
      </c>
      <c r="BJ153" s="767" t="str">
        <f t="shared" si="239"/>
        <v>F3Q20E</v>
      </c>
      <c r="BK153" s="768" t="str">
        <f t="shared" si="239"/>
        <v>F4Q20E</v>
      </c>
      <c r="BL153" s="20"/>
      <c r="BM153" s="766" t="str">
        <f t="shared" ref="BM153:CA153" si="240">BM$9</f>
        <v>FY2006A</v>
      </c>
      <c r="BN153" s="767" t="str">
        <f t="shared" si="240"/>
        <v>FY2007A</v>
      </c>
      <c r="BO153" s="767" t="str">
        <f t="shared" si="240"/>
        <v>FY2008A</v>
      </c>
      <c r="BP153" s="767" t="str">
        <f t="shared" si="240"/>
        <v>FY2009A</v>
      </c>
      <c r="BQ153" s="767" t="str">
        <f t="shared" si="240"/>
        <v>FY2010A</v>
      </c>
      <c r="BR153" s="767" t="str">
        <f t="shared" si="240"/>
        <v>FY2011A</v>
      </c>
      <c r="BS153" s="767" t="str">
        <f t="shared" si="240"/>
        <v>FY2012A</v>
      </c>
      <c r="BT153" s="767" t="str">
        <f t="shared" si="240"/>
        <v>FY2013A</v>
      </c>
      <c r="BU153" s="768" t="str">
        <f t="shared" si="240"/>
        <v>FY2014A</v>
      </c>
      <c r="BV153" s="1036" t="str">
        <f t="shared" si="240"/>
        <v>FY2015A</v>
      </c>
      <c r="BW153" s="1036" t="str">
        <f t="shared" si="240"/>
        <v>FY2016A</v>
      </c>
      <c r="BX153" s="1240" t="str">
        <f t="shared" si="240"/>
        <v>FY2017A</v>
      </c>
      <c r="BY153" s="1240" t="str">
        <f t="shared" si="240"/>
        <v>FY2018E</v>
      </c>
      <c r="BZ153" s="1240" t="str">
        <f t="shared" si="240"/>
        <v>FY2019E</v>
      </c>
      <c r="CA153" s="351" t="str">
        <f t="shared" si="240"/>
        <v>FY2020E</v>
      </c>
      <c r="CB153" s="1037"/>
      <c r="CC153" s="1037"/>
      <c r="CD153" s="1037"/>
      <c r="CE153" s="1037"/>
      <c r="CF153" s="371"/>
      <c r="CG153" s="371"/>
      <c r="CH153" s="371"/>
      <c r="CI153" s="371"/>
      <c r="CP153" s="1209"/>
      <c r="CQ153" s="1209"/>
      <c r="CR153" s="1209"/>
    </row>
    <row r="154" spans="1:256" ht="14.25" hidden="1" customHeight="1" outlineLevel="3">
      <c r="B154" s="368" t="s">
        <v>82</v>
      </c>
      <c r="C154" s="418"/>
      <c r="D154" s="540"/>
      <c r="E154" s="541"/>
      <c r="F154" s="541"/>
      <c r="G154" s="542"/>
      <c r="H154" s="540"/>
      <c r="I154" s="541"/>
      <c r="J154" s="541"/>
      <c r="K154" s="542"/>
      <c r="L154" s="540"/>
      <c r="M154" s="541"/>
      <c r="N154" s="541"/>
      <c r="O154" s="542"/>
      <c r="P154" s="540"/>
      <c r="Q154" s="541"/>
      <c r="R154" s="541"/>
      <c r="S154" s="542"/>
      <c r="T154" s="540"/>
      <c r="U154" s="541"/>
      <c r="V154" s="541"/>
      <c r="W154" s="542"/>
      <c r="X154" s="540"/>
      <c r="Y154" s="541"/>
      <c r="Z154" s="541"/>
      <c r="AA154" s="542"/>
      <c r="AB154" s="540"/>
      <c r="AC154" s="541"/>
      <c r="AD154" s="541"/>
      <c r="AE154" s="670"/>
      <c r="AF154" s="540"/>
      <c r="AG154" s="421"/>
      <c r="AH154" s="421"/>
      <c r="AI154" s="422"/>
      <c r="AJ154" s="423"/>
      <c r="AK154" s="421"/>
      <c r="AL154" s="421"/>
      <c r="AM154" s="422"/>
      <c r="AN154" s="423"/>
      <c r="AO154" s="421"/>
      <c r="AP154" s="421"/>
      <c r="AQ154" s="422"/>
      <c r="AR154" s="423"/>
      <c r="AS154" s="421"/>
      <c r="AT154" s="421"/>
      <c r="AU154" s="422"/>
      <c r="AV154" s="423"/>
      <c r="AW154" s="421"/>
      <c r="AX154" s="421"/>
      <c r="AY154" s="422"/>
      <c r="AZ154" s="423"/>
      <c r="BA154" s="421"/>
      <c r="BB154" s="421"/>
      <c r="BC154" s="422"/>
      <c r="BD154" s="423"/>
      <c r="BE154" s="421"/>
      <c r="BF154" s="421"/>
      <c r="BG154" s="422"/>
      <c r="BH154" s="423"/>
      <c r="BI154" s="421"/>
      <c r="BJ154" s="421"/>
      <c r="BK154" s="422"/>
      <c r="BL154" s="424"/>
      <c r="BM154" s="544"/>
      <c r="BN154" s="607"/>
      <c r="BO154" s="607"/>
      <c r="BP154" s="425">
        <f>BP162*IS!BP$10</f>
        <v>197.52180000000004</v>
      </c>
      <c r="BQ154" s="425">
        <f>BQ162*IS!BQ$10</f>
        <v>239.71235999999999</v>
      </c>
      <c r="BR154" s="425">
        <f>BR162*IS!BR$10</f>
        <v>346.12773999999996</v>
      </c>
      <c r="BS154" s="425">
        <f>BS162*IS!BS$10</f>
        <v>312.45877000000002</v>
      </c>
      <c r="BT154" s="411"/>
      <c r="BU154" s="425"/>
      <c r="BV154" s="425"/>
      <c r="BW154" s="425"/>
      <c r="BX154" s="425"/>
      <c r="BY154" s="425"/>
      <c r="BZ154" s="425"/>
      <c r="CA154" s="418"/>
      <c r="CB154" s="448"/>
      <c r="CC154" s="448"/>
      <c r="CD154" s="448"/>
      <c r="CE154" s="448"/>
      <c r="CF154" s="371"/>
      <c r="CG154" s="371"/>
      <c r="CH154" s="371"/>
      <c r="CI154" s="371"/>
      <c r="CP154" s="1209"/>
      <c r="CQ154" s="1209"/>
      <c r="CR154" s="1209"/>
    </row>
    <row r="155" spans="1:256" ht="14.25" hidden="1" customHeight="1" outlineLevel="3">
      <c r="B155" s="369" t="s">
        <v>83</v>
      </c>
      <c r="C155" s="372"/>
      <c r="D155" s="545"/>
      <c r="E155" s="546"/>
      <c r="F155" s="546"/>
      <c r="G155" s="547"/>
      <c r="H155" s="545"/>
      <c r="I155" s="546"/>
      <c r="J155" s="546"/>
      <c r="K155" s="547"/>
      <c r="L155" s="545"/>
      <c r="M155" s="546"/>
      <c r="N155" s="546"/>
      <c r="O155" s="547"/>
      <c r="P155" s="545"/>
      <c r="Q155" s="546"/>
      <c r="R155" s="546"/>
      <c r="S155" s="547"/>
      <c r="T155" s="545"/>
      <c r="U155" s="546"/>
      <c r="V155" s="546"/>
      <c r="W155" s="547"/>
      <c r="X155" s="545"/>
      <c r="Y155" s="546"/>
      <c r="Z155" s="546"/>
      <c r="AA155" s="547"/>
      <c r="AB155" s="545"/>
      <c r="AC155" s="546"/>
      <c r="AD155" s="546"/>
      <c r="AE155" s="671"/>
      <c r="AF155" s="545"/>
      <c r="AG155" s="429"/>
      <c r="AH155" s="429"/>
      <c r="AI155" s="430"/>
      <c r="AJ155" s="431"/>
      <c r="AK155" s="429"/>
      <c r="AL155" s="429"/>
      <c r="AM155" s="430"/>
      <c r="AN155" s="431"/>
      <c r="AO155" s="429"/>
      <c r="AP155" s="429"/>
      <c r="AQ155" s="430"/>
      <c r="AR155" s="431"/>
      <c r="AS155" s="429"/>
      <c r="AT155" s="429"/>
      <c r="AU155" s="430"/>
      <c r="AV155" s="431"/>
      <c r="AW155" s="429"/>
      <c r="AX155" s="429"/>
      <c r="AY155" s="430"/>
      <c r="AZ155" s="431"/>
      <c r="BA155" s="429"/>
      <c r="BB155" s="429"/>
      <c r="BC155" s="430"/>
      <c r="BD155" s="431"/>
      <c r="BE155" s="429"/>
      <c r="BF155" s="429"/>
      <c r="BG155" s="430"/>
      <c r="BH155" s="431"/>
      <c r="BI155" s="429"/>
      <c r="BJ155" s="429"/>
      <c r="BK155" s="430"/>
      <c r="BL155" s="424"/>
      <c r="BM155" s="608"/>
      <c r="BN155" s="608"/>
      <c r="BO155" s="608"/>
      <c r="BP155" s="411">
        <f>BP163*IS!BP$10</f>
        <v>0</v>
      </c>
      <c r="BQ155" s="411">
        <f>BQ163*IS!BQ$10</f>
        <v>0</v>
      </c>
      <c r="BR155" s="411">
        <f>BR163*IS!BR$10</f>
        <v>395.57455999999985</v>
      </c>
      <c r="BS155" s="411">
        <f>BS163*IS!BS$10</f>
        <v>384.56464</v>
      </c>
      <c r="BT155" s="411"/>
      <c r="BU155" s="411"/>
      <c r="BV155" s="411"/>
      <c r="BW155" s="411"/>
      <c r="BX155" s="411"/>
      <c r="BY155" s="411"/>
      <c r="BZ155" s="411"/>
      <c r="CA155" s="372"/>
      <c r="CB155" s="448"/>
      <c r="CC155" s="448"/>
      <c r="CD155" s="448"/>
      <c r="CE155" s="448"/>
      <c r="CF155" s="371"/>
      <c r="CG155" s="371"/>
      <c r="CH155" s="371"/>
      <c r="CI155" s="371"/>
      <c r="CP155" s="1209"/>
      <c r="CQ155" s="1209"/>
      <c r="CR155" s="1209"/>
    </row>
    <row r="156" spans="1:256" s="121" customFormat="1" ht="14.25" hidden="1" customHeight="1" outlineLevel="3">
      <c r="A156"/>
      <c r="B156" s="369" t="s">
        <v>254</v>
      </c>
      <c r="C156" s="372"/>
      <c r="D156" s="545"/>
      <c r="E156" s="546"/>
      <c r="F156" s="546"/>
      <c r="G156" s="547"/>
      <c r="H156" s="545"/>
      <c r="I156" s="546"/>
      <c r="J156" s="546"/>
      <c r="K156" s="547"/>
      <c r="L156" s="545"/>
      <c r="M156" s="546"/>
      <c r="N156" s="546"/>
      <c r="O156" s="547"/>
      <c r="P156" s="545"/>
      <c r="Q156" s="546"/>
      <c r="R156" s="546"/>
      <c r="S156" s="547"/>
      <c r="T156" s="545"/>
      <c r="U156" s="546"/>
      <c r="V156" s="546"/>
      <c r="W156" s="547"/>
      <c r="X156" s="545"/>
      <c r="Y156" s="546"/>
      <c r="Z156" s="546"/>
      <c r="AA156" s="547"/>
      <c r="AB156" s="550">
        <f t="shared" ref="AB156:AI156" si="241">+AB182</f>
        <v>126</v>
      </c>
      <c r="AC156" s="551">
        <f t="shared" si="241"/>
        <v>111</v>
      </c>
      <c r="AD156" s="551">
        <f t="shared" si="241"/>
        <v>106</v>
      </c>
      <c r="AE156" s="552">
        <f t="shared" si="241"/>
        <v>137</v>
      </c>
      <c r="AF156" s="550">
        <f t="shared" si="241"/>
        <v>162</v>
      </c>
      <c r="AG156" s="551">
        <f t="shared" si="241"/>
        <v>152</v>
      </c>
      <c r="AH156" s="551">
        <f t="shared" si="241"/>
        <v>199.61172000000002</v>
      </c>
      <c r="AI156" s="551">
        <f t="shared" si="241"/>
        <v>169.61172000000002</v>
      </c>
      <c r="AJ156" s="431"/>
      <c r="AK156" s="429"/>
      <c r="AL156" s="429"/>
      <c r="AM156" s="430"/>
      <c r="AN156" s="431"/>
      <c r="AO156" s="429"/>
      <c r="AP156" s="429"/>
      <c r="AQ156" s="430"/>
      <c r="AR156" s="431"/>
      <c r="AS156" s="429"/>
      <c r="AT156" s="429"/>
      <c r="AU156" s="430"/>
      <c r="AV156" s="431"/>
      <c r="AW156" s="429"/>
      <c r="AX156" s="429"/>
      <c r="AY156" s="430"/>
      <c r="AZ156" s="431"/>
      <c r="BA156" s="429"/>
      <c r="BB156" s="429"/>
      <c r="BC156" s="430"/>
      <c r="BD156" s="431"/>
      <c r="BE156" s="429"/>
      <c r="BF156" s="429"/>
      <c r="BG156" s="430"/>
      <c r="BH156" s="431"/>
      <c r="BI156" s="429"/>
      <c r="BJ156" s="429"/>
      <c r="BK156" s="430"/>
      <c r="BL156" s="424"/>
      <c r="BM156" s="608"/>
      <c r="BN156" s="608"/>
      <c r="BO156" s="608"/>
      <c r="BP156" s="411">
        <f>BP164*IS!BP$10</f>
        <v>0</v>
      </c>
      <c r="BQ156" s="411">
        <f>BQ164*IS!BQ$10</f>
        <v>239.71235999999999</v>
      </c>
      <c r="BR156" s="411">
        <f>BR164*IS!BR$10</f>
        <v>296.6809199999999</v>
      </c>
      <c r="BS156" s="411">
        <f>0.2*BS100</f>
        <v>480.70580000000001</v>
      </c>
      <c r="BT156" s="411">
        <f>BT164*BT100</f>
        <v>683.60852000000011</v>
      </c>
      <c r="BU156" s="411"/>
      <c r="BV156" s="411"/>
      <c r="BW156" s="411"/>
      <c r="BX156" s="411"/>
      <c r="BY156" s="411"/>
      <c r="BZ156" s="411"/>
      <c r="CA156" s="372"/>
      <c r="CB156" s="448"/>
      <c r="CC156" s="448"/>
      <c r="CD156" s="448"/>
      <c r="CE156" s="448"/>
      <c r="CF156" s="371"/>
      <c r="CG156" s="371"/>
      <c r="CH156" s="371"/>
      <c r="CI156" s="371"/>
      <c r="CJ156"/>
      <c r="CK156"/>
      <c r="CL156"/>
      <c r="CM156"/>
      <c r="CN156"/>
      <c r="CO156"/>
      <c r="CP156" s="1209"/>
      <c r="CQ156" s="1209"/>
      <c r="CR156" s="1209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</row>
    <row r="157" spans="1:256" ht="14.25" hidden="1" customHeight="1" outlineLevel="3">
      <c r="A157" s="121"/>
      <c r="B157" s="434" t="s">
        <v>576</v>
      </c>
      <c r="C157" s="435"/>
      <c r="D157" s="553"/>
      <c r="E157" s="554"/>
      <c r="F157" s="554"/>
      <c r="G157" s="555"/>
      <c r="H157" s="553"/>
      <c r="I157" s="554"/>
      <c r="J157" s="554"/>
      <c r="K157" s="555"/>
      <c r="L157" s="553"/>
      <c r="M157" s="554"/>
      <c r="N157" s="554"/>
      <c r="O157" s="555"/>
      <c r="P157" s="553"/>
      <c r="Q157" s="554"/>
      <c r="R157" s="554"/>
      <c r="S157" s="555"/>
      <c r="T157" s="553"/>
      <c r="U157" s="554"/>
      <c r="V157" s="554"/>
      <c r="W157" s="555"/>
      <c r="X157" s="553"/>
      <c r="Y157" s="554"/>
      <c r="Z157" s="554"/>
      <c r="AA157" s="555"/>
      <c r="AB157" s="553"/>
      <c r="AC157" s="554"/>
      <c r="AD157" s="554"/>
      <c r="AE157" s="555" t="s">
        <v>97</v>
      </c>
      <c r="AF157" s="553"/>
      <c r="AG157" s="439"/>
      <c r="AH157" s="439"/>
      <c r="AI157" s="440" t="s">
        <v>97</v>
      </c>
      <c r="AJ157" s="960" t="s">
        <v>97</v>
      </c>
      <c r="AK157" s="439"/>
      <c r="AL157" s="439"/>
      <c r="AM157" s="440"/>
      <c r="AN157" s="441"/>
      <c r="AO157" s="439"/>
      <c r="AP157" s="439"/>
      <c r="AQ157" s="440"/>
      <c r="AR157" s="441"/>
      <c r="AS157" s="439"/>
      <c r="AT157" s="439"/>
      <c r="AU157" s="440"/>
      <c r="AV157" s="441"/>
      <c r="AW157" s="439"/>
      <c r="AX157" s="439"/>
      <c r="AY157" s="440"/>
      <c r="AZ157" s="441"/>
      <c r="BA157" s="439"/>
      <c r="BB157" s="439"/>
      <c r="BC157" s="440"/>
      <c r="BD157" s="441"/>
      <c r="BE157" s="439"/>
      <c r="BF157" s="439"/>
      <c r="BG157" s="440"/>
      <c r="BH157" s="441"/>
      <c r="BI157" s="439"/>
      <c r="BJ157" s="439"/>
      <c r="BK157" s="440"/>
      <c r="BL157" s="442"/>
      <c r="BM157" s="556"/>
      <c r="BN157" s="556"/>
      <c r="BO157" s="556"/>
      <c r="BP157" s="444">
        <f>SUM(BP154:BP156)</f>
        <v>197.52180000000004</v>
      </c>
      <c r="BQ157" s="444">
        <f>SUM(BQ154:BQ156)</f>
        <v>479.42471999999998</v>
      </c>
      <c r="BR157" s="444">
        <f>SUM(BR154:BR156)</f>
        <v>1038.3832199999997</v>
      </c>
      <c r="BS157" s="444">
        <f>SUM(BS154:BS156)</f>
        <v>1177.72921</v>
      </c>
      <c r="BT157" s="444"/>
      <c r="BU157" s="444"/>
      <c r="BV157" s="444"/>
      <c r="BW157" s="444"/>
      <c r="BX157" s="444"/>
      <c r="BY157" s="444"/>
      <c r="BZ157" s="444"/>
      <c r="CA157" s="435"/>
      <c r="CB157" s="835"/>
      <c r="CC157" s="835"/>
      <c r="CD157" s="835"/>
      <c r="CE157" s="835"/>
      <c r="CF157" s="804"/>
      <c r="CG157" s="804"/>
      <c r="CH157" s="804"/>
      <c r="CI157" s="804"/>
      <c r="CJ157" s="121"/>
      <c r="CK157" s="121"/>
      <c r="CL157" s="121"/>
      <c r="CM157" s="121"/>
      <c r="CN157" s="121"/>
      <c r="CO157" s="121"/>
      <c r="CP157" s="804"/>
      <c r="CQ157" s="804"/>
      <c r="CR157" s="804"/>
      <c r="CS157" s="121"/>
      <c r="CT157" s="121"/>
      <c r="CU157" s="121"/>
      <c r="CV157" s="121"/>
      <c r="CW157" s="121"/>
      <c r="CX157" s="121"/>
      <c r="CY157" s="121"/>
      <c r="CZ157" s="121"/>
      <c r="DA157" s="121"/>
      <c r="DB157" s="121"/>
      <c r="DC157" s="121"/>
      <c r="DD157" s="121"/>
      <c r="DE157" s="121"/>
      <c r="DF157" s="121"/>
      <c r="DG157" s="121"/>
      <c r="DH157" s="121"/>
      <c r="DI157" s="121"/>
      <c r="DJ157" s="121"/>
      <c r="DK157" s="121"/>
      <c r="DL157" s="121"/>
      <c r="DM157" s="121"/>
      <c r="DN157" s="121"/>
      <c r="DO157" s="121"/>
      <c r="DP157" s="121"/>
      <c r="DQ157" s="121"/>
      <c r="DR157" s="121"/>
      <c r="DS157" s="121"/>
      <c r="DT157" s="121"/>
      <c r="DU157" s="121"/>
      <c r="DV157" s="121"/>
      <c r="DW157" s="121"/>
      <c r="DX157" s="121"/>
      <c r="DY157" s="121"/>
      <c r="DZ157" s="121"/>
      <c r="EA157" s="121"/>
      <c r="EB157" s="121"/>
      <c r="EC157" s="121"/>
      <c r="ED157" s="121"/>
      <c r="EE157" s="121"/>
      <c r="EF157" s="121"/>
      <c r="EG157" s="121"/>
      <c r="EH157" s="121"/>
      <c r="EI157" s="121"/>
      <c r="EJ157" s="121"/>
      <c r="EK157" s="121"/>
      <c r="EL157" s="121"/>
      <c r="EM157" s="121"/>
      <c r="EN157" s="121"/>
      <c r="EO157" s="121"/>
      <c r="EP157" s="121"/>
      <c r="EQ157" s="121"/>
      <c r="ER157" s="121"/>
      <c r="ES157" s="121"/>
      <c r="ET157" s="121"/>
      <c r="EU157" s="121"/>
      <c r="EV157" s="121"/>
      <c r="EW157" s="121"/>
      <c r="EX157" s="121"/>
      <c r="EY157" s="121"/>
      <c r="EZ157" s="121"/>
      <c r="FA157" s="121"/>
      <c r="FB157" s="121"/>
      <c r="FC157" s="121"/>
      <c r="FD157" s="121"/>
      <c r="FE157" s="121"/>
      <c r="FF157" s="121"/>
      <c r="FG157" s="121"/>
      <c r="FH157" s="121"/>
      <c r="FI157" s="121"/>
      <c r="FJ157" s="121"/>
      <c r="FK157" s="121"/>
      <c r="FL157" s="121"/>
      <c r="FM157" s="121"/>
      <c r="FN157" s="121"/>
      <c r="FO157" s="121"/>
      <c r="FP157" s="121"/>
      <c r="FQ157" s="121"/>
      <c r="FR157" s="121"/>
      <c r="FS157" s="121"/>
      <c r="FT157" s="121"/>
      <c r="FU157" s="121"/>
      <c r="FV157" s="121"/>
      <c r="FW157" s="121"/>
      <c r="FX157" s="121"/>
      <c r="FY157" s="121"/>
      <c r="FZ157" s="121"/>
      <c r="GA157" s="121"/>
      <c r="GB157" s="121"/>
      <c r="GC157" s="121"/>
      <c r="GD157" s="121"/>
      <c r="GE157" s="121"/>
      <c r="GF157" s="121"/>
      <c r="GG157" s="121"/>
      <c r="GH157" s="121"/>
      <c r="GI157" s="121"/>
      <c r="GJ157" s="121"/>
      <c r="GK157" s="121"/>
      <c r="GL157" s="121"/>
      <c r="GM157" s="121"/>
      <c r="GN157" s="121"/>
      <c r="GO157" s="121"/>
      <c r="GP157" s="121"/>
      <c r="GQ157" s="121"/>
      <c r="GR157" s="121"/>
      <c r="GS157" s="121"/>
      <c r="GT157" s="121"/>
      <c r="GU157" s="121"/>
      <c r="GV157" s="121"/>
      <c r="GW157" s="121"/>
      <c r="GX157" s="121"/>
      <c r="GY157" s="121"/>
      <c r="GZ157" s="121"/>
      <c r="HA157" s="121"/>
      <c r="HB157" s="121"/>
      <c r="HC157" s="121"/>
      <c r="HD157" s="121"/>
      <c r="HE157" s="121"/>
      <c r="HF157" s="121"/>
      <c r="HG157" s="121"/>
      <c r="HH157" s="121"/>
      <c r="HI157" s="121"/>
      <c r="HJ157" s="121"/>
      <c r="HK157" s="121"/>
      <c r="HL157" s="121"/>
      <c r="HM157" s="121"/>
      <c r="HN157" s="121"/>
      <c r="HO157" s="121"/>
      <c r="HP157" s="121"/>
      <c r="HQ157" s="121"/>
      <c r="HR157" s="121"/>
      <c r="HS157" s="121"/>
      <c r="HT157" s="121"/>
      <c r="HU157" s="121"/>
      <c r="HV157" s="121"/>
      <c r="HW157" s="121"/>
      <c r="HX157" s="121"/>
      <c r="HY157" s="121"/>
      <c r="HZ157" s="121"/>
      <c r="IA157" s="121"/>
      <c r="IB157" s="121"/>
      <c r="IC157" s="121"/>
      <c r="ID157" s="121"/>
      <c r="IE157" s="121"/>
      <c r="IF157" s="121"/>
      <c r="IG157" s="121"/>
      <c r="IH157" s="121"/>
      <c r="II157" s="121"/>
      <c r="IJ157" s="121"/>
      <c r="IK157" s="121"/>
      <c r="IL157" s="121"/>
      <c r="IM157" s="121"/>
      <c r="IN157" s="121"/>
      <c r="IO157" s="121"/>
      <c r="IP157" s="121"/>
      <c r="IQ157" s="121"/>
      <c r="IR157" s="121"/>
      <c r="IS157" s="121"/>
      <c r="IT157" s="121"/>
      <c r="IU157" s="121"/>
      <c r="IV157" s="121"/>
    </row>
    <row r="158" spans="1:256" s="8" customFormat="1" ht="14.25" hidden="1" customHeight="1" outlineLevel="3">
      <c r="A158"/>
      <c r="B158" s="74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E158" t="s">
        <v>97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 s="371"/>
      <c r="BM158" s="371"/>
      <c r="BN158" s="371"/>
      <c r="BO158" s="371"/>
      <c r="BP158" s="371"/>
      <c r="BQ158" s="371"/>
      <c r="BR158" s="775" t="s">
        <v>97</v>
      </c>
      <c r="BS158" s="808">
        <f>+BS156/BR156-1</f>
        <v>0.62027878301038086</v>
      </c>
      <c r="BT158" s="371" t="s">
        <v>97</v>
      </c>
      <c r="BU158" s="371"/>
      <c r="BV158" s="371"/>
      <c r="BW158" s="371"/>
      <c r="BX158" s="371"/>
      <c r="BY158" s="371"/>
      <c r="BZ158" s="371"/>
      <c r="CA158"/>
      <c r="CB158" s="1425"/>
      <c r="CC158" s="1425"/>
      <c r="CD158" s="1425"/>
      <c r="CE158" s="1425"/>
      <c r="CF158"/>
      <c r="CG158"/>
      <c r="CH158"/>
      <c r="CI158"/>
      <c r="CJ158"/>
      <c r="CK158"/>
      <c r="CL158"/>
      <c r="CM158"/>
      <c r="CN158"/>
      <c r="CO158"/>
      <c r="CP158" s="1209"/>
      <c r="CQ158" s="1209"/>
      <c r="CR158" s="1209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</row>
    <row r="159" spans="1:256" ht="14.25" hidden="1" customHeight="1" outlineLevel="3">
      <c r="A159" s="8"/>
      <c r="B159" s="322" t="s">
        <v>522</v>
      </c>
      <c r="C159" s="323"/>
      <c r="D159" s="557"/>
      <c r="E159" s="558"/>
      <c r="F159" s="558"/>
      <c r="G159" s="558"/>
      <c r="H159" s="557"/>
      <c r="I159" s="558"/>
      <c r="J159" s="558"/>
      <c r="K159" s="558"/>
      <c r="L159" s="557"/>
      <c r="M159" s="558"/>
      <c r="N159" s="558"/>
      <c r="O159" s="558"/>
      <c r="P159" s="557"/>
      <c r="Q159" s="558"/>
      <c r="R159" s="558"/>
      <c r="S159" s="558"/>
      <c r="T159" s="557"/>
      <c r="U159" s="558"/>
      <c r="V159" s="558"/>
      <c r="W159" s="558"/>
      <c r="X159" s="557"/>
      <c r="Y159" s="558"/>
      <c r="Z159" s="558"/>
      <c r="AA159" s="558"/>
      <c r="AB159" s="557"/>
      <c r="AC159" s="558"/>
      <c r="AD159" s="558"/>
      <c r="AE159" s="558"/>
      <c r="AF159" s="557"/>
      <c r="AG159" s="325"/>
      <c r="AH159" s="325"/>
      <c r="AI159" s="325"/>
      <c r="AJ159" s="324"/>
      <c r="AK159" s="325"/>
      <c r="AL159" s="325"/>
      <c r="AM159" s="325"/>
      <c r="AN159" s="324"/>
      <c r="AO159" s="325"/>
      <c r="AP159" s="325"/>
      <c r="AQ159" s="325"/>
      <c r="AR159" s="324"/>
      <c r="AS159" s="325"/>
      <c r="AT159" s="325"/>
      <c r="AU159" s="325"/>
      <c r="AV159" s="324"/>
      <c r="AW159" s="325"/>
      <c r="AX159" s="325"/>
      <c r="AY159" s="325"/>
      <c r="AZ159" s="324"/>
      <c r="BA159" s="325"/>
      <c r="BB159" s="325"/>
      <c r="BC159" s="325"/>
      <c r="BD159" s="324"/>
      <c r="BE159" s="325"/>
      <c r="BF159" s="325"/>
      <c r="BG159" s="325"/>
      <c r="BH159" s="324"/>
      <c r="BI159" s="325"/>
      <c r="BJ159" s="325"/>
      <c r="BK159" s="325"/>
      <c r="BL159" s="20"/>
      <c r="BM159" s="559"/>
      <c r="BN159" s="325">
        <f>IF(ABS(BN157-IS!BN$10)&lt;1,"OK",BN157-IS!BN$10)</f>
        <v>-2009.1239999999998</v>
      </c>
      <c r="BO159" s="325">
        <f>IF(ABS(BO157-IS!BO$10)&lt;1,"OK",BO157-IS!BO$10)</f>
        <v>-2052.7829999999999</v>
      </c>
      <c r="BP159" s="325">
        <f>IF(ABS(BP157-IS!BP$10)&lt;1,"OK",BP157-IS!BP$10)</f>
        <v>-1448.4932000000003</v>
      </c>
      <c r="BQ159" s="325">
        <f>IF(ABS(BQ157-IS!BQ$10)&lt;1,"OK",BQ157-IS!BQ$10)</f>
        <v>-1518.1782800000001</v>
      </c>
      <c r="BR159" s="447"/>
      <c r="BS159" s="447"/>
      <c r="BT159" s="325"/>
      <c r="BU159" s="325"/>
      <c r="BV159" s="325"/>
      <c r="BW159" s="325"/>
      <c r="BX159" s="325"/>
      <c r="BY159" s="325"/>
      <c r="BZ159" s="325"/>
      <c r="CA159" s="484"/>
      <c r="CB159" s="74"/>
      <c r="CC159" s="74"/>
      <c r="CD159" s="74"/>
      <c r="CE159" s="74"/>
      <c r="CF159" s="14"/>
      <c r="CG159" s="14"/>
      <c r="CH159" s="14"/>
      <c r="CI159" s="14"/>
      <c r="CJ159" s="14"/>
      <c r="CK159" s="8"/>
      <c r="CL159" s="8"/>
      <c r="CM159" s="8"/>
      <c r="CN159" s="8"/>
      <c r="CO159" s="8"/>
      <c r="CP159" s="14"/>
      <c r="CQ159" s="14"/>
      <c r="CR159" s="14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</row>
    <row r="160" spans="1:256" ht="14.25" hidden="1" customHeight="1" outlineLevel="2">
      <c r="B160" s="74"/>
      <c r="AB160" s="8"/>
      <c r="AC160" s="8"/>
      <c r="AD160" s="8"/>
      <c r="AF160" s="8"/>
      <c r="BS160" s="8"/>
      <c r="BV160" s="371"/>
      <c r="BW160" s="1209"/>
      <c r="BX160" s="1209"/>
      <c r="BY160" s="1209"/>
      <c r="BZ160" s="1209"/>
      <c r="CP160" s="1209"/>
      <c r="CQ160" s="1209"/>
      <c r="CR160" s="1209"/>
    </row>
    <row r="161" spans="1:256" ht="14.25" hidden="1" customHeight="1" outlineLevel="2">
      <c r="A161" s="1"/>
      <c r="B161" s="162" t="s">
        <v>81</v>
      </c>
      <c r="C161" s="163"/>
      <c r="D161" s="766" t="str">
        <f>D$9</f>
        <v>F1Q06A</v>
      </c>
      <c r="E161" s="767" t="str">
        <f t="shared" ref="E161:BK161" si="242">E$9</f>
        <v>F2Q06A</v>
      </c>
      <c r="F161" s="767" t="str">
        <f t="shared" si="242"/>
        <v>F3Q06A</v>
      </c>
      <c r="G161" s="767" t="str">
        <f t="shared" si="242"/>
        <v>F4Q06A</v>
      </c>
      <c r="H161" s="766" t="str">
        <f t="shared" si="242"/>
        <v>F1Q07A</v>
      </c>
      <c r="I161" s="767" t="str">
        <f t="shared" si="242"/>
        <v>F2Q07A</v>
      </c>
      <c r="J161" s="767" t="str">
        <f t="shared" si="242"/>
        <v>F3Q07A</v>
      </c>
      <c r="K161" s="767" t="str">
        <f t="shared" si="242"/>
        <v>F4Q07A</v>
      </c>
      <c r="L161" s="766" t="str">
        <f t="shared" si="242"/>
        <v>F1Q08A</v>
      </c>
      <c r="M161" s="767" t="str">
        <f t="shared" si="242"/>
        <v>F2Q08A</v>
      </c>
      <c r="N161" s="767" t="str">
        <f t="shared" si="242"/>
        <v>F3Q08A</v>
      </c>
      <c r="O161" s="767" t="str">
        <f t="shared" si="242"/>
        <v>F4Q08A</v>
      </c>
      <c r="P161" s="766" t="str">
        <f t="shared" si="242"/>
        <v>F1Q09A</v>
      </c>
      <c r="Q161" s="767" t="str">
        <f t="shared" si="242"/>
        <v>F2Q09A</v>
      </c>
      <c r="R161" s="767" t="str">
        <f t="shared" si="242"/>
        <v>F3Q09A</v>
      </c>
      <c r="S161" s="767" t="str">
        <f t="shared" si="242"/>
        <v>F4Q09A</v>
      </c>
      <c r="T161" s="766" t="str">
        <f t="shared" si="242"/>
        <v>F1Q10A</v>
      </c>
      <c r="U161" s="767" t="str">
        <f t="shared" si="242"/>
        <v>F2Q10A</v>
      </c>
      <c r="V161" s="767" t="str">
        <f t="shared" si="242"/>
        <v>F3Q10A</v>
      </c>
      <c r="W161" s="767" t="str">
        <f t="shared" si="242"/>
        <v>F4Q10A</v>
      </c>
      <c r="X161" s="766" t="str">
        <f t="shared" si="242"/>
        <v>F1Q11A</v>
      </c>
      <c r="Y161" s="767" t="str">
        <f t="shared" si="242"/>
        <v>F2Q11A</v>
      </c>
      <c r="Z161" s="767" t="str">
        <f t="shared" si="242"/>
        <v>F3Q11A</v>
      </c>
      <c r="AA161" s="767" t="str">
        <f t="shared" si="242"/>
        <v>F4Q11A</v>
      </c>
      <c r="AB161" s="766" t="str">
        <f t="shared" si="242"/>
        <v>F1Q12A</v>
      </c>
      <c r="AC161" s="767" t="str">
        <f t="shared" si="242"/>
        <v>F2Q12A</v>
      </c>
      <c r="AD161" s="767" t="str">
        <f t="shared" si="242"/>
        <v>F3Q12A</v>
      </c>
      <c r="AE161" s="767" t="str">
        <f t="shared" si="242"/>
        <v>F4Q12A</v>
      </c>
      <c r="AF161" s="766" t="str">
        <f t="shared" si="242"/>
        <v>F1Q13A</v>
      </c>
      <c r="AG161" s="767" t="str">
        <f t="shared" si="242"/>
        <v>F2Q13A</v>
      </c>
      <c r="AH161" s="767" t="str">
        <f t="shared" si="242"/>
        <v>F3Q13A</v>
      </c>
      <c r="AI161" s="767" t="str">
        <f t="shared" si="242"/>
        <v>F4Q13A</v>
      </c>
      <c r="AJ161" s="766" t="str">
        <f t="shared" si="242"/>
        <v>F1Q14A</v>
      </c>
      <c r="AK161" s="767" t="str">
        <f t="shared" si="242"/>
        <v>F2Q14</v>
      </c>
      <c r="AL161" s="767" t="str">
        <f t="shared" si="242"/>
        <v>F3Q14A</v>
      </c>
      <c r="AM161" s="767" t="str">
        <f t="shared" si="242"/>
        <v>F4Q14A</v>
      </c>
      <c r="AN161" s="766" t="str">
        <f t="shared" si="242"/>
        <v>F1Q15A</v>
      </c>
      <c r="AO161" s="767" t="str">
        <f t="shared" si="242"/>
        <v>F2Q15A</v>
      </c>
      <c r="AP161" s="767" t="str">
        <f t="shared" si="242"/>
        <v>F3Q15A</v>
      </c>
      <c r="AQ161" s="768" t="str">
        <f t="shared" si="242"/>
        <v>F4Q15A</v>
      </c>
      <c r="AR161" s="766" t="str">
        <f t="shared" si="242"/>
        <v>F1Q16A</v>
      </c>
      <c r="AS161" s="767" t="str">
        <f t="shared" si="242"/>
        <v>F2Q16A</v>
      </c>
      <c r="AT161" s="767" t="str">
        <f t="shared" si="242"/>
        <v>F3Q16A</v>
      </c>
      <c r="AU161" s="768" t="str">
        <f t="shared" si="242"/>
        <v>F4Q16A</v>
      </c>
      <c r="AV161" s="766" t="str">
        <f t="shared" si="242"/>
        <v>F1Q17A</v>
      </c>
      <c r="AW161" s="767" t="str">
        <f t="shared" si="242"/>
        <v>F2Q17A</v>
      </c>
      <c r="AX161" s="767" t="str">
        <f t="shared" si="242"/>
        <v>F3Q17A</v>
      </c>
      <c r="AY161" s="768" t="str">
        <f t="shared" si="242"/>
        <v>F4Q17A</v>
      </c>
      <c r="AZ161" s="766" t="str">
        <f t="shared" si="242"/>
        <v>F1Q18A</v>
      </c>
      <c r="BA161" s="767" t="str">
        <f t="shared" si="242"/>
        <v>F2Q18A</v>
      </c>
      <c r="BB161" s="767" t="str">
        <f t="shared" si="242"/>
        <v>F3Q18A</v>
      </c>
      <c r="BC161" s="768" t="str">
        <f t="shared" si="242"/>
        <v>F4Q18E</v>
      </c>
      <c r="BD161" s="766" t="str">
        <f t="shared" si="242"/>
        <v>F1Q19E</v>
      </c>
      <c r="BE161" s="767" t="str">
        <f t="shared" si="242"/>
        <v>F2Q19E</v>
      </c>
      <c r="BF161" s="767" t="str">
        <f t="shared" si="242"/>
        <v>F3Q19E</v>
      </c>
      <c r="BG161" s="768" t="str">
        <f t="shared" si="242"/>
        <v>F4Q19E</v>
      </c>
      <c r="BH161" s="766" t="str">
        <f t="shared" si="242"/>
        <v>F1Q20E</v>
      </c>
      <c r="BI161" s="767" t="str">
        <f t="shared" si="242"/>
        <v>F2Q20E</v>
      </c>
      <c r="BJ161" s="767" t="str">
        <f t="shared" si="242"/>
        <v>F3Q20E</v>
      </c>
      <c r="BK161" s="768" t="str">
        <f t="shared" si="242"/>
        <v>F4Q20E</v>
      </c>
      <c r="BL161" s="20"/>
      <c r="BM161" s="766" t="str">
        <f t="shared" ref="BM161:CA161" si="243">BM$9</f>
        <v>FY2006A</v>
      </c>
      <c r="BN161" s="767" t="str">
        <f t="shared" si="243"/>
        <v>FY2007A</v>
      </c>
      <c r="BO161" s="767" t="str">
        <f t="shared" si="243"/>
        <v>FY2008A</v>
      </c>
      <c r="BP161" s="767" t="str">
        <f t="shared" si="243"/>
        <v>FY2009A</v>
      </c>
      <c r="BQ161" s="767" t="str">
        <f t="shared" si="243"/>
        <v>FY2010A</v>
      </c>
      <c r="BR161" s="767" t="str">
        <f t="shared" si="243"/>
        <v>FY2011A</v>
      </c>
      <c r="BS161" s="767" t="str">
        <f t="shared" si="243"/>
        <v>FY2012A</v>
      </c>
      <c r="BT161" s="767" t="str">
        <f t="shared" si="243"/>
        <v>FY2013A</v>
      </c>
      <c r="BU161" s="768" t="str">
        <f t="shared" si="243"/>
        <v>FY2014A</v>
      </c>
      <c r="BV161" s="1036" t="str">
        <f t="shared" si="243"/>
        <v>FY2015A</v>
      </c>
      <c r="BW161" s="1036" t="str">
        <f t="shared" si="243"/>
        <v>FY2016A</v>
      </c>
      <c r="BX161" s="1240" t="str">
        <f t="shared" si="243"/>
        <v>FY2017A</v>
      </c>
      <c r="BY161" s="1240" t="str">
        <f t="shared" si="243"/>
        <v>FY2018E</v>
      </c>
      <c r="BZ161" s="1240" t="str">
        <f t="shared" si="243"/>
        <v>FY2019E</v>
      </c>
      <c r="CA161" s="351" t="str">
        <f t="shared" si="243"/>
        <v>FY2020E</v>
      </c>
      <c r="CB161" s="1037"/>
      <c r="CC161" s="1037"/>
      <c r="CD161" s="1037"/>
      <c r="CE161" s="1037"/>
      <c r="CF161" s="371"/>
      <c r="CG161" s="371"/>
      <c r="CH161" s="371"/>
      <c r="CI161" s="371"/>
      <c r="CP161" s="1209"/>
      <c r="CQ161" s="1209"/>
      <c r="CR161" s="1209"/>
    </row>
    <row r="162" spans="1:256" ht="14.25" hidden="1" customHeight="1" outlineLevel="2">
      <c r="B162" s="449" t="str">
        <f>B154</f>
        <v>Avnet</v>
      </c>
      <c r="C162" s="418"/>
      <c r="D162" s="560"/>
      <c r="E162" s="561"/>
      <c r="F162" s="561"/>
      <c r="G162" s="562"/>
      <c r="H162" s="560"/>
      <c r="I162" s="561"/>
      <c r="J162" s="561"/>
      <c r="K162" s="562"/>
      <c r="L162" s="560"/>
      <c r="M162" s="561"/>
      <c r="N162" s="561"/>
      <c r="O162" s="562"/>
      <c r="P162" s="560"/>
      <c r="Q162" s="561"/>
      <c r="R162" s="561"/>
      <c r="S162" s="562"/>
      <c r="T162" s="560"/>
      <c r="U162" s="561"/>
      <c r="V162" s="561"/>
      <c r="W162" s="562"/>
      <c r="X162" s="560"/>
      <c r="Y162" s="561"/>
      <c r="Z162" s="561"/>
      <c r="AA162" s="562"/>
      <c r="AB162" s="560"/>
      <c r="AC162" s="561"/>
      <c r="AD162" s="561"/>
      <c r="AE162" s="562"/>
      <c r="AF162" s="560"/>
      <c r="AG162" s="453"/>
      <c r="AH162" s="453"/>
      <c r="AI162" s="454"/>
      <c r="AJ162" s="455"/>
      <c r="AK162" s="453"/>
      <c r="AL162" s="453"/>
      <c r="AM162" s="454"/>
      <c r="AN162" s="455"/>
      <c r="AO162" s="453"/>
      <c r="AP162" s="453"/>
      <c r="AQ162" s="454"/>
      <c r="AR162" s="455"/>
      <c r="AS162" s="453"/>
      <c r="AT162" s="453"/>
      <c r="AU162" s="454"/>
      <c r="AV162" s="455"/>
      <c r="AW162" s="453"/>
      <c r="AX162" s="453"/>
      <c r="AY162" s="454"/>
      <c r="AZ162" s="455"/>
      <c r="BA162" s="453"/>
      <c r="BB162" s="453"/>
      <c r="BC162" s="454"/>
      <c r="BD162" s="455"/>
      <c r="BE162" s="453"/>
      <c r="BF162" s="453"/>
      <c r="BG162" s="454"/>
      <c r="BH162" s="455"/>
      <c r="BI162" s="453"/>
      <c r="BJ162" s="453"/>
      <c r="BK162" s="454"/>
      <c r="BL162" s="424"/>
      <c r="BM162" s="563"/>
      <c r="BN162" s="611"/>
      <c r="BO162" s="694"/>
      <c r="BP162" s="619">
        <v>0.12</v>
      </c>
      <c r="BQ162" s="619">
        <v>0.12</v>
      </c>
      <c r="BR162" s="618">
        <v>0.14000000000000001</v>
      </c>
      <c r="BS162" s="620">
        <v>0.13</v>
      </c>
      <c r="BT162" s="467"/>
      <c r="BU162" s="456"/>
      <c r="BV162" s="456"/>
      <c r="BW162" s="456"/>
      <c r="BX162" s="456"/>
      <c r="BY162" s="456"/>
      <c r="BZ162" s="456"/>
      <c r="CA162" s="485"/>
      <c r="CB162" s="448"/>
      <c r="CC162" s="448"/>
      <c r="CD162" s="448"/>
      <c r="CE162" s="448"/>
      <c r="CF162" s="448"/>
      <c r="CG162" s="448"/>
      <c r="CH162" s="448"/>
      <c r="CI162" s="448"/>
      <c r="CP162" s="1209"/>
      <c r="CQ162" s="1209"/>
      <c r="CR162" s="1209"/>
    </row>
    <row r="163" spans="1:256" ht="14.25" hidden="1" customHeight="1" outlineLevel="2">
      <c r="B163" s="460" t="str">
        <f>B155</f>
        <v>Other Distributors</v>
      </c>
      <c r="C163" s="372"/>
      <c r="D163" s="564"/>
      <c r="E163" s="565"/>
      <c r="F163" s="565"/>
      <c r="G163" s="566"/>
      <c r="H163" s="564"/>
      <c r="I163" s="565"/>
      <c r="J163" s="565"/>
      <c r="K163" s="566"/>
      <c r="L163" s="564"/>
      <c r="M163" s="565"/>
      <c r="N163" s="565"/>
      <c r="O163" s="566"/>
      <c r="P163" s="564"/>
      <c r="Q163" s="565"/>
      <c r="R163" s="565"/>
      <c r="S163" s="566"/>
      <c r="T163" s="564"/>
      <c r="U163" s="565"/>
      <c r="V163" s="565"/>
      <c r="W163" s="566"/>
      <c r="X163" s="564"/>
      <c r="Y163" s="565"/>
      <c r="Z163" s="565"/>
      <c r="AA163" s="566"/>
      <c r="AB163" s="564"/>
      <c r="AC163" s="565"/>
      <c r="AD163" s="565"/>
      <c r="AE163" s="566"/>
      <c r="AF163" s="564"/>
      <c r="AG163" s="464"/>
      <c r="AH163" s="464"/>
      <c r="AI163" s="465"/>
      <c r="AJ163" s="466"/>
      <c r="AK163" s="464"/>
      <c r="AL163" s="464"/>
      <c r="AM163" s="465"/>
      <c r="AN163" s="466"/>
      <c r="AO163" s="464"/>
      <c r="AP163" s="464"/>
      <c r="AQ163" s="465"/>
      <c r="AR163" s="466"/>
      <c r="AS163" s="464"/>
      <c r="AT163" s="464"/>
      <c r="AU163" s="465"/>
      <c r="AV163" s="466"/>
      <c r="AW163" s="464"/>
      <c r="AX163" s="464"/>
      <c r="AY163" s="465"/>
      <c r="AZ163" s="466"/>
      <c r="BA163" s="464"/>
      <c r="BB163" s="464"/>
      <c r="BC163" s="465"/>
      <c r="BD163" s="466"/>
      <c r="BE163" s="464"/>
      <c r="BF163" s="464"/>
      <c r="BG163" s="465"/>
      <c r="BH163" s="466"/>
      <c r="BI163" s="464"/>
      <c r="BJ163" s="464"/>
      <c r="BK163" s="465"/>
      <c r="BL163" s="424"/>
      <c r="BM163" s="567"/>
      <c r="BN163" s="612"/>
      <c r="BO163" s="695"/>
      <c r="BP163" s="166"/>
      <c r="BQ163" s="673"/>
      <c r="BR163" s="526">
        <f>30%-14%</f>
        <v>0.15999999999999998</v>
      </c>
      <c r="BS163" s="620">
        <v>0.16</v>
      </c>
      <c r="BT163" s="467"/>
      <c r="BU163" s="415"/>
      <c r="BV163" s="415"/>
      <c r="BW163" s="415"/>
      <c r="BX163" s="415"/>
      <c r="BY163" s="415"/>
      <c r="BZ163" s="415"/>
      <c r="CA163" s="459"/>
      <c r="CB163" s="448"/>
      <c r="CC163" s="448"/>
      <c r="CD163" s="448"/>
      <c r="CE163" s="448"/>
      <c r="CF163" s="448"/>
      <c r="CG163" s="448"/>
      <c r="CH163" s="448"/>
      <c r="CI163" s="448"/>
      <c r="CP163" s="1209"/>
      <c r="CQ163" s="1209"/>
      <c r="CR163" s="1209"/>
    </row>
    <row r="164" spans="1:256" s="121" customFormat="1" ht="14.25" hidden="1" customHeight="1" outlineLevel="2">
      <c r="A164"/>
      <c r="B164" s="460" t="str">
        <f>B156</f>
        <v>Samsung (quarterly are estimates)</v>
      </c>
      <c r="C164" s="372"/>
      <c r="D164" s="564"/>
      <c r="E164" s="565"/>
      <c r="F164" s="565"/>
      <c r="G164" s="566"/>
      <c r="H164" s="564"/>
      <c r="I164" s="565"/>
      <c r="J164" s="565"/>
      <c r="K164" s="566"/>
      <c r="L164" s="564"/>
      <c r="M164" s="565"/>
      <c r="N164" s="565"/>
      <c r="O164" s="566"/>
      <c r="P164" s="564"/>
      <c r="Q164" s="565"/>
      <c r="R164" s="565"/>
      <c r="S164" s="566"/>
      <c r="T164" s="564"/>
      <c r="U164" s="565"/>
      <c r="V164" s="565"/>
      <c r="W164" s="566"/>
      <c r="X164" s="564"/>
      <c r="Y164" s="565"/>
      <c r="Z164" s="565"/>
      <c r="AA164" s="566"/>
      <c r="AB164" s="564"/>
      <c r="AC164" s="565"/>
      <c r="AD164" s="565"/>
      <c r="AE164" s="566"/>
      <c r="AF164" s="564"/>
      <c r="AG164" s="464"/>
      <c r="AH164" s="464"/>
      <c r="AI164" s="465"/>
      <c r="AJ164" s="466"/>
      <c r="AK164" s="464"/>
      <c r="AL164" s="464"/>
      <c r="AM164" s="465"/>
      <c r="AN164" s="466"/>
      <c r="AO164" s="464"/>
      <c r="AP164" s="464"/>
      <c r="AQ164" s="465"/>
      <c r="AR164" s="466"/>
      <c r="AS164" s="464"/>
      <c r="AT164" s="464"/>
      <c r="AU164" s="465"/>
      <c r="AV164" s="466"/>
      <c r="AW164" s="464"/>
      <c r="AX164" s="464"/>
      <c r="AY164" s="465"/>
      <c r="AZ164" s="466"/>
      <c r="BA164" s="464"/>
      <c r="BB164" s="464"/>
      <c r="BC164" s="465"/>
      <c r="BD164" s="466"/>
      <c r="BE164" s="464"/>
      <c r="BF164" s="464"/>
      <c r="BG164" s="465"/>
      <c r="BH164" s="466"/>
      <c r="BI164" s="464"/>
      <c r="BJ164" s="464"/>
      <c r="BK164" s="465"/>
      <c r="BL164" s="424"/>
      <c r="BM164" s="567"/>
      <c r="BN164" s="612"/>
      <c r="BO164" s="695"/>
      <c r="BP164" s="166"/>
      <c r="BQ164" s="620">
        <v>0.12</v>
      </c>
      <c r="BR164" s="526">
        <v>0.12</v>
      </c>
      <c r="BS164" s="620">
        <v>0.2</v>
      </c>
      <c r="BT164" s="620">
        <v>0.28000000000000003</v>
      </c>
      <c r="BU164" s="415"/>
      <c r="BV164" s="415"/>
      <c r="BW164" s="415"/>
      <c r="BX164" s="415"/>
      <c r="BY164" s="415"/>
      <c r="BZ164" s="415"/>
      <c r="CA164" s="459"/>
      <c r="CB164" s="448"/>
      <c r="CC164" s="448"/>
      <c r="CD164" s="448"/>
      <c r="CE164" s="448"/>
      <c r="CF164" s="448"/>
      <c r="CG164" s="448"/>
      <c r="CH164" s="448"/>
      <c r="CI164" s="448"/>
      <c r="CJ164"/>
      <c r="CK164"/>
      <c r="CL164"/>
      <c r="CM164"/>
      <c r="CN164"/>
      <c r="CO164"/>
      <c r="CP164" s="1209"/>
      <c r="CQ164" s="1209"/>
      <c r="CR164" s="1209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</row>
    <row r="165" spans="1:256" ht="14.25" hidden="1" customHeight="1" outlineLevel="2">
      <c r="A165" s="121"/>
      <c r="B165" s="469" t="s">
        <v>576</v>
      </c>
      <c r="C165" s="435"/>
      <c r="D165" s="568"/>
      <c r="E165" s="569"/>
      <c r="F165" s="569"/>
      <c r="G165" s="570"/>
      <c r="H165" s="568"/>
      <c r="I165" s="569"/>
      <c r="J165" s="569"/>
      <c r="K165" s="570"/>
      <c r="L165" s="568"/>
      <c r="M165" s="569"/>
      <c r="N165" s="569"/>
      <c r="O165" s="570"/>
      <c r="P165" s="568"/>
      <c r="Q165" s="569"/>
      <c r="R165" s="569"/>
      <c r="S165" s="570"/>
      <c r="T165" s="568"/>
      <c r="U165" s="569"/>
      <c r="V165" s="569"/>
      <c r="W165" s="570"/>
      <c r="X165" s="568"/>
      <c r="Y165" s="569"/>
      <c r="Z165" s="569"/>
      <c r="AA165" s="570"/>
      <c r="AB165" s="568"/>
      <c r="AC165" s="569"/>
      <c r="AD165" s="569"/>
      <c r="AE165" s="570"/>
      <c r="AF165" s="568"/>
      <c r="AG165" s="473"/>
      <c r="AH165" s="473"/>
      <c r="AI165" s="474"/>
      <c r="AJ165" s="475"/>
      <c r="AK165" s="473"/>
      <c r="AL165" s="473"/>
      <c r="AM165" s="474"/>
      <c r="AN165" s="475"/>
      <c r="AO165" s="473"/>
      <c r="AP165" s="473"/>
      <c r="AQ165" s="474"/>
      <c r="AR165" s="475"/>
      <c r="AS165" s="473"/>
      <c r="AT165" s="473"/>
      <c r="AU165" s="474"/>
      <c r="AV165" s="475"/>
      <c r="AW165" s="473"/>
      <c r="AX165" s="473"/>
      <c r="AY165" s="474"/>
      <c r="AZ165" s="475"/>
      <c r="BA165" s="473"/>
      <c r="BB165" s="473"/>
      <c r="BC165" s="474"/>
      <c r="BD165" s="475"/>
      <c r="BE165" s="473"/>
      <c r="BF165" s="473"/>
      <c r="BG165" s="474"/>
      <c r="BH165" s="475"/>
      <c r="BI165" s="473"/>
      <c r="BJ165" s="473"/>
      <c r="BK165" s="474"/>
      <c r="BL165" s="442"/>
      <c r="BM165" s="571"/>
      <c r="BN165" s="613"/>
      <c r="BO165" s="613"/>
      <c r="BP165" s="476">
        <f>SUM(BP162:BP164)</f>
        <v>0.12</v>
      </c>
      <c r="BQ165" s="476">
        <f>SUM(BQ162:BQ164)</f>
        <v>0.24</v>
      </c>
      <c r="BR165" s="476">
        <f>SUM(BR162:BR164)</f>
        <v>0.42</v>
      </c>
      <c r="BS165" s="476">
        <f>SUM(BS162:BS164)</f>
        <v>0.49000000000000005</v>
      </c>
      <c r="BT165" s="477"/>
      <c r="BU165" s="476"/>
      <c r="BV165" s="476"/>
      <c r="BW165" s="476"/>
      <c r="BX165" s="476"/>
      <c r="BY165" s="476"/>
      <c r="BZ165" s="476"/>
      <c r="CA165" s="435"/>
      <c r="CB165" s="835"/>
      <c r="CC165" s="835"/>
      <c r="CD165" s="835"/>
      <c r="CE165" s="835"/>
      <c r="CF165" s="804"/>
      <c r="CG165" s="804"/>
      <c r="CH165" s="804"/>
      <c r="CI165" s="804"/>
      <c r="CJ165" s="121"/>
      <c r="CK165" s="121"/>
      <c r="CL165" s="121"/>
      <c r="CM165" s="121"/>
      <c r="CN165" s="121"/>
      <c r="CO165" s="121"/>
      <c r="CP165" s="804"/>
      <c r="CQ165" s="804"/>
      <c r="CR165" s="804"/>
      <c r="CS165" s="121"/>
      <c r="CT165" s="121"/>
      <c r="CU165" s="121"/>
      <c r="CV165" s="121"/>
      <c r="CW165" s="121"/>
      <c r="CX165" s="121"/>
      <c r="CY165" s="121"/>
      <c r="CZ165" s="121"/>
      <c r="DA165" s="121"/>
      <c r="DB165" s="121"/>
      <c r="DC165" s="121"/>
      <c r="DD165" s="121"/>
      <c r="DE165" s="121"/>
      <c r="DF165" s="121"/>
      <c r="DG165" s="121"/>
      <c r="DH165" s="121"/>
      <c r="DI165" s="121"/>
      <c r="DJ165" s="121"/>
      <c r="DK165" s="121"/>
      <c r="DL165" s="121"/>
      <c r="DM165" s="121"/>
      <c r="DN165" s="121"/>
      <c r="DO165" s="121"/>
      <c r="DP165" s="121"/>
      <c r="DQ165" s="121"/>
      <c r="DR165" s="121"/>
      <c r="DS165" s="121"/>
      <c r="DT165" s="121"/>
      <c r="DU165" s="121"/>
      <c r="DV165" s="121"/>
      <c r="DW165" s="121"/>
      <c r="DX165" s="121"/>
      <c r="DY165" s="121"/>
      <c r="DZ165" s="121"/>
      <c r="EA165" s="121"/>
      <c r="EB165" s="121"/>
      <c r="EC165" s="121"/>
      <c r="ED165" s="121"/>
      <c r="EE165" s="121"/>
      <c r="EF165" s="121"/>
      <c r="EG165" s="121"/>
      <c r="EH165" s="121"/>
      <c r="EI165" s="121"/>
      <c r="EJ165" s="121"/>
      <c r="EK165" s="121"/>
      <c r="EL165" s="121"/>
      <c r="EM165" s="121"/>
      <c r="EN165" s="121"/>
      <c r="EO165" s="121"/>
      <c r="EP165" s="121"/>
      <c r="EQ165" s="121"/>
      <c r="ER165" s="121"/>
      <c r="ES165" s="121"/>
      <c r="ET165" s="121"/>
      <c r="EU165" s="121"/>
      <c r="EV165" s="121"/>
      <c r="EW165" s="121"/>
      <c r="EX165" s="121"/>
      <c r="EY165" s="121"/>
      <c r="EZ165" s="121"/>
      <c r="FA165" s="121"/>
      <c r="FB165" s="121"/>
      <c r="FC165" s="121"/>
      <c r="FD165" s="121"/>
      <c r="FE165" s="121"/>
      <c r="FF165" s="121"/>
      <c r="FG165" s="121"/>
      <c r="FH165" s="121"/>
      <c r="FI165" s="121"/>
      <c r="FJ165" s="121"/>
      <c r="FK165" s="121"/>
      <c r="FL165" s="121"/>
      <c r="FM165" s="121"/>
      <c r="FN165" s="121"/>
      <c r="FO165" s="121"/>
      <c r="FP165" s="121"/>
      <c r="FQ165" s="121"/>
      <c r="FR165" s="121"/>
      <c r="FS165" s="121"/>
      <c r="FT165" s="121"/>
      <c r="FU165" s="121"/>
      <c r="FV165" s="121"/>
      <c r="FW165" s="121"/>
      <c r="FX165" s="121"/>
      <c r="FY165" s="121"/>
      <c r="FZ165" s="121"/>
      <c r="GA165" s="121"/>
      <c r="GB165" s="121"/>
      <c r="GC165" s="121"/>
      <c r="GD165" s="121"/>
      <c r="GE165" s="121"/>
      <c r="GF165" s="121"/>
      <c r="GG165" s="121"/>
      <c r="GH165" s="121"/>
      <c r="GI165" s="121"/>
      <c r="GJ165" s="121"/>
      <c r="GK165" s="121"/>
      <c r="GL165" s="121"/>
      <c r="GM165" s="121"/>
      <c r="GN165" s="121"/>
      <c r="GO165" s="121"/>
      <c r="GP165" s="121"/>
      <c r="GQ165" s="121"/>
      <c r="GR165" s="121"/>
      <c r="GS165" s="121"/>
      <c r="GT165" s="121"/>
      <c r="GU165" s="121"/>
      <c r="GV165" s="121"/>
      <c r="GW165" s="121"/>
      <c r="GX165" s="121"/>
      <c r="GY165" s="121"/>
      <c r="GZ165" s="121"/>
      <c r="HA165" s="121"/>
      <c r="HB165" s="121"/>
      <c r="HC165" s="121"/>
      <c r="HD165" s="121"/>
      <c r="HE165" s="121"/>
      <c r="HF165" s="121"/>
      <c r="HG165" s="121"/>
      <c r="HH165" s="121"/>
      <c r="HI165" s="121"/>
      <c r="HJ165" s="121"/>
      <c r="HK165" s="121"/>
      <c r="HL165" s="121"/>
      <c r="HM165" s="121"/>
      <c r="HN165" s="121"/>
      <c r="HO165" s="121"/>
      <c r="HP165" s="121"/>
      <c r="HQ165" s="121"/>
      <c r="HR165" s="121"/>
      <c r="HS165" s="121"/>
      <c r="HT165" s="121"/>
      <c r="HU165" s="121"/>
      <c r="HV165" s="121"/>
      <c r="HW165" s="121"/>
      <c r="HX165" s="121"/>
      <c r="HY165" s="121"/>
      <c r="HZ165" s="121"/>
      <c r="IA165" s="121"/>
      <c r="IB165" s="121"/>
      <c r="IC165" s="121"/>
      <c r="ID165" s="121"/>
      <c r="IE165" s="121"/>
      <c r="IF165" s="121"/>
      <c r="IG165" s="121"/>
      <c r="IH165" s="121"/>
      <c r="II165" s="121"/>
      <c r="IJ165" s="121"/>
      <c r="IK165" s="121"/>
      <c r="IL165" s="121"/>
      <c r="IM165" s="121"/>
      <c r="IN165" s="121"/>
      <c r="IO165" s="121"/>
      <c r="IP165" s="121"/>
      <c r="IQ165" s="121"/>
      <c r="IR165" s="121"/>
      <c r="IS165" s="121"/>
      <c r="IT165" s="121"/>
      <c r="IU165" s="121"/>
      <c r="IV165" s="121"/>
    </row>
    <row r="166" spans="1:256" s="8" customFormat="1" ht="14.25" hidden="1" customHeight="1" outlineLevel="3">
      <c r="A166"/>
      <c r="B166" s="37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V166" s="14"/>
      <c r="BW166" s="14"/>
      <c r="BX166" s="14"/>
      <c r="BY166" s="14"/>
      <c r="BZ166" s="14"/>
      <c r="CA166"/>
      <c r="CB166" s="1425"/>
      <c r="CC166" s="1425"/>
      <c r="CD166" s="1425"/>
      <c r="CE166" s="1425"/>
      <c r="CF166"/>
      <c r="CG166"/>
      <c r="CH166"/>
      <c r="CI166"/>
      <c r="CJ166"/>
      <c r="CK166"/>
      <c r="CL166"/>
      <c r="CM166"/>
      <c r="CN166"/>
      <c r="CO166"/>
      <c r="CP166" s="1209"/>
      <c r="CQ166" s="1209"/>
      <c r="CR166" s="1209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</row>
    <row r="167" spans="1:256" ht="14.25" hidden="1" customHeight="1" outlineLevel="2">
      <c r="A167" s="8"/>
      <c r="B167" s="322" t="s">
        <v>575</v>
      </c>
      <c r="C167" s="323"/>
      <c r="D167" s="557"/>
      <c r="E167" s="558"/>
      <c r="F167" s="558"/>
      <c r="G167" s="558"/>
      <c r="H167" s="446">
        <f>IF(ROUND(H165,1)=1,"OK",H165)</f>
        <v>0</v>
      </c>
      <c r="I167" s="447">
        <f>IF(ROUND(I165,1)=1,"OK",I165)</f>
        <v>0</v>
      </c>
      <c r="J167" s="447">
        <f>IF(ROUND(J165,1)=1,"OK",J165)</f>
        <v>0</v>
      </c>
      <c r="K167" s="447">
        <f>IF(ROUND(K165,1)=1,"OK",K165)</f>
        <v>0</v>
      </c>
      <c r="L167" s="446">
        <f>IF(ROUND(L165,1)=1,"OK",L165)</f>
        <v>0</v>
      </c>
      <c r="M167" s="447">
        <f t="shared" ref="M167:AC167" si="244">IF(ROUND(M165,1)=1,"OK",M165)</f>
        <v>0</v>
      </c>
      <c r="N167" s="447">
        <f t="shared" si="244"/>
        <v>0</v>
      </c>
      <c r="O167" s="447">
        <f t="shared" si="244"/>
        <v>0</v>
      </c>
      <c r="P167" s="446">
        <f t="shared" si="244"/>
        <v>0</v>
      </c>
      <c r="Q167" s="447">
        <f t="shared" si="244"/>
        <v>0</v>
      </c>
      <c r="R167" s="447">
        <f t="shared" si="244"/>
        <v>0</v>
      </c>
      <c r="S167" s="447">
        <f t="shared" si="244"/>
        <v>0</v>
      </c>
      <c r="T167" s="446">
        <f t="shared" si="244"/>
        <v>0</v>
      </c>
      <c r="U167" s="447">
        <f t="shared" si="244"/>
        <v>0</v>
      </c>
      <c r="V167" s="447">
        <f t="shared" si="244"/>
        <v>0</v>
      </c>
      <c r="W167" s="447">
        <f t="shared" si="244"/>
        <v>0</v>
      </c>
      <c r="X167" s="446">
        <f t="shared" si="244"/>
        <v>0</v>
      </c>
      <c r="Y167" s="447">
        <f t="shared" si="244"/>
        <v>0</v>
      </c>
      <c r="Z167" s="447">
        <f t="shared" si="244"/>
        <v>0</v>
      </c>
      <c r="AA167" s="447">
        <f t="shared" si="244"/>
        <v>0</v>
      </c>
      <c r="AB167" s="446">
        <f t="shared" si="244"/>
        <v>0</v>
      </c>
      <c r="AC167" s="447">
        <f t="shared" si="244"/>
        <v>0</v>
      </c>
      <c r="AD167" s="447">
        <f>IF(ROUND(AD165,1)=1,"OK",AD165)</f>
        <v>0</v>
      </c>
      <c r="AE167" s="447">
        <f>IF(ROUND(AE165,1)=1,"OK",AE165)</f>
        <v>0</v>
      </c>
      <c r="AF167" s="446">
        <f>IF(ROUND(AF165,1)=1,"OK",AF165)</f>
        <v>0</v>
      </c>
      <c r="AG167" s="325"/>
      <c r="AH167" s="325"/>
      <c r="AI167" s="325"/>
      <c r="AJ167" s="324"/>
      <c r="AK167" s="325"/>
      <c r="AL167" s="325"/>
      <c r="AM167" s="325"/>
      <c r="AN167" s="324"/>
      <c r="AO167" s="325"/>
      <c r="AP167" s="325"/>
      <c r="AQ167" s="325"/>
      <c r="AR167" s="324"/>
      <c r="AS167" s="325"/>
      <c r="AT167" s="325"/>
      <c r="AU167" s="325"/>
      <c r="AV167" s="324"/>
      <c r="AW167" s="325"/>
      <c r="AX167" s="325"/>
      <c r="AY167" s="325"/>
      <c r="AZ167" s="324"/>
      <c r="BA167" s="325"/>
      <c r="BB167" s="325"/>
      <c r="BC167" s="325"/>
      <c r="BD167" s="324"/>
      <c r="BE167" s="325"/>
      <c r="BF167" s="325"/>
      <c r="BG167" s="325"/>
      <c r="BH167" s="324"/>
      <c r="BI167" s="325"/>
      <c r="BJ167" s="325"/>
      <c r="BK167" s="325"/>
      <c r="BL167" s="20"/>
      <c r="BM167" s="559"/>
      <c r="BN167" s="325">
        <f t="shared" ref="BN167:BS167" si="245">IF(ROUND(BN165,1)=1,"OK",BN165)</f>
        <v>0</v>
      </c>
      <c r="BO167" s="325">
        <f t="shared" si="245"/>
        <v>0</v>
      </c>
      <c r="BP167" s="325">
        <f t="shared" si="245"/>
        <v>0.12</v>
      </c>
      <c r="BQ167" s="325">
        <f t="shared" si="245"/>
        <v>0.24</v>
      </c>
      <c r="BR167" s="447">
        <f t="shared" si="245"/>
        <v>0.42</v>
      </c>
      <c r="BS167" s="447">
        <f t="shared" si="245"/>
        <v>0.49000000000000005</v>
      </c>
      <c r="BT167" s="325"/>
      <c r="BU167" s="325"/>
      <c r="BV167" s="325"/>
      <c r="BW167" s="325"/>
      <c r="BX167" s="325"/>
      <c r="BY167" s="325"/>
      <c r="BZ167" s="325"/>
      <c r="CA167" s="484"/>
      <c r="CB167" s="74"/>
      <c r="CC167" s="74"/>
      <c r="CD167" s="74"/>
      <c r="CE167" s="74"/>
      <c r="CF167" s="8"/>
      <c r="CG167" s="8"/>
      <c r="CH167" s="8"/>
      <c r="CI167" s="8"/>
      <c r="CJ167" s="14"/>
      <c r="CK167" s="8"/>
      <c r="CL167" s="8"/>
      <c r="CM167" s="8"/>
      <c r="CN167" s="8"/>
      <c r="CO167" s="8"/>
      <c r="CP167" s="14"/>
      <c r="CQ167" s="14"/>
      <c r="CR167" s="14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/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</row>
    <row r="168" spans="1:256" ht="14.25" hidden="1" customHeight="1" outlineLevel="2">
      <c r="B168" s="371"/>
      <c r="BM168" s="8"/>
      <c r="BN168" s="8"/>
      <c r="BO168" s="8"/>
      <c r="BP168" s="8"/>
      <c r="BQ168" s="8"/>
      <c r="BR168" s="8"/>
      <c r="BS168" s="8"/>
      <c r="BT168" s="8"/>
      <c r="BU168" s="8"/>
      <c r="BV168" s="14"/>
      <c r="BW168" s="14"/>
      <c r="BX168" s="14"/>
      <c r="BY168" s="14"/>
      <c r="BZ168" s="14"/>
      <c r="CP168" s="1209"/>
      <c r="CQ168" s="1209"/>
      <c r="CR168" s="1209"/>
    </row>
    <row r="169" spans="1:256" s="121" customFormat="1" ht="14.25" hidden="1" customHeight="1" outlineLevel="2" collapsed="1">
      <c r="B169" s="961"/>
      <c r="C169" s="804"/>
      <c r="D169" s="962"/>
      <c r="E169" s="962"/>
      <c r="F169" s="962"/>
      <c r="G169" s="962"/>
      <c r="H169" s="962"/>
      <c r="I169" s="962"/>
      <c r="J169" s="962"/>
      <c r="K169" s="962"/>
      <c r="L169" s="962"/>
      <c r="M169" s="963"/>
      <c r="N169" s="963"/>
      <c r="O169" s="963"/>
      <c r="P169" s="963"/>
      <c r="Q169" s="963"/>
      <c r="R169" s="963"/>
      <c r="S169" s="963"/>
      <c r="T169" s="963"/>
      <c r="U169" s="963"/>
      <c r="V169" s="963"/>
      <c r="W169" s="963"/>
      <c r="X169" s="963"/>
      <c r="Y169" s="963"/>
      <c r="Z169" s="963"/>
      <c r="AA169" s="963"/>
      <c r="AB169" s="963"/>
      <c r="AC169" s="963"/>
      <c r="AD169" s="963"/>
      <c r="AE169" s="963"/>
      <c r="AF169" s="963"/>
      <c r="AG169" s="963"/>
      <c r="AH169" s="963"/>
      <c r="AI169" s="964"/>
      <c r="AJ169" s="964"/>
      <c r="AK169" s="964"/>
      <c r="AL169" s="964"/>
      <c r="AM169" s="964"/>
      <c r="AN169" s="964"/>
      <c r="AO169" s="964"/>
      <c r="AP169" s="964"/>
      <c r="AQ169" s="964"/>
      <c r="AR169" s="964"/>
      <c r="AS169" s="964"/>
      <c r="AT169" s="964"/>
      <c r="AU169" s="964"/>
      <c r="AV169" s="964"/>
      <c r="AW169" s="964"/>
      <c r="AX169" s="964"/>
      <c r="AY169" s="964"/>
      <c r="AZ169" s="964"/>
      <c r="BA169" s="964"/>
      <c r="BB169" s="964"/>
      <c r="BC169" s="964"/>
      <c r="BD169" s="964"/>
      <c r="BE169" s="964"/>
      <c r="BF169" s="964"/>
      <c r="BG169" s="964"/>
      <c r="BH169" s="964"/>
      <c r="BI169" s="964"/>
      <c r="BJ169" s="964"/>
      <c r="BK169" s="964"/>
      <c r="BL169" s="804"/>
      <c r="BM169" s="965"/>
      <c r="BN169" s="965"/>
      <c r="BO169" s="803"/>
      <c r="BP169" s="803"/>
      <c r="BQ169" s="803"/>
      <c r="BR169" s="803"/>
      <c r="BS169" s="803"/>
      <c r="BT169" s="803"/>
      <c r="BU169" s="803"/>
      <c r="BV169" s="803"/>
      <c r="BW169" s="803"/>
      <c r="BX169" s="803"/>
      <c r="BY169" s="803"/>
      <c r="BZ169" s="803"/>
      <c r="CA169" s="804"/>
      <c r="CB169" s="835"/>
      <c r="CC169" s="835"/>
      <c r="CD169" s="835"/>
      <c r="CE169" s="835"/>
      <c r="CF169" s="804"/>
      <c r="CG169" s="804"/>
      <c r="CH169" s="804"/>
      <c r="CI169" s="804"/>
    </row>
    <row r="170" spans="1:256" s="1152" customFormat="1" ht="14.25" hidden="1" customHeight="1" outlineLevel="2">
      <c r="A170" s="121"/>
      <c r="B170" s="162" t="s">
        <v>257</v>
      </c>
      <c r="C170" s="163"/>
      <c r="D170" s="766" t="s">
        <v>135</v>
      </c>
      <c r="E170" s="767" t="s">
        <v>136</v>
      </c>
      <c r="F170" s="767" t="s">
        <v>137</v>
      </c>
      <c r="G170" s="767" t="s">
        <v>138</v>
      </c>
      <c r="H170" s="766" t="s">
        <v>139</v>
      </c>
      <c r="I170" s="767" t="s">
        <v>140</v>
      </c>
      <c r="J170" s="767" t="s">
        <v>141</v>
      </c>
      <c r="K170" s="767" t="s">
        <v>142</v>
      </c>
      <c r="L170" s="766" t="s">
        <v>143</v>
      </c>
      <c r="M170" s="767" t="s">
        <v>144</v>
      </c>
      <c r="N170" s="767" t="s">
        <v>153</v>
      </c>
      <c r="O170" s="767" t="s">
        <v>154</v>
      </c>
      <c r="P170" s="766" t="s">
        <v>155</v>
      </c>
      <c r="Q170" s="767" t="s">
        <v>156</v>
      </c>
      <c r="R170" s="767" t="s">
        <v>157</v>
      </c>
      <c r="S170" s="767" t="s">
        <v>158</v>
      </c>
      <c r="T170" s="766" t="s">
        <v>159</v>
      </c>
      <c r="U170" s="767" t="s">
        <v>160</v>
      </c>
      <c r="V170" s="767" t="s">
        <v>161</v>
      </c>
      <c r="W170" s="767" t="s">
        <v>162</v>
      </c>
      <c r="X170" s="766" t="s">
        <v>163</v>
      </c>
      <c r="Y170" s="767" t="s">
        <v>164</v>
      </c>
      <c r="Z170" s="767" t="s">
        <v>165</v>
      </c>
      <c r="AA170" s="767" t="s">
        <v>166</v>
      </c>
      <c r="AB170" s="766" t="s">
        <v>167</v>
      </c>
      <c r="AC170" s="767" t="s">
        <v>168</v>
      </c>
      <c r="AD170" s="767" t="s">
        <v>169</v>
      </c>
      <c r="AE170" s="768" t="s">
        <v>201</v>
      </c>
      <c r="AF170" s="766" t="s">
        <v>207</v>
      </c>
      <c r="AG170" s="767" t="s">
        <v>214</v>
      </c>
      <c r="AH170" s="767" t="s">
        <v>170</v>
      </c>
      <c r="AI170" s="768" t="s">
        <v>171</v>
      </c>
      <c r="AJ170" s="767" t="s">
        <v>172</v>
      </c>
      <c r="AK170" s="767" t="s">
        <v>173</v>
      </c>
      <c r="AL170" s="767" t="s">
        <v>174</v>
      </c>
      <c r="AM170" s="768" t="s">
        <v>175</v>
      </c>
      <c r="AN170" s="766" t="s">
        <v>176</v>
      </c>
      <c r="AO170" s="767" t="s">
        <v>177</v>
      </c>
      <c r="AP170" s="767" t="s">
        <v>178</v>
      </c>
      <c r="AQ170" s="768" t="s">
        <v>179</v>
      </c>
      <c r="AR170" s="766" t="str">
        <f t="shared" ref="AR170:BC170" si="246">AR136</f>
        <v>F1Q16A</v>
      </c>
      <c r="AS170" s="767" t="str">
        <f t="shared" si="246"/>
        <v>F2Q16A</v>
      </c>
      <c r="AT170" s="767" t="str">
        <f t="shared" si="246"/>
        <v>F3Q16A</v>
      </c>
      <c r="AU170" s="768" t="str">
        <f t="shared" si="246"/>
        <v>F4Q16A</v>
      </c>
      <c r="AV170" s="766" t="str">
        <f t="shared" si="246"/>
        <v>F1Q17A</v>
      </c>
      <c r="AW170" s="767" t="str">
        <f t="shared" si="246"/>
        <v>F2Q17A</v>
      </c>
      <c r="AX170" s="767" t="str">
        <f t="shared" si="246"/>
        <v>F3Q17A</v>
      </c>
      <c r="AY170" s="768" t="str">
        <f t="shared" si="246"/>
        <v>F4Q17A</v>
      </c>
      <c r="AZ170" s="766" t="str">
        <f t="shared" si="246"/>
        <v>F1Q18A</v>
      </c>
      <c r="BA170" s="767" t="str">
        <f t="shared" si="246"/>
        <v>F2Q18A</v>
      </c>
      <c r="BB170" s="767" t="str">
        <f t="shared" si="246"/>
        <v>F3Q18A</v>
      </c>
      <c r="BC170" s="768" t="str">
        <f t="shared" si="246"/>
        <v>F4Q18E</v>
      </c>
      <c r="BD170" s="766" t="str">
        <f t="shared" ref="BD170:BK170" si="247">BD136</f>
        <v>F1Q19E</v>
      </c>
      <c r="BE170" s="767" t="str">
        <f t="shared" si="247"/>
        <v>F2Q19E</v>
      </c>
      <c r="BF170" s="767" t="str">
        <f t="shared" si="247"/>
        <v>F3Q19E</v>
      </c>
      <c r="BG170" s="768" t="str">
        <f t="shared" si="247"/>
        <v>F4Q19E</v>
      </c>
      <c r="BH170" s="766" t="str">
        <f t="shared" si="247"/>
        <v>F1Q20E</v>
      </c>
      <c r="BI170" s="767" t="str">
        <f t="shared" si="247"/>
        <v>F2Q20E</v>
      </c>
      <c r="BJ170" s="767" t="str">
        <f t="shared" si="247"/>
        <v>F3Q20E</v>
      </c>
      <c r="BK170" s="768" t="str">
        <f t="shared" si="247"/>
        <v>F4Q20E</v>
      </c>
      <c r="BL170" s="260"/>
      <c r="BM170" s="766" t="s">
        <v>180</v>
      </c>
      <c r="BN170" s="767" t="s">
        <v>181</v>
      </c>
      <c r="BO170" s="767" t="s">
        <v>182</v>
      </c>
      <c r="BP170" s="767" t="s">
        <v>183</v>
      </c>
      <c r="BQ170" s="767" t="s">
        <v>184</v>
      </c>
      <c r="BR170" s="766" t="s">
        <v>185</v>
      </c>
      <c r="BS170" s="767" t="s">
        <v>186</v>
      </c>
      <c r="BT170" s="767" t="s">
        <v>187</v>
      </c>
      <c r="BU170" s="768" t="s">
        <v>188</v>
      </c>
      <c r="BV170" s="803"/>
      <c r="BW170" s="803"/>
      <c r="BX170" s="803"/>
      <c r="BY170" s="803"/>
      <c r="BZ170" s="803"/>
      <c r="CA170" s="804"/>
      <c r="CB170" s="835"/>
      <c r="CC170" s="835"/>
      <c r="CD170" s="835"/>
      <c r="CE170" s="835"/>
      <c r="CF170" s="804"/>
      <c r="CG170" s="804"/>
      <c r="CH170" s="804"/>
      <c r="CI170" s="804"/>
      <c r="CJ170" s="121"/>
      <c r="CK170" s="121"/>
      <c r="CL170" s="121"/>
      <c r="CM170" s="121"/>
      <c r="CN170" s="121"/>
      <c r="CO170" s="121"/>
      <c r="CP170" s="121"/>
      <c r="CQ170" s="121"/>
      <c r="CR170" s="121"/>
      <c r="CS170" s="121"/>
      <c r="CT170" s="121"/>
      <c r="CU170" s="121"/>
      <c r="CV170" s="121"/>
      <c r="CW170" s="121"/>
      <c r="CX170" s="121"/>
      <c r="CY170" s="121"/>
      <c r="CZ170" s="121"/>
      <c r="DA170" s="121"/>
      <c r="DB170" s="121"/>
      <c r="DC170" s="121"/>
      <c r="DD170" s="121"/>
      <c r="DE170" s="121"/>
      <c r="DF170" s="121"/>
      <c r="DG170" s="121"/>
      <c r="DH170" s="121"/>
      <c r="DI170" s="121"/>
      <c r="DJ170" s="121"/>
      <c r="DK170" s="121"/>
      <c r="DL170" s="121"/>
      <c r="DM170" s="121"/>
      <c r="DN170" s="121"/>
      <c r="DO170" s="121"/>
      <c r="DP170" s="121"/>
      <c r="DQ170" s="121"/>
      <c r="DR170" s="121"/>
      <c r="DS170" s="121"/>
      <c r="DT170" s="121"/>
      <c r="DU170" s="121"/>
      <c r="DV170" s="121"/>
      <c r="DW170" s="121"/>
      <c r="DX170" s="121"/>
      <c r="DY170" s="121"/>
      <c r="DZ170" s="121"/>
      <c r="EA170" s="121"/>
      <c r="EB170" s="121"/>
      <c r="EC170" s="121"/>
      <c r="ED170" s="121"/>
      <c r="EE170" s="121"/>
      <c r="EF170" s="121"/>
      <c r="EG170" s="121"/>
      <c r="EH170" s="121"/>
      <c r="EI170" s="121"/>
      <c r="EJ170" s="121"/>
      <c r="EK170" s="121"/>
      <c r="EL170" s="121"/>
      <c r="EM170" s="121"/>
      <c r="EN170" s="121"/>
      <c r="EO170" s="121"/>
      <c r="EP170" s="121"/>
      <c r="EQ170" s="121"/>
      <c r="ER170" s="121"/>
      <c r="ES170" s="121"/>
      <c r="ET170" s="121"/>
      <c r="EU170" s="121"/>
      <c r="EV170" s="121"/>
      <c r="EW170" s="121"/>
      <c r="EX170" s="121"/>
      <c r="EY170" s="121"/>
      <c r="EZ170" s="121"/>
      <c r="FA170" s="121"/>
      <c r="FB170" s="121"/>
      <c r="FC170" s="121"/>
      <c r="FD170" s="121"/>
      <c r="FE170" s="121"/>
      <c r="FF170" s="121"/>
      <c r="FG170" s="121"/>
      <c r="FH170" s="121"/>
      <c r="FI170" s="121"/>
      <c r="FJ170" s="121"/>
      <c r="FK170" s="121"/>
      <c r="FL170" s="121"/>
      <c r="FM170" s="121"/>
      <c r="FN170" s="121"/>
      <c r="FO170" s="121"/>
      <c r="FP170" s="121"/>
      <c r="FQ170" s="121"/>
      <c r="FR170" s="121"/>
      <c r="FS170" s="121"/>
      <c r="FT170" s="121"/>
      <c r="FU170" s="121"/>
      <c r="FV170" s="121"/>
      <c r="FW170" s="121"/>
      <c r="FX170" s="121"/>
      <c r="FY170" s="121"/>
      <c r="FZ170" s="121"/>
      <c r="GA170" s="121"/>
      <c r="GB170" s="121"/>
      <c r="GC170" s="121"/>
      <c r="GD170" s="121"/>
      <c r="GE170" s="121"/>
      <c r="GF170" s="121"/>
      <c r="GG170" s="121"/>
      <c r="GH170" s="121"/>
      <c r="GI170" s="121"/>
      <c r="GJ170" s="121"/>
      <c r="GK170" s="121"/>
      <c r="GL170" s="121"/>
      <c r="GM170" s="121"/>
      <c r="GN170" s="121"/>
      <c r="GO170" s="121"/>
      <c r="GP170" s="121"/>
      <c r="GQ170" s="121"/>
      <c r="GR170" s="121"/>
      <c r="GS170" s="121"/>
      <c r="GT170" s="121"/>
      <c r="GU170" s="121"/>
      <c r="GV170" s="121"/>
      <c r="GW170" s="121"/>
      <c r="GX170" s="121"/>
      <c r="GY170" s="121"/>
      <c r="GZ170" s="121"/>
      <c r="HA170" s="121"/>
      <c r="HB170" s="121"/>
      <c r="HC170" s="121"/>
      <c r="HD170" s="121"/>
      <c r="HE170" s="121"/>
      <c r="HF170" s="121"/>
      <c r="HG170" s="121"/>
      <c r="HH170" s="121"/>
      <c r="HI170" s="121"/>
      <c r="HJ170" s="121"/>
      <c r="HK170" s="121"/>
      <c r="HL170" s="121"/>
      <c r="HM170" s="121"/>
      <c r="HN170" s="121"/>
      <c r="HO170" s="121"/>
      <c r="HP170" s="121"/>
      <c r="HQ170" s="121"/>
      <c r="HR170" s="121"/>
      <c r="HS170" s="121"/>
      <c r="HT170" s="121"/>
      <c r="HU170" s="121"/>
      <c r="HV170" s="121"/>
      <c r="HW170" s="121"/>
      <c r="HX170" s="121"/>
      <c r="HY170" s="121"/>
      <c r="HZ170" s="121"/>
      <c r="IA170" s="121"/>
      <c r="IB170" s="121"/>
      <c r="IC170" s="121"/>
      <c r="ID170" s="121"/>
      <c r="IE170" s="121"/>
      <c r="IF170" s="121"/>
      <c r="IG170" s="121"/>
      <c r="IH170" s="121"/>
      <c r="II170" s="121"/>
      <c r="IJ170" s="121"/>
      <c r="IK170" s="121"/>
      <c r="IL170" s="121"/>
      <c r="IM170" s="121"/>
      <c r="IN170" s="121"/>
      <c r="IO170" s="121"/>
      <c r="IP170" s="121"/>
      <c r="IQ170" s="121"/>
      <c r="IR170" s="121"/>
      <c r="IS170" s="121"/>
      <c r="IT170" s="121"/>
      <c r="IU170" s="121"/>
      <c r="IV170" s="121"/>
    </row>
    <row r="171" spans="1:256" s="754" customFormat="1" ht="14.25" hidden="1" customHeight="1" outlineLevel="2">
      <c r="A171" s="1152"/>
      <c r="B171" s="1153" t="s">
        <v>258</v>
      </c>
      <c r="C171" s="1154"/>
      <c r="D171" s="1155"/>
      <c r="E171" s="1155"/>
      <c r="F171" s="1155"/>
      <c r="G171" s="1155"/>
      <c r="H171" s="1155"/>
      <c r="I171" s="1155"/>
      <c r="J171" s="1155"/>
      <c r="K171" s="1155"/>
      <c r="L171" s="1155"/>
      <c r="M171" s="1155"/>
      <c r="N171" s="1155"/>
      <c r="O171" s="1155"/>
      <c r="P171" s="1155"/>
      <c r="Q171" s="1155"/>
      <c r="R171" s="1155"/>
      <c r="S171" s="1155"/>
      <c r="T171" s="1155"/>
      <c r="U171" s="1155"/>
      <c r="V171" s="1155"/>
      <c r="W171" s="1155"/>
      <c r="X171" s="1155"/>
      <c r="Y171" s="1155"/>
      <c r="Z171" s="1155"/>
      <c r="AA171" s="1155"/>
      <c r="AB171" s="1185">
        <f>+AB138</f>
        <v>260.76081999999997</v>
      </c>
      <c r="AC171" s="1186">
        <f t="shared" ref="AC171:AM171" si="248">+AC138</f>
        <v>242.45719</v>
      </c>
      <c r="AD171" s="1186">
        <f t="shared" si="248"/>
        <v>234.19691999999998</v>
      </c>
      <c r="AE171" s="1187">
        <f t="shared" si="248"/>
        <v>260.13108</v>
      </c>
      <c r="AF171" s="1185">
        <f t="shared" si="248"/>
        <v>292.84525000000002</v>
      </c>
      <c r="AG171" s="1186">
        <f t="shared" si="248"/>
        <v>278.44076000000001</v>
      </c>
      <c r="AH171" s="1186">
        <f t="shared" si="248"/>
        <v>296.39316000000002</v>
      </c>
      <c r="AI171" s="1187">
        <f t="shared" si="248"/>
        <v>267.60535999999996</v>
      </c>
      <c r="AJ171" s="1155">
        <f>+AJ178+AJ211</f>
        <v>264.82513</v>
      </c>
      <c r="AK171" s="1158">
        <f>+AK178+AK211</f>
        <v>311.78405500000002</v>
      </c>
      <c r="AL171" s="1158">
        <f t="shared" si="248"/>
        <v>230.15878000000001</v>
      </c>
      <c r="AM171" s="1159">
        <f t="shared" si="248"/>
        <v>244.13746</v>
      </c>
      <c r="AN171" s="1156"/>
      <c r="AO171" s="1155"/>
      <c r="AP171" s="1155"/>
      <c r="AQ171" s="1157"/>
      <c r="AR171" s="1156"/>
      <c r="AS171" s="1155"/>
      <c r="AT171" s="1155"/>
      <c r="AU171" s="1157"/>
      <c r="AV171" s="1156"/>
      <c r="AW171" s="1155"/>
      <c r="AX171" s="1155"/>
      <c r="AY171" s="1157"/>
      <c r="AZ171" s="1156"/>
      <c r="BA171" s="1155"/>
      <c r="BB171" s="1155"/>
      <c r="BC171" s="1157"/>
      <c r="BD171" s="1156"/>
      <c r="BE171" s="1155"/>
      <c r="BF171" s="1155"/>
      <c r="BG171" s="1157"/>
      <c r="BH171" s="1156"/>
      <c r="BI171" s="1155"/>
      <c r="BJ171" s="1155"/>
      <c r="BK171" s="1157"/>
      <c r="BL171" s="910"/>
      <c r="BM171" s="1155"/>
      <c r="BN171" s="1155"/>
      <c r="BO171" s="1155"/>
      <c r="BP171" s="1155"/>
      <c r="BQ171" s="1155"/>
      <c r="BR171" s="1160"/>
      <c r="BS171" s="1158">
        <f>+SUM(AB171:AE171)</f>
        <v>997.54600999999991</v>
      </c>
      <c r="BT171" s="1158">
        <f>+SUM(AF171:AI171)</f>
        <v>1135.2845300000001</v>
      </c>
      <c r="BU171" s="1159"/>
      <c r="BV171" s="910"/>
      <c r="BW171" s="910"/>
      <c r="BX171" s="910"/>
      <c r="BY171" s="910"/>
      <c r="BZ171" s="910"/>
      <c r="CA171" s="836"/>
      <c r="CB171" s="836"/>
      <c r="CC171" s="836"/>
      <c r="CD171" s="836"/>
      <c r="CE171" s="836"/>
      <c r="CF171" s="836"/>
      <c r="CG171" s="836"/>
      <c r="CH171" s="836"/>
      <c r="CI171" s="836"/>
      <c r="CJ171" s="1152"/>
      <c r="CK171" s="1152"/>
      <c r="CL171" s="1152"/>
      <c r="CM171" s="1152"/>
      <c r="CN171" s="1152"/>
      <c r="CO171" s="1152"/>
      <c r="CP171" s="1152"/>
      <c r="CQ171" s="1152"/>
      <c r="CR171" s="1152"/>
      <c r="CS171" s="1152"/>
      <c r="CT171" s="1152"/>
      <c r="CU171" s="1152"/>
      <c r="CV171" s="1152"/>
      <c r="CW171" s="1152"/>
      <c r="CX171" s="1152"/>
      <c r="CY171" s="1152"/>
      <c r="CZ171" s="1152"/>
      <c r="DA171" s="1152"/>
      <c r="DB171" s="1152"/>
      <c r="DC171" s="1152"/>
      <c r="DD171" s="1152"/>
      <c r="DE171" s="1152"/>
      <c r="DF171" s="1152"/>
      <c r="DG171" s="1152"/>
      <c r="DH171" s="1152"/>
      <c r="DI171" s="1152"/>
      <c r="DJ171" s="1152"/>
      <c r="DK171" s="1152"/>
      <c r="DL171" s="1152"/>
      <c r="DM171" s="1152"/>
      <c r="DN171" s="1152"/>
      <c r="DO171" s="1152"/>
      <c r="DP171" s="1152"/>
      <c r="DQ171" s="1152"/>
      <c r="DR171" s="1152"/>
      <c r="DS171" s="1152"/>
      <c r="DT171" s="1152"/>
      <c r="DU171" s="1152"/>
      <c r="DV171" s="1152"/>
      <c r="DW171" s="1152"/>
      <c r="DX171" s="1152"/>
      <c r="DY171" s="1152"/>
      <c r="DZ171" s="1152"/>
      <c r="EA171" s="1152"/>
      <c r="EB171" s="1152"/>
      <c r="EC171" s="1152"/>
      <c r="ED171" s="1152"/>
      <c r="EE171" s="1152"/>
      <c r="EF171" s="1152"/>
      <c r="EG171" s="1152"/>
      <c r="EH171" s="1152"/>
      <c r="EI171" s="1152"/>
      <c r="EJ171" s="1152"/>
      <c r="EK171" s="1152"/>
      <c r="EL171" s="1152"/>
      <c r="EM171" s="1152"/>
      <c r="EN171" s="1152"/>
      <c r="EO171" s="1152"/>
      <c r="EP171" s="1152"/>
      <c r="EQ171" s="1152"/>
      <c r="ER171" s="1152"/>
      <c r="ES171" s="1152"/>
      <c r="ET171" s="1152"/>
      <c r="EU171" s="1152"/>
      <c r="EV171" s="1152"/>
      <c r="EW171" s="1152"/>
      <c r="EX171" s="1152"/>
      <c r="EY171" s="1152"/>
      <c r="EZ171" s="1152"/>
      <c r="FA171" s="1152"/>
      <c r="FB171" s="1152"/>
      <c r="FC171" s="1152"/>
      <c r="FD171" s="1152"/>
      <c r="FE171" s="1152"/>
      <c r="FF171" s="1152"/>
      <c r="FG171" s="1152"/>
      <c r="FH171" s="1152"/>
      <c r="FI171" s="1152"/>
      <c r="FJ171" s="1152"/>
      <c r="FK171" s="1152"/>
      <c r="FL171" s="1152"/>
      <c r="FM171" s="1152"/>
      <c r="FN171" s="1152"/>
      <c r="FO171" s="1152"/>
      <c r="FP171" s="1152"/>
      <c r="FQ171" s="1152"/>
      <c r="FR171" s="1152"/>
      <c r="FS171" s="1152"/>
      <c r="FT171" s="1152"/>
      <c r="FU171" s="1152"/>
      <c r="FV171" s="1152"/>
      <c r="FW171" s="1152"/>
      <c r="FX171" s="1152"/>
      <c r="FY171" s="1152"/>
      <c r="FZ171" s="1152"/>
      <c r="GA171" s="1152"/>
      <c r="GB171" s="1152"/>
      <c r="GC171" s="1152"/>
      <c r="GD171" s="1152"/>
      <c r="GE171" s="1152"/>
      <c r="GF171" s="1152"/>
      <c r="GG171" s="1152"/>
      <c r="GH171" s="1152"/>
      <c r="GI171" s="1152"/>
      <c r="GJ171" s="1152"/>
      <c r="GK171" s="1152"/>
      <c r="GL171" s="1152"/>
      <c r="GM171" s="1152"/>
      <c r="GN171" s="1152"/>
      <c r="GO171" s="1152"/>
      <c r="GP171" s="1152"/>
      <c r="GQ171" s="1152"/>
      <c r="GR171" s="1152"/>
      <c r="GS171" s="1152"/>
      <c r="GT171" s="1152"/>
      <c r="GU171" s="1152"/>
      <c r="GV171" s="1152"/>
      <c r="GW171" s="1152"/>
      <c r="GX171" s="1152"/>
      <c r="GY171" s="1152"/>
      <c r="GZ171" s="1152"/>
      <c r="HA171" s="1152"/>
      <c r="HB171" s="1152"/>
      <c r="HC171" s="1152"/>
      <c r="HD171" s="1152"/>
      <c r="HE171" s="1152"/>
      <c r="HF171" s="1152"/>
      <c r="HG171" s="1152"/>
      <c r="HH171" s="1152"/>
      <c r="HI171" s="1152"/>
      <c r="HJ171" s="1152"/>
      <c r="HK171" s="1152"/>
      <c r="HL171" s="1152"/>
      <c r="HM171" s="1152"/>
      <c r="HN171" s="1152"/>
      <c r="HO171" s="1152"/>
      <c r="HP171" s="1152"/>
      <c r="HQ171" s="1152"/>
      <c r="HR171" s="1152"/>
      <c r="HS171" s="1152"/>
      <c r="HT171" s="1152"/>
      <c r="HU171" s="1152"/>
      <c r="HV171" s="1152"/>
      <c r="HW171" s="1152"/>
      <c r="HX171" s="1152"/>
      <c r="HY171" s="1152"/>
      <c r="HZ171" s="1152"/>
      <c r="IA171" s="1152"/>
      <c r="IB171" s="1152"/>
      <c r="IC171" s="1152"/>
      <c r="ID171" s="1152"/>
      <c r="IE171" s="1152"/>
      <c r="IF171" s="1152"/>
      <c r="IG171" s="1152"/>
      <c r="IH171" s="1152"/>
      <c r="II171" s="1152"/>
      <c r="IJ171" s="1152"/>
      <c r="IK171" s="1152"/>
      <c r="IL171" s="1152"/>
      <c r="IM171" s="1152"/>
      <c r="IN171" s="1152"/>
      <c r="IO171" s="1152"/>
      <c r="IP171" s="1152"/>
      <c r="IQ171" s="1152"/>
      <c r="IR171" s="1152"/>
      <c r="IS171" s="1152"/>
      <c r="IT171" s="1152"/>
      <c r="IU171" s="1152"/>
      <c r="IV171" s="1152"/>
    </row>
    <row r="172" spans="1:256" s="754" customFormat="1" ht="14.25" hidden="1" customHeight="1" outlineLevel="2">
      <c r="B172" s="1025" t="s">
        <v>259</v>
      </c>
      <c r="C172" s="242"/>
      <c r="D172" s="1037"/>
      <c r="E172" s="1037"/>
      <c r="F172" s="1037"/>
      <c r="G172" s="1037"/>
      <c r="H172" s="1037"/>
      <c r="I172" s="1037"/>
      <c r="J172" s="1037"/>
      <c r="K172" s="1037"/>
      <c r="L172" s="1037"/>
      <c r="M172" s="1037"/>
      <c r="N172" s="1037"/>
      <c r="O172" s="1037"/>
      <c r="P172" s="1037"/>
      <c r="Q172" s="1037"/>
      <c r="R172" s="1037"/>
      <c r="S172" s="1037"/>
      <c r="T172" s="1037"/>
      <c r="U172" s="1037"/>
      <c r="V172" s="1037"/>
      <c r="W172" s="1037"/>
      <c r="X172" s="1037"/>
      <c r="Y172" s="1037"/>
      <c r="Z172" s="1037"/>
      <c r="AA172" s="1037"/>
      <c r="AB172" s="1046"/>
      <c r="AC172" s="1037"/>
      <c r="AD172" s="1037"/>
      <c r="AE172" s="1047"/>
      <c r="AF172" s="1046"/>
      <c r="AG172" s="1037"/>
      <c r="AH172" s="1037"/>
      <c r="AI172" s="1047"/>
      <c r="AJ172" s="1037"/>
      <c r="AK172" s="1037"/>
      <c r="AL172" s="1037"/>
      <c r="AM172" s="1047"/>
      <c r="AN172" s="1037"/>
      <c r="AO172" s="1037"/>
      <c r="AP172" s="1037"/>
      <c r="AQ172" s="1047"/>
      <c r="AR172" s="1037"/>
      <c r="AS172" s="1037"/>
      <c r="AT172" s="1037"/>
      <c r="AU172" s="1047"/>
      <c r="AV172" s="1037"/>
      <c r="AW172" s="1037"/>
      <c r="AX172" s="1037"/>
      <c r="AY172" s="1047"/>
      <c r="AZ172" s="1037"/>
      <c r="BA172" s="1037"/>
      <c r="BB172" s="1037"/>
      <c r="BC172" s="1047"/>
      <c r="BD172" s="1037"/>
      <c r="BE172" s="1037"/>
      <c r="BF172" s="1037"/>
      <c r="BG172" s="1047"/>
      <c r="BH172" s="1037"/>
      <c r="BI172" s="1037"/>
      <c r="BJ172" s="1037"/>
      <c r="BK172" s="1047"/>
      <c r="BL172" s="74"/>
      <c r="BM172" s="1037"/>
      <c r="BN172" s="1037"/>
      <c r="BO172" s="1037"/>
      <c r="BP172" s="1037"/>
      <c r="BQ172" s="1037"/>
      <c r="BR172" s="1046"/>
      <c r="BS172" s="1037"/>
      <c r="BT172" s="1143">
        <f>+BT171/BS171-1</f>
        <v>0.13807736046179997</v>
      </c>
      <c r="BU172" s="1047"/>
      <c r="BV172" s="1048"/>
      <c r="BW172" s="1048"/>
      <c r="BX172" s="1048"/>
      <c r="BY172" s="1048"/>
      <c r="BZ172" s="1048"/>
      <c r="CA172" s="835"/>
      <c r="CB172" s="835"/>
      <c r="CC172" s="835"/>
      <c r="CD172" s="835"/>
      <c r="CE172" s="835"/>
      <c r="CF172" s="835"/>
      <c r="CG172" s="835"/>
      <c r="CH172" s="835"/>
      <c r="CI172" s="835"/>
    </row>
    <row r="173" spans="1:256" s="754" customFormat="1" ht="14.25" hidden="1" customHeight="1" outlineLevel="2">
      <c r="B173" s="1025" t="s">
        <v>260</v>
      </c>
      <c r="C173" s="242"/>
      <c r="D173" s="1037"/>
      <c r="E173" s="1037"/>
      <c r="F173" s="1037"/>
      <c r="G173" s="1037"/>
      <c r="H173" s="1037"/>
      <c r="I173" s="1037"/>
      <c r="J173" s="1037"/>
      <c r="K173" s="1037"/>
      <c r="L173" s="1037"/>
      <c r="M173" s="1037"/>
      <c r="N173" s="1037"/>
      <c r="O173" s="1037"/>
      <c r="P173" s="1037"/>
      <c r="Q173" s="1037"/>
      <c r="R173" s="1037"/>
      <c r="S173" s="1037"/>
      <c r="T173" s="1037"/>
      <c r="U173" s="1037"/>
      <c r="V173" s="1037"/>
      <c r="W173" s="1037"/>
      <c r="X173" s="1037"/>
      <c r="Y173" s="1037"/>
      <c r="Z173" s="1037"/>
      <c r="AA173" s="1037"/>
      <c r="AB173" s="1046"/>
      <c r="AC173" s="1037"/>
      <c r="AD173" s="1037"/>
      <c r="AE173" s="1047"/>
      <c r="AF173" s="1046"/>
      <c r="AG173" s="1037"/>
      <c r="AH173" s="1178"/>
      <c r="AI173" s="1176"/>
      <c r="AJ173" s="1037"/>
      <c r="AK173" s="1037"/>
      <c r="AL173" s="1037"/>
      <c r="AM173" s="1047"/>
      <c r="AN173" s="1037"/>
      <c r="AO173" s="1037"/>
      <c r="AP173" s="1037"/>
      <c r="AQ173" s="1047"/>
      <c r="AR173" s="1037"/>
      <c r="AS173" s="1037"/>
      <c r="AT173" s="1037"/>
      <c r="AU173" s="1047"/>
      <c r="AV173" s="1037"/>
      <c r="AW173" s="1037"/>
      <c r="AX173" s="1037"/>
      <c r="AY173" s="1047"/>
      <c r="AZ173" s="1037"/>
      <c r="BA173" s="1037"/>
      <c r="BB173" s="1037"/>
      <c r="BC173" s="1047"/>
      <c r="BD173" s="1037"/>
      <c r="BE173" s="1037"/>
      <c r="BF173" s="1037"/>
      <c r="BG173" s="1047"/>
      <c r="BH173" s="1037"/>
      <c r="BI173" s="1037"/>
      <c r="BJ173" s="1037"/>
      <c r="BK173" s="1047"/>
      <c r="BL173" s="74"/>
      <c r="BM173" s="1037"/>
      <c r="BN173" s="1037"/>
      <c r="BO173" s="1037"/>
      <c r="BP173" s="1037"/>
      <c r="BQ173" s="1037"/>
      <c r="BR173" s="1046"/>
      <c r="BS173" s="1037"/>
      <c r="BT173" s="1037">
        <f>+BT171-BS171</f>
        <v>137.73852000000022</v>
      </c>
      <c r="BU173" s="1047"/>
      <c r="BV173" s="1048"/>
      <c r="BW173" s="1048"/>
      <c r="BX173" s="1048"/>
      <c r="BY173" s="1048"/>
      <c r="BZ173" s="1048"/>
      <c r="CA173" s="835"/>
      <c r="CB173" s="835"/>
      <c r="CC173" s="835"/>
      <c r="CD173" s="835"/>
      <c r="CE173" s="835"/>
      <c r="CF173" s="835"/>
      <c r="CG173" s="835"/>
      <c r="CH173" s="835"/>
      <c r="CI173" s="835"/>
    </row>
    <row r="174" spans="1:256" s="1120" customFormat="1" ht="14.25" hidden="1" customHeight="1" outlineLevel="2">
      <c r="A174" s="754"/>
      <c r="B174" s="1025"/>
      <c r="C174" s="242"/>
      <c r="D174" s="1037"/>
      <c r="E174" s="1037"/>
      <c r="F174" s="1037"/>
      <c r="G174" s="1037"/>
      <c r="H174" s="1037"/>
      <c r="I174" s="1037"/>
      <c r="J174" s="1037"/>
      <c r="K174" s="1037"/>
      <c r="L174" s="1037"/>
      <c r="M174" s="1037"/>
      <c r="N174" s="1037"/>
      <c r="O174" s="1037"/>
      <c r="P174" s="1037"/>
      <c r="Q174" s="1037"/>
      <c r="R174" s="1037"/>
      <c r="S174" s="1037"/>
      <c r="T174" s="1037"/>
      <c r="U174" s="1037"/>
      <c r="V174" s="1037"/>
      <c r="W174" s="1037"/>
      <c r="X174" s="1037"/>
      <c r="Y174" s="1037"/>
      <c r="Z174" s="1037"/>
      <c r="AA174" s="1037"/>
      <c r="AB174" s="1046"/>
      <c r="AC174" s="1037"/>
      <c r="AD174" s="1037"/>
      <c r="AE174" s="1047"/>
      <c r="AF174" s="1046"/>
      <c r="AG174" s="1037"/>
      <c r="AH174" s="1037"/>
      <c r="AI174" s="1176"/>
      <c r="AJ174" s="1037"/>
      <c r="AK174" s="1037"/>
      <c r="AL174" s="1037"/>
      <c r="AM174" s="1047"/>
      <c r="AN174" s="1037"/>
      <c r="AO174" s="1037"/>
      <c r="AP174" s="1037"/>
      <c r="AQ174" s="1047"/>
      <c r="AR174" s="1037"/>
      <c r="AS174" s="1037"/>
      <c r="AT174" s="1037"/>
      <c r="AU174" s="1047"/>
      <c r="AV174" s="1037"/>
      <c r="AW174" s="1037"/>
      <c r="AX174" s="1037"/>
      <c r="AY174" s="1047"/>
      <c r="AZ174" s="1037"/>
      <c r="BA174" s="1037"/>
      <c r="BB174" s="1037"/>
      <c r="BC174" s="1047"/>
      <c r="BD174" s="1037"/>
      <c r="BE174" s="1037"/>
      <c r="BF174" s="1037"/>
      <c r="BG174" s="1047"/>
      <c r="BH174" s="1037"/>
      <c r="BI174" s="1037"/>
      <c r="BJ174" s="1037"/>
      <c r="BK174" s="1047"/>
      <c r="BL174" s="74"/>
      <c r="BM174" s="1037"/>
      <c r="BN174" s="1037"/>
      <c r="BO174" s="1037"/>
      <c r="BP174" s="1037"/>
      <c r="BQ174" s="1037"/>
      <c r="BR174" s="1046"/>
      <c r="BS174" s="1037"/>
      <c r="BT174" s="1037"/>
      <c r="BU174" s="1047"/>
      <c r="BV174" s="1048"/>
      <c r="BW174" s="1048"/>
      <c r="BX174" s="1048"/>
      <c r="BY174" s="1048"/>
      <c r="BZ174" s="1048"/>
      <c r="CA174" s="835"/>
      <c r="CB174" s="835"/>
      <c r="CC174" s="835"/>
      <c r="CD174" s="835"/>
      <c r="CE174" s="835"/>
      <c r="CF174" s="835"/>
      <c r="CG174" s="835"/>
      <c r="CH174" s="835"/>
      <c r="CI174" s="835"/>
      <c r="CJ174" s="754"/>
      <c r="CK174" s="754"/>
      <c r="CL174" s="754"/>
      <c r="CM174" s="754"/>
      <c r="CN174" s="754"/>
      <c r="CO174" s="754"/>
      <c r="CP174" s="754"/>
      <c r="CQ174" s="754"/>
      <c r="CR174" s="754"/>
      <c r="CS174" s="754"/>
      <c r="CT174" s="754"/>
      <c r="CU174" s="754"/>
      <c r="CV174" s="754"/>
      <c r="CW174" s="754"/>
      <c r="CX174" s="754"/>
      <c r="CY174" s="754"/>
      <c r="CZ174" s="754"/>
      <c r="DA174" s="754"/>
      <c r="DB174" s="754"/>
      <c r="DC174" s="754"/>
      <c r="DD174" s="754"/>
      <c r="DE174" s="754"/>
      <c r="DF174" s="754"/>
      <c r="DG174" s="754"/>
      <c r="DH174" s="754"/>
      <c r="DI174" s="754"/>
      <c r="DJ174" s="754"/>
      <c r="DK174" s="754"/>
      <c r="DL174" s="754"/>
      <c r="DM174" s="754"/>
      <c r="DN174" s="754"/>
      <c r="DO174" s="754"/>
      <c r="DP174" s="754"/>
      <c r="DQ174" s="754"/>
      <c r="DR174" s="754"/>
      <c r="DS174" s="754"/>
      <c r="DT174" s="754"/>
      <c r="DU174" s="754"/>
      <c r="DV174" s="754"/>
      <c r="DW174" s="754"/>
      <c r="DX174" s="754"/>
      <c r="DY174" s="754"/>
      <c r="DZ174" s="754"/>
      <c r="EA174" s="754"/>
      <c r="EB174" s="754"/>
      <c r="EC174" s="754"/>
      <c r="ED174" s="754"/>
      <c r="EE174" s="754"/>
      <c r="EF174" s="754"/>
      <c r="EG174" s="754"/>
      <c r="EH174" s="754"/>
      <c r="EI174" s="754"/>
      <c r="EJ174" s="754"/>
      <c r="EK174" s="754"/>
      <c r="EL174" s="754"/>
      <c r="EM174" s="754"/>
      <c r="EN174" s="754"/>
      <c r="EO174" s="754"/>
      <c r="EP174" s="754"/>
      <c r="EQ174" s="754"/>
      <c r="ER174" s="754"/>
      <c r="ES174" s="754"/>
      <c r="ET174" s="754"/>
      <c r="EU174" s="754"/>
      <c r="EV174" s="754"/>
      <c r="EW174" s="754"/>
      <c r="EX174" s="754"/>
      <c r="EY174" s="754"/>
      <c r="EZ174" s="754"/>
      <c r="FA174" s="754"/>
      <c r="FB174" s="754"/>
      <c r="FC174" s="754"/>
      <c r="FD174" s="754"/>
      <c r="FE174" s="754"/>
      <c r="FF174" s="754"/>
      <c r="FG174" s="754"/>
      <c r="FH174" s="754"/>
      <c r="FI174" s="754"/>
      <c r="FJ174" s="754"/>
      <c r="FK174" s="754"/>
      <c r="FL174" s="754"/>
      <c r="FM174" s="754"/>
      <c r="FN174" s="754"/>
      <c r="FO174" s="754"/>
      <c r="FP174" s="754"/>
      <c r="FQ174" s="754"/>
      <c r="FR174" s="754"/>
      <c r="FS174" s="754"/>
      <c r="FT174" s="754"/>
      <c r="FU174" s="754"/>
      <c r="FV174" s="754"/>
      <c r="FW174" s="754"/>
      <c r="FX174" s="754"/>
      <c r="FY174" s="754"/>
      <c r="FZ174" s="754"/>
      <c r="GA174" s="754"/>
      <c r="GB174" s="754"/>
      <c r="GC174" s="754"/>
      <c r="GD174" s="754"/>
      <c r="GE174" s="754"/>
      <c r="GF174" s="754"/>
      <c r="GG174" s="754"/>
      <c r="GH174" s="754"/>
      <c r="GI174" s="754"/>
      <c r="GJ174" s="754"/>
      <c r="GK174" s="754"/>
      <c r="GL174" s="754"/>
      <c r="GM174" s="754"/>
      <c r="GN174" s="754"/>
      <c r="GO174" s="754"/>
      <c r="GP174" s="754"/>
      <c r="GQ174" s="754"/>
      <c r="GR174" s="754"/>
      <c r="GS174" s="754"/>
      <c r="GT174" s="754"/>
      <c r="GU174" s="754"/>
      <c r="GV174" s="754"/>
      <c r="GW174" s="754"/>
      <c r="GX174" s="754"/>
      <c r="GY174" s="754"/>
      <c r="GZ174" s="754"/>
      <c r="HA174" s="754"/>
      <c r="HB174" s="754"/>
      <c r="HC174" s="754"/>
      <c r="HD174" s="754"/>
      <c r="HE174" s="754"/>
      <c r="HF174" s="754"/>
      <c r="HG174" s="754"/>
      <c r="HH174" s="754"/>
      <c r="HI174" s="754"/>
      <c r="HJ174" s="754"/>
      <c r="HK174" s="754"/>
      <c r="HL174" s="754"/>
      <c r="HM174" s="754"/>
      <c r="HN174" s="754"/>
      <c r="HO174" s="754"/>
      <c r="HP174" s="754"/>
      <c r="HQ174" s="754"/>
      <c r="HR174" s="754"/>
      <c r="HS174" s="754"/>
      <c r="HT174" s="754"/>
      <c r="HU174" s="754"/>
      <c r="HV174" s="754"/>
      <c r="HW174" s="754"/>
      <c r="HX174" s="754"/>
      <c r="HY174" s="754"/>
      <c r="HZ174" s="754"/>
      <c r="IA174" s="754"/>
      <c r="IB174" s="754"/>
      <c r="IC174" s="754"/>
      <c r="ID174" s="754"/>
      <c r="IE174" s="754"/>
      <c r="IF174" s="754"/>
      <c r="IG174" s="754"/>
      <c r="IH174" s="754"/>
      <c r="II174" s="754"/>
      <c r="IJ174" s="754"/>
      <c r="IK174" s="754"/>
      <c r="IL174" s="754"/>
      <c r="IM174" s="754"/>
      <c r="IN174" s="754"/>
      <c r="IO174" s="754"/>
      <c r="IP174" s="754"/>
      <c r="IQ174" s="754"/>
      <c r="IR174" s="754"/>
      <c r="IS174" s="754"/>
      <c r="IT174" s="754"/>
      <c r="IU174" s="754"/>
      <c r="IV174" s="754"/>
    </row>
    <row r="175" spans="1:256" s="1114" customFormat="1" ht="14.25" hidden="1" customHeight="1" outlineLevel="2">
      <c r="A175" s="1120"/>
      <c r="B175" s="1127" t="s">
        <v>277</v>
      </c>
      <c r="C175" s="1121"/>
      <c r="D175" s="1122"/>
      <c r="E175" s="1122"/>
      <c r="F175" s="1122"/>
      <c r="G175" s="1122"/>
      <c r="H175" s="1122"/>
      <c r="I175" s="1122"/>
      <c r="J175" s="1122"/>
      <c r="K175" s="1122"/>
      <c r="L175" s="1122"/>
      <c r="M175" s="1122"/>
      <c r="N175" s="1122"/>
      <c r="O175" s="1122"/>
      <c r="P175" s="1122"/>
      <c r="Q175" s="1122"/>
      <c r="R175" s="1122"/>
      <c r="S175" s="1122"/>
      <c r="T175" s="1122"/>
      <c r="U175" s="1122"/>
      <c r="V175" s="1122"/>
      <c r="W175" s="1122"/>
      <c r="X175" s="1122"/>
      <c r="Y175" s="1122"/>
      <c r="Z175" s="1122"/>
      <c r="AA175" s="1122"/>
      <c r="AB175" s="1123"/>
      <c r="AC175" s="1122"/>
      <c r="AD175" s="1122"/>
      <c r="AE175" s="1124"/>
      <c r="AF175" s="1123"/>
      <c r="AG175" s="1122"/>
      <c r="AH175" s="1177"/>
      <c r="AI175" s="1175"/>
      <c r="AJ175" s="1122"/>
      <c r="AK175" s="1122"/>
      <c r="AL175" s="1122"/>
      <c r="AM175" s="1124"/>
      <c r="AN175" s="1122"/>
      <c r="AO175" s="1122"/>
      <c r="AP175" s="1122"/>
      <c r="AQ175" s="1124"/>
      <c r="AR175" s="1122"/>
      <c r="AS175" s="1122"/>
      <c r="AT175" s="1122"/>
      <c r="AU175" s="1124"/>
      <c r="AV175" s="1122"/>
      <c r="AW175" s="1122"/>
      <c r="AX175" s="1122"/>
      <c r="AY175" s="1124"/>
      <c r="AZ175" s="1122"/>
      <c r="BA175" s="1122"/>
      <c r="BB175" s="1122"/>
      <c r="BC175" s="1124"/>
      <c r="BD175" s="1122"/>
      <c r="BE175" s="1122"/>
      <c r="BF175" s="1122"/>
      <c r="BG175" s="1124"/>
      <c r="BH175" s="1122"/>
      <c r="BI175" s="1122"/>
      <c r="BJ175" s="1122"/>
      <c r="BK175" s="1124"/>
      <c r="BL175" s="1103"/>
      <c r="BM175" s="1122"/>
      <c r="BN175" s="1122"/>
      <c r="BO175" s="1122"/>
      <c r="BP175" s="1122"/>
      <c r="BQ175" s="1122"/>
      <c r="BR175" s="1123"/>
      <c r="BS175" s="1122"/>
      <c r="BT175" s="1177">
        <f>+AI175/BT156</f>
        <v>0</v>
      </c>
      <c r="BU175" s="1124"/>
      <c r="BV175" s="1048"/>
      <c r="BW175" s="1048"/>
      <c r="BX175" s="1048"/>
      <c r="BY175" s="1048"/>
      <c r="BZ175" s="1048"/>
      <c r="CA175" s="1125"/>
      <c r="CB175" s="1125"/>
      <c r="CC175" s="1125"/>
      <c r="CD175" s="1125"/>
      <c r="CE175" s="1125"/>
      <c r="CF175" s="1125"/>
      <c r="CG175" s="1125"/>
      <c r="CH175" s="1125"/>
      <c r="CI175" s="1125"/>
      <c r="CJ175" s="1120"/>
      <c r="CK175" s="1120"/>
      <c r="CL175" s="1120"/>
      <c r="CM175" s="1120"/>
      <c r="CN175" s="1120"/>
      <c r="CO175" s="1120"/>
      <c r="CP175" s="1120"/>
      <c r="CQ175" s="1120"/>
      <c r="CR175" s="1120"/>
      <c r="CS175" s="1120"/>
      <c r="CT175" s="1120"/>
      <c r="CU175" s="1120"/>
      <c r="CV175" s="1120"/>
      <c r="CW175" s="1120"/>
      <c r="CX175" s="1120"/>
      <c r="CY175" s="1120"/>
      <c r="CZ175" s="1120"/>
      <c r="DA175" s="1120"/>
      <c r="DB175" s="1120"/>
      <c r="DC175" s="1120"/>
      <c r="DD175" s="1120"/>
      <c r="DE175" s="1120"/>
      <c r="DF175" s="1120"/>
      <c r="DG175" s="1120"/>
      <c r="DH175" s="1120"/>
      <c r="DI175" s="1120"/>
      <c r="DJ175" s="1120"/>
      <c r="DK175" s="1120"/>
      <c r="DL175" s="1120"/>
      <c r="DM175" s="1120"/>
      <c r="DN175" s="1120"/>
      <c r="DO175" s="1120"/>
      <c r="DP175" s="1120"/>
      <c r="DQ175" s="1120"/>
      <c r="DR175" s="1120"/>
      <c r="DS175" s="1120"/>
      <c r="DT175" s="1120"/>
      <c r="DU175" s="1120"/>
      <c r="DV175" s="1120"/>
      <c r="DW175" s="1120"/>
      <c r="DX175" s="1120"/>
      <c r="DY175" s="1120"/>
      <c r="DZ175" s="1120"/>
      <c r="EA175" s="1120"/>
      <c r="EB175" s="1120"/>
      <c r="EC175" s="1120"/>
      <c r="ED175" s="1120"/>
      <c r="EE175" s="1120"/>
      <c r="EF175" s="1120"/>
      <c r="EG175" s="1120"/>
      <c r="EH175" s="1120"/>
      <c r="EI175" s="1120"/>
      <c r="EJ175" s="1120"/>
      <c r="EK175" s="1120"/>
      <c r="EL175" s="1120"/>
      <c r="EM175" s="1120"/>
      <c r="EN175" s="1120"/>
      <c r="EO175" s="1120"/>
      <c r="EP175" s="1120"/>
      <c r="EQ175" s="1120"/>
      <c r="ER175" s="1120"/>
      <c r="ES175" s="1120"/>
      <c r="ET175" s="1120"/>
      <c r="EU175" s="1120"/>
      <c r="EV175" s="1120"/>
      <c r="EW175" s="1120"/>
      <c r="EX175" s="1120"/>
      <c r="EY175" s="1120"/>
      <c r="EZ175" s="1120"/>
      <c r="FA175" s="1120"/>
      <c r="FB175" s="1120"/>
      <c r="FC175" s="1120"/>
      <c r="FD175" s="1120"/>
      <c r="FE175" s="1120"/>
      <c r="FF175" s="1120"/>
      <c r="FG175" s="1120"/>
      <c r="FH175" s="1120"/>
      <c r="FI175" s="1120"/>
      <c r="FJ175" s="1120"/>
      <c r="FK175" s="1120"/>
      <c r="FL175" s="1120"/>
      <c r="FM175" s="1120"/>
      <c r="FN175" s="1120"/>
      <c r="FO175" s="1120"/>
      <c r="FP175" s="1120"/>
      <c r="FQ175" s="1120"/>
      <c r="FR175" s="1120"/>
      <c r="FS175" s="1120"/>
      <c r="FT175" s="1120"/>
      <c r="FU175" s="1120"/>
      <c r="FV175" s="1120"/>
      <c r="FW175" s="1120"/>
      <c r="FX175" s="1120"/>
      <c r="FY175" s="1120"/>
      <c r="FZ175" s="1120"/>
      <c r="GA175" s="1120"/>
      <c r="GB175" s="1120"/>
      <c r="GC175" s="1120"/>
      <c r="GD175" s="1120"/>
      <c r="GE175" s="1120"/>
      <c r="GF175" s="1120"/>
      <c r="GG175" s="1120"/>
      <c r="GH175" s="1120"/>
      <c r="GI175" s="1120"/>
      <c r="GJ175" s="1120"/>
      <c r="GK175" s="1120"/>
      <c r="GL175" s="1120"/>
      <c r="GM175" s="1120"/>
      <c r="GN175" s="1120"/>
      <c r="GO175" s="1120"/>
      <c r="GP175" s="1120"/>
      <c r="GQ175" s="1120"/>
      <c r="GR175" s="1120"/>
      <c r="GS175" s="1120"/>
      <c r="GT175" s="1120"/>
      <c r="GU175" s="1120"/>
      <c r="GV175" s="1120"/>
      <c r="GW175" s="1120"/>
      <c r="GX175" s="1120"/>
      <c r="GY175" s="1120"/>
      <c r="GZ175" s="1120"/>
      <c r="HA175" s="1120"/>
      <c r="HB175" s="1120"/>
      <c r="HC175" s="1120"/>
      <c r="HD175" s="1120"/>
      <c r="HE175" s="1120"/>
      <c r="HF175" s="1120"/>
      <c r="HG175" s="1120"/>
      <c r="HH175" s="1120"/>
      <c r="HI175" s="1120"/>
      <c r="HJ175" s="1120"/>
      <c r="HK175" s="1120"/>
      <c r="HL175" s="1120"/>
      <c r="HM175" s="1120"/>
      <c r="HN175" s="1120"/>
      <c r="HO175" s="1120"/>
      <c r="HP175" s="1120"/>
      <c r="HQ175" s="1120"/>
      <c r="HR175" s="1120"/>
      <c r="HS175" s="1120"/>
      <c r="HT175" s="1120"/>
      <c r="HU175" s="1120"/>
      <c r="HV175" s="1120"/>
      <c r="HW175" s="1120"/>
      <c r="HX175" s="1120"/>
      <c r="HY175" s="1120"/>
      <c r="HZ175" s="1120"/>
      <c r="IA175" s="1120"/>
      <c r="IB175" s="1120"/>
      <c r="IC175" s="1120"/>
      <c r="ID175" s="1120"/>
      <c r="IE175" s="1120"/>
      <c r="IF175" s="1120"/>
      <c r="IG175" s="1120"/>
      <c r="IH175" s="1120"/>
      <c r="II175" s="1120"/>
      <c r="IJ175" s="1120"/>
      <c r="IK175" s="1120"/>
      <c r="IL175" s="1120"/>
      <c r="IM175" s="1120"/>
      <c r="IN175" s="1120"/>
      <c r="IO175" s="1120"/>
      <c r="IP175" s="1120"/>
      <c r="IQ175" s="1120"/>
      <c r="IR175" s="1120"/>
      <c r="IS175" s="1120"/>
      <c r="IT175" s="1120"/>
      <c r="IU175" s="1120"/>
      <c r="IV175" s="1120"/>
    </row>
    <row r="176" spans="1:256" s="1130" customFormat="1" ht="14.25" hidden="1" customHeight="1" outlineLevel="2">
      <c r="A176" s="1114"/>
      <c r="B176" s="1111" t="s">
        <v>84</v>
      </c>
      <c r="C176" s="1115"/>
      <c r="D176" s="1116"/>
      <c r="E176" s="1116"/>
      <c r="F176" s="1116"/>
      <c r="G176" s="1116"/>
      <c r="H176" s="1116"/>
      <c r="I176" s="1116"/>
      <c r="J176" s="1116"/>
      <c r="K176" s="1116"/>
      <c r="L176" s="1116"/>
      <c r="M176" s="1116"/>
      <c r="N176" s="1116"/>
      <c r="O176" s="1116"/>
      <c r="P176" s="1116"/>
      <c r="Q176" s="1116"/>
      <c r="R176" s="1116"/>
      <c r="S176" s="1116"/>
      <c r="T176" s="1116"/>
      <c r="U176" s="1116"/>
      <c r="V176" s="1116"/>
      <c r="W176" s="1116"/>
      <c r="X176" s="1116"/>
      <c r="Y176" s="1116"/>
      <c r="Z176" s="1116"/>
      <c r="AA176" s="1116"/>
      <c r="AB176" s="1117">
        <f t="shared" ref="AB176:AG176" si="249">+AB184</f>
        <v>111.53095450000001</v>
      </c>
      <c r="AC176" s="1116">
        <f t="shared" si="249"/>
        <v>97.546582749999999</v>
      </c>
      <c r="AD176" s="1116">
        <f t="shared" si="249"/>
        <v>93.004926999999995</v>
      </c>
      <c r="AE176" s="1118">
        <f t="shared" si="249"/>
        <v>123.237251</v>
      </c>
      <c r="AF176" s="1117">
        <f t="shared" si="249"/>
        <v>147.53095450000001</v>
      </c>
      <c r="AG176" s="1116">
        <f t="shared" si="249"/>
        <v>138.54658275</v>
      </c>
      <c r="AH176" s="1116">
        <f>+AH184</f>
        <v>186.61664700000003</v>
      </c>
      <c r="AI176" s="1118">
        <f>+AI182</f>
        <v>169.61172000000002</v>
      </c>
      <c r="AJ176" s="1116">
        <f>+AJ182</f>
        <v>108.22499999999999</v>
      </c>
      <c r="AK176" s="1116">
        <f>+AI176</f>
        <v>169.61172000000002</v>
      </c>
      <c r="AL176" s="1116"/>
      <c r="AM176" s="1118"/>
      <c r="AN176" s="1116"/>
      <c r="AO176" s="1116"/>
      <c r="AP176" s="1116"/>
      <c r="AQ176" s="1118"/>
      <c r="AR176" s="1116"/>
      <c r="AS176" s="1116"/>
      <c r="AT176" s="1116"/>
      <c r="AU176" s="1118"/>
      <c r="AV176" s="1116"/>
      <c r="AW176" s="1116"/>
      <c r="AX176" s="1116"/>
      <c r="AY176" s="1118"/>
      <c r="AZ176" s="1116"/>
      <c r="BA176" s="1116"/>
      <c r="BB176" s="1116"/>
      <c r="BC176" s="1118"/>
      <c r="BD176" s="1116"/>
      <c r="BE176" s="1116"/>
      <c r="BF176" s="1116"/>
      <c r="BG176" s="1118"/>
      <c r="BH176" s="1116"/>
      <c r="BI176" s="1116"/>
      <c r="BJ176" s="1116"/>
      <c r="BK176" s="1118"/>
      <c r="BL176" s="1119"/>
      <c r="BM176" s="1116"/>
      <c r="BN176" s="1116"/>
      <c r="BO176" s="1116"/>
      <c r="BP176" s="1116"/>
      <c r="BQ176" s="1116"/>
      <c r="BR176" s="1117"/>
      <c r="BS176" s="1116"/>
      <c r="BT176" s="1116"/>
      <c r="BU176" s="1118"/>
      <c r="BV176" s="1119"/>
      <c r="BW176" s="1119"/>
      <c r="BX176" s="1119"/>
      <c r="BY176" s="1119"/>
      <c r="BZ176" s="1119"/>
      <c r="CA176" s="1119"/>
      <c r="CB176" s="1119"/>
      <c r="CC176" s="1119"/>
      <c r="CD176" s="1119"/>
      <c r="CE176" s="1119"/>
      <c r="CF176" s="1119"/>
      <c r="CG176" s="1119"/>
      <c r="CH176" s="1119"/>
      <c r="CI176" s="1119"/>
      <c r="CJ176" s="1114"/>
      <c r="CK176" s="1114"/>
      <c r="CL176" s="1114"/>
      <c r="CM176" s="1114"/>
      <c r="CN176" s="1114"/>
      <c r="CO176" s="1114"/>
      <c r="CP176" s="1114"/>
      <c r="CQ176" s="1114"/>
      <c r="CR176" s="1114"/>
      <c r="CS176" s="1114"/>
      <c r="CT176" s="1114"/>
      <c r="CU176" s="1114"/>
      <c r="CV176" s="1114"/>
      <c r="CW176" s="1114"/>
      <c r="CX176" s="1114"/>
      <c r="CY176" s="1114"/>
      <c r="CZ176" s="1114"/>
      <c r="DA176" s="1114"/>
      <c r="DB176" s="1114"/>
      <c r="DC176" s="1114"/>
      <c r="DD176" s="1114"/>
      <c r="DE176" s="1114"/>
      <c r="DF176" s="1114"/>
      <c r="DG176" s="1114"/>
      <c r="DH176" s="1114"/>
      <c r="DI176" s="1114"/>
      <c r="DJ176" s="1114"/>
      <c r="DK176" s="1114"/>
      <c r="DL176" s="1114"/>
      <c r="DM176" s="1114"/>
      <c r="DN176" s="1114"/>
      <c r="DO176" s="1114"/>
      <c r="DP176" s="1114"/>
      <c r="DQ176" s="1114"/>
      <c r="DR176" s="1114"/>
      <c r="DS176" s="1114"/>
      <c r="DT176" s="1114"/>
      <c r="DU176" s="1114"/>
      <c r="DV176" s="1114"/>
      <c r="DW176" s="1114"/>
      <c r="DX176" s="1114"/>
      <c r="DY176" s="1114"/>
      <c r="DZ176" s="1114"/>
      <c r="EA176" s="1114"/>
      <c r="EB176" s="1114"/>
      <c r="EC176" s="1114"/>
      <c r="ED176" s="1114"/>
      <c r="EE176" s="1114"/>
      <c r="EF176" s="1114"/>
      <c r="EG176" s="1114"/>
      <c r="EH176" s="1114"/>
      <c r="EI176" s="1114"/>
      <c r="EJ176" s="1114"/>
      <c r="EK176" s="1114"/>
      <c r="EL176" s="1114"/>
      <c r="EM176" s="1114"/>
      <c r="EN176" s="1114"/>
      <c r="EO176" s="1114"/>
      <c r="EP176" s="1114"/>
      <c r="EQ176" s="1114"/>
      <c r="ER176" s="1114"/>
      <c r="ES176" s="1114"/>
      <c r="ET176" s="1114"/>
      <c r="EU176" s="1114"/>
      <c r="EV176" s="1114"/>
      <c r="EW176" s="1114"/>
      <c r="EX176" s="1114"/>
      <c r="EY176" s="1114"/>
      <c r="EZ176" s="1114"/>
      <c r="FA176" s="1114"/>
      <c r="FB176" s="1114"/>
      <c r="FC176" s="1114"/>
      <c r="FD176" s="1114"/>
      <c r="FE176" s="1114"/>
      <c r="FF176" s="1114"/>
      <c r="FG176" s="1114"/>
      <c r="FH176" s="1114"/>
      <c r="FI176" s="1114"/>
      <c r="FJ176" s="1114"/>
      <c r="FK176" s="1114"/>
      <c r="FL176" s="1114"/>
      <c r="FM176" s="1114"/>
      <c r="FN176" s="1114"/>
      <c r="FO176" s="1114"/>
      <c r="FP176" s="1114"/>
      <c r="FQ176" s="1114"/>
      <c r="FR176" s="1114"/>
      <c r="FS176" s="1114"/>
      <c r="FT176" s="1114"/>
      <c r="FU176" s="1114"/>
      <c r="FV176" s="1114"/>
      <c r="FW176" s="1114"/>
      <c r="FX176" s="1114"/>
      <c r="FY176" s="1114"/>
      <c r="FZ176" s="1114"/>
      <c r="GA176" s="1114"/>
      <c r="GB176" s="1114"/>
      <c r="GC176" s="1114"/>
      <c r="GD176" s="1114"/>
      <c r="GE176" s="1114"/>
      <c r="GF176" s="1114"/>
      <c r="GG176" s="1114"/>
      <c r="GH176" s="1114"/>
      <c r="GI176" s="1114"/>
      <c r="GJ176" s="1114"/>
      <c r="GK176" s="1114"/>
      <c r="GL176" s="1114"/>
      <c r="GM176" s="1114"/>
      <c r="GN176" s="1114"/>
      <c r="GO176" s="1114"/>
      <c r="GP176" s="1114"/>
      <c r="GQ176" s="1114"/>
      <c r="GR176" s="1114"/>
      <c r="GS176" s="1114"/>
      <c r="GT176" s="1114"/>
      <c r="GU176" s="1114"/>
      <c r="GV176" s="1114"/>
      <c r="GW176" s="1114"/>
      <c r="GX176" s="1114"/>
      <c r="GY176" s="1114"/>
      <c r="GZ176" s="1114"/>
      <c r="HA176" s="1114"/>
      <c r="HB176" s="1114"/>
      <c r="HC176" s="1114"/>
      <c r="HD176" s="1114"/>
      <c r="HE176" s="1114"/>
      <c r="HF176" s="1114"/>
      <c r="HG176" s="1114"/>
      <c r="HH176" s="1114"/>
      <c r="HI176" s="1114"/>
      <c r="HJ176" s="1114"/>
      <c r="HK176" s="1114"/>
      <c r="HL176" s="1114"/>
      <c r="HM176" s="1114"/>
      <c r="HN176" s="1114"/>
      <c r="HO176" s="1114"/>
      <c r="HP176" s="1114"/>
      <c r="HQ176" s="1114"/>
      <c r="HR176" s="1114"/>
      <c r="HS176" s="1114"/>
      <c r="HT176" s="1114"/>
      <c r="HU176" s="1114"/>
      <c r="HV176" s="1114"/>
      <c r="HW176" s="1114"/>
      <c r="HX176" s="1114"/>
      <c r="HY176" s="1114"/>
      <c r="HZ176" s="1114"/>
      <c r="IA176" s="1114"/>
      <c r="IB176" s="1114"/>
      <c r="IC176" s="1114"/>
      <c r="ID176" s="1114"/>
      <c r="IE176" s="1114"/>
      <c r="IF176" s="1114"/>
      <c r="IG176" s="1114"/>
      <c r="IH176" s="1114"/>
      <c r="II176" s="1114"/>
      <c r="IJ176" s="1114"/>
      <c r="IK176" s="1114"/>
      <c r="IL176" s="1114"/>
      <c r="IM176" s="1114"/>
      <c r="IN176" s="1114"/>
      <c r="IO176" s="1114"/>
      <c r="IP176" s="1114"/>
      <c r="IQ176" s="1114"/>
      <c r="IR176" s="1114"/>
      <c r="IS176" s="1114"/>
      <c r="IT176" s="1114"/>
      <c r="IU176" s="1114"/>
      <c r="IV176" s="1114"/>
    </row>
    <row r="177" spans="1:256" s="1114" customFormat="1" ht="14.25" hidden="1" customHeight="1" outlineLevel="2">
      <c r="A177" s="1130"/>
      <c r="B177" s="1136" t="s">
        <v>211</v>
      </c>
      <c r="C177" s="1131"/>
      <c r="D177" s="1132"/>
      <c r="E177" s="1132"/>
      <c r="F177" s="1132"/>
      <c r="G177" s="1132"/>
      <c r="H177" s="1132"/>
      <c r="I177" s="1132"/>
      <c r="J177" s="1132"/>
      <c r="K177" s="1132"/>
      <c r="L177" s="1132"/>
      <c r="M177" s="1132"/>
      <c r="N177" s="1132"/>
      <c r="O177" s="1132"/>
      <c r="P177" s="1132"/>
      <c r="Q177" s="1132"/>
      <c r="R177" s="1132"/>
      <c r="S177" s="1132"/>
      <c r="T177" s="1132"/>
      <c r="U177" s="1132"/>
      <c r="V177" s="1132"/>
      <c r="W177" s="1132"/>
      <c r="X177" s="1132"/>
      <c r="Y177" s="1132"/>
      <c r="Z177" s="1132"/>
      <c r="AA177" s="1132"/>
      <c r="AB177" s="1167">
        <f>AB138-AB182-AB211</f>
        <v>93.420689999999979</v>
      </c>
      <c r="AC177" s="1168">
        <f>AC138-AC182-AC211</f>
        <v>93.018855000000002</v>
      </c>
      <c r="AD177" s="1168">
        <f>AD138-AD182-AD211</f>
        <v>91.068139999999971</v>
      </c>
      <c r="AE177" s="1169">
        <f>AE138-AE182-AE211</f>
        <v>83.808939999999993</v>
      </c>
      <c r="AF177" s="1137">
        <f>+AF178-AF184</f>
        <v>89.23754550000001</v>
      </c>
      <c r="AG177" s="1138">
        <f>+AG178-AG184</f>
        <v>91.469697250000024</v>
      </c>
      <c r="AH177" s="1138">
        <f>+AH178-AH184</f>
        <v>55.336952999999994</v>
      </c>
      <c r="AI177" s="1172">
        <v>102</v>
      </c>
      <c r="AJ177" s="1132">
        <f>+AI177*1.13</f>
        <v>115.25999999999999</v>
      </c>
      <c r="AK177" s="1173">
        <f>+AJ177*0.9</f>
        <v>103.73399999999999</v>
      </c>
      <c r="AL177" s="1132"/>
      <c r="AM177" s="1134"/>
      <c r="AN177" s="1132"/>
      <c r="AO177" s="1132"/>
      <c r="AP177" s="1132"/>
      <c r="AQ177" s="1134"/>
      <c r="AR177" s="1132"/>
      <c r="AS177" s="1132"/>
      <c r="AT177" s="1132"/>
      <c r="AU177" s="1134"/>
      <c r="AV177" s="1132"/>
      <c r="AW177" s="1132"/>
      <c r="AX177" s="1132"/>
      <c r="AY177" s="1134"/>
      <c r="AZ177" s="1132"/>
      <c r="BA177" s="1132"/>
      <c r="BB177" s="1132"/>
      <c r="BC177" s="1134"/>
      <c r="BD177" s="1132"/>
      <c r="BE177" s="1132"/>
      <c r="BF177" s="1132"/>
      <c r="BG177" s="1134"/>
      <c r="BH177" s="1132"/>
      <c r="BI177" s="1132"/>
      <c r="BJ177" s="1132"/>
      <c r="BK177" s="1134"/>
      <c r="BL177" s="1135"/>
      <c r="BM177" s="1132"/>
      <c r="BN177" s="1132"/>
      <c r="BO177" s="1132"/>
      <c r="BP177" s="1132"/>
      <c r="BQ177" s="1132"/>
      <c r="BR177" s="1133"/>
      <c r="BS177" s="1132"/>
      <c r="BT177" s="1132"/>
      <c r="BU177" s="1134"/>
      <c r="BV177" s="1135"/>
      <c r="BW177" s="1135"/>
      <c r="BX177" s="1135"/>
      <c r="BY177" s="1135"/>
      <c r="BZ177" s="1135"/>
      <c r="CA177" s="1135"/>
      <c r="CB177" s="1135"/>
      <c r="CC177" s="1135"/>
      <c r="CD177" s="1135"/>
      <c r="CE177" s="1135"/>
      <c r="CF177" s="1135"/>
      <c r="CG177" s="1135"/>
      <c r="CH177" s="1135"/>
      <c r="CI177" s="1135"/>
      <c r="CJ177" s="1130"/>
      <c r="CK177" s="1130"/>
      <c r="CL177" s="1130"/>
      <c r="CM177" s="1130"/>
      <c r="CN177" s="1130"/>
      <c r="CO177" s="1130"/>
      <c r="CP177" s="1130"/>
      <c r="CQ177" s="1130"/>
      <c r="CR177" s="1130"/>
      <c r="CS177" s="1130"/>
      <c r="CT177" s="1130"/>
      <c r="CU177" s="1130"/>
      <c r="CV177" s="1130"/>
      <c r="CW177" s="1130"/>
      <c r="CX177" s="1130"/>
      <c r="CY177" s="1130"/>
      <c r="CZ177" s="1130"/>
      <c r="DA177" s="1130"/>
      <c r="DB177" s="1130"/>
      <c r="DC177" s="1130"/>
      <c r="DD177" s="1130"/>
      <c r="DE177" s="1130"/>
      <c r="DF177" s="1130"/>
      <c r="DG177" s="1130"/>
      <c r="DH177" s="1130"/>
      <c r="DI177" s="1130"/>
      <c r="DJ177" s="1130"/>
      <c r="DK177" s="1130"/>
      <c r="DL177" s="1130"/>
      <c r="DM177" s="1130"/>
      <c r="DN177" s="1130"/>
      <c r="DO177" s="1130"/>
      <c r="DP177" s="1130"/>
      <c r="DQ177" s="1130"/>
      <c r="DR177" s="1130"/>
      <c r="DS177" s="1130"/>
      <c r="DT177" s="1130"/>
      <c r="DU177" s="1130"/>
      <c r="DV177" s="1130"/>
      <c r="DW177" s="1130"/>
      <c r="DX177" s="1130"/>
      <c r="DY177" s="1130"/>
      <c r="DZ177" s="1130"/>
      <c r="EA177" s="1130"/>
      <c r="EB177" s="1130"/>
      <c r="EC177" s="1130"/>
      <c r="ED177" s="1130"/>
      <c r="EE177" s="1130"/>
      <c r="EF177" s="1130"/>
      <c r="EG177" s="1130"/>
      <c r="EH177" s="1130"/>
      <c r="EI177" s="1130"/>
      <c r="EJ177" s="1130"/>
      <c r="EK177" s="1130"/>
      <c r="EL177" s="1130"/>
      <c r="EM177" s="1130"/>
      <c r="EN177" s="1130"/>
      <c r="EO177" s="1130"/>
      <c r="EP177" s="1130"/>
      <c r="EQ177" s="1130"/>
      <c r="ER177" s="1130"/>
      <c r="ES177" s="1130"/>
      <c r="ET177" s="1130"/>
      <c r="EU177" s="1130"/>
      <c r="EV177" s="1130"/>
      <c r="EW177" s="1130"/>
      <c r="EX177" s="1130"/>
      <c r="EY177" s="1130"/>
      <c r="EZ177" s="1130"/>
      <c r="FA177" s="1130"/>
      <c r="FB177" s="1130"/>
      <c r="FC177" s="1130"/>
      <c r="FD177" s="1130"/>
      <c r="FE177" s="1130"/>
      <c r="FF177" s="1130"/>
      <c r="FG177" s="1130"/>
      <c r="FH177" s="1130"/>
      <c r="FI177" s="1130"/>
      <c r="FJ177" s="1130"/>
      <c r="FK177" s="1130"/>
      <c r="FL177" s="1130"/>
      <c r="FM177" s="1130"/>
      <c r="FN177" s="1130"/>
      <c r="FO177" s="1130"/>
      <c r="FP177" s="1130"/>
      <c r="FQ177" s="1130"/>
      <c r="FR177" s="1130"/>
      <c r="FS177" s="1130"/>
      <c r="FT177" s="1130"/>
      <c r="FU177" s="1130"/>
      <c r="FV177" s="1130"/>
      <c r="FW177" s="1130"/>
      <c r="FX177" s="1130"/>
      <c r="FY177" s="1130"/>
      <c r="FZ177" s="1130"/>
      <c r="GA177" s="1130"/>
      <c r="GB177" s="1130"/>
      <c r="GC177" s="1130"/>
      <c r="GD177" s="1130"/>
      <c r="GE177" s="1130"/>
      <c r="GF177" s="1130"/>
      <c r="GG177" s="1130"/>
      <c r="GH177" s="1130"/>
      <c r="GI177" s="1130"/>
      <c r="GJ177" s="1130"/>
      <c r="GK177" s="1130"/>
      <c r="GL177" s="1130"/>
      <c r="GM177" s="1130"/>
      <c r="GN177" s="1130"/>
      <c r="GO177" s="1130"/>
      <c r="GP177" s="1130"/>
      <c r="GQ177" s="1130"/>
      <c r="GR177" s="1130"/>
      <c r="GS177" s="1130"/>
      <c r="GT177" s="1130"/>
      <c r="GU177" s="1130"/>
      <c r="GV177" s="1130"/>
      <c r="GW177" s="1130"/>
      <c r="GX177" s="1130"/>
      <c r="GY177" s="1130"/>
      <c r="GZ177" s="1130"/>
      <c r="HA177" s="1130"/>
      <c r="HB177" s="1130"/>
      <c r="HC177" s="1130"/>
      <c r="HD177" s="1130"/>
      <c r="HE177" s="1130"/>
      <c r="HF177" s="1130"/>
      <c r="HG177" s="1130"/>
      <c r="HH177" s="1130"/>
      <c r="HI177" s="1130"/>
      <c r="HJ177" s="1130"/>
      <c r="HK177" s="1130"/>
      <c r="HL177" s="1130"/>
      <c r="HM177" s="1130"/>
      <c r="HN177" s="1130"/>
      <c r="HO177" s="1130"/>
      <c r="HP177" s="1130"/>
      <c r="HQ177" s="1130"/>
      <c r="HR177" s="1130"/>
      <c r="HS177" s="1130"/>
      <c r="HT177" s="1130"/>
      <c r="HU177" s="1130"/>
      <c r="HV177" s="1130"/>
      <c r="HW177" s="1130"/>
      <c r="HX177" s="1130"/>
      <c r="HY177" s="1130"/>
      <c r="HZ177" s="1130"/>
      <c r="IA177" s="1130"/>
      <c r="IB177" s="1130"/>
      <c r="IC177" s="1130"/>
      <c r="ID177" s="1130"/>
      <c r="IE177" s="1130"/>
      <c r="IF177" s="1130"/>
      <c r="IG177" s="1130"/>
      <c r="IH177" s="1130"/>
      <c r="II177" s="1130"/>
      <c r="IJ177" s="1130"/>
      <c r="IK177" s="1130"/>
      <c r="IL177" s="1130"/>
      <c r="IM177" s="1130"/>
      <c r="IN177" s="1130"/>
      <c r="IO177" s="1130"/>
      <c r="IP177" s="1130"/>
      <c r="IQ177" s="1130"/>
      <c r="IR177" s="1130"/>
      <c r="IS177" s="1130"/>
      <c r="IT177" s="1130"/>
      <c r="IU177" s="1130"/>
      <c r="IV177" s="1130"/>
    </row>
    <row r="178" spans="1:256" s="1112" customFormat="1" ht="14.25" hidden="1" customHeight="1" outlineLevel="2">
      <c r="A178" s="1114"/>
      <c r="B178" s="1126" t="s">
        <v>279</v>
      </c>
      <c r="C178" s="1115"/>
      <c r="D178" s="1116"/>
      <c r="E178" s="1116"/>
      <c r="F178" s="1116"/>
      <c r="G178" s="1116"/>
      <c r="H178" s="1116"/>
      <c r="I178" s="1116"/>
      <c r="J178" s="1116"/>
      <c r="K178" s="1116"/>
      <c r="L178" s="1116"/>
      <c r="M178" s="1116"/>
      <c r="N178" s="1116"/>
      <c r="O178" s="1116"/>
      <c r="P178" s="1116"/>
      <c r="Q178" s="1116"/>
      <c r="R178" s="1116"/>
      <c r="S178" s="1116"/>
      <c r="T178" s="1116"/>
      <c r="U178" s="1116"/>
      <c r="V178" s="1116"/>
      <c r="W178" s="1116"/>
      <c r="X178" s="1116"/>
      <c r="Y178" s="1116"/>
      <c r="Z178" s="1116"/>
      <c r="AA178" s="1116"/>
      <c r="AB178" s="1117">
        <f>+SUM(AB176:AB177)</f>
        <v>204.95164449999999</v>
      </c>
      <c r="AC178" s="1116">
        <f>+SUM(AC176:AC177)</f>
        <v>190.56543775</v>
      </c>
      <c r="AD178" s="1116">
        <f>+SUM(AD176:AD177)</f>
        <v>184.07306699999998</v>
      </c>
      <c r="AE178" s="1118">
        <f>+SUM(AE176:AE177)</f>
        <v>207.04619099999999</v>
      </c>
      <c r="AF178" s="1117">
        <f>AF179*AF110</f>
        <v>236.76850000000002</v>
      </c>
      <c r="AG178" s="1116">
        <f>AG179*AG110</f>
        <v>230.01628000000002</v>
      </c>
      <c r="AH178" s="1116">
        <f>AH179*AH110</f>
        <v>241.95360000000002</v>
      </c>
      <c r="AI178" s="1118">
        <f>+SUM(AI176:AI177)</f>
        <v>271.61171999999999</v>
      </c>
      <c r="AJ178" s="1116">
        <f>+SUM(AJ176:AJ177)</f>
        <v>223.48499999999999</v>
      </c>
      <c r="AK178" s="1116">
        <f>+SUM(AK176:AK177)</f>
        <v>273.34572000000003</v>
      </c>
      <c r="AL178" s="1116"/>
      <c r="AM178" s="1118"/>
      <c r="AN178" s="1116"/>
      <c r="AO178" s="1116"/>
      <c r="AP178" s="1116"/>
      <c r="AQ178" s="1118"/>
      <c r="AR178" s="1116"/>
      <c r="AS178" s="1116"/>
      <c r="AT178" s="1116"/>
      <c r="AU178" s="1118"/>
      <c r="AV178" s="1116"/>
      <c r="AW178" s="1116"/>
      <c r="AX178" s="1116"/>
      <c r="AY178" s="1118"/>
      <c r="AZ178" s="1116"/>
      <c r="BA178" s="1116"/>
      <c r="BB178" s="1116"/>
      <c r="BC178" s="1118"/>
      <c r="BD178" s="1116"/>
      <c r="BE178" s="1116"/>
      <c r="BF178" s="1116"/>
      <c r="BG178" s="1118"/>
      <c r="BH178" s="1116"/>
      <c r="BI178" s="1116"/>
      <c r="BJ178" s="1116"/>
      <c r="BK178" s="1118"/>
      <c r="BL178" s="1119"/>
      <c r="BM178" s="1116"/>
      <c r="BN178" s="1116"/>
      <c r="BO178" s="1116"/>
      <c r="BP178" s="1116"/>
      <c r="BQ178" s="1116"/>
      <c r="BR178" s="1117"/>
      <c r="BS178" s="1116"/>
      <c r="BT178" s="1116"/>
      <c r="BU178" s="1118"/>
      <c r="BV178" s="1119"/>
      <c r="BW178" s="1119"/>
      <c r="BX178" s="1119"/>
      <c r="BY178" s="1119"/>
      <c r="BZ178" s="1119"/>
      <c r="CA178" s="1119"/>
      <c r="CB178" s="1119"/>
      <c r="CC178" s="1119"/>
      <c r="CD178" s="1119"/>
      <c r="CE178" s="1119"/>
      <c r="CF178" s="1119"/>
      <c r="CG178" s="1119"/>
      <c r="CH178" s="1119"/>
      <c r="CI178" s="1119"/>
      <c r="CJ178" s="1114"/>
      <c r="CK178" s="1114"/>
      <c r="CL178" s="1114"/>
      <c r="CM178" s="1114"/>
      <c r="CN178" s="1114"/>
      <c r="CO178" s="1114"/>
      <c r="CP178" s="1114"/>
      <c r="CQ178" s="1114"/>
      <c r="CR178" s="1114"/>
      <c r="CS178" s="1114"/>
      <c r="CT178" s="1114"/>
      <c r="CU178" s="1114"/>
      <c r="CV178" s="1114"/>
      <c r="CW178" s="1114"/>
      <c r="CX178" s="1114"/>
      <c r="CY178" s="1114"/>
      <c r="CZ178" s="1114"/>
      <c r="DA178" s="1114"/>
      <c r="DB178" s="1114"/>
      <c r="DC178" s="1114"/>
      <c r="DD178" s="1114"/>
      <c r="DE178" s="1114"/>
      <c r="DF178" s="1114"/>
      <c r="DG178" s="1114"/>
      <c r="DH178" s="1114"/>
      <c r="DI178" s="1114"/>
      <c r="DJ178" s="1114"/>
      <c r="DK178" s="1114"/>
      <c r="DL178" s="1114"/>
      <c r="DM178" s="1114"/>
      <c r="DN178" s="1114"/>
      <c r="DO178" s="1114"/>
      <c r="DP178" s="1114"/>
      <c r="DQ178" s="1114"/>
      <c r="DR178" s="1114"/>
      <c r="DS178" s="1114"/>
      <c r="DT178" s="1114"/>
      <c r="DU178" s="1114"/>
      <c r="DV178" s="1114"/>
      <c r="DW178" s="1114"/>
      <c r="DX178" s="1114"/>
      <c r="DY178" s="1114"/>
      <c r="DZ178" s="1114"/>
      <c r="EA178" s="1114"/>
      <c r="EB178" s="1114"/>
      <c r="EC178" s="1114"/>
      <c r="ED178" s="1114"/>
      <c r="EE178" s="1114"/>
      <c r="EF178" s="1114"/>
      <c r="EG178" s="1114"/>
      <c r="EH178" s="1114"/>
      <c r="EI178" s="1114"/>
      <c r="EJ178" s="1114"/>
      <c r="EK178" s="1114"/>
      <c r="EL178" s="1114"/>
      <c r="EM178" s="1114"/>
      <c r="EN178" s="1114"/>
      <c r="EO178" s="1114"/>
      <c r="EP178" s="1114"/>
      <c r="EQ178" s="1114"/>
      <c r="ER178" s="1114"/>
      <c r="ES178" s="1114"/>
      <c r="ET178" s="1114"/>
      <c r="EU178" s="1114"/>
      <c r="EV178" s="1114"/>
      <c r="EW178" s="1114"/>
      <c r="EX178" s="1114"/>
      <c r="EY178" s="1114"/>
      <c r="EZ178" s="1114"/>
      <c r="FA178" s="1114"/>
      <c r="FB178" s="1114"/>
      <c r="FC178" s="1114"/>
      <c r="FD178" s="1114"/>
      <c r="FE178" s="1114"/>
      <c r="FF178" s="1114"/>
      <c r="FG178" s="1114"/>
      <c r="FH178" s="1114"/>
      <c r="FI178" s="1114"/>
      <c r="FJ178" s="1114"/>
      <c r="FK178" s="1114"/>
      <c r="FL178" s="1114"/>
      <c r="FM178" s="1114"/>
      <c r="FN178" s="1114"/>
      <c r="FO178" s="1114"/>
      <c r="FP178" s="1114"/>
      <c r="FQ178" s="1114"/>
      <c r="FR178" s="1114"/>
      <c r="FS178" s="1114"/>
      <c r="FT178" s="1114"/>
      <c r="FU178" s="1114"/>
      <c r="FV178" s="1114"/>
      <c r="FW178" s="1114"/>
      <c r="FX178" s="1114"/>
      <c r="FY178" s="1114"/>
      <c r="FZ178" s="1114"/>
      <c r="GA178" s="1114"/>
      <c r="GB178" s="1114"/>
      <c r="GC178" s="1114"/>
      <c r="GD178" s="1114"/>
      <c r="GE178" s="1114"/>
      <c r="GF178" s="1114"/>
      <c r="GG178" s="1114"/>
      <c r="GH178" s="1114"/>
      <c r="GI178" s="1114"/>
      <c r="GJ178" s="1114"/>
      <c r="GK178" s="1114"/>
      <c r="GL178" s="1114"/>
      <c r="GM178" s="1114"/>
      <c r="GN178" s="1114"/>
      <c r="GO178" s="1114"/>
      <c r="GP178" s="1114"/>
      <c r="GQ178" s="1114"/>
      <c r="GR178" s="1114"/>
      <c r="GS178" s="1114"/>
      <c r="GT178" s="1114"/>
      <c r="GU178" s="1114"/>
      <c r="GV178" s="1114"/>
      <c r="GW178" s="1114"/>
      <c r="GX178" s="1114"/>
      <c r="GY178" s="1114"/>
      <c r="GZ178" s="1114"/>
      <c r="HA178" s="1114"/>
      <c r="HB178" s="1114"/>
      <c r="HC178" s="1114"/>
      <c r="HD178" s="1114"/>
      <c r="HE178" s="1114"/>
      <c r="HF178" s="1114"/>
      <c r="HG178" s="1114"/>
      <c r="HH178" s="1114"/>
      <c r="HI178" s="1114"/>
      <c r="HJ178" s="1114"/>
      <c r="HK178" s="1114"/>
      <c r="HL178" s="1114"/>
      <c r="HM178" s="1114"/>
      <c r="HN178" s="1114"/>
      <c r="HO178" s="1114"/>
      <c r="HP178" s="1114"/>
      <c r="HQ178" s="1114"/>
      <c r="HR178" s="1114"/>
      <c r="HS178" s="1114"/>
      <c r="HT178" s="1114"/>
      <c r="HU178" s="1114"/>
      <c r="HV178" s="1114"/>
      <c r="HW178" s="1114"/>
      <c r="HX178" s="1114"/>
      <c r="HY178" s="1114"/>
      <c r="HZ178" s="1114"/>
      <c r="IA178" s="1114"/>
      <c r="IB178" s="1114"/>
      <c r="IC178" s="1114"/>
      <c r="ID178" s="1114"/>
      <c r="IE178" s="1114"/>
      <c r="IF178" s="1114"/>
      <c r="IG178" s="1114"/>
      <c r="IH178" s="1114"/>
      <c r="II178" s="1114"/>
      <c r="IJ178" s="1114"/>
      <c r="IK178" s="1114"/>
      <c r="IL178" s="1114"/>
      <c r="IM178" s="1114"/>
      <c r="IN178" s="1114"/>
      <c r="IO178" s="1114"/>
      <c r="IP178" s="1114"/>
      <c r="IQ178" s="1114"/>
      <c r="IR178" s="1114"/>
      <c r="IS178" s="1114"/>
      <c r="IT178" s="1114"/>
      <c r="IU178" s="1114"/>
      <c r="IV178" s="1114"/>
    </row>
    <row r="179" spans="1:256" s="1112" customFormat="1" ht="14.25" hidden="1" customHeight="1" outlineLevel="2">
      <c r="B179" s="1113" t="s">
        <v>220</v>
      </c>
      <c r="C179" s="1104"/>
      <c r="D179" s="1105"/>
      <c r="E179" s="1105"/>
      <c r="F179" s="1105"/>
      <c r="G179" s="1105"/>
      <c r="H179" s="1105"/>
      <c r="I179" s="1105"/>
      <c r="J179" s="1105"/>
      <c r="K179" s="1105"/>
      <c r="L179" s="1105"/>
      <c r="M179" s="1105"/>
      <c r="N179" s="1105"/>
      <c r="O179" s="1105"/>
      <c r="P179" s="1105"/>
      <c r="Q179" s="1105"/>
      <c r="R179" s="1105"/>
      <c r="S179" s="1105"/>
      <c r="T179" s="1105"/>
      <c r="U179" s="1105"/>
      <c r="V179" s="1105"/>
      <c r="W179" s="1105"/>
      <c r="X179" s="1105"/>
      <c r="Y179" s="1105"/>
      <c r="Z179" s="1105"/>
      <c r="AA179" s="1105"/>
      <c r="AB179" s="1142">
        <f>+AB178/AB110</f>
        <v>0.32224999999999998</v>
      </c>
      <c r="AC179" s="1143">
        <f>+AC178/AC110</f>
        <v>0.32224999999999998</v>
      </c>
      <c r="AD179" s="1143">
        <f>+AD178/AD110</f>
        <v>0.32224999999999998</v>
      </c>
      <c r="AE179" s="1144">
        <f>+AE178/AE110</f>
        <v>0.34225</v>
      </c>
      <c r="AF179" s="1128">
        <v>0.38</v>
      </c>
      <c r="AG179" s="1129">
        <v>0.38</v>
      </c>
      <c r="AH179" s="1129">
        <v>0.4</v>
      </c>
      <c r="AI179" s="1107"/>
      <c r="AJ179" s="1105"/>
      <c r="AK179" s="1105"/>
      <c r="AL179" s="1105"/>
      <c r="AM179" s="1107"/>
      <c r="AN179" s="1105"/>
      <c r="AO179" s="1105"/>
      <c r="AP179" s="1105"/>
      <c r="AQ179" s="1107"/>
      <c r="AR179" s="1105"/>
      <c r="AS179" s="1105"/>
      <c r="AT179" s="1105"/>
      <c r="AU179" s="1107"/>
      <c r="AV179" s="1105"/>
      <c r="AW179" s="1105"/>
      <c r="AX179" s="1105"/>
      <c r="AY179" s="1107"/>
      <c r="AZ179" s="1105"/>
      <c r="BA179" s="1105"/>
      <c r="BB179" s="1105"/>
      <c r="BC179" s="1107"/>
      <c r="BD179" s="1105"/>
      <c r="BE179" s="1105"/>
      <c r="BF179" s="1105"/>
      <c r="BG179" s="1107"/>
      <c r="BH179" s="1105"/>
      <c r="BI179" s="1105"/>
      <c r="BJ179" s="1105"/>
      <c r="BK179" s="1107"/>
      <c r="BL179" s="1108"/>
      <c r="BM179" s="1105"/>
      <c r="BN179" s="1105"/>
      <c r="BO179" s="1105"/>
      <c r="BP179" s="1105"/>
      <c r="BQ179" s="1105"/>
      <c r="BR179" s="1106"/>
      <c r="BS179" s="1189">
        <f>+BS171-BS182</f>
        <v>517.54600999999991</v>
      </c>
      <c r="BT179" s="1189">
        <f>+BS179-65</f>
        <v>452.54600999999991</v>
      </c>
      <c r="BU179" s="1107"/>
      <c r="BV179" s="1108"/>
      <c r="BW179" s="1108"/>
      <c r="BX179" s="1108"/>
      <c r="BY179" s="1108"/>
      <c r="BZ179" s="1108"/>
      <c r="CA179" s="1108"/>
      <c r="CB179" s="1108"/>
      <c r="CC179" s="1108"/>
      <c r="CD179" s="1108"/>
      <c r="CE179" s="1108"/>
      <c r="CF179" s="1108"/>
      <c r="CG179" s="1108"/>
      <c r="CH179" s="1108"/>
      <c r="CI179" s="1108"/>
    </row>
    <row r="180" spans="1:256" s="1112" customFormat="1" ht="14.25" hidden="1" customHeight="1" outlineLevel="2">
      <c r="B180" s="1113"/>
      <c r="C180" s="1104"/>
      <c r="D180" s="1105"/>
      <c r="E180" s="1105"/>
      <c r="F180" s="1105"/>
      <c r="G180" s="1105"/>
      <c r="H180" s="1105"/>
      <c r="I180" s="1105"/>
      <c r="J180" s="1105"/>
      <c r="K180" s="1105"/>
      <c r="L180" s="1105"/>
      <c r="M180" s="1105"/>
      <c r="N180" s="1105"/>
      <c r="O180" s="1105"/>
      <c r="P180" s="1105"/>
      <c r="Q180" s="1105"/>
      <c r="R180" s="1105"/>
      <c r="S180" s="1105"/>
      <c r="T180" s="1105"/>
      <c r="U180" s="1105"/>
      <c r="V180" s="1105"/>
      <c r="W180" s="1105"/>
      <c r="X180" s="1105"/>
      <c r="Y180" s="1105"/>
      <c r="Z180" s="1105"/>
      <c r="AA180" s="1105"/>
      <c r="AB180" s="1142"/>
      <c r="AC180" s="1143"/>
      <c r="AD180" s="1143"/>
      <c r="AE180" s="1144"/>
      <c r="AF180" s="1193">
        <f>+AVERAGE(AF182:AI182)</f>
        <v>170.80586</v>
      </c>
      <c r="AG180" s="1129"/>
      <c r="AH180" s="1129"/>
      <c r="AI180" s="1107"/>
      <c r="AJ180" s="1105"/>
      <c r="AK180" s="1195">
        <f>+SUM(AH182:AK182)</f>
        <v>607.44844000000001</v>
      </c>
      <c r="AL180" s="1105"/>
      <c r="AM180" s="1107"/>
      <c r="AN180" s="1105"/>
      <c r="AO180" s="1105"/>
      <c r="AP180" s="1105"/>
      <c r="AQ180" s="1107"/>
      <c r="AR180" s="1105"/>
      <c r="AS180" s="1105"/>
      <c r="AT180" s="1105"/>
      <c r="AU180" s="1107"/>
      <c r="AV180" s="1105"/>
      <c r="AW180" s="1105"/>
      <c r="AX180" s="1105"/>
      <c r="AY180" s="1107"/>
      <c r="AZ180" s="1105"/>
      <c r="BA180" s="1105"/>
      <c r="BB180" s="1105"/>
      <c r="BC180" s="1107"/>
      <c r="BD180" s="1105"/>
      <c r="BE180" s="1105"/>
      <c r="BF180" s="1105"/>
      <c r="BG180" s="1107"/>
      <c r="BH180" s="1105"/>
      <c r="BI180" s="1105"/>
      <c r="BJ180" s="1105"/>
      <c r="BK180" s="1107"/>
      <c r="BL180" s="1108"/>
      <c r="BM180" s="1105"/>
      <c r="BN180" s="1105"/>
      <c r="BO180" s="1105"/>
      <c r="BP180" s="1105"/>
      <c r="BQ180" s="1105"/>
      <c r="BR180" s="1106"/>
      <c r="BS180" s="1105"/>
      <c r="BT180" s="1105">
        <f>+BT179/BS179</f>
        <v>0.8744073014880358</v>
      </c>
      <c r="BU180" s="1107"/>
      <c r="BV180" s="1108"/>
      <c r="BW180" s="1108"/>
      <c r="BX180" s="1108"/>
      <c r="BY180" s="1108"/>
      <c r="BZ180" s="1108"/>
      <c r="CA180" s="1108"/>
      <c r="CB180" s="1108"/>
      <c r="CC180" s="1108"/>
      <c r="CD180" s="1108"/>
      <c r="CE180" s="1108"/>
      <c r="CF180" s="1108"/>
      <c r="CG180" s="1108"/>
      <c r="CH180" s="1108"/>
      <c r="CI180" s="1108"/>
    </row>
    <row r="181" spans="1:256" s="302" customFormat="1" ht="14.25" hidden="1" customHeight="1" outlineLevel="2">
      <c r="A181" s="1112"/>
      <c r="B181" s="1170" t="s">
        <v>280</v>
      </c>
      <c r="C181" s="1104"/>
      <c r="D181" s="1105"/>
      <c r="E181" s="1105"/>
      <c r="F181" s="1105"/>
      <c r="G181" s="1105"/>
      <c r="H181" s="1105"/>
      <c r="I181" s="1105"/>
      <c r="J181" s="1105"/>
      <c r="K181" s="1105"/>
      <c r="L181" s="1105"/>
      <c r="M181" s="1105"/>
      <c r="N181" s="1105"/>
      <c r="O181" s="1105"/>
      <c r="P181" s="1105"/>
      <c r="Q181" s="1105"/>
      <c r="R181" s="1105"/>
      <c r="S181" s="1105"/>
      <c r="T181" s="1105"/>
      <c r="U181" s="1105"/>
      <c r="V181" s="1105"/>
      <c r="W181" s="1105"/>
      <c r="X181" s="1105"/>
      <c r="Y181" s="1105"/>
      <c r="Z181" s="1105"/>
      <c r="AA181" s="1105"/>
      <c r="AB181" s="1106"/>
      <c r="AC181" s="1105"/>
      <c r="AD181" s="1105"/>
      <c r="AE181" s="1107"/>
      <c r="AF181" s="1109"/>
      <c r="AG181" s="1110"/>
      <c r="AH181" s="1110">
        <f>+AH187/AH182</f>
        <v>0.35193324319834524</v>
      </c>
      <c r="AI181" s="1107"/>
      <c r="AJ181" s="1105"/>
      <c r="AK181" s="1195">
        <f>+SUM(AD182:AG182)</f>
        <v>557</v>
      </c>
      <c r="AL181" s="1105"/>
      <c r="AM181" s="1107"/>
      <c r="AN181" s="1105"/>
      <c r="AO181" s="1105"/>
      <c r="AP181" s="1105"/>
      <c r="AQ181" s="1107"/>
      <c r="AR181" s="1105"/>
      <c r="AS181" s="1105"/>
      <c r="AT181" s="1105"/>
      <c r="AU181" s="1107"/>
      <c r="AV181" s="1105"/>
      <c r="AW181" s="1105"/>
      <c r="AX181" s="1105"/>
      <c r="AY181" s="1107"/>
      <c r="AZ181" s="1105"/>
      <c r="BA181" s="1105"/>
      <c r="BB181" s="1105"/>
      <c r="BC181" s="1107"/>
      <c r="BD181" s="1105"/>
      <c r="BE181" s="1105"/>
      <c r="BF181" s="1105"/>
      <c r="BG181" s="1107"/>
      <c r="BH181" s="1105"/>
      <c r="BI181" s="1105"/>
      <c r="BJ181" s="1105"/>
      <c r="BK181" s="1107"/>
      <c r="BL181" s="1108"/>
      <c r="BM181" s="1105"/>
      <c r="BN181" s="1105"/>
      <c r="BO181" s="1105"/>
      <c r="BP181" s="1105"/>
      <c r="BQ181" s="1105"/>
      <c r="BR181" s="1106"/>
      <c r="BS181" s="1105"/>
      <c r="BT181" s="1188">
        <f>+BT182-BS182</f>
        <v>203.60852000000011</v>
      </c>
      <c r="BU181" s="1107"/>
      <c r="BV181" s="1108"/>
      <c r="BW181" s="1108"/>
      <c r="BX181" s="1108"/>
      <c r="BY181" s="1108"/>
      <c r="BZ181" s="1108"/>
      <c r="CA181" s="1108"/>
      <c r="CB181" s="1108"/>
      <c r="CC181" s="1108"/>
      <c r="CD181" s="1108"/>
      <c r="CE181" s="1108"/>
      <c r="CF181" s="1108"/>
      <c r="CG181" s="1108"/>
      <c r="CH181" s="1108"/>
      <c r="CI181" s="1108"/>
      <c r="CJ181" s="1112"/>
      <c r="CK181" s="1112"/>
      <c r="CL181" s="1112"/>
      <c r="CM181" s="1112"/>
      <c r="CN181" s="1112"/>
      <c r="CO181" s="1112"/>
      <c r="CP181" s="1112"/>
      <c r="CQ181" s="1112"/>
      <c r="CR181" s="1112"/>
      <c r="CS181" s="1112"/>
      <c r="CT181" s="1112"/>
      <c r="CU181" s="1112"/>
      <c r="CV181" s="1112"/>
      <c r="CW181" s="1112"/>
      <c r="CX181" s="1112"/>
      <c r="CY181" s="1112"/>
      <c r="CZ181" s="1112"/>
      <c r="DA181" s="1112"/>
      <c r="DB181" s="1112"/>
      <c r="DC181" s="1112"/>
      <c r="DD181" s="1112"/>
      <c r="DE181" s="1112"/>
      <c r="DF181" s="1112"/>
      <c r="DG181" s="1112"/>
      <c r="DH181" s="1112"/>
      <c r="DI181" s="1112"/>
      <c r="DJ181" s="1112"/>
      <c r="DK181" s="1112"/>
      <c r="DL181" s="1112"/>
      <c r="DM181" s="1112"/>
      <c r="DN181" s="1112"/>
      <c r="DO181" s="1112"/>
      <c r="DP181" s="1112"/>
      <c r="DQ181" s="1112"/>
      <c r="DR181" s="1112"/>
      <c r="DS181" s="1112"/>
      <c r="DT181" s="1112"/>
      <c r="DU181" s="1112"/>
      <c r="DV181" s="1112"/>
      <c r="DW181" s="1112"/>
      <c r="DX181" s="1112"/>
      <c r="DY181" s="1112"/>
      <c r="DZ181" s="1112"/>
      <c r="EA181" s="1112"/>
      <c r="EB181" s="1112"/>
      <c r="EC181" s="1112"/>
      <c r="ED181" s="1112"/>
      <c r="EE181" s="1112"/>
      <c r="EF181" s="1112"/>
      <c r="EG181" s="1112"/>
      <c r="EH181" s="1112"/>
      <c r="EI181" s="1112"/>
      <c r="EJ181" s="1112"/>
      <c r="EK181" s="1112"/>
      <c r="EL181" s="1112"/>
      <c r="EM181" s="1112"/>
      <c r="EN181" s="1112"/>
      <c r="EO181" s="1112"/>
      <c r="EP181" s="1112"/>
      <c r="EQ181" s="1112"/>
      <c r="ER181" s="1112"/>
      <c r="ES181" s="1112"/>
      <c r="ET181" s="1112"/>
      <c r="EU181" s="1112"/>
      <c r="EV181" s="1112"/>
      <c r="EW181" s="1112"/>
      <c r="EX181" s="1112"/>
      <c r="EY181" s="1112"/>
      <c r="EZ181" s="1112"/>
      <c r="FA181" s="1112"/>
      <c r="FB181" s="1112"/>
      <c r="FC181" s="1112"/>
      <c r="FD181" s="1112"/>
      <c r="FE181" s="1112"/>
      <c r="FF181" s="1112"/>
      <c r="FG181" s="1112"/>
      <c r="FH181" s="1112"/>
      <c r="FI181" s="1112"/>
      <c r="FJ181" s="1112"/>
      <c r="FK181" s="1112"/>
      <c r="FL181" s="1112"/>
      <c r="FM181" s="1112"/>
      <c r="FN181" s="1112"/>
      <c r="FO181" s="1112"/>
      <c r="FP181" s="1112"/>
      <c r="FQ181" s="1112"/>
      <c r="FR181" s="1112"/>
      <c r="FS181" s="1112"/>
      <c r="FT181" s="1112"/>
      <c r="FU181" s="1112"/>
      <c r="FV181" s="1112"/>
      <c r="FW181" s="1112"/>
      <c r="FX181" s="1112"/>
      <c r="FY181" s="1112"/>
      <c r="FZ181" s="1112"/>
      <c r="GA181" s="1112"/>
      <c r="GB181" s="1112"/>
      <c r="GC181" s="1112"/>
      <c r="GD181" s="1112"/>
      <c r="GE181" s="1112"/>
      <c r="GF181" s="1112"/>
      <c r="GG181" s="1112"/>
      <c r="GH181" s="1112"/>
      <c r="GI181" s="1112"/>
      <c r="GJ181" s="1112"/>
      <c r="GK181" s="1112"/>
      <c r="GL181" s="1112"/>
      <c r="GM181" s="1112"/>
      <c r="GN181" s="1112"/>
      <c r="GO181" s="1112"/>
      <c r="GP181" s="1112"/>
      <c r="GQ181" s="1112"/>
      <c r="GR181" s="1112"/>
      <c r="GS181" s="1112"/>
      <c r="GT181" s="1112"/>
      <c r="GU181" s="1112"/>
      <c r="GV181" s="1112"/>
      <c r="GW181" s="1112"/>
      <c r="GX181" s="1112"/>
      <c r="GY181" s="1112"/>
      <c r="GZ181" s="1112"/>
      <c r="HA181" s="1112"/>
      <c r="HB181" s="1112"/>
      <c r="HC181" s="1112"/>
      <c r="HD181" s="1112"/>
      <c r="HE181" s="1112"/>
      <c r="HF181" s="1112"/>
      <c r="HG181" s="1112"/>
      <c r="HH181" s="1112"/>
      <c r="HI181" s="1112"/>
      <c r="HJ181" s="1112"/>
      <c r="HK181" s="1112"/>
      <c r="HL181" s="1112"/>
      <c r="HM181" s="1112"/>
      <c r="HN181" s="1112"/>
      <c r="HO181" s="1112"/>
      <c r="HP181" s="1112"/>
      <c r="HQ181" s="1112"/>
      <c r="HR181" s="1112"/>
      <c r="HS181" s="1112"/>
      <c r="HT181" s="1112"/>
      <c r="HU181" s="1112"/>
      <c r="HV181" s="1112"/>
      <c r="HW181" s="1112"/>
      <c r="HX181" s="1112"/>
      <c r="HY181" s="1112"/>
      <c r="HZ181" s="1112"/>
      <c r="IA181" s="1112"/>
      <c r="IB181" s="1112"/>
      <c r="IC181" s="1112"/>
      <c r="ID181" s="1112"/>
      <c r="IE181" s="1112"/>
      <c r="IF181" s="1112"/>
      <c r="IG181" s="1112"/>
      <c r="IH181" s="1112"/>
      <c r="II181" s="1112"/>
      <c r="IJ181" s="1112"/>
      <c r="IK181" s="1112"/>
      <c r="IL181" s="1112"/>
      <c r="IM181" s="1112"/>
      <c r="IN181" s="1112"/>
      <c r="IO181" s="1112"/>
      <c r="IP181" s="1112"/>
      <c r="IQ181" s="1112"/>
      <c r="IR181" s="1112"/>
      <c r="IS181" s="1112"/>
      <c r="IT181" s="1112"/>
      <c r="IU181" s="1112"/>
      <c r="IV181" s="1112"/>
    </row>
    <row r="182" spans="1:256" s="302" customFormat="1" ht="14.25" hidden="1" customHeight="1" outlineLevel="2">
      <c r="B182" s="1045" t="s">
        <v>212</v>
      </c>
      <c r="C182" s="303"/>
      <c r="D182" s="1054"/>
      <c r="E182" s="1054"/>
      <c r="F182" s="1054"/>
      <c r="G182" s="1054"/>
      <c r="H182" s="1054"/>
      <c r="I182" s="1054"/>
      <c r="J182" s="1054"/>
      <c r="K182" s="1054"/>
      <c r="L182" s="1054"/>
      <c r="M182" s="1060"/>
      <c r="N182" s="1060"/>
      <c r="O182" s="1060"/>
      <c r="P182" s="1060"/>
      <c r="Q182" s="1060"/>
      <c r="R182" s="1060"/>
      <c r="S182" s="1060"/>
      <c r="T182" s="1060"/>
      <c r="U182" s="1060"/>
      <c r="V182" s="1060"/>
      <c r="W182" s="1060"/>
      <c r="X182" s="1060"/>
      <c r="Y182" s="1060"/>
      <c r="Z182" s="1060"/>
      <c r="AA182" s="1060"/>
      <c r="AB182" s="625">
        <v>126</v>
      </c>
      <c r="AC182" s="626">
        <v>111</v>
      </c>
      <c r="AD182" s="626">
        <v>106</v>
      </c>
      <c r="AE182" s="627">
        <v>137</v>
      </c>
      <c r="AF182" s="625">
        <v>162</v>
      </c>
      <c r="AG182" s="626">
        <v>152</v>
      </c>
      <c r="AH182" s="626">
        <f>+AH185*AH110</f>
        <v>199.61172000000002</v>
      </c>
      <c r="AI182" s="1190">
        <f>+AH182-30</f>
        <v>169.61172000000002</v>
      </c>
      <c r="AJ182" s="626">
        <f>+AJ185*585</f>
        <v>108.22499999999999</v>
      </c>
      <c r="AK182" s="1063">
        <v>130</v>
      </c>
      <c r="AL182" s="1063"/>
      <c r="AM182" s="1064"/>
      <c r="AN182" s="1065"/>
      <c r="AO182" s="1063"/>
      <c r="AP182" s="1063"/>
      <c r="AQ182" s="1064"/>
      <c r="AR182" s="1065"/>
      <c r="AS182" s="1063"/>
      <c r="AT182" s="1063"/>
      <c r="AU182" s="1064"/>
      <c r="AV182" s="1065"/>
      <c r="AW182" s="1063"/>
      <c r="AX182" s="1063"/>
      <c r="AY182" s="1064"/>
      <c r="AZ182" s="1065"/>
      <c r="BA182" s="1063"/>
      <c r="BB182" s="1063"/>
      <c r="BC182" s="1064"/>
      <c r="BD182" s="1065"/>
      <c r="BE182" s="1063"/>
      <c r="BF182" s="1063"/>
      <c r="BG182" s="1064"/>
      <c r="BH182" s="1065"/>
      <c r="BI182" s="1063"/>
      <c r="BJ182" s="1063"/>
      <c r="BK182" s="1064"/>
      <c r="BL182" s="303"/>
      <c r="BM182" s="1066"/>
      <c r="BN182" s="1066"/>
      <c r="BO182" s="1067"/>
      <c r="BP182" s="1067"/>
      <c r="BQ182" s="1067"/>
      <c r="BR182" s="1068"/>
      <c r="BS182" s="1067">
        <f>+SUM(AB182:AE182)</f>
        <v>480</v>
      </c>
      <c r="BT182" s="1067">
        <f>+BT156</f>
        <v>683.60852000000011</v>
      </c>
      <c r="BU182" s="1069"/>
      <c r="BV182" s="1067"/>
      <c r="BW182" s="1067"/>
      <c r="BX182" s="1067"/>
      <c r="BY182" s="1067"/>
      <c r="BZ182" s="1067"/>
      <c r="CA182" s="303"/>
      <c r="CB182" s="1444"/>
      <c r="CC182" s="1444"/>
      <c r="CD182" s="1444"/>
      <c r="CE182" s="1444"/>
      <c r="CF182" s="303"/>
      <c r="CG182" s="303"/>
      <c r="CH182" s="303"/>
      <c r="CI182" s="303"/>
    </row>
    <row r="183" spans="1:256" s="302" customFormat="1" ht="14.25" hidden="1" customHeight="1" outlineLevel="2">
      <c r="B183" s="1045" t="s">
        <v>269</v>
      </c>
      <c r="C183" s="303"/>
      <c r="D183" s="1054"/>
      <c r="E183" s="1054"/>
      <c r="F183" s="1054"/>
      <c r="G183" s="1054"/>
      <c r="H183" s="1054"/>
      <c r="I183" s="1054"/>
      <c r="J183" s="1054"/>
      <c r="K183" s="1054"/>
      <c r="L183" s="1054"/>
      <c r="M183" s="1060"/>
      <c r="N183" s="1060"/>
      <c r="O183" s="1060"/>
      <c r="P183" s="1060"/>
      <c r="Q183" s="1060"/>
      <c r="R183" s="1060"/>
      <c r="S183" s="1060"/>
      <c r="T183" s="1060"/>
      <c r="U183" s="1060"/>
      <c r="V183" s="1060"/>
      <c r="W183" s="1060"/>
      <c r="X183" s="1060"/>
      <c r="Y183" s="1060"/>
      <c r="Z183" s="1060"/>
      <c r="AA183" s="1060"/>
      <c r="AB183" s="1061">
        <f>+AB213</f>
        <v>14.469045499999996</v>
      </c>
      <c r="AC183" s="1060">
        <f t="shared" ref="AC183:AJ183" si="250">+AC213</f>
        <v>13.453417249999999</v>
      </c>
      <c r="AD183" s="1060">
        <f t="shared" si="250"/>
        <v>12.995073</v>
      </c>
      <c r="AE183" s="1062">
        <f t="shared" si="250"/>
        <v>13.762749000000001</v>
      </c>
      <c r="AF183" s="1061">
        <f t="shared" si="250"/>
        <v>14.469045499999996</v>
      </c>
      <c r="AG183" s="1060">
        <f t="shared" si="250"/>
        <v>13.453417249999999</v>
      </c>
      <c r="AH183" s="1060">
        <f t="shared" si="250"/>
        <v>12.995073</v>
      </c>
      <c r="AI183" s="1062">
        <f t="shared" si="250"/>
        <v>13.762749000000001</v>
      </c>
      <c r="AJ183" s="1060">
        <f t="shared" si="250"/>
        <v>14.469045499999996</v>
      </c>
      <c r="AK183" s="1063"/>
      <c r="AL183" s="1063"/>
      <c r="AM183" s="1064"/>
      <c r="AN183" s="1065"/>
      <c r="AO183" s="1063"/>
      <c r="AP183" s="1063"/>
      <c r="AQ183" s="1064"/>
      <c r="AR183" s="1065"/>
      <c r="AS183" s="1063"/>
      <c r="AT183" s="1063"/>
      <c r="AU183" s="1064"/>
      <c r="AV183" s="1065"/>
      <c r="AW183" s="1063"/>
      <c r="AX183" s="1063"/>
      <c r="AY183" s="1064"/>
      <c r="AZ183" s="1065"/>
      <c r="BA183" s="1063"/>
      <c r="BB183" s="1063"/>
      <c r="BC183" s="1064"/>
      <c r="BD183" s="1065"/>
      <c r="BE183" s="1063"/>
      <c r="BF183" s="1063"/>
      <c r="BG183" s="1064"/>
      <c r="BH183" s="1065"/>
      <c r="BI183" s="1063"/>
      <c r="BJ183" s="1063"/>
      <c r="BK183" s="1064"/>
      <c r="BL183" s="303"/>
      <c r="BM183" s="1066"/>
      <c r="BN183" s="1066"/>
      <c r="BO183" s="1067"/>
      <c r="BP183" s="1067"/>
      <c r="BQ183" s="1067"/>
      <c r="BR183" s="1068"/>
      <c r="BS183" s="1067">
        <f>+BS213</f>
        <v>54.680284749999991</v>
      </c>
      <c r="BT183" s="1022">
        <f>+SUM(AF183:AI183)</f>
        <v>54.680284749999991</v>
      </c>
      <c r="BU183" s="1069"/>
      <c r="BV183" s="1067"/>
      <c r="BW183" s="1067"/>
      <c r="BX183" s="1067"/>
      <c r="BY183" s="1067"/>
      <c r="BZ183" s="1067"/>
      <c r="CA183" s="303"/>
      <c r="CB183" s="1444"/>
      <c r="CC183" s="1444"/>
      <c r="CD183" s="1444"/>
      <c r="CE183" s="1444"/>
      <c r="CF183" s="303"/>
      <c r="CG183" s="303"/>
      <c r="CH183" s="303"/>
      <c r="CI183" s="303"/>
    </row>
    <row r="184" spans="1:256" s="975" customFormat="1" ht="14.25" hidden="1" customHeight="1" outlineLevel="2">
      <c r="A184" s="302"/>
      <c r="B184" s="1045" t="s">
        <v>261</v>
      </c>
      <c r="C184" s="303"/>
      <c r="D184" s="1054"/>
      <c r="E184" s="1054"/>
      <c r="F184" s="1054"/>
      <c r="G184" s="1054"/>
      <c r="H184" s="1054"/>
      <c r="I184" s="1054"/>
      <c r="J184" s="1054"/>
      <c r="K184" s="1054"/>
      <c r="L184" s="1054"/>
      <c r="M184" s="1060"/>
      <c r="N184" s="1060"/>
      <c r="O184" s="1060"/>
      <c r="P184" s="1060"/>
      <c r="Q184" s="1060"/>
      <c r="R184" s="1060"/>
      <c r="S184" s="1060"/>
      <c r="T184" s="1060"/>
      <c r="U184" s="1060"/>
      <c r="V184" s="1060"/>
      <c r="W184" s="1060"/>
      <c r="X184" s="1060"/>
      <c r="Y184" s="1060"/>
      <c r="Z184" s="1060"/>
      <c r="AA184" s="1060"/>
      <c r="AB184" s="1139">
        <f>+AB156-AB183</f>
        <v>111.53095450000001</v>
      </c>
      <c r="AC184" s="1140">
        <f>+AC156-AC183</f>
        <v>97.546582749999999</v>
      </c>
      <c r="AD184" s="1140">
        <f>+AD156-AD183</f>
        <v>93.004926999999995</v>
      </c>
      <c r="AE184" s="1141">
        <f>+AE156-AE183</f>
        <v>123.237251</v>
      </c>
      <c r="AF184" s="1061">
        <f>+AF182-AF213</f>
        <v>147.53095450000001</v>
      </c>
      <c r="AG184" s="1060">
        <f>+AG182-AG213</f>
        <v>138.54658275</v>
      </c>
      <c r="AH184" s="1060">
        <f>+AH182-AH213</f>
        <v>186.61664700000003</v>
      </c>
      <c r="AI184" s="1062">
        <v>120</v>
      </c>
      <c r="AJ184" s="1060">
        <f>+AJ182-AJ183</f>
        <v>93.755954500000001</v>
      </c>
      <c r="AK184" s="1063"/>
      <c r="AL184" s="1063"/>
      <c r="AM184" s="1064"/>
      <c r="AN184" s="1065"/>
      <c r="AO184" s="1063"/>
      <c r="AP184" s="1063"/>
      <c r="AQ184" s="1064"/>
      <c r="AR184" s="1065"/>
      <c r="AS184" s="1063"/>
      <c r="AT184" s="1063"/>
      <c r="AU184" s="1064"/>
      <c r="AV184" s="1065"/>
      <c r="AW184" s="1063"/>
      <c r="AX184" s="1063"/>
      <c r="AY184" s="1064"/>
      <c r="AZ184" s="1065"/>
      <c r="BA184" s="1063"/>
      <c r="BB184" s="1063"/>
      <c r="BC184" s="1064"/>
      <c r="BD184" s="1065"/>
      <c r="BE184" s="1063"/>
      <c r="BF184" s="1063"/>
      <c r="BG184" s="1064"/>
      <c r="BH184" s="1065"/>
      <c r="BI184" s="1063"/>
      <c r="BJ184" s="1063"/>
      <c r="BK184" s="1064"/>
      <c r="BL184" s="303"/>
      <c r="BM184" s="1066"/>
      <c r="BN184" s="1066"/>
      <c r="BO184" s="1067"/>
      <c r="BP184" s="1067"/>
      <c r="BQ184" s="1067"/>
      <c r="BR184" s="1068"/>
      <c r="BS184" s="1067">
        <f>+BS182-BS183</f>
        <v>425.31971525</v>
      </c>
      <c r="BT184" s="1067">
        <f>+BT182-BT183</f>
        <v>628.92823525000017</v>
      </c>
      <c r="BU184" s="1069"/>
      <c r="BV184" s="1067"/>
      <c r="BW184" s="1067"/>
      <c r="BX184" s="1067"/>
      <c r="BY184" s="1067"/>
      <c r="BZ184" s="1067"/>
      <c r="CA184" s="303"/>
      <c r="CB184" s="1444"/>
      <c r="CC184" s="1444"/>
      <c r="CD184" s="1444"/>
      <c r="CE184" s="1444"/>
      <c r="CF184" s="303"/>
      <c r="CG184" s="303"/>
      <c r="CH184" s="303"/>
      <c r="CI184" s="303"/>
      <c r="CJ184" s="302"/>
      <c r="CK184" s="302"/>
      <c r="CL184" s="302"/>
      <c r="CM184" s="302"/>
      <c r="CN184" s="302"/>
      <c r="CO184" s="302"/>
      <c r="CP184" s="302"/>
      <c r="CQ184" s="302"/>
      <c r="CR184" s="302"/>
      <c r="CS184" s="302"/>
      <c r="CT184" s="302"/>
      <c r="CU184" s="302"/>
      <c r="CV184" s="302"/>
      <c r="CW184" s="302"/>
      <c r="CX184" s="302"/>
      <c r="CY184" s="302"/>
      <c r="CZ184" s="302"/>
      <c r="DA184" s="302"/>
      <c r="DB184" s="302"/>
      <c r="DC184" s="302"/>
      <c r="DD184" s="302"/>
      <c r="DE184" s="302"/>
      <c r="DF184" s="302"/>
      <c r="DG184" s="302"/>
      <c r="DH184" s="302"/>
      <c r="DI184" s="302"/>
      <c r="DJ184" s="302"/>
      <c r="DK184" s="302"/>
      <c r="DL184" s="302"/>
      <c r="DM184" s="302"/>
      <c r="DN184" s="302"/>
      <c r="DO184" s="302"/>
      <c r="DP184" s="302"/>
      <c r="DQ184" s="302"/>
      <c r="DR184" s="302"/>
      <c r="DS184" s="302"/>
      <c r="DT184" s="302"/>
      <c r="DU184" s="302"/>
      <c r="DV184" s="302"/>
      <c r="DW184" s="302"/>
      <c r="DX184" s="302"/>
      <c r="DY184" s="302"/>
      <c r="DZ184" s="302"/>
      <c r="EA184" s="302"/>
      <c r="EB184" s="302"/>
      <c r="EC184" s="302"/>
      <c r="ED184" s="302"/>
      <c r="EE184" s="302"/>
      <c r="EF184" s="302"/>
      <c r="EG184" s="302"/>
      <c r="EH184" s="302"/>
      <c r="EI184" s="302"/>
      <c r="EJ184" s="302"/>
      <c r="EK184" s="302"/>
      <c r="EL184" s="302"/>
      <c r="EM184" s="302"/>
      <c r="EN184" s="302"/>
      <c r="EO184" s="302"/>
      <c r="EP184" s="302"/>
      <c r="EQ184" s="302"/>
      <c r="ER184" s="302"/>
      <c r="ES184" s="302"/>
      <c r="ET184" s="302"/>
      <c r="EU184" s="302"/>
      <c r="EV184" s="302"/>
      <c r="EW184" s="302"/>
      <c r="EX184" s="302"/>
      <c r="EY184" s="302"/>
      <c r="EZ184" s="302"/>
      <c r="FA184" s="302"/>
      <c r="FB184" s="302"/>
      <c r="FC184" s="302"/>
      <c r="FD184" s="302"/>
      <c r="FE184" s="302"/>
      <c r="FF184" s="302"/>
      <c r="FG184" s="302"/>
      <c r="FH184" s="302"/>
      <c r="FI184" s="302"/>
      <c r="FJ184" s="302"/>
      <c r="FK184" s="302"/>
      <c r="FL184" s="302"/>
      <c r="FM184" s="302"/>
      <c r="FN184" s="302"/>
      <c r="FO184" s="302"/>
      <c r="FP184" s="302"/>
      <c r="FQ184" s="302"/>
      <c r="FR184" s="302"/>
      <c r="FS184" s="302"/>
      <c r="FT184" s="302"/>
      <c r="FU184" s="302"/>
      <c r="FV184" s="302"/>
      <c r="FW184" s="302"/>
      <c r="FX184" s="302"/>
      <c r="FY184" s="302"/>
      <c r="FZ184" s="302"/>
      <c r="GA184" s="302"/>
      <c r="GB184" s="302"/>
      <c r="GC184" s="302"/>
      <c r="GD184" s="302"/>
      <c r="GE184" s="302"/>
      <c r="GF184" s="302"/>
      <c r="GG184" s="302"/>
      <c r="GH184" s="302"/>
      <c r="GI184" s="302"/>
      <c r="GJ184" s="302"/>
      <c r="GK184" s="302"/>
      <c r="GL184" s="302"/>
      <c r="GM184" s="302"/>
      <c r="GN184" s="302"/>
      <c r="GO184" s="302"/>
      <c r="GP184" s="302"/>
      <c r="GQ184" s="302"/>
      <c r="GR184" s="302"/>
      <c r="GS184" s="302"/>
      <c r="GT184" s="302"/>
      <c r="GU184" s="302"/>
      <c r="GV184" s="302"/>
      <c r="GW184" s="302"/>
      <c r="GX184" s="302"/>
      <c r="GY184" s="302"/>
      <c r="GZ184" s="302"/>
      <c r="HA184" s="302"/>
      <c r="HB184" s="302"/>
      <c r="HC184" s="302"/>
      <c r="HD184" s="302"/>
      <c r="HE184" s="302"/>
      <c r="HF184" s="302"/>
      <c r="HG184" s="302"/>
      <c r="HH184" s="302"/>
      <c r="HI184" s="302"/>
      <c r="HJ184" s="302"/>
      <c r="HK184" s="302"/>
      <c r="HL184" s="302"/>
      <c r="HM184" s="302"/>
      <c r="HN184" s="302"/>
      <c r="HO184" s="302"/>
      <c r="HP184" s="302"/>
      <c r="HQ184" s="302"/>
      <c r="HR184" s="302"/>
      <c r="HS184" s="302"/>
      <c r="HT184" s="302"/>
      <c r="HU184" s="302"/>
      <c r="HV184" s="302"/>
      <c r="HW184" s="302"/>
      <c r="HX184" s="302"/>
      <c r="HY184" s="302"/>
      <c r="HZ184" s="302"/>
      <c r="IA184" s="302"/>
      <c r="IB184" s="302"/>
      <c r="IC184" s="302"/>
      <c r="ID184" s="302"/>
      <c r="IE184" s="302"/>
      <c r="IF184" s="302"/>
      <c r="IG184" s="302"/>
      <c r="IH184" s="302"/>
      <c r="II184" s="302"/>
      <c r="IJ184" s="302"/>
      <c r="IK184" s="302"/>
      <c r="IL184" s="302"/>
      <c r="IM184" s="302"/>
      <c r="IN184" s="302"/>
      <c r="IO184" s="302"/>
      <c r="IP184" s="302"/>
      <c r="IQ184" s="302"/>
      <c r="IR184" s="302"/>
      <c r="IS184" s="302"/>
      <c r="IT184" s="302"/>
      <c r="IU184" s="302"/>
      <c r="IV184" s="302"/>
    </row>
    <row r="185" spans="1:256" s="975" customFormat="1" ht="14.25" hidden="1" customHeight="1" outlineLevel="2">
      <c r="B185" s="1025" t="s">
        <v>255</v>
      </c>
      <c r="C185" s="968"/>
      <c r="D185" s="1002"/>
      <c r="E185" s="1002"/>
      <c r="F185" s="1002"/>
      <c r="G185" s="1002"/>
      <c r="H185" s="1002"/>
      <c r="I185" s="1002"/>
      <c r="J185" s="1002"/>
      <c r="K185" s="1002"/>
      <c r="L185" s="1002"/>
      <c r="M185" s="1003"/>
      <c r="N185" s="1003"/>
      <c r="O185" s="1003"/>
      <c r="P185" s="1003"/>
      <c r="Q185" s="1003"/>
      <c r="R185" s="1003"/>
      <c r="S185" s="1003"/>
      <c r="T185" s="1003"/>
      <c r="U185" s="1003"/>
      <c r="V185" s="1003"/>
      <c r="W185" s="1003"/>
      <c r="X185" s="1003"/>
      <c r="Y185" s="1003"/>
      <c r="Z185" s="1003"/>
      <c r="AA185" s="1003"/>
      <c r="AB185" s="1004">
        <f t="shared" ref="AB185:AG185" si="251">AB182/AB100</f>
        <v>0.1981125845516209</v>
      </c>
      <c r="AC185" s="1005">
        <f t="shared" si="251"/>
        <v>0.18770323948735032</v>
      </c>
      <c r="AD185" s="1005">
        <f t="shared" si="251"/>
        <v>0.18557033115550794</v>
      </c>
      <c r="AE185" s="1029">
        <f t="shared" si="251"/>
        <v>0.2264627510099908</v>
      </c>
      <c r="AF185" s="1004">
        <f t="shared" si="251"/>
        <v>0.26000080247161256</v>
      </c>
      <c r="AG185" s="1005">
        <f t="shared" si="251"/>
        <v>0.25111266037343094</v>
      </c>
      <c r="AH185" s="1184">
        <v>0.33</v>
      </c>
      <c r="AI185" s="1029">
        <f>AI182/AI100</f>
        <v>0.27887766074640657</v>
      </c>
      <c r="AJ185" s="1184">
        <v>0.185</v>
      </c>
      <c r="AK185" s="969"/>
      <c r="AL185" s="969"/>
      <c r="AM185" s="970"/>
      <c r="AN185" s="1039"/>
      <c r="AO185" s="969"/>
      <c r="AP185" s="969"/>
      <c r="AQ185" s="970"/>
      <c r="AR185" s="1039"/>
      <c r="AS185" s="969"/>
      <c r="AT185" s="969"/>
      <c r="AU185" s="970"/>
      <c r="AV185" s="1039"/>
      <c r="AW185" s="969"/>
      <c r="AX185" s="969"/>
      <c r="AY185" s="970"/>
      <c r="AZ185" s="1039"/>
      <c r="BA185" s="969"/>
      <c r="BB185" s="969"/>
      <c r="BC185" s="970"/>
      <c r="BD185" s="1039"/>
      <c r="BE185" s="969"/>
      <c r="BF185" s="969"/>
      <c r="BG185" s="970"/>
      <c r="BH185" s="1039"/>
      <c r="BI185" s="969"/>
      <c r="BJ185" s="969"/>
      <c r="BK185" s="970"/>
      <c r="BL185" s="968"/>
      <c r="BM185" s="1006"/>
      <c r="BN185" s="1006"/>
      <c r="BO185" s="1007"/>
      <c r="BP185" s="1007"/>
      <c r="BQ185" s="1007"/>
      <c r="BR185" s="1008"/>
      <c r="BS185" s="1007">
        <f>+SUM(BS189:BS190)*2.75</f>
        <v>104.5</v>
      </c>
      <c r="BT185" s="1007"/>
      <c r="BU185" s="1009"/>
      <c r="BV185" s="1007"/>
      <c r="BW185" s="1007"/>
      <c r="BX185" s="1007"/>
      <c r="BY185" s="1007"/>
      <c r="BZ185" s="1007"/>
      <c r="CA185" s="968"/>
      <c r="CB185" s="1448"/>
      <c r="CC185" s="1448"/>
      <c r="CD185" s="1448"/>
      <c r="CE185" s="1448"/>
      <c r="CF185" s="968"/>
      <c r="CG185" s="968"/>
      <c r="CH185" s="968"/>
      <c r="CI185" s="968"/>
    </row>
    <row r="186" spans="1:256" s="975" customFormat="1" ht="14.25" hidden="1" customHeight="1" outlineLevel="2">
      <c r="B186" s="1025" t="s">
        <v>256</v>
      </c>
      <c r="C186" s="968"/>
      <c r="D186" s="1002"/>
      <c r="E186" s="1002"/>
      <c r="F186" s="1002"/>
      <c r="G186" s="1002"/>
      <c r="H186" s="1002"/>
      <c r="I186" s="1002"/>
      <c r="J186" s="1002"/>
      <c r="K186" s="1002"/>
      <c r="L186" s="1002"/>
      <c r="M186" s="1003"/>
      <c r="N186" s="1003"/>
      <c r="O186" s="1003"/>
      <c r="P186" s="1003"/>
      <c r="Q186" s="1003"/>
      <c r="R186" s="1003"/>
      <c r="S186" s="1003"/>
      <c r="T186" s="1003"/>
      <c r="U186" s="1003"/>
      <c r="V186" s="1003"/>
      <c r="W186" s="1003"/>
      <c r="X186" s="1003"/>
      <c r="Y186" s="1003"/>
      <c r="Z186" s="1003"/>
      <c r="AA186" s="1003"/>
      <c r="AB186" s="1004">
        <f t="shared" ref="AB186:AJ186" si="252">AB182/AB29</f>
        <v>0.7924503382064837</v>
      </c>
      <c r="AC186" s="1005">
        <f t="shared" si="252"/>
        <v>0.75081295794940128</v>
      </c>
      <c r="AD186" s="1005">
        <f t="shared" si="252"/>
        <v>0.74228132462203178</v>
      </c>
      <c r="AE186" s="1029">
        <f t="shared" si="252"/>
        <v>0.94359479587496176</v>
      </c>
      <c r="AF186" s="1004">
        <f t="shared" si="252"/>
        <v>1.1304382716157066</v>
      </c>
      <c r="AG186" s="1005">
        <f t="shared" si="252"/>
        <v>1.0463027515559624</v>
      </c>
      <c r="AH186" s="1005">
        <f t="shared" si="252"/>
        <v>1.5000000000000002</v>
      </c>
      <c r="AI186" s="1029">
        <f t="shared" si="252"/>
        <v>1.1155106429856265</v>
      </c>
      <c r="AJ186" s="1005">
        <f t="shared" si="252"/>
        <v>0.71124545272802142</v>
      </c>
      <c r="AK186" s="969"/>
      <c r="AL186" s="969"/>
      <c r="AM186" s="970"/>
      <c r="AN186" s="1039"/>
      <c r="AO186" s="969"/>
      <c r="AP186" s="969"/>
      <c r="AQ186" s="970"/>
      <c r="AR186" s="1039"/>
      <c r="AS186" s="969"/>
      <c r="AT186" s="969"/>
      <c r="AU186" s="970"/>
      <c r="AV186" s="1039"/>
      <c r="AW186" s="969"/>
      <c r="AX186" s="969"/>
      <c r="AY186" s="970"/>
      <c r="AZ186" s="1039"/>
      <c r="BA186" s="969"/>
      <c r="BB186" s="969"/>
      <c r="BC186" s="970"/>
      <c r="BD186" s="1039"/>
      <c r="BE186" s="969"/>
      <c r="BF186" s="969"/>
      <c r="BG186" s="970"/>
      <c r="BH186" s="1039"/>
      <c r="BI186" s="969"/>
      <c r="BJ186" s="969"/>
      <c r="BK186" s="970"/>
      <c r="BL186" s="968"/>
      <c r="BM186" s="1006"/>
      <c r="BN186" s="1006"/>
      <c r="BO186" s="1007"/>
      <c r="BP186" s="1007"/>
      <c r="BQ186" s="1007"/>
      <c r="BR186" s="1008"/>
      <c r="BS186" s="1007">
        <f>15*4.25</f>
        <v>63.75</v>
      </c>
      <c r="BT186" s="1007"/>
      <c r="BU186" s="1009"/>
      <c r="BV186" s="1007"/>
      <c r="BW186" s="1007"/>
      <c r="BX186" s="1007"/>
      <c r="BY186" s="1007"/>
      <c r="BZ186" s="1007"/>
      <c r="CA186" s="968"/>
      <c r="CB186" s="1448"/>
      <c r="CC186" s="1448"/>
      <c r="CD186" s="1448"/>
      <c r="CE186" s="1448"/>
      <c r="CF186" s="968"/>
      <c r="CG186" s="968"/>
      <c r="CH186" s="968"/>
      <c r="CI186" s="968"/>
    </row>
    <row r="187" spans="1:256" s="987" customFormat="1" ht="14.25" hidden="1" customHeight="1" outlineLevel="2">
      <c r="A187" s="975"/>
      <c r="B187" s="1026"/>
      <c r="C187" s="976"/>
      <c r="D187" s="977"/>
      <c r="E187" s="977"/>
      <c r="F187" s="977"/>
      <c r="G187" s="977"/>
      <c r="H187" s="977"/>
      <c r="I187" s="977"/>
      <c r="J187" s="977"/>
      <c r="K187" s="977"/>
      <c r="L187" s="977"/>
      <c r="M187" s="978"/>
      <c r="N187" s="978"/>
      <c r="O187" s="978"/>
      <c r="P187" s="978"/>
      <c r="Q187" s="978"/>
      <c r="R187" s="978"/>
      <c r="S187" s="978"/>
      <c r="T187" s="978"/>
      <c r="U187" s="978"/>
      <c r="V187" s="978"/>
      <c r="W187" s="978"/>
      <c r="X187" s="978"/>
      <c r="Y187" s="978"/>
      <c r="Z187" s="978"/>
      <c r="AA187" s="978"/>
      <c r="AB187" s="966"/>
      <c r="AC187" s="967"/>
      <c r="AD187" s="967"/>
      <c r="AE187" s="1030"/>
      <c r="AF187" s="966"/>
      <c r="AG187" s="967"/>
      <c r="AH187" s="1180">
        <f>+AH191*3.25+AH190*2.25+18</f>
        <v>70.25</v>
      </c>
      <c r="AI187" s="1030"/>
      <c r="AJ187" s="967"/>
      <c r="AK187" s="969"/>
      <c r="AL187" s="969"/>
      <c r="AM187" s="970"/>
      <c r="AN187" s="1039"/>
      <c r="AO187" s="969"/>
      <c r="AP187" s="969"/>
      <c r="AQ187" s="970"/>
      <c r="AR187" s="1039"/>
      <c r="AS187" s="969"/>
      <c r="AT187" s="969"/>
      <c r="AU187" s="970"/>
      <c r="AV187" s="1039"/>
      <c r="AW187" s="969"/>
      <c r="AX187" s="969"/>
      <c r="AY187" s="970"/>
      <c r="AZ187" s="1039"/>
      <c r="BA187" s="969"/>
      <c r="BB187" s="969"/>
      <c r="BC187" s="970"/>
      <c r="BD187" s="1039"/>
      <c r="BE187" s="969"/>
      <c r="BF187" s="969"/>
      <c r="BG187" s="970"/>
      <c r="BH187" s="1039"/>
      <c r="BI187" s="969"/>
      <c r="BJ187" s="969"/>
      <c r="BK187" s="970"/>
      <c r="BL187" s="968"/>
      <c r="BM187" s="971"/>
      <c r="BN187" s="971"/>
      <c r="BO187" s="972"/>
      <c r="BP187" s="972"/>
      <c r="BQ187" s="972"/>
      <c r="BR187" s="973"/>
      <c r="BS187" s="972"/>
      <c r="BT187" s="972"/>
      <c r="BU187" s="974"/>
      <c r="BV187" s="972"/>
      <c r="BW187" s="972"/>
      <c r="BX187" s="972"/>
      <c r="BY187" s="972"/>
      <c r="BZ187" s="972"/>
      <c r="CA187" s="968"/>
      <c r="CB187" s="1448"/>
      <c r="CC187" s="1448"/>
      <c r="CD187" s="1448"/>
      <c r="CE187" s="1448"/>
      <c r="CF187" s="968"/>
      <c r="CG187" s="968"/>
      <c r="CH187" s="968"/>
      <c r="CI187" s="968"/>
      <c r="CJ187" s="975"/>
      <c r="CK187" s="975"/>
      <c r="CL187" s="975"/>
      <c r="CM187" s="975"/>
      <c r="CN187" s="975"/>
      <c r="CO187" s="975"/>
      <c r="CP187" s="975"/>
      <c r="CQ187" s="975"/>
      <c r="CR187" s="975"/>
      <c r="CS187" s="975"/>
      <c r="CT187" s="975"/>
      <c r="CU187" s="975"/>
      <c r="CV187" s="975"/>
      <c r="CW187" s="975"/>
      <c r="CX187" s="975"/>
      <c r="CY187" s="975"/>
      <c r="CZ187" s="975"/>
      <c r="DA187" s="975"/>
      <c r="DB187" s="975"/>
      <c r="DC187" s="975"/>
      <c r="DD187" s="975"/>
      <c r="DE187" s="975"/>
      <c r="DF187" s="975"/>
      <c r="DG187" s="975"/>
      <c r="DH187" s="975"/>
      <c r="DI187" s="975"/>
      <c r="DJ187" s="975"/>
      <c r="DK187" s="975"/>
      <c r="DL187" s="975"/>
      <c r="DM187" s="975"/>
      <c r="DN187" s="975"/>
      <c r="DO187" s="975"/>
      <c r="DP187" s="975"/>
      <c r="DQ187" s="975"/>
      <c r="DR187" s="975"/>
      <c r="DS187" s="975"/>
      <c r="DT187" s="975"/>
      <c r="DU187" s="975"/>
      <c r="DV187" s="975"/>
      <c r="DW187" s="975"/>
      <c r="DX187" s="975"/>
      <c r="DY187" s="975"/>
      <c r="DZ187" s="975"/>
      <c r="EA187" s="975"/>
      <c r="EB187" s="975"/>
      <c r="EC187" s="975"/>
      <c r="ED187" s="975"/>
      <c r="EE187" s="975"/>
      <c r="EF187" s="975"/>
      <c r="EG187" s="975"/>
      <c r="EH187" s="975"/>
      <c r="EI187" s="975"/>
      <c r="EJ187" s="975"/>
      <c r="EK187" s="975"/>
      <c r="EL187" s="975"/>
      <c r="EM187" s="975"/>
      <c r="EN187" s="975"/>
      <c r="EO187" s="975"/>
      <c r="EP187" s="975"/>
      <c r="EQ187" s="975"/>
      <c r="ER187" s="975"/>
      <c r="ES187" s="975"/>
      <c r="ET187" s="975"/>
      <c r="EU187" s="975"/>
      <c r="EV187" s="975"/>
      <c r="EW187" s="975"/>
      <c r="EX187" s="975"/>
      <c r="EY187" s="975"/>
      <c r="EZ187" s="975"/>
      <c r="FA187" s="975"/>
      <c r="FB187" s="975"/>
      <c r="FC187" s="975"/>
      <c r="FD187" s="975"/>
      <c r="FE187" s="975"/>
      <c r="FF187" s="975"/>
      <c r="FG187" s="975"/>
      <c r="FH187" s="975"/>
      <c r="FI187" s="975"/>
      <c r="FJ187" s="975"/>
      <c r="FK187" s="975"/>
      <c r="FL187" s="975"/>
      <c r="FM187" s="975"/>
      <c r="FN187" s="975"/>
      <c r="FO187" s="975"/>
      <c r="FP187" s="975"/>
      <c r="FQ187" s="975"/>
      <c r="FR187" s="975"/>
      <c r="FS187" s="975"/>
      <c r="FT187" s="975"/>
      <c r="FU187" s="975"/>
      <c r="FV187" s="975"/>
      <c r="FW187" s="975"/>
      <c r="FX187" s="975"/>
      <c r="FY187" s="975"/>
      <c r="FZ187" s="975"/>
      <c r="GA187" s="975"/>
      <c r="GB187" s="975"/>
      <c r="GC187" s="975"/>
      <c r="GD187" s="975"/>
      <c r="GE187" s="975"/>
      <c r="GF187" s="975"/>
      <c r="GG187" s="975"/>
      <c r="GH187" s="975"/>
      <c r="GI187" s="975"/>
      <c r="GJ187" s="975"/>
      <c r="GK187" s="975"/>
      <c r="GL187" s="975"/>
      <c r="GM187" s="975"/>
      <c r="GN187" s="975"/>
      <c r="GO187" s="975"/>
      <c r="GP187" s="975"/>
      <c r="GQ187" s="975"/>
      <c r="GR187" s="975"/>
      <c r="GS187" s="975"/>
      <c r="GT187" s="975"/>
      <c r="GU187" s="975"/>
      <c r="GV187" s="975"/>
      <c r="GW187" s="975"/>
      <c r="GX187" s="975"/>
      <c r="GY187" s="975"/>
      <c r="GZ187" s="975"/>
      <c r="HA187" s="975"/>
      <c r="HB187" s="975"/>
      <c r="HC187" s="975"/>
      <c r="HD187" s="975"/>
      <c r="HE187" s="975"/>
      <c r="HF187" s="975"/>
      <c r="HG187" s="975"/>
      <c r="HH187" s="975"/>
      <c r="HI187" s="975"/>
      <c r="HJ187" s="975"/>
      <c r="HK187" s="975"/>
      <c r="HL187" s="975"/>
      <c r="HM187" s="975"/>
      <c r="HN187" s="975"/>
      <c r="HO187" s="975"/>
      <c r="HP187" s="975"/>
      <c r="HQ187" s="975"/>
      <c r="HR187" s="975"/>
      <c r="HS187" s="975"/>
      <c r="HT187" s="975"/>
      <c r="HU187" s="975"/>
      <c r="HV187" s="975"/>
      <c r="HW187" s="975"/>
      <c r="HX187" s="975"/>
      <c r="HY187" s="975"/>
      <c r="HZ187" s="975"/>
      <c r="IA187" s="975"/>
      <c r="IB187" s="975"/>
      <c r="IC187" s="975"/>
      <c r="ID187" s="975"/>
      <c r="IE187" s="975"/>
      <c r="IF187" s="975"/>
      <c r="IG187" s="975"/>
      <c r="IH187" s="975"/>
      <c r="II187" s="975"/>
      <c r="IJ187" s="975"/>
      <c r="IK187" s="975"/>
      <c r="IL187" s="975"/>
      <c r="IM187" s="975"/>
      <c r="IN187" s="975"/>
      <c r="IO187" s="975"/>
      <c r="IP187" s="975"/>
      <c r="IQ187" s="975"/>
      <c r="IR187" s="975"/>
      <c r="IS187" s="975"/>
      <c r="IT187" s="975"/>
      <c r="IU187" s="975"/>
      <c r="IV187" s="975"/>
    </row>
    <row r="188" spans="1:256" s="987" customFormat="1" ht="14.25" hidden="1" customHeight="1" outlineLevel="2">
      <c r="B188" s="1028" t="s">
        <v>250</v>
      </c>
      <c r="C188" s="979"/>
      <c r="D188" s="980"/>
      <c r="E188" s="980"/>
      <c r="F188" s="980"/>
      <c r="G188" s="980"/>
      <c r="H188" s="980"/>
      <c r="I188" s="980"/>
      <c r="J188" s="980"/>
      <c r="K188" s="980"/>
      <c r="L188" s="980"/>
      <c r="M188" s="981"/>
      <c r="N188" s="981"/>
      <c r="O188" s="981"/>
      <c r="P188" s="981"/>
      <c r="Q188" s="981"/>
      <c r="R188" s="981"/>
      <c r="S188" s="981"/>
      <c r="T188" s="981"/>
      <c r="U188" s="981"/>
      <c r="V188" s="981"/>
      <c r="W188" s="981"/>
      <c r="X188" s="981"/>
      <c r="Y188" s="981"/>
      <c r="Z188" s="981"/>
      <c r="AA188" s="981"/>
      <c r="AB188" s="1164">
        <f t="shared" ref="AB188:AM188" si="253">0.75*AB182</f>
        <v>94.5</v>
      </c>
      <c r="AC188" s="1165">
        <f t="shared" si="253"/>
        <v>83.25</v>
      </c>
      <c r="AD188" s="1165">
        <f t="shared" si="253"/>
        <v>79.5</v>
      </c>
      <c r="AE188" s="1166">
        <f t="shared" si="253"/>
        <v>102.75</v>
      </c>
      <c r="AF188" s="1164">
        <f t="shared" si="253"/>
        <v>121.5</v>
      </c>
      <c r="AG188" s="1165">
        <f t="shared" si="253"/>
        <v>114</v>
      </c>
      <c r="AH188" s="1165">
        <f t="shared" si="253"/>
        <v>149.70879000000002</v>
      </c>
      <c r="AI188" s="1166">
        <f>0.75*AI182</f>
        <v>127.20879000000002</v>
      </c>
      <c r="AJ188" s="1165">
        <f>0.75*AJ182</f>
        <v>81.168749999999989</v>
      </c>
      <c r="AK188" s="983">
        <f t="shared" si="253"/>
        <v>97.5</v>
      </c>
      <c r="AL188" s="983">
        <f t="shared" si="253"/>
        <v>0</v>
      </c>
      <c r="AM188" s="984">
        <f t="shared" si="253"/>
        <v>0</v>
      </c>
      <c r="AN188" s="1040"/>
      <c r="AO188" s="985"/>
      <c r="AP188" s="985"/>
      <c r="AQ188" s="991"/>
      <c r="AR188" s="1040"/>
      <c r="AS188" s="985"/>
      <c r="AT188" s="985"/>
      <c r="AU188" s="991"/>
      <c r="AV188" s="1040"/>
      <c r="AW188" s="985"/>
      <c r="AX188" s="985"/>
      <c r="AY188" s="991"/>
      <c r="AZ188" s="1040"/>
      <c r="BA188" s="985"/>
      <c r="BB188" s="985"/>
      <c r="BC188" s="991"/>
      <c r="BD188" s="1040"/>
      <c r="BE188" s="985"/>
      <c r="BF188" s="985"/>
      <c r="BG188" s="991"/>
      <c r="BH188" s="1040"/>
      <c r="BI188" s="985"/>
      <c r="BJ188" s="985"/>
      <c r="BK188" s="991"/>
      <c r="BL188" s="979"/>
      <c r="BM188" s="986"/>
      <c r="BN188" s="986"/>
      <c r="BO188" s="873"/>
      <c r="BP188" s="873"/>
      <c r="BQ188" s="873"/>
      <c r="BR188" s="874"/>
      <c r="BS188" s="1022">
        <f t="shared" ref="BS188:BS193" si="254">+SUM(AB188:AE188)</f>
        <v>360</v>
      </c>
      <c r="BT188" s="1022">
        <f t="shared" ref="BT188:BT193" si="255">+SUM(AF188:AI188)</f>
        <v>512.41758000000004</v>
      </c>
      <c r="BU188" s="1024">
        <f t="shared" ref="BU188:BU193" si="256">+SUM(AJ188:AM188)</f>
        <v>178.66874999999999</v>
      </c>
      <c r="BV188" s="873"/>
      <c r="BW188" s="873"/>
      <c r="BX188" s="873"/>
      <c r="BY188" s="873"/>
      <c r="BZ188" s="873"/>
      <c r="CA188" s="979"/>
      <c r="CB188" s="1449"/>
      <c r="CC188" s="1449"/>
      <c r="CD188" s="1449"/>
      <c r="CE188" s="1449"/>
      <c r="CF188" s="979"/>
      <c r="CG188" s="979"/>
      <c r="CH188" s="979"/>
      <c r="CI188" s="979"/>
    </row>
    <row r="189" spans="1:256" s="987" customFormat="1" ht="14.25" hidden="1" customHeight="1" outlineLevel="2">
      <c r="B189" s="1086" t="s">
        <v>265</v>
      </c>
      <c r="C189" s="979"/>
      <c r="D189" s="980"/>
      <c r="E189" s="980"/>
      <c r="F189" s="980"/>
      <c r="G189" s="980"/>
      <c r="H189" s="980"/>
      <c r="I189" s="980"/>
      <c r="J189" s="980"/>
      <c r="K189" s="980"/>
      <c r="L189" s="980"/>
      <c r="M189" s="981"/>
      <c r="N189" s="981"/>
      <c r="O189" s="981"/>
      <c r="P189" s="981"/>
      <c r="Q189" s="981"/>
      <c r="R189" s="981"/>
      <c r="S189" s="981"/>
      <c r="T189" s="981"/>
      <c r="U189" s="981"/>
      <c r="V189" s="981"/>
      <c r="W189" s="981"/>
      <c r="X189" s="981"/>
      <c r="Y189" s="981"/>
      <c r="Z189" s="981"/>
      <c r="AA189" s="981"/>
      <c r="AB189" s="982">
        <v>4</v>
      </c>
      <c r="AC189" s="983">
        <v>4</v>
      </c>
      <c r="AD189" s="983">
        <v>3</v>
      </c>
      <c r="AE189" s="984">
        <v>2</v>
      </c>
      <c r="AF189" s="982">
        <v>1</v>
      </c>
      <c r="AG189" s="983">
        <v>1</v>
      </c>
      <c r="AH189" s="983">
        <v>0</v>
      </c>
      <c r="AI189" s="984">
        <v>0</v>
      </c>
      <c r="AJ189" s="983">
        <v>0</v>
      </c>
      <c r="AK189" s="983">
        <v>0</v>
      </c>
      <c r="AL189" s="983">
        <v>0</v>
      </c>
      <c r="AM189" s="984">
        <v>0</v>
      </c>
      <c r="AN189" s="1040"/>
      <c r="AO189" s="985"/>
      <c r="AP189" s="985"/>
      <c r="AQ189" s="991"/>
      <c r="AR189" s="1040"/>
      <c r="AS189" s="985"/>
      <c r="AT189" s="985"/>
      <c r="AU189" s="991"/>
      <c r="AV189" s="1040"/>
      <c r="AW189" s="985"/>
      <c r="AX189" s="985"/>
      <c r="AY189" s="991"/>
      <c r="AZ189" s="1040"/>
      <c r="BA189" s="985"/>
      <c r="BB189" s="985"/>
      <c r="BC189" s="991"/>
      <c r="BD189" s="1040"/>
      <c r="BE189" s="985"/>
      <c r="BF189" s="985"/>
      <c r="BG189" s="991"/>
      <c r="BH189" s="1040"/>
      <c r="BI189" s="985"/>
      <c r="BJ189" s="985"/>
      <c r="BK189" s="991"/>
      <c r="BL189" s="979"/>
      <c r="BM189" s="986"/>
      <c r="BN189" s="986"/>
      <c r="BO189" s="873"/>
      <c r="BP189" s="873"/>
      <c r="BQ189" s="873"/>
      <c r="BR189" s="874"/>
      <c r="BS189" s="1022">
        <f t="shared" si="254"/>
        <v>13</v>
      </c>
      <c r="BT189" s="1022">
        <f t="shared" si="255"/>
        <v>2</v>
      </c>
      <c r="BU189" s="1024">
        <f t="shared" si="256"/>
        <v>0</v>
      </c>
      <c r="BV189" s="873"/>
      <c r="BW189" s="873"/>
      <c r="BX189" s="873"/>
      <c r="BY189" s="873"/>
      <c r="BZ189" s="873"/>
      <c r="CA189" s="979"/>
      <c r="CB189" s="1449"/>
      <c r="CC189" s="1449"/>
      <c r="CD189" s="1449"/>
      <c r="CE189" s="1449"/>
      <c r="CF189" s="979"/>
      <c r="CG189" s="979"/>
      <c r="CH189" s="979"/>
      <c r="CI189" s="979"/>
    </row>
    <row r="190" spans="1:256" s="1017" customFormat="1" ht="14.25" hidden="1" customHeight="1" outlineLevel="2">
      <c r="A190" s="987"/>
      <c r="B190" s="1086" t="s">
        <v>266</v>
      </c>
      <c r="C190" s="979"/>
      <c r="D190" s="980"/>
      <c r="E190" s="980"/>
      <c r="F190" s="980"/>
      <c r="G190" s="980"/>
      <c r="H190" s="980"/>
      <c r="I190" s="980"/>
      <c r="J190" s="980"/>
      <c r="K190" s="980"/>
      <c r="L190" s="980"/>
      <c r="M190" s="981"/>
      <c r="N190" s="981"/>
      <c r="O190" s="981"/>
      <c r="P190" s="981"/>
      <c r="Q190" s="981"/>
      <c r="R190" s="981"/>
      <c r="S190" s="981"/>
      <c r="T190" s="981"/>
      <c r="U190" s="981"/>
      <c r="V190" s="981"/>
      <c r="W190" s="981"/>
      <c r="X190" s="981"/>
      <c r="Y190" s="981"/>
      <c r="Z190" s="981"/>
      <c r="AA190" s="981"/>
      <c r="AB190" s="982">
        <v>6</v>
      </c>
      <c r="AC190" s="983">
        <v>7</v>
      </c>
      <c r="AD190" s="983">
        <v>7</v>
      </c>
      <c r="AE190" s="984">
        <v>5</v>
      </c>
      <c r="AF190" s="982">
        <v>4</v>
      </c>
      <c r="AG190" s="983">
        <v>3</v>
      </c>
      <c r="AH190" s="983">
        <v>3</v>
      </c>
      <c r="AI190" s="984">
        <v>2</v>
      </c>
      <c r="AJ190" s="983">
        <v>2</v>
      </c>
      <c r="AK190" s="983">
        <v>2</v>
      </c>
      <c r="AL190" s="983">
        <v>0</v>
      </c>
      <c r="AM190" s="984">
        <v>0</v>
      </c>
      <c r="AN190" s="1040"/>
      <c r="AO190" s="985"/>
      <c r="AP190" s="985"/>
      <c r="AQ190" s="991"/>
      <c r="AR190" s="1040"/>
      <c r="AS190" s="985"/>
      <c r="AT190" s="985"/>
      <c r="AU190" s="991"/>
      <c r="AV190" s="1040"/>
      <c r="AW190" s="985"/>
      <c r="AX190" s="985"/>
      <c r="AY190" s="991"/>
      <c r="AZ190" s="1040"/>
      <c r="BA190" s="985"/>
      <c r="BB190" s="985"/>
      <c r="BC190" s="991"/>
      <c r="BD190" s="1040"/>
      <c r="BE190" s="985"/>
      <c r="BF190" s="985"/>
      <c r="BG190" s="991"/>
      <c r="BH190" s="1040"/>
      <c r="BI190" s="985"/>
      <c r="BJ190" s="985"/>
      <c r="BK190" s="991"/>
      <c r="BL190" s="979"/>
      <c r="BM190" s="986"/>
      <c r="BN190" s="986"/>
      <c r="BO190" s="873"/>
      <c r="BP190" s="873"/>
      <c r="BQ190" s="873"/>
      <c r="BR190" s="874"/>
      <c r="BS190" s="1022">
        <f t="shared" si="254"/>
        <v>25</v>
      </c>
      <c r="BT190" s="1022">
        <f t="shared" si="255"/>
        <v>12</v>
      </c>
      <c r="BU190" s="1024">
        <f t="shared" si="256"/>
        <v>4</v>
      </c>
      <c r="BV190" s="873"/>
      <c r="BW190" s="873"/>
      <c r="BX190" s="873"/>
      <c r="BY190" s="873"/>
      <c r="BZ190" s="873"/>
      <c r="CA190" s="979"/>
      <c r="CB190" s="1449"/>
      <c r="CC190" s="1449"/>
      <c r="CD190" s="1449"/>
      <c r="CE190" s="1449"/>
      <c r="CF190" s="979"/>
      <c r="CG190" s="979"/>
      <c r="CH190" s="979"/>
      <c r="CI190" s="979"/>
      <c r="CJ190" s="987"/>
      <c r="CK190" s="987"/>
      <c r="CL190" s="987"/>
      <c r="CM190" s="987"/>
      <c r="CN190" s="987"/>
      <c r="CO190" s="987"/>
      <c r="CP190" s="987"/>
      <c r="CQ190" s="987"/>
      <c r="CR190" s="987"/>
      <c r="CS190" s="987"/>
      <c r="CT190" s="987"/>
      <c r="CU190" s="987"/>
      <c r="CV190" s="987"/>
      <c r="CW190" s="987"/>
      <c r="CX190" s="987"/>
      <c r="CY190" s="987"/>
      <c r="CZ190" s="987"/>
      <c r="DA190" s="987"/>
      <c r="DB190" s="987"/>
      <c r="DC190" s="987"/>
      <c r="DD190" s="987"/>
      <c r="DE190" s="987"/>
      <c r="DF190" s="987"/>
      <c r="DG190" s="987"/>
      <c r="DH190" s="987"/>
      <c r="DI190" s="987"/>
      <c r="DJ190" s="987"/>
      <c r="DK190" s="987"/>
      <c r="DL190" s="987"/>
      <c r="DM190" s="987"/>
      <c r="DN190" s="987"/>
      <c r="DO190" s="987"/>
      <c r="DP190" s="987"/>
      <c r="DQ190" s="987"/>
      <c r="DR190" s="987"/>
      <c r="DS190" s="987"/>
      <c r="DT190" s="987"/>
      <c r="DU190" s="987"/>
      <c r="DV190" s="987"/>
      <c r="DW190" s="987"/>
      <c r="DX190" s="987"/>
      <c r="DY190" s="987"/>
      <c r="DZ190" s="987"/>
      <c r="EA190" s="987"/>
      <c r="EB190" s="987"/>
      <c r="EC190" s="987"/>
      <c r="ED190" s="987"/>
      <c r="EE190" s="987"/>
      <c r="EF190" s="987"/>
      <c r="EG190" s="987"/>
      <c r="EH190" s="987"/>
      <c r="EI190" s="987"/>
      <c r="EJ190" s="987"/>
      <c r="EK190" s="987"/>
      <c r="EL190" s="987"/>
      <c r="EM190" s="987"/>
      <c r="EN190" s="987"/>
      <c r="EO190" s="987"/>
      <c r="EP190" s="987"/>
      <c r="EQ190" s="987"/>
      <c r="ER190" s="987"/>
      <c r="ES190" s="987"/>
      <c r="ET190" s="987"/>
      <c r="EU190" s="987"/>
      <c r="EV190" s="987"/>
      <c r="EW190" s="987"/>
      <c r="EX190" s="987"/>
      <c r="EY190" s="987"/>
      <c r="EZ190" s="987"/>
      <c r="FA190" s="987"/>
      <c r="FB190" s="987"/>
      <c r="FC190" s="987"/>
      <c r="FD190" s="987"/>
      <c r="FE190" s="987"/>
      <c r="FF190" s="987"/>
      <c r="FG190" s="987"/>
      <c r="FH190" s="987"/>
      <c r="FI190" s="987"/>
      <c r="FJ190" s="987"/>
      <c r="FK190" s="987"/>
      <c r="FL190" s="987"/>
      <c r="FM190" s="987"/>
      <c r="FN190" s="987"/>
      <c r="FO190" s="987"/>
      <c r="FP190" s="987"/>
      <c r="FQ190" s="987"/>
      <c r="FR190" s="987"/>
      <c r="FS190" s="987"/>
      <c r="FT190" s="987"/>
      <c r="FU190" s="987"/>
      <c r="FV190" s="987"/>
      <c r="FW190" s="987"/>
      <c r="FX190" s="987"/>
      <c r="FY190" s="987"/>
      <c r="FZ190" s="987"/>
      <c r="GA190" s="987"/>
      <c r="GB190" s="987"/>
      <c r="GC190" s="987"/>
      <c r="GD190" s="987"/>
      <c r="GE190" s="987"/>
      <c r="GF190" s="987"/>
      <c r="GG190" s="987"/>
      <c r="GH190" s="987"/>
      <c r="GI190" s="987"/>
      <c r="GJ190" s="987"/>
      <c r="GK190" s="987"/>
      <c r="GL190" s="987"/>
      <c r="GM190" s="987"/>
      <c r="GN190" s="987"/>
      <c r="GO190" s="987"/>
      <c r="GP190" s="987"/>
      <c r="GQ190" s="987"/>
      <c r="GR190" s="987"/>
      <c r="GS190" s="987"/>
      <c r="GT190" s="987"/>
      <c r="GU190" s="987"/>
      <c r="GV190" s="987"/>
      <c r="GW190" s="987"/>
      <c r="GX190" s="987"/>
      <c r="GY190" s="987"/>
      <c r="GZ190" s="987"/>
      <c r="HA190" s="987"/>
      <c r="HB190" s="987"/>
      <c r="HC190" s="987"/>
      <c r="HD190" s="987"/>
      <c r="HE190" s="987"/>
      <c r="HF190" s="987"/>
      <c r="HG190" s="987"/>
      <c r="HH190" s="987"/>
      <c r="HI190" s="987"/>
      <c r="HJ190" s="987"/>
      <c r="HK190" s="987"/>
      <c r="HL190" s="987"/>
      <c r="HM190" s="987"/>
      <c r="HN190" s="987"/>
      <c r="HO190" s="987"/>
      <c r="HP190" s="987"/>
      <c r="HQ190" s="987"/>
      <c r="HR190" s="987"/>
      <c r="HS190" s="987"/>
      <c r="HT190" s="987"/>
      <c r="HU190" s="987"/>
      <c r="HV190" s="987"/>
      <c r="HW190" s="987"/>
      <c r="HX190" s="987"/>
      <c r="HY190" s="987"/>
      <c r="HZ190" s="987"/>
      <c r="IA190" s="987"/>
      <c r="IB190" s="987"/>
      <c r="IC190" s="987"/>
      <c r="ID190" s="987"/>
      <c r="IE190" s="987"/>
      <c r="IF190" s="987"/>
      <c r="IG190" s="987"/>
      <c r="IH190" s="987"/>
      <c r="II190" s="987"/>
      <c r="IJ190" s="987"/>
      <c r="IK190" s="987"/>
      <c r="IL190" s="987"/>
      <c r="IM190" s="987"/>
      <c r="IN190" s="987"/>
      <c r="IO190" s="987"/>
      <c r="IP190" s="987"/>
      <c r="IQ190" s="987"/>
      <c r="IR190" s="987"/>
      <c r="IS190" s="987"/>
      <c r="IT190" s="987"/>
      <c r="IU190" s="987"/>
      <c r="IV190" s="987"/>
    </row>
    <row r="191" spans="1:256" s="1010" customFormat="1" ht="14.25" hidden="1" customHeight="1" outlineLevel="2">
      <c r="A191" s="1017"/>
      <c r="B191" s="1086" t="s">
        <v>267</v>
      </c>
      <c r="C191" s="1018"/>
      <c r="D191" s="1019"/>
      <c r="E191" s="1019"/>
      <c r="F191" s="1019"/>
      <c r="G191" s="1019"/>
      <c r="H191" s="1019"/>
      <c r="I191" s="1019"/>
      <c r="J191" s="1019"/>
      <c r="K191" s="1019"/>
      <c r="L191" s="1019"/>
      <c r="M191" s="983"/>
      <c r="N191" s="983"/>
      <c r="O191" s="983"/>
      <c r="P191" s="983"/>
      <c r="Q191" s="983"/>
      <c r="R191" s="983"/>
      <c r="S191" s="983"/>
      <c r="T191" s="983"/>
      <c r="U191" s="983"/>
      <c r="V191" s="983"/>
      <c r="W191" s="983"/>
      <c r="X191" s="983"/>
      <c r="Y191" s="983"/>
      <c r="Z191" s="983"/>
      <c r="AA191" s="983"/>
      <c r="AB191" s="982">
        <v>0</v>
      </c>
      <c r="AC191" s="983">
        <v>0</v>
      </c>
      <c r="AD191" s="983">
        <v>0</v>
      </c>
      <c r="AE191" s="984">
        <v>6</v>
      </c>
      <c r="AF191" s="982">
        <v>20</v>
      </c>
      <c r="AG191" s="983">
        <v>18</v>
      </c>
      <c r="AH191" s="983">
        <v>14</v>
      </c>
      <c r="AI191" s="984">
        <v>8</v>
      </c>
      <c r="AJ191" s="983">
        <v>6</v>
      </c>
      <c r="AK191" s="983">
        <v>4</v>
      </c>
      <c r="AL191" s="983">
        <v>0</v>
      </c>
      <c r="AM191" s="984">
        <v>0</v>
      </c>
      <c r="AN191" s="1041"/>
      <c r="AO191" s="1020"/>
      <c r="AP191" s="1020"/>
      <c r="AQ191" s="1034"/>
      <c r="AR191" s="1041"/>
      <c r="AS191" s="1020"/>
      <c r="AT191" s="1020"/>
      <c r="AU191" s="1034"/>
      <c r="AV191" s="1041"/>
      <c r="AW191" s="1020"/>
      <c r="AX191" s="1020"/>
      <c r="AY191" s="1034"/>
      <c r="AZ191" s="1041"/>
      <c r="BA191" s="1020"/>
      <c r="BB191" s="1020"/>
      <c r="BC191" s="1034"/>
      <c r="BD191" s="1041"/>
      <c r="BE191" s="1020"/>
      <c r="BF191" s="1020"/>
      <c r="BG191" s="1034"/>
      <c r="BH191" s="1041"/>
      <c r="BI191" s="1020"/>
      <c r="BJ191" s="1020"/>
      <c r="BK191" s="1034"/>
      <c r="BL191" s="1018"/>
      <c r="BM191" s="1021"/>
      <c r="BN191" s="1021"/>
      <c r="BO191" s="1022"/>
      <c r="BP191" s="1022"/>
      <c r="BQ191" s="1022"/>
      <c r="BR191" s="1023"/>
      <c r="BS191" s="1022">
        <f t="shared" si="254"/>
        <v>6</v>
      </c>
      <c r="BT191" s="1022">
        <f t="shared" si="255"/>
        <v>60</v>
      </c>
      <c r="BU191" s="1024">
        <f t="shared" si="256"/>
        <v>10</v>
      </c>
      <c r="BV191" s="1022"/>
      <c r="BW191" s="1022"/>
      <c r="BX191" s="1022"/>
      <c r="BY191" s="1022"/>
      <c r="BZ191" s="1022"/>
      <c r="CA191" s="1018"/>
      <c r="CB191" s="1450"/>
      <c r="CC191" s="1450"/>
      <c r="CD191" s="1450"/>
      <c r="CE191" s="1450"/>
      <c r="CF191" s="1018"/>
      <c r="CG191" s="1018"/>
      <c r="CH191" s="1018"/>
      <c r="CI191" s="1018"/>
      <c r="CJ191" s="1017"/>
      <c r="CK191" s="1017"/>
      <c r="CL191" s="1017"/>
      <c r="CM191" s="1017"/>
      <c r="CN191" s="1017"/>
      <c r="CO191" s="1017"/>
      <c r="CP191" s="1017"/>
      <c r="CQ191" s="1017"/>
      <c r="CR191" s="1017"/>
      <c r="CS191" s="1017"/>
      <c r="CT191" s="1017"/>
      <c r="CU191" s="1017"/>
      <c r="CV191" s="1017"/>
      <c r="CW191" s="1017"/>
      <c r="CX191" s="1017"/>
      <c r="CY191" s="1017"/>
      <c r="CZ191" s="1017"/>
      <c r="DA191" s="1017"/>
      <c r="DB191" s="1017"/>
      <c r="DC191" s="1017"/>
      <c r="DD191" s="1017"/>
      <c r="DE191" s="1017"/>
      <c r="DF191" s="1017"/>
      <c r="DG191" s="1017"/>
      <c r="DH191" s="1017"/>
      <c r="DI191" s="1017"/>
      <c r="DJ191" s="1017"/>
      <c r="DK191" s="1017"/>
      <c r="DL191" s="1017"/>
      <c r="DM191" s="1017"/>
      <c r="DN191" s="1017"/>
      <c r="DO191" s="1017"/>
      <c r="DP191" s="1017"/>
      <c r="DQ191" s="1017"/>
      <c r="DR191" s="1017"/>
      <c r="DS191" s="1017"/>
      <c r="DT191" s="1017"/>
      <c r="DU191" s="1017"/>
      <c r="DV191" s="1017"/>
      <c r="DW191" s="1017"/>
      <c r="DX191" s="1017"/>
      <c r="DY191" s="1017"/>
      <c r="DZ191" s="1017"/>
      <c r="EA191" s="1017"/>
      <c r="EB191" s="1017"/>
      <c r="EC191" s="1017"/>
      <c r="ED191" s="1017"/>
      <c r="EE191" s="1017"/>
      <c r="EF191" s="1017"/>
      <c r="EG191" s="1017"/>
      <c r="EH191" s="1017"/>
      <c r="EI191" s="1017"/>
      <c r="EJ191" s="1017"/>
      <c r="EK191" s="1017"/>
      <c r="EL191" s="1017"/>
      <c r="EM191" s="1017"/>
      <c r="EN191" s="1017"/>
      <c r="EO191" s="1017"/>
      <c r="EP191" s="1017"/>
      <c r="EQ191" s="1017"/>
      <c r="ER191" s="1017"/>
      <c r="ES191" s="1017"/>
      <c r="ET191" s="1017"/>
      <c r="EU191" s="1017"/>
      <c r="EV191" s="1017"/>
      <c r="EW191" s="1017"/>
      <c r="EX191" s="1017"/>
      <c r="EY191" s="1017"/>
      <c r="EZ191" s="1017"/>
      <c r="FA191" s="1017"/>
      <c r="FB191" s="1017"/>
      <c r="FC191" s="1017"/>
      <c r="FD191" s="1017"/>
      <c r="FE191" s="1017"/>
      <c r="FF191" s="1017"/>
      <c r="FG191" s="1017"/>
      <c r="FH191" s="1017"/>
      <c r="FI191" s="1017"/>
      <c r="FJ191" s="1017"/>
      <c r="FK191" s="1017"/>
      <c r="FL191" s="1017"/>
      <c r="FM191" s="1017"/>
      <c r="FN191" s="1017"/>
      <c r="FO191" s="1017"/>
      <c r="FP191" s="1017"/>
      <c r="FQ191" s="1017"/>
      <c r="FR191" s="1017"/>
      <c r="FS191" s="1017"/>
      <c r="FT191" s="1017"/>
      <c r="FU191" s="1017"/>
      <c r="FV191" s="1017"/>
      <c r="FW191" s="1017"/>
      <c r="FX191" s="1017"/>
      <c r="FY191" s="1017"/>
      <c r="FZ191" s="1017"/>
      <c r="GA191" s="1017"/>
      <c r="GB191" s="1017"/>
      <c r="GC191" s="1017"/>
      <c r="GD191" s="1017"/>
      <c r="GE191" s="1017"/>
      <c r="GF191" s="1017"/>
      <c r="GG191" s="1017"/>
      <c r="GH191" s="1017"/>
      <c r="GI191" s="1017"/>
      <c r="GJ191" s="1017"/>
      <c r="GK191" s="1017"/>
      <c r="GL191" s="1017"/>
      <c r="GM191" s="1017"/>
      <c r="GN191" s="1017"/>
      <c r="GO191" s="1017"/>
      <c r="GP191" s="1017"/>
      <c r="GQ191" s="1017"/>
      <c r="GR191" s="1017"/>
      <c r="GS191" s="1017"/>
      <c r="GT191" s="1017"/>
      <c r="GU191" s="1017"/>
      <c r="GV191" s="1017"/>
      <c r="GW191" s="1017"/>
      <c r="GX191" s="1017"/>
      <c r="GY191" s="1017"/>
      <c r="GZ191" s="1017"/>
      <c r="HA191" s="1017"/>
      <c r="HB191" s="1017"/>
      <c r="HC191" s="1017"/>
      <c r="HD191" s="1017"/>
      <c r="HE191" s="1017"/>
      <c r="HF191" s="1017"/>
      <c r="HG191" s="1017"/>
      <c r="HH191" s="1017"/>
      <c r="HI191" s="1017"/>
      <c r="HJ191" s="1017"/>
      <c r="HK191" s="1017"/>
      <c r="HL191" s="1017"/>
      <c r="HM191" s="1017"/>
      <c r="HN191" s="1017"/>
      <c r="HO191" s="1017"/>
      <c r="HP191" s="1017"/>
      <c r="HQ191" s="1017"/>
      <c r="HR191" s="1017"/>
      <c r="HS191" s="1017"/>
      <c r="HT191" s="1017"/>
      <c r="HU191" s="1017"/>
      <c r="HV191" s="1017"/>
      <c r="HW191" s="1017"/>
      <c r="HX191" s="1017"/>
      <c r="HY191" s="1017"/>
      <c r="HZ191" s="1017"/>
      <c r="IA191" s="1017"/>
      <c r="IB191" s="1017"/>
      <c r="IC191" s="1017"/>
      <c r="ID191" s="1017"/>
      <c r="IE191" s="1017"/>
      <c r="IF191" s="1017"/>
      <c r="IG191" s="1017"/>
      <c r="IH191" s="1017"/>
      <c r="II191" s="1017"/>
      <c r="IJ191" s="1017"/>
      <c r="IK191" s="1017"/>
      <c r="IL191" s="1017"/>
      <c r="IM191" s="1017"/>
      <c r="IN191" s="1017"/>
      <c r="IO191" s="1017"/>
      <c r="IP191" s="1017"/>
      <c r="IQ191" s="1017"/>
      <c r="IR191" s="1017"/>
      <c r="IS191" s="1017"/>
      <c r="IT191" s="1017"/>
      <c r="IU191" s="1017"/>
      <c r="IV191" s="1017"/>
    </row>
    <row r="192" spans="1:256" s="987" customFormat="1" ht="14.25" hidden="1" customHeight="1" outlineLevel="2">
      <c r="A192" s="1010"/>
      <c r="B192" s="1089" t="s">
        <v>268</v>
      </c>
      <c r="C192" s="1011"/>
      <c r="D192" s="1012"/>
      <c r="E192" s="1012"/>
      <c r="F192" s="1012"/>
      <c r="G192" s="1012"/>
      <c r="H192" s="1012"/>
      <c r="I192" s="1012"/>
      <c r="J192" s="1012"/>
      <c r="K192" s="1012"/>
      <c r="L192" s="1012"/>
      <c r="M192" s="988"/>
      <c r="N192" s="988"/>
      <c r="O192" s="988"/>
      <c r="P192" s="988"/>
      <c r="Q192" s="988"/>
      <c r="R192" s="988"/>
      <c r="S192" s="988"/>
      <c r="T192" s="988"/>
      <c r="U192" s="988"/>
      <c r="V192" s="988"/>
      <c r="W192" s="988"/>
      <c r="X192" s="988"/>
      <c r="Y192" s="988"/>
      <c r="Z192" s="988"/>
      <c r="AA192" s="988"/>
      <c r="AB192" s="990">
        <v>0</v>
      </c>
      <c r="AC192" s="988">
        <v>0</v>
      </c>
      <c r="AD192" s="988">
        <v>0</v>
      </c>
      <c r="AE192" s="989">
        <v>0</v>
      </c>
      <c r="AF192" s="990">
        <v>0</v>
      </c>
      <c r="AG192" s="988">
        <v>0</v>
      </c>
      <c r="AH192" s="988">
        <v>0</v>
      </c>
      <c r="AI192" s="989">
        <v>21</v>
      </c>
      <c r="AJ192" s="988">
        <v>22</v>
      </c>
      <c r="AK192" s="988">
        <v>18</v>
      </c>
      <c r="AL192" s="988">
        <v>0</v>
      </c>
      <c r="AM192" s="989">
        <v>0</v>
      </c>
      <c r="AN192" s="1042"/>
      <c r="AO192" s="1013"/>
      <c r="AP192" s="1013"/>
      <c r="AQ192" s="1043"/>
      <c r="AR192" s="1042"/>
      <c r="AS192" s="1013"/>
      <c r="AT192" s="1013"/>
      <c r="AU192" s="1043"/>
      <c r="AV192" s="1042"/>
      <c r="AW192" s="1013"/>
      <c r="AX192" s="1013"/>
      <c r="AY192" s="1043"/>
      <c r="AZ192" s="1042"/>
      <c r="BA192" s="1013"/>
      <c r="BB192" s="1013"/>
      <c r="BC192" s="1043"/>
      <c r="BD192" s="1042"/>
      <c r="BE192" s="1013"/>
      <c r="BF192" s="1013"/>
      <c r="BG192" s="1043"/>
      <c r="BH192" s="1042"/>
      <c r="BI192" s="1013"/>
      <c r="BJ192" s="1013"/>
      <c r="BK192" s="1043"/>
      <c r="BL192" s="1011"/>
      <c r="BM192" s="1014"/>
      <c r="BN192" s="1014"/>
      <c r="BO192" s="1015"/>
      <c r="BP192" s="1015"/>
      <c r="BQ192" s="1015"/>
      <c r="BR192" s="1016"/>
      <c r="BS192" s="1015">
        <f t="shared" si="254"/>
        <v>0</v>
      </c>
      <c r="BT192" s="1015">
        <f t="shared" si="255"/>
        <v>21</v>
      </c>
      <c r="BU192" s="1059">
        <f t="shared" si="256"/>
        <v>40</v>
      </c>
      <c r="BV192" s="1015"/>
      <c r="BW192" s="1015"/>
      <c r="BX192" s="1015"/>
      <c r="BY192" s="1015"/>
      <c r="BZ192" s="1015"/>
      <c r="CA192" s="1011"/>
      <c r="CB192" s="1451"/>
      <c r="CC192" s="1451"/>
      <c r="CD192" s="1451"/>
      <c r="CE192" s="1451"/>
      <c r="CF192" s="1011"/>
      <c r="CG192" s="1011"/>
      <c r="CH192" s="1011"/>
      <c r="CI192" s="1011"/>
      <c r="CJ192" s="1010"/>
      <c r="CK192" s="1010"/>
      <c r="CL192" s="1010"/>
      <c r="CM192" s="1010"/>
      <c r="CN192" s="1010"/>
      <c r="CO192" s="1010"/>
      <c r="CP192" s="1010"/>
      <c r="CQ192" s="1010"/>
      <c r="CR192" s="1010"/>
      <c r="CS192" s="1010"/>
      <c r="CT192" s="1010"/>
      <c r="CU192" s="1010"/>
      <c r="CV192" s="1010"/>
      <c r="CW192" s="1010"/>
      <c r="CX192" s="1010"/>
      <c r="CY192" s="1010"/>
      <c r="CZ192" s="1010"/>
      <c r="DA192" s="1010"/>
      <c r="DB192" s="1010"/>
      <c r="DC192" s="1010"/>
      <c r="DD192" s="1010"/>
      <c r="DE192" s="1010"/>
      <c r="DF192" s="1010"/>
      <c r="DG192" s="1010"/>
      <c r="DH192" s="1010"/>
      <c r="DI192" s="1010"/>
      <c r="DJ192" s="1010"/>
      <c r="DK192" s="1010"/>
      <c r="DL192" s="1010"/>
      <c r="DM192" s="1010"/>
      <c r="DN192" s="1010"/>
      <c r="DO192" s="1010"/>
      <c r="DP192" s="1010"/>
      <c r="DQ192" s="1010"/>
      <c r="DR192" s="1010"/>
      <c r="DS192" s="1010"/>
      <c r="DT192" s="1010"/>
      <c r="DU192" s="1010"/>
      <c r="DV192" s="1010"/>
      <c r="DW192" s="1010"/>
      <c r="DX192" s="1010"/>
      <c r="DY192" s="1010"/>
      <c r="DZ192" s="1010"/>
      <c r="EA192" s="1010"/>
      <c r="EB192" s="1010"/>
      <c r="EC192" s="1010"/>
      <c r="ED192" s="1010"/>
      <c r="EE192" s="1010"/>
      <c r="EF192" s="1010"/>
      <c r="EG192" s="1010"/>
      <c r="EH192" s="1010"/>
      <c r="EI192" s="1010"/>
      <c r="EJ192" s="1010"/>
      <c r="EK192" s="1010"/>
      <c r="EL192" s="1010"/>
      <c r="EM192" s="1010"/>
      <c r="EN192" s="1010"/>
      <c r="EO192" s="1010"/>
      <c r="EP192" s="1010"/>
      <c r="EQ192" s="1010"/>
      <c r="ER192" s="1010"/>
      <c r="ES192" s="1010"/>
      <c r="ET192" s="1010"/>
      <c r="EU192" s="1010"/>
      <c r="EV192" s="1010"/>
      <c r="EW192" s="1010"/>
      <c r="EX192" s="1010"/>
      <c r="EY192" s="1010"/>
      <c r="EZ192" s="1010"/>
      <c r="FA192" s="1010"/>
      <c r="FB192" s="1010"/>
      <c r="FC192" s="1010"/>
      <c r="FD192" s="1010"/>
      <c r="FE192" s="1010"/>
      <c r="FF192" s="1010"/>
      <c r="FG192" s="1010"/>
      <c r="FH192" s="1010"/>
      <c r="FI192" s="1010"/>
      <c r="FJ192" s="1010"/>
      <c r="FK192" s="1010"/>
      <c r="FL192" s="1010"/>
      <c r="FM192" s="1010"/>
      <c r="FN192" s="1010"/>
      <c r="FO192" s="1010"/>
      <c r="FP192" s="1010"/>
      <c r="FQ192" s="1010"/>
      <c r="FR192" s="1010"/>
      <c r="FS192" s="1010"/>
      <c r="FT192" s="1010"/>
      <c r="FU192" s="1010"/>
      <c r="FV192" s="1010"/>
      <c r="FW192" s="1010"/>
      <c r="FX192" s="1010"/>
      <c r="FY192" s="1010"/>
      <c r="FZ192" s="1010"/>
      <c r="GA192" s="1010"/>
      <c r="GB192" s="1010"/>
      <c r="GC192" s="1010"/>
      <c r="GD192" s="1010"/>
      <c r="GE192" s="1010"/>
      <c r="GF192" s="1010"/>
      <c r="GG192" s="1010"/>
      <c r="GH192" s="1010"/>
      <c r="GI192" s="1010"/>
      <c r="GJ192" s="1010"/>
      <c r="GK192" s="1010"/>
      <c r="GL192" s="1010"/>
      <c r="GM192" s="1010"/>
      <c r="GN192" s="1010"/>
      <c r="GO192" s="1010"/>
      <c r="GP192" s="1010"/>
      <c r="GQ192" s="1010"/>
      <c r="GR192" s="1010"/>
      <c r="GS192" s="1010"/>
      <c r="GT192" s="1010"/>
      <c r="GU192" s="1010"/>
      <c r="GV192" s="1010"/>
      <c r="GW192" s="1010"/>
      <c r="GX192" s="1010"/>
      <c r="GY192" s="1010"/>
      <c r="GZ192" s="1010"/>
      <c r="HA192" s="1010"/>
      <c r="HB192" s="1010"/>
      <c r="HC192" s="1010"/>
      <c r="HD192" s="1010"/>
      <c r="HE192" s="1010"/>
      <c r="HF192" s="1010"/>
      <c r="HG192" s="1010"/>
      <c r="HH192" s="1010"/>
      <c r="HI192" s="1010"/>
      <c r="HJ192" s="1010"/>
      <c r="HK192" s="1010"/>
      <c r="HL192" s="1010"/>
      <c r="HM192" s="1010"/>
      <c r="HN192" s="1010"/>
      <c r="HO192" s="1010"/>
      <c r="HP192" s="1010"/>
      <c r="HQ192" s="1010"/>
      <c r="HR192" s="1010"/>
      <c r="HS192" s="1010"/>
      <c r="HT192" s="1010"/>
      <c r="HU192" s="1010"/>
      <c r="HV192" s="1010"/>
      <c r="HW192" s="1010"/>
      <c r="HX192" s="1010"/>
      <c r="HY192" s="1010"/>
      <c r="HZ192" s="1010"/>
      <c r="IA192" s="1010"/>
      <c r="IB192" s="1010"/>
      <c r="IC192" s="1010"/>
      <c r="ID192" s="1010"/>
      <c r="IE192" s="1010"/>
      <c r="IF192" s="1010"/>
      <c r="IG192" s="1010"/>
      <c r="IH192" s="1010"/>
      <c r="II192" s="1010"/>
      <c r="IJ192" s="1010"/>
      <c r="IK192" s="1010"/>
      <c r="IL192" s="1010"/>
      <c r="IM192" s="1010"/>
      <c r="IN192" s="1010"/>
      <c r="IO192" s="1010"/>
      <c r="IP192" s="1010"/>
      <c r="IQ192" s="1010"/>
      <c r="IR192" s="1010"/>
      <c r="IS192" s="1010"/>
      <c r="IT192" s="1010"/>
      <c r="IU192" s="1010"/>
      <c r="IV192" s="1010"/>
    </row>
    <row r="193" spans="1:256" s="987" customFormat="1" ht="14.25" hidden="1" customHeight="1" outlineLevel="2">
      <c r="B193" s="1088" t="s">
        <v>264</v>
      </c>
      <c r="C193" s="979"/>
      <c r="D193" s="980"/>
      <c r="E193" s="980"/>
      <c r="F193" s="980"/>
      <c r="G193" s="980"/>
      <c r="H193" s="980"/>
      <c r="I193" s="980"/>
      <c r="J193" s="980"/>
      <c r="K193" s="980"/>
      <c r="L193" s="980"/>
      <c r="M193" s="981"/>
      <c r="N193" s="981"/>
      <c r="O193" s="981"/>
      <c r="P193" s="981"/>
      <c r="Q193" s="981"/>
      <c r="R193" s="981"/>
      <c r="S193" s="981"/>
      <c r="T193" s="981"/>
      <c r="U193" s="981"/>
      <c r="V193" s="981"/>
      <c r="W193" s="981"/>
      <c r="X193" s="981"/>
      <c r="Y193" s="981"/>
      <c r="Z193" s="981"/>
      <c r="AA193" s="981"/>
      <c r="AB193" s="982">
        <f>SUM(AB189:AB192)</f>
        <v>10</v>
      </c>
      <c r="AC193" s="983">
        <f t="shared" ref="AC193:AI193" si="257">SUM(AC189:AC192)</f>
        <v>11</v>
      </c>
      <c r="AD193" s="983">
        <f t="shared" si="257"/>
        <v>10</v>
      </c>
      <c r="AE193" s="984">
        <f t="shared" si="257"/>
        <v>13</v>
      </c>
      <c r="AF193" s="982">
        <f t="shared" si="257"/>
        <v>25</v>
      </c>
      <c r="AG193" s="983">
        <f t="shared" si="257"/>
        <v>22</v>
      </c>
      <c r="AH193" s="983">
        <f t="shared" si="257"/>
        <v>17</v>
      </c>
      <c r="AI193" s="984">
        <f t="shared" si="257"/>
        <v>31</v>
      </c>
      <c r="AJ193" s="983">
        <f>SUM(AJ189:AJ192)</f>
        <v>30</v>
      </c>
      <c r="AK193" s="983">
        <f>SUM(AK189:AK192)</f>
        <v>24</v>
      </c>
      <c r="AL193" s="983">
        <f>SUM(AL189:AL192)</f>
        <v>0</v>
      </c>
      <c r="AM193" s="984">
        <f>SUM(AM189:AM192)</f>
        <v>0</v>
      </c>
      <c r="AN193" s="1040"/>
      <c r="AO193" s="985"/>
      <c r="AP193" s="985"/>
      <c r="AQ193" s="991"/>
      <c r="AR193" s="1040"/>
      <c r="AS193" s="985"/>
      <c r="AT193" s="985"/>
      <c r="AU193" s="991"/>
      <c r="AV193" s="1040"/>
      <c r="AW193" s="985"/>
      <c r="AX193" s="985"/>
      <c r="AY193" s="991"/>
      <c r="AZ193" s="1040"/>
      <c r="BA193" s="985"/>
      <c r="BB193" s="985"/>
      <c r="BC193" s="991"/>
      <c r="BD193" s="1040"/>
      <c r="BE193" s="985"/>
      <c r="BF193" s="985"/>
      <c r="BG193" s="991"/>
      <c r="BH193" s="1040"/>
      <c r="BI193" s="985"/>
      <c r="BJ193" s="985"/>
      <c r="BK193" s="991"/>
      <c r="BL193" s="979"/>
      <c r="BM193" s="986"/>
      <c r="BN193" s="986"/>
      <c r="BO193" s="873"/>
      <c r="BP193" s="873"/>
      <c r="BQ193" s="873"/>
      <c r="BR193" s="874"/>
      <c r="BS193" s="1022">
        <f t="shared" si="254"/>
        <v>44</v>
      </c>
      <c r="BT193" s="1022">
        <f t="shared" si="255"/>
        <v>95</v>
      </c>
      <c r="BU193" s="1024">
        <f t="shared" si="256"/>
        <v>54</v>
      </c>
      <c r="BV193" s="873"/>
      <c r="BW193" s="873"/>
      <c r="BX193" s="873"/>
      <c r="BY193" s="873"/>
      <c r="BZ193" s="873"/>
      <c r="CA193" s="979"/>
      <c r="CB193" s="1449"/>
      <c r="CC193" s="1449"/>
      <c r="CD193" s="1449"/>
      <c r="CE193" s="1449"/>
      <c r="CF193" s="979"/>
      <c r="CG193" s="979"/>
      <c r="CH193" s="979"/>
      <c r="CI193" s="979"/>
    </row>
    <row r="194" spans="1:256" s="987" customFormat="1" ht="14.25" hidden="1" customHeight="1" outlineLevel="2">
      <c r="B194" s="1088"/>
      <c r="C194" s="979"/>
      <c r="D194" s="980"/>
      <c r="E194" s="980"/>
      <c r="F194" s="980"/>
      <c r="G194" s="980"/>
      <c r="H194" s="980"/>
      <c r="I194" s="980"/>
      <c r="J194" s="980"/>
      <c r="K194" s="980"/>
      <c r="L194" s="980"/>
      <c r="M194" s="981"/>
      <c r="N194" s="981"/>
      <c r="O194" s="981"/>
      <c r="P194" s="981"/>
      <c r="Q194" s="981"/>
      <c r="R194" s="981"/>
      <c r="S194" s="981"/>
      <c r="T194" s="981"/>
      <c r="U194" s="981"/>
      <c r="V194" s="981"/>
      <c r="W194" s="981"/>
      <c r="X194" s="981"/>
      <c r="Y194" s="981"/>
      <c r="Z194" s="981"/>
      <c r="AA194" s="981"/>
      <c r="AB194" s="982"/>
      <c r="AC194" s="983"/>
      <c r="AD194" s="983"/>
      <c r="AE194" s="1090"/>
      <c r="AF194" s="982"/>
      <c r="AG194" s="983"/>
      <c r="AH194" s="983"/>
      <c r="AI194" s="984"/>
      <c r="AJ194" s="983"/>
      <c r="AK194" s="983"/>
      <c r="AL194" s="983"/>
      <c r="AM194" s="984"/>
      <c r="AN194" s="1040"/>
      <c r="AO194" s="985"/>
      <c r="AP194" s="985"/>
      <c r="AQ194" s="991"/>
      <c r="AR194" s="1040"/>
      <c r="AS194" s="985"/>
      <c r="AT194" s="985"/>
      <c r="AU194" s="991"/>
      <c r="AV194" s="1040"/>
      <c r="AW194" s="985"/>
      <c r="AX194" s="985"/>
      <c r="AY194" s="991"/>
      <c r="AZ194" s="1040"/>
      <c r="BA194" s="985"/>
      <c r="BB194" s="985"/>
      <c r="BC194" s="991"/>
      <c r="BD194" s="1040"/>
      <c r="BE194" s="985"/>
      <c r="BF194" s="985"/>
      <c r="BG194" s="991"/>
      <c r="BH194" s="1040"/>
      <c r="BI194" s="985"/>
      <c r="BJ194" s="985"/>
      <c r="BK194" s="991"/>
      <c r="BL194" s="979"/>
      <c r="BM194" s="986"/>
      <c r="BN194" s="986"/>
      <c r="BO194" s="873"/>
      <c r="BP194" s="873"/>
      <c r="BQ194" s="873"/>
      <c r="BR194" s="874"/>
      <c r="BS194" s="1022">
        <f>+BS193+BS199</f>
        <v>54</v>
      </c>
      <c r="BT194" s="1022">
        <f>+BT193+BT199</f>
        <v>123</v>
      </c>
      <c r="BU194" s="1024"/>
      <c r="BV194" s="873"/>
      <c r="BW194" s="873"/>
      <c r="BX194" s="873"/>
      <c r="BY194" s="873"/>
      <c r="BZ194" s="873"/>
      <c r="CA194" s="979"/>
      <c r="CB194" s="1449"/>
      <c r="CC194" s="1449"/>
      <c r="CD194" s="1449"/>
      <c r="CE194" s="1449"/>
      <c r="CF194" s="979"/>
      <c r="CG194" s="979"/>
      <c r="CH194" s="979"/>
      <c r="CI194" s="979"/>
    </row>
    <row r="195" spans="1:256" s="987" customFormat="1" ht="14.25" hidden="1" customHeight="1" outlineLevel="2">
      <c r="B195" s="1174" t="s">
        <v>274</v>
      </c>
      <c r="C195" s="979"/>
      <c r="D195" s="980"/>
      <c r="E195" s="980"/>
      <c r="F195" s="980"/>
      <c r="G195" s="980"/>
      <c r="H195" s="980"/>
      <c r="I195" s="980"/>
      <c r="J195" s="980"/>
      <c r="K195" s="980"/>
      <c r="L195" s="980"/>
      <c r="M195" s="981"/>
      <c r="N195" s="981"/>
      <c r="O195" s="981"/>
      <c r="P195" s="981"/>
      <c r="Q195" s="981"/>
      <c r="R195" s="981"/>
      <c r="S195" s="981"/>
      <c r="T195" s="981"/>
      <c r="U195" s="981"/>
      <c r="V195" s="981"/>
      <c r="W195" s="981"/>
      <c r="X195" s="981"/>
      <c r="Y195" s="981"/>
      <c r="Z195" s="981"/>
      <c r="AA195" s="981"/>
      <c r="AB195" s="982"/>
      <c r="AC195" s="983"/>
      <c r="AD195" s="983"/>
      <c r="AE195" s="1090"/>
      <c r="AF195" s="982"/>
      <c r="AG195" s="983"/>
      <c r="AH195" s="983"/>
      <c r="AI195" s="984"/>
      <c r="AJ195" s="983"/>
      <c r="AK195" s="983"/>
      <c r="AL195" s="983"/>
      <c r="AM195" s="984"/>
      <c r="AN195" s="1040"/>
      <c r="AO195" s="985"/>
      <c r="AP195" s="985"/>
      <c r="AQ195" s="991"/>
      <c r="AR195" s="1040"/>
      <c r="AS195" s="985"/>
      <c r="AT195" s="985"/>
      <c r="AU195" s="991"/>
      <c r="AV195" s="1040"/>
      <c r="AW195" s="985"/>
      <c r="AX195" s="985"/>
      <c r="AY195" s="991"/>
      <c r="AZ195" s="1040"/>
      <c r="BA195" s="985"/>
      <c r="BB195" s="985"/>
      <c r="BC195" s="991"/>
      <c r="BD195" s="1040"/>
      <c r="BE195" s="985"/>
      <c r="BF195" s="985"/>
      <c r="BG195" s="991"/>
      <c r="BH195" s="1040"/>
      <c r="BI195" s="985"/>
      <c r="BJ195" s="985"/>
      <c r="BK195" s="991"/>
      <c r="BL195" s="979"/>
      <c r="BM195" s="986"/>
      <c r="BN195" s="986"/>
      <c r="BO195" s="873"/>
      <c r="BP195" s="873"/>
      <c r="BQ195" s="873"/>
      <c r="BR195" s="874"/>
      <c r="BS195" s="1179">
        <f>+BS199/BS194</f>
        <v>0.18518518518518517</v>
      </c>
      <c r="BT195" s="1179">
        <f>+BT199/BT194</f>
        <v>0.22764227642276422</v>
      </c>
      <c r="BU195" s="1024"/>
      <c r="BV195" s="873"/>
      <c r="BW195" s="873"/>
      <c r="BX195" s="873"/>
      <c r="BY195" s="873"/>
      <c r="BZ195" s="873"/>
      <c r="CA195" s="979"/>
      <c r="CB195" s="1449"/>
      <c r="CC195" s="1449"/>
      <c r="CD195" s="1449"/>
      <c r="CE195" s="1449"/>
      <c r="CF195" s="979"/>
      <c r="CG195" s="979"/>
      <c r="CH195" s="979"/>
      <c r="CI195" s="979"/>
    </row>
    <row r="196" spans="1:256" s="987" customFormat="1" ht="14.25" hidden="1" customHeight="1" outlineLevel="2">
      <c r="B196" s="1086" t="s">
        <v>219</v>
      </c>
      <c r="C196" s="979"/>
      <c r="D196" s="980"/>
      <c r="E196" s="980"/>
      <c r="F196" s="980"/>
      <c r="G196" s="980"/>
      <c r="H196" s="980"/>
      <c r="I196" s="980"/>
      <c r="J196" s="980"/>
      <c r="K196" s="980"/>
      <c r="L196" s="980"/>
      <c r="M196" s="981"/>
      <c r="N196" s="981"/>
      <c r="O196" s="981"/>
      <c r="P196" s="981"/>
      <c r="Q196" s="981"/>
      <c r="R196" s="981"/>
      <c r="S196" s="981"/>
      <c r="T196" s="981"/>
      <c r="U196" s="981"/>
      <c r="V196" s="981"/>
      <c r="W196" s="981"/>
      <c r="X196" s="981"/>
      <c r="Y196" s="981"/>
      <c r="Z196" s="981"/>
      <c r="AA196" s="981"/>
      <c r="AB196" s="982">
        <v>0</v>
      </c>
      <c r="AC196" s="983">
        <v>1</v>
      </c>
      <c r="AD196" s="983">
        <v>5</v>
      </c>
      <c r="AE196" s="984">
        <v>4</v>
      </c>
      <c r="AF196" s="982">
        <v>3</v>
      </c>
      <c r="AG196" s="983">
        <v>1</v>
      </c>
      <c r="AH196" s="983">
        <v>1</v>
      </c>
      <c r="AI196" s="984">
        <v>1</v>
      </c>
      <c r="AJ196" s="983">
        <v>0</v>
      </c>
      <c r="AK196" s="983">
        <v>0</v>
      </c>
      <c r="AL196" s="983">
        <v>0</v>
      </c>
      <c r="AM196" s="984">
        <v>0</v>
      </c>
      <c r="AN196" s="1040"/>
      <c r="AO196" s="985"/>
      <c r="AP196" s="985"/>
      <c r="AQ196" s="991"/>
      <c r="AR196" s="1040"/>
      <c r="AS196" s="985"/>
      <c r="AT196" s="985"/>
      <c r="AU196" s="991"/>
      <c r="AV196" s="1040"/>
      <c r="AW196" s="985"/>
      <c r="AX196" s="985"/>
      <c r="AY196" s="991"/>
      <c r="AZ196" s="1040"/>
      <c r="BA196" s="985"/>
      <c r="BB196" s="985"/>
      <c r="BC196" s="991"/>
      <c r="BD196" s="1040"/>
      <c r="BE196" s="985"/>
      <c r="BF196" s="985"/>
      <c r="BG196" s="991"/>
      <c r="BH196" s="1040"/>
      <c r="BI196" s="985"/>
      <c r="BJ196" s="985"/>
      <c r="BK196" s="991"/>
      <c r="BL196" s="979"/>
      <c r="BM196" s="986"/>
      <c r="BN196" s="986"/>
      <c r="BO196" s="873"/>
      <c r="BP196" s="873"/>
      <c r="BQ196" s="873"/>
      <c r="BR196" s="874"/>
      <c r="BS196" s="1022">
        <f>+SUM(AB196:AE196)</f>
        <v>10</v>
      </c>
      <c r="BT196" s="1022">
        <f>+SUM(AF196:AI196)</f>
        <v>6</v>
      </c>
      <c r="BU196" s="1024">
        <f>+SUM(AJ196:AM196)</f>
        <v>0</v>
      </c>
      <c r="BV196" s="873"/>
      <c r="BW196" s="873"/>
      <c r="BX196" s="873"/>
      <c r="BY196" s="873"/>
      <c r="BZ196" s="873"/>
      <c r="CA196" s="979"/>
      <c r="CB196" s="1449"/>
      <c r="CC196" s="1449"/>
      <c r="CD196" s="1449"/>
      <c r="CE196" s="1449"/>
      <c r="CF196" s="979"/>
      <c r="CG196" s="979"/>
      <c r="CH196" s="979"/>
      <c r="CI196" s="979"/>
    </row>
    <row r="197" spans="1:256" s="1076" customFormat="1" ht="14.25" hidden="1" customHeight="1" outlineLevel="2">
      <c r="A197" s="987"/>
      <c r="B197" s="1086" t="s">
        <v>270</v>
      </c>
      <c r="C197" s="979"/>
      <c r="D197" s="980"/>
      <c r="E197" s="980"/>
      <c r="F197" s="980"/>
      <c r="G197" s="980"/>
      <c r="H197" s="980"/>
      <c r="I197" s="980"/>
      <c r="J197" s="980"/>
      <c r="K197" s="980"/>
      <c r="L197" s="980"/>
      <c r="M197" s="981"/>
      <c r="N197" s="981"/>
      <c r="O197" s="981"/>
      <c r="P197" s="981"/>
      <c r="Q197" s="981"/>
      <c r="R197" s="981"/>
      <c r="S197" s="981"/>
      <c r="T197" s="981"/>
      <c r="U197" s="981"/>
      <c r="V197" s="981"/>
      <c r="W197" s="981"/>
      <c r="X197" s="981"/>
      <c r="Y197" s="981"/>
      <c r="Z197" s="981"/>
      <c r="AA197" s="981"/>
      <c r="AB197" s="982">
        <v>0</v>
      </c>
      <c r="AC197" s="983">
        <v>0</v>
      </c>
      <c r="AD197" s="983">
        <v>0</v>
      </c>
      <c r="AE197" s="984">
        <v>0</v>
      </c>
      <c r="AF197" s="982">
        <v>0</v>
      </c>
      <c r="AG197" s="983">
        <v>8</v>
      </c>
      <c r="AH197" s="983">
        <v>8</v>
      </c>
      <c r="AI197" s="984">
        <v>6</v>
      </c>
      <c r="AJ197" s="983">
        <v>6</v>
      </c>
      <c r="AK197" s="983">
        <v>2</v>
      </c>
      <c r="AL197" s="983"/>
      <c r="AM197" s="984"/>
      <c r="AN197" s="1040"/>
      <c r="AO197" s="985"/>
      <c r="AP197" s="985"/>
      <c r="AQ197" s="991"/>
      <c r="AR197" s="1040"/>
      <c r="AS197" s="985"/>
      <c r="AT197" s="985"/>
      <c r="AU197" s="991"/>
      <c r="AV197" s="1040"/>
      <c r="AW197" s="985"/>
      <c r="AX197" s="985"/>
      <c r="AY197" s="991"/>
      <c r="AZ197" s="1040"/>
      <c r="BA197" s="985"/>
      <c r="BB197" s="985"/>
      <c r="BC197" s="991"/>
      <c r="BD197" s="1040"/>
      <c r="BE197" s="985"/>
      <c r="BF197" s="985"/>
      <c r="BG197" s="991"/>
      <c r="BH197" s="1040"/>
      <c r="BI197" s="985"/>
      <c r="BJ197" s="985"/>
      <c r="BK197" s="991"/>
      <c r="BL197" s="979"/>
      <c r="BM197" s="986"/>
      <c r="BN197" s="986"/>
      <c r="BO197" s="873"/>
      <c r="BP197" s="873"/>
      <c r="BQ197" s="873"/>
      <c r="BR197" s="874"/>
      <c r="BS197" s="1022"/>
      <c r="BT197" s="1022"/>
      <c r="BU197" s="1024"/>
      <c r="BV197" s="873"/>
      <c r="BW197" s="873"/>
      <c r="BX197" s="873"/>
      <c r="BY197" s="873"/>
      <c r="BZ197" s="873"/>
      <c r="CA197" s="979"/>
      <c r="CB197" s="1449"/>
      <c r="CC197" s="1449"/>
      <c r="CD197" s="1449"/>
      <c r="CE197" s="1449"/>
      <c r="CF197" s="979"/>
      <c r="CG197" s="979"/>
      <c r="CH197" s="979"/>
      <c r="CI197" s="979"/>
      <c r="CJ197" s="987"/>
      <c r="CK197" s="987"/>
      <c r="CL197" s="987"/>
      <c r="CM197" s="987"/>
      <c r="CN197" s="987"/>
      <c r="CO197" s="987"/>
      <c r="CP197" s="987"/>
      <c r="CQ197" s="987"/>
      <c r="CR197" s="987"/>
      <c r="CS197" s="987"/>
      <c r="CT197" s="987"/>
      <c r="CU197" s="987"/>
      <c r="CV197" s="987"/>
      <c r="CW197" s="987"/>
      <c r="CX197" s="987"/>
      <c r="CY197" s="987"/>
      <c r="CZ197" s="987"/>
      <c r="DA197" s="987"/>
      <c r="DB197" s="987"/>
      <c r="DC197" s="987"/>
      <c r="DD197" s="987"/>
      <c r="DE197" s="987"/>
      <c r="DF197" s="987"/>
      <c r="DG197" s="987"/>
      <c r="DH197" s="987"/>
      <c r="DI197" s="987"/>
      <c r="DJ197" s="987"/>
      <c r="DK197" s="987"/>
      <c r="DL197" s="987"/>
      <c r="DM197" s="987"/>
      <c r="DN197" s="987"/>
      <c r="DO197" s="987"/>
      <c r="DP197" s="987"/>
      <c r="DQ197" s="987"/>
      <c r="DR197" s="987"/>
      <c r="DS197" s="987"/>
      <c r="DT197" s="987"/>
      <c r="DU197" s="987"/>
      <c r="DV197" s="987"/>
      <c r="DW197" s="987"/>
      <c r="DX197" s="987"/>
      <c r="DY197" s="987"/>
      <c r="DZ197" s="987"/>
      <c r="EA197" s="987"/>
      <c r="EB197" s="987"/>
      <c r="EC197" s="987"/>
      <c r="ED197" s="987"/>
      <c r="EE197" s="987"/>
      <c r="EF197" s="987"/>
      <c r="EG197" s="987"/>
      <c r="EH197" s="987"/>
      <c r="EI197" s="987"/>
      <c r="EJ197" s="987"/>
      <c r="EK197" s="987"/>
      <c r="EL197" s="987"/>
      <c r="EM197" s="987"/>
      <c r="EN197" s="987"/>
      <c r="EO197" s="987"/>
      <c r="EP197" s="987"/>
      <c r="EQ197" s="987"/>
      <c r="ER197" s="987"/>
      <c r="ES197" s="987"/>
      <c r="ET197" s="987"/>
      <c r="EU197" s="987"/>
      <c r="EV197" s="987"/>
      <c r="EW197" s="987"/>
      <c r="EX197" s="987"/>
      <c r="EY197" s="987"/>
      <c r="EZ197" s="987"/>
      <c r="FA197" s="987"/>
      <c r="FB197" s="987"/>
      <c r="FC197" s="987"/>
      <c r="FD197" s="987"/>
      <c r="FE197" s="987"/>
      <c r="FF197" s="987"/>
      <c r="FG197" s="987"/>
      <c r="FH197" s="987"/>
      <c r="FI197" s="987"/>
      <c r="FJ197" s="987"/>
      <c r="FK197" s="987"/>
      <c r="FL197" s="987"/>
      <c r="FM197" s="987"/>
      <c r="FN197" s="987"/>
      <c r="FO197" s="987"/>
      <c r="FP197" s="987"/>
      <c r="FQ197" s="987"/>
      <c r="FR197" s="987"/>
      <c r="FS197" s="987"/>
      <c r="FT197" s="987"/>
      <c r="FU197" s="987"/>
      <c r="FV197" s="987"/>
      <c r="FW197" s="987"/>
      <c r="FX197" s="987"/>
      <c r="FY197" s="987"/>
      <c r="FZ197" s="987"/>
      <c r="GA197" s="987"/>
      <c r="GB197" s="987"/>
      <c r="GC197" s="987"/>
      <c r="GD197" s="987"/>
      <c r="GE197" s="987"/>
      <c r="GF197" s="987"/>
      <c r="GG197" s="987"/>
      <c r="GH197" s="987"/>
      <c r="GI197" s="987"/>
      <c r="GJ197" s="987"/>
      <c r="GK197" s="987"/>
      <c r="GL197" s="987"/>
      <c r="GM197" s="987"/>
      <c r="GN197" s="987"/>
      <c r="GO197" s="987"/>
      <c r="GP197" s="987"/>
      <c r="GQ197" s="987"/>
      <c r="GR197" s="987"/>
      <c r="GS197" s="987"/>
      <c r="GT197" s="987"/>
      <c r="GU197" s="987"/>
      <c r="GV197" s="987"/>
      <c r="GW197" s="987"/>
      <c r="GX197" s="987"/>
      <c r="GY197" s="987"/>
      <c r="GZ197" s="987"/>
      <c r="HA197" s="987"/>
      <c r="HB197" s="987"/>
      <c r="HC197" s="987"/>
      <c r="HD197" s="987"/>
      <c r="HE197" s="987"/>
      <c r="HF197" s="987"/>
      <c r="HG197" s="987"/>
      <c r="HH197" s="987"/>
      <c r="HI197" s="987"/>
      <c r="HJ197" s="987"/>
      <c r="HK197" s="987"/>
      <c r="HL197" s="987"/>
      <c r="HM197" s="987"/>
      <c r="HN197" s="987"/>
      <c r="HO197" s="987"/>
      <c r="HP197" s="987"/>
      <c r="HQ197" s="987"/>
      <c r="HR197" s="987"/>
      <c r="HS197" s="987"/>
      <c r="HT197" s="987"/>
      <c r="HU197" s="987"/>
      <c r="HV197" s="987"/>
      <c r="HW197" s="987"/>
      <c r="HX197" s="987"/>
      <c r="HY197" s="987"/>
      <c r="HZ197" s="987"/>
      <c r="IA197" s="987"/>
      <c r="IB197" s="987"/>
      <c r="IC197" s="987"/>
      <c r="ID197" s="987"/>
      <c r="IE197" s="987"/>
      <c r="IF197" s="987"/>
      <c r="IG197" s="987"/>
      <c r="IH197" s="987"/>
      <c r="II197" s="987"/>
      <c r="IJ197" s="987"/>
      <c r="IK197" s="987"/>
      <c r="IL197" s="987"/>
      <c r="IM197" s="987"/>
      <c r="IN197" s="987"/>
      <c r="IO197" s="987"/>
      <c r="IP197" s="987"/>
      <c r="IQ197" s="987"/>
      <c r="IR197" s="987"/>
      <c r="IS197" s="987"/>
      <c r="IT197" s="987"/>
      <c r="IU197" s="987"/>
      <c r="IV197" s="987"/>
    </row>
    <row r="198" spans="1:256" s="987" customFormat="1" ht="14.25" hidden="1" customHeight="1" outlineLevel="2">
      <c r="A198" s="1076"/>
      <c r="B198" s="1089" t="s">
        <v>271</v>
      </c>
      <c r="C198" s="1077"/>
      <c r="D198" s="1078"/>
      <c r="E198" s="1078"/>
      <c r="F198" s="1078"/>
      <c r="G198" s="1078"/>
      <c r="H198" s="1078"/>
      <c r="I198" s="1078"/>
      <c r="J198" s="1078"/>
      <c r="K198" s="1078"/>
      <c r="L198" s="1078"/>
      <c r="M198" s="1079"/>
      <c r="N198" s="1079"/>
      <c r="O198" s="1079"/>
      <c r="P198" s="1079"/>
      <c r="Q198" s="1079"/>
      <c r="R198" s="1079"/>
      <c r="S198" s="1079"/>
      <c r="T198" s="1079"/>
      <c r="U198" s="1079"/>
      <c r="V198" s="1079"/>
      <c r="W198" s="1079"/>
      <c r="X198" s="1079"/>
      <c r="Y198" s="1079"/>
      <c r="Z198" s="1079"/>
      <c r="AA198" s="1079"/>
      <c r="AB198" s="990">
        <v>0</v>
      </c>
      <c r="AC198" s="988">
        <v>0</v>
      </c>
      <c r="AD198" s="988">
        <v>0</v>
      </c>
      <c r="AE198" s="989">
        <v>0</v>
      </c>
      <c r="AF198" s="990">
        <v>0</v>
      </c>
      <c r="AG198" s="988">
        <v>0</v>
      </c>
      <c r="AH198" s="988">
        <v>0</v>
      </c>
      <c r="AI198" s="989">
        <v>0</v>
      </c>
      <c r="AJ198" s="988">
        <v>0</v>
      </c>
      <c r="AK198" s="988">
        <v>8</v>
      </c>
      <c r="AL198" s="988"/>
      <c r="AM198" s="989"/>
      <c r="AN198" s="1080"/>
      <c r="AO198" s="1081"/>
      <c r="AP198" s="1081"/>
      <c r="AQ198" s="1082"/>
      <c r="AR198" s="1080"/>
      <c r="AS198" s="1081"/>
      <c r="AT198" s="1081"/>
      <c r="AU198" s="1082"/>
      <c r="AV198" s="1080"/>
      <c r="AW198" s="1081"/>
      <c r="AX198" s="1081"/>
      <c r="AY198" s="1082"/>
      <c r="AZ198" s="1080"/>
      <c r="BA198" s="1081"/>
      <c r="BB198" s="1081"/>
      <c r="BC198" s="1082"/>
      <c r="BD198" s="1080"/>
      <c r="BE198" s="1081"/>
      <c r="BF198" s="1081"/>
      <c r="BG198" s="1082"/>
      <c r="BH198" s="1080"/>
      <c r="BI198" s="1081"/>
      <c r="BJ198" s="1081"/>
      <c r="BK198" s="1082"/>
      <c r="BL198" s="1077"/>
      <c r="BM198" s="1083"/>
      <c r="BN198" s="1083"/>
      <c r="BO198" s="1084"/>
      <c r="BP198" s="1084"/>
      <c r="BQ198" s="1084"/>
      <c r="BR198" s="1085"/>
      <c r="BS198" s="1015"/>
      <c r="BT198" s="1015"/>
      <c r="BU198" s="1059"/>
      <c r="BV198" s="1084"/>
      <c r="BW198" s="1084"/>
      <c r="BX198" s="1084"/>
      <c r="BY198" s="1084"/>
      <c r="BZ198" s="1084"/>
      <c r="CA198" s="1077"/>
      <c r="CB198" s="1452"/>
      <c r="CC198" s="1452"/>
      <c r="CD198" s="1452"/>
      <c r="CE198" s="1452"/>
      <c r="CF198" s="1077"/>
      <c r="CG198" s="1077"/>
      <c r="CH198" s="1077"/>
      <c r="CI198" s="1077"/>
      <c r="CJ198" s="1076"/>
      <c r="CK198" s="1076"/>
      <c r="CL198" s="1076"/>
      <c r="CM198" s="1076"/>
      <c r="CN198" s="1076"/>
      <c r="CO198" s="1076"/>
      <c r="CP198" s="1076"/>
      <c r="CQ198" s="1076"/>
      <c r="CR198" s="1076"/>
      <c r="CS198" s="1076"/>
      <c r="CT198" s="1076"/>
      <c r="CU198" s="1076"/>
      <c r="CV198" s="1076"/>
      <c r="CW198" s="1076"/>
      <c r="CX198" s="1076"/>
      <c r="CY198" s="1076"/>
      <c r="CZ198" s="1076"/>
      <c r="DA198" s="1076"/>
      <c r="DB198" s="1076"/>
      <c r="DC198" s="1076"/>
      <c r="DD198" s="1076"/>
      <c r="DE198" s="1076"/>
      <c r="DF198" s="1076"/>
      <c r="DG198" s="1076"/>
      <c r="DH198" s="1076"/>
      <c r="DI198" s="1076"/>
      <c r="DJ198" s="1076"/>
      <c r="DK198" s="1076"/>
      <c r="DL198" s="1076"/>
      <c r="DM198" s="1076"/>
      <c r="DN198" s="1076"/>
      <c r="DO198" s="1076"/>
      <c r="DP198" s="1076"/>
      <c r="DQ198" s="1076"/>
      <c r="DR198" s="1076"/>
      <c r="DS198" s="1076"/>
      <c r="DT198" s="1076"/>
      <c r="DU198" s="1076"/>
      <c r="DV198" s="1076"/>
      <c r="DW198" s="1076"/>
      <c r="DX198" s="1076"/>
      <c r="DY198" s="1076"/>
      <c r="DZ198" s="1076"/>
      <c r="EA198" s="1076"/>
      <c r="EB198" s="1076"/>
      <c r="EC198" s="1076"/>
      <c r="ED198" s="1076"/>
      <c r="EE198" s="1076"/>
      <c r="EF198" s="1076"/>
      <c r="EG198" s="1076"/>
      <c r="EH198" s="1076"/>
      <c r="EI198" s="1076"/>
      <c r="EJ198" s="1076"/>
      <c r="EK198" s="1076"/>
      <c r="EL198" s="1076"/>
      <c r="EM198" s="1076"/>
      <c r="EN198" s="1076"/>
      <c r="EO198" s="1076"/>
      <c r="EP198" s="1076"/>
      <c r="EQ198" s="1076"/>
      <c r="ER198" s="1076"/>
      <c r="ES198" s="1076"/>
      <c r="ET198" s="1076"/>
      <c r="EU198" s="1076"/>
      <c r="EV198" s="1076"/>
      <c r="EW198" s="1076"/>
      <c r="EX198" s="1076"/>
      <c r="EY198" s="1076"/>
      <c r="EZ198" s="1076"/>
      <c r="FA198" s="1076"/>
      <c r="FB198" s="1076"/>
      <c r="FC198" s="1076"/>
      <c r="FD198" s="1076"/>
      <c r="FE198" s="1076"/>
      <c r="FF198" s="1076"/>
      <c r="FG198" s="1076"/>
      <c r="FH198" s="1076"/>
      <c r="FI198" s="1076"/>
      <c r="FJ198" s="1076"/>
      <c r="FK198" s="1076"/>
      <c r="FL198" s="1076"/>
      <c r="FM198" s="1076"/>
      <c r="FN198" s="1076"/>
      <c r="FO198" s="1076"/>
      <c r="FP198" s="1076"/>
      <c r="FQ198" s="1076"/>
      <c r="FR198" s="1076"/>
      <c r="FS198" s="1076"/>
      <c r="FT198" s="1076"/>
      <c r="FU198" s="1076"/>
      <c r="FV198" s="1076"/>
      <c r="FW198" s="1076"/>
      <c r="FX198" s="1076"/>
      <c r="FY198" s="1076"/>
      <c r="FZ198" s="1076"/>
      <c r="GA198" s="1076"/>
      <c r="GB198" s="1076"/>
      <c r="GC198" s="1076"/>
      <c r="GD198" s="1076"/>
      <c r="GE198" s="1076"/>
      <c r="GF198" s="1076"/>
      <c r="GG198" s="1076"/>
      <c r="GH198" s="1076"/>
      <c r="GI198" s="1076"/>
      <c r="GJ198" s="1076"/>
      <c r="GK198" s="1076"/>
      <c r="GL198" s="1076"/>
      <c r="GM198" s="1076"/>
      <c r="GN198" s="1076"/>
      <c r="GO198" s="1076"/>
      <c r="GP198" s="1076"/>
      <c r="GQ198" s="1076"/>
      <c r="GR198" s="1076"/>
      <c r="GS198" s="1076"/>
      <c r="GT198" s="1076"/>
      <c r="GU198" s="1076"/>
      <c r="GV198" s="1076"/>
      <c r="GW198" s="1076"/>
      <c r="GX198" s="1076"/>
      <c r="GY198" s="1076"/>
      <c r="GZ198" s="1076"/>
      <c r="HA198" s="1076"/>
      <c r="HB198" s="1076"/>
      <c r="HC198" s="1076"/>
      <c r="HD198" s="1076"/>
      <c r="HE198" s="1076"/>
      <c r="HF198" s="1076"/>
      <c r="HG198" s="1076"/>
      <c r="HH198" s="1076"/>
      <c r="HI198" s="1076"/>
      <c r="HJ198" s="1076"/>
      <c r="HK198" s="1076"/>
      <c r="HL198" s="1076"/>
      <c r="HM198" s="1076"/>
      <c r="HN198" s="1076"/>
      <c r="HO198" s="1076"/>
      <c r="HP198" s="1076"/>
      <c r="HQ198" s="1076"/>
      <c r="HR198" s="1076"/>
      <c r="HS198" s="1076"/>
      <c r="HT198" s="1076"/>
      <c r="HU198" s="1076"/>
      <c r="HV198" s="1076"/>
      <c r="HW198" s="1076"/>
      <c r="HX198" s="1076"/>
      <c r="HY198" s="1076"/>
      <c r="HZ198" s="1076"/>
      <c r="IA198" s="1076"/>
      <c r="IB198" s="1076"/>
      <c r="IC198" s="1076"/>
      <c r="ID198" s="1076"/>
      <c r="IE198" s="1076"/>
      <c r="IF198" s="1076"/>
      <c r="IG198" s="1076"/>
      <c r="IH198" s="1076"/>
      <c r="II198" s="1076"/>
      <c r="IJ198" s="1076"/>
      <c r="IK198" s="1076"/>
      <c r="IL198" s="1076"/>
      <c r="IM198" s="1076"/>
      <c r="IN198" s="1076"/>
      <c r="IO198" s="1076"/>
      <c r="IP198" s="1076"/>
      <c r="IQ198" s="1076"/>
      <c r="IR198" s="1076"/>
      <c r="IS198" s="1076"/>
      <c r="IT198" s="1076"/>
      <c r="IU198" s="1076"/>
      <c r="IV198" s="1076"/>
    </row>
    <row r="199" spans="1:256" s="987" customFormat="1" ht="14.25" hidden="1" customHeight="1" outlineLevel="2">
      <c r="B199" s="1027" t="s">
        <v>273</v>
      </c>
      <c r="C199" s="979"/>
      <c r="D199" s="980"/>
      <c r="E199" s="980"/>
      <c r="F199" s="980"/>
      <c r="G199" s="980"/>
      <c r="H199" s="980"/>
      <c r="I199" s="980"/>
      <c r="J199" s="980"/>
      <c r="K199" s="980"/>
      <c r="L199" s="980"/>
      <c r="M199" s="981"/>
      <c r="N199" s="981"/>
      <c r="O199" s="981"/>
      <c r="P199" s="981"/>
      <c r="Q199" s="981"/>
      <c r="R199" s="981"/>
      <c r="S199" s="981"/>
      <c r="T199" s="981"/>
      <c r="U199" s="981"/>
      <c r="V199" s="981"/>
      <c r="W199" s="981"/>
      <c r="X199" s="981"/>
      <c r="Y199" s="981"/>
      <c r="Z199" s="981"/>
      <c r="AA199" s="981"/>
      <c r="AB199" s="982">
        <f>+SUM(AB196:AB198)</f>
        <v>0</v>
      </c>
      <c r="AC199" s="983">
        <f t="shared" ref="AC199:AK199" si="258">+SUM(AC196:AC198)</f>
        <v>1</v>
      </c>
      <c r="AD199" s="983">
        <f t="shared" si="258"/>
        <v>5</v>
      </c>
      <c r="AE199" s="984">
        <f t="shared" si="258"/>
        <v>4</v>
      </c>
      <c r="AF199" s="982">
        <f t="shared" si="258"/>
        <v>3</v>
      </c>
      <c r="AG199" s="983">
        <f t="shared" si="258"/>
        <v>9</v>
      </c>
      <c r="AH199" s="983">
        <f t="shared" si="258"/>
        <v>9</v>
      </c>
      <c r="AI199" s="984">
        <f t="shared" si="258"/>
        <v>7</v>
      </c>
      <c r="AJ199" s="983">
        <f t="shared" si="258"/>
        <v>6</v>
      </c>
      <c r="AK199" s="983">
        <f t="shared" si="258"/>
        <v>10</v>
      </c>
      <c r="AL199" s="983"/>
      <c r="AM199" s="984"/>
      <c r="AN199" s="1040"/>
      <c r="AO199" s="985"/>
      <c r="AP199" s="985"/>
      <c r="AQ199" s="991"/>
      <c r="AR199" s="1040"/>
      <c r="AS199" s="985"/>
      <c r="AT199" s="985"/>
      <c r="AU199" s="991"/>
      <c r="AV199" s="1040"/>
      <c r="AW199" s="985"/>
      <c r="AX199" s="985"/>
      <c r="AY199" s="991"/>
      <c r="AZ199" s="1040"/>
      <c r="BA199" s="985"/>
      <c r="BB199" s="985"/>
      <c r="BC199" s="991"/>
      <c r="BD199" s="1040"/>
      <c r="BE199" s="985"/>
      <c r="BF199" s="985"/>
      <c r="BG199" s="991"/>
      <c r="BH199" s="1040"/>
      <c r="BI199" s="985"/>
      <c r="BJ199" s="985"/>
      <c r="BK199" s="991"/>
      <c r="BL199" s="979"/>
      <c r="BM199" s="986"/>
      <c r="BN199" s="986"/>
      <c r="BO199" s="873"/>
      <c r="BP199" s="873"/>
      <c r="BQ199" s="873"/>
      <c r="BR199" s="874"/>
      <c r="BS199" s="1022">
        <f>+SUM(AB199:AE199)</f>
        <v>10</v>
      </c>
      <c r="BT199" s="1022">
        <f>+SUM(AF199:AI199)</f>
        <v>28</v>
      </c>
      <c r="BU199" s="1024">
        <f>+SUM(AJ199:AM199)</f>
        <v>16</v>
      </c>
      <c r="BV199" s="873"/>
      <c r="BW199" s="873"/>
      <c r="BX199" s="873"/>
      <c r="BY199" s="873"/>
      <c r="BZ199" s="873"/>
      <c r="CA199" s="979"/>
      <c r="CB199" s="1449"/>
      <c r="CC199" s="1449"/>
      <c r="CD199" s="1449"/>
      <c r="CE199" s="1449"/>
      <c r="CF199" s="979"/>
      <c r="CG199" s="979"/>
      <c r="CH199" s="979"/>
      <c r="CI199" s="979"/>
    </row>
    <row r="200" spans="1:256" s="987" customFormat="1" ht="14.25" hidden="1" customHeight="1" outlineLevel="2">
      <c r="B200" s="1027"/>
      <c r="C200" s="979"/>
      <c r="D200" s="980"/>
      <c r="E200" s="980"/>
      <c r="F200" s="980"/>
      <c r="G200" s="980"/>
      <c r="H200" s="980"/>
      <c r="I200" s="980"/>
      <c r="J200" s="980"/>
      <c r="K200" s="980"/>
      <c r="L200" s="980"/>
      <c r="M200" s="981"/>
      <c r="N200" s="981"/>
      <c r="O200" s="981"/>
      <c r="P200" s="981"/>
      <c r="Q200" s="981"/>
      <c r="R200" s="981"/>
      <c r="S200" s="981"/>
      <c r="T200" s="981"/>
      <c r="U200" s="981"/>
      <c r="V200" s="981"/>
      <c r="W200" s="981"/>
      <c r="X200" s="981"/>
      <c r="Y200" s="981"/>
      <c r="Z200" s="981"/>
      <c r="AA200" s="981"/>
      <c r="AB200" s="982"/>
      <c r="AC200" s="983"/>
      <c r="AD200" s="983"/>
      <c r="AE200" s="984"/>
      <c r="AF200" s="982"/>
      <c r="AG200" s="983"/>
      <c r="AH200" s="983"/>
      <c r="AI200" s="984"/>
      <c r="AJ200" s="983"/>
      <c r="AK200" s="983"/>
      <c r="AL200" s="983"/>
      <c r="AM200" s="984"/>
      <c r="AN200" s="1040"/>
      <c r="AO200" s="985"/>
      <c r="AP200" s="985"/>
      <c r="AQ200" s="991"/>
      <c r="AR200" s="1040"/>
      <c r="AS200" s="985"/>
      <c r="AT200" s="985"/>
      <c r="AU200" s="991"/>
      <c r="AV200" s="1040"/>
      <c r="AW200" s="985"/>
      <c r="AX200" s="985"/>
      <c r="AY200" s="991"/>
      <c r="AZ200" s="1040"/>
      <c r="BA200" s="985"/>
      <c r="BB200" s="985"/>
      <c r="BC200" s="991"/>
      <c r="BD200" s="1040"/>
      <c r="BE200" s="985"/>
      <c r="BF200" s="985"/>
      <c r="BG200" s="991"/>
      <c r="BH200" s="1040"/>
      <c r="BI200" s="985"/>
      <c r="BJ200" s="985"/>
      <c r="BK200" s="991"/>
      <c r="BL200" s="979"/>
      <c r="BM200" s="986"/>
      <c r="BN200" s="986"/>
      <c r="BO200" s="873"/>
      <c r="BP200" s="873"/>
      <c r="BQ200" s="873"/>
      <c r="BR200" s="874"/>
      <c r="BS200" s="1022"/>
      <c r="BT200" s="1022"/>
      <c r="BU200" s="1024"/>
      <c r="BV200" s="873"/>
      <c r="BW200" s="873"/>
      <c r="BX200" s="873"/>
      <c r="BY200" s="873"/>
      <c r="BZ200" s="873"/>
      <c r="CA200" s="979"/>
      <c r="CB200" s="1449"/>
      <c r="CC200" s="1449"/>
      <c r="CD200" s="1449"/>
      <c r="CE200" s="1449"/>
      <c r="CF200" s="979"/>
      <c r="CG200" s="979"/>
      <c r="CH200" s="979"/>
      <c r="CI200" s="979"/>
    </row>
    <row r="201" spans="1:256" s="987" customFormat="1" ht="14.25" hidden="1" customHeight="1" outlineLevel="2">
      <c r="B201" s="1027" t="s">
        <v>272</v>
      </c>
      <c r="C201" s="979"/>
      <c r="D201" s="980"/>
      <c r="E201" s="980"/>
      <c r="F201" s="980"/>
      <c r="G201" s="980"/>
      <c r="H201" s="980"/>
      <c r="I201" s="980"/>
      <c r="J201" s="980"/>
      <c r="K201" s="980"/>
      <c r="L201" s="980"/>
      <c r="M201" s="981"/>
      <c r="N201" s="981"/>
      <c r="O201" s="981"/>
      <c r="P201" s="981"/>
      <c r="Q201" s="981"/>
      <c r="R201" s="981"/>
      <c r="S201" s="981"/>
      <c r="T201" s="981"/>
      <c r="U201" s="981"/>
      <c r="V201" s="981"/>
      <c r="W201" s="981"/>
      <c r="X201" s="981"/>
      <c r="Y201" s="981"/>
      <c r="Z201" s="981"/>
      <c r="AA201" s="981"/>
      <c r="AB201" s="982">
        <v>1.5106200000000001</v>
      </c>
      <c r="AC201" s="983">
        <v>2.1809599999999998</v>
      </c>
      <c r="AD201" s="983">
        <v>2.264167</v>
      </c>
      <c r="AE201" s="984">
        <v>2.149483</v>
      </c>
      <c r="AF201" s="982">
        <v>4.3414349999999997</v>
      </c>
      <c r="AG201" s="983">
        <v>7.8349240000000133</v>
      </c>
      <c r="AH201" s="983">
        <v>8.598693000000015</v>
      </c>
      <c r="AI201" s="984">
        <f>AH201*1.1</f>
        <v>9.4585623000000165</v>
      </c>
      <c r="AJ201" s="983">
        <f>AI201*1.2</f>
        <v>11.350274760000019</v>
      </c>
      <c r="AK201" s="983">
        <f>AJ201*0.75</f>
        <v>8.5127060700000143</v>
      </c>
      <c r="AL201" s="983">
        <f>AH201*1.1</f>
        <v>9.4585623000000165</v>
      </c>
      <c r="AM201" s="984">
        <f>AI201*1.1</f>
        <v>10.404418530000019</v>
      </c>
      <c r="AN201" s="1040"/>
      <c r="AO201" s="985"/>
      <c r="AP201" s="985"/>
      <c r="AQ201" s="991"/>
      <c r="AR201" s="1040"/>
      <c r="AS201" s="985"/>
      <c r="AT201" s="985"/>
      <c r="AU201" s="991"/>
      <c r="AV201" s="1040"/>
      <c r="AW201" s="985"/>
      <c r="AX201" s="985"/>
      <c r="AY201" s="991"/>
      <c r="AZ201" s="1040"/>
      <c r="BA201" s="985"/>
      <c r="BB201" s="985"/>
      <c r="BC201" s="991"/>
      <c r="BD201" s="1040"/>
      <c r="BE201" s="985"/>
      <c r="BF201" s="985"/>
      <c r="BG201" s="991"/>
      <c r="BH201" s="1040"/>
      <c r="BI201" s="985"/>
      <c r="BJ201" s="985"/>
      <c r="BK201" s="991"/>
      <c r="BL201" s="979"/>
      <c r="BM201" s="986"/>
      <c r="BN201" s="986"/>
      <c r="BO201" s="873"/>
      <c r="BP201" s="873"/>
      <c r="BQ201" s="873"/>
      <c r="BR201" s="874"/>
      <c r="BS201" s="1022">
        <f>+SUM(AB201:AE201)</f>
        <v>8.1052300000000006</v>
      </c>
      <c r="BT201" s="1022">
        <f>+SUM(AF201:AI201)</f>
        <v>30.233614300000042</v>
      </c>
      <c r="BU201" s="1024">
        <f>+SUM(AJ201:AM201)</f>
        <v>39.725961660000067</v>
      </c>
      <c r="BV201" s="873"/>
      <c r="BW201" s="873"/>
      <c r="BX201" s="873"/>
      <c r="BY201" s="873"/>
      <c r="BZ201" s="873"/>
      <c r="CA201" s="979"/>
      <c r="CB201" s="1449"/>
      <c r="CC201" s="1449"/>
      <c r="CD201" s="1449"/>
      <c r="CE201" s="1449"/>
      <c r="CF201" s="979"/>
      <c r="CG201" s="979"/>
      <c r="CH201" s="979"/>
      <c r="CI201" s="979"/>
    </row>
    <row r="202" spans="1:256" s="987" customFormat="1" ht="14.25" hidden="1" customHeight="1" outlineLevel="2">
      <c r="B202" s="1027" t="s">
        <v>275</v>
      </c>
      <c r="C202" s="979"/>
      <c r="D202" s="980"/>
      <c r="E202" s="980"/>
      <c r="F202" s="980"/>
      <c r="G202" s="980"/>
      <c r="H202" s="980"/>
      <c r="I202" s="980"/>
      <c r="J202" s="980"/>
      <c r="K202" s="980"/>
      <c r="L202" s="980"/>
      <c r="M202" s="981"/>
      <c r="N202" s="981"/>
      <c r="O202" s="981"/>
      <c r="P202" s="981"/>
      <c r="Q202" s="981"/>
      <c r="R202" s="981"/>
      <c r="S202" s="981"/>
      <c r="T202" s="981"/>
      <c r="U202" s="981"/>
      <c r="V202" s="981"/>
      <c r="W202" s="981"/>
      <c r="X202" s="981"/>
      <c r="Y202" s="981"/>
      <c r="Z202" s="981"/>
      <c r="AA202" s="981"/>
      <c r="AB202" s="982">
        <f t="shared" ref="AB202:AM202" si="259">AB201+AB199+AB193</f>
        <v>11.510619999999999</v>
      </c>
      <c r="AC202" s="983">
        <f t="shared" si="259"/>
        <v>14.180959999999999</v>
      </c>
      <c r="AD202" s="983">
        <f t="shared" si="259"/>
        <v>17.264167</v>
      </c>
      <c r="AE202" s="984">
        <f t="shared" si="259"/>
        <v>19.149483</v>
      </c>
      <c r="AF202" s="982">
        <f t="shared" si="259"/>
        <v>32.341434999999997</v>
      </c>
      <c r="AG202" s="983">
        <f t="shared" si="259"/>
        <v>38.834924000000015</v>
      </c>
      <c r="AH202" s="983">
        <f t="shared" si="259"/>
        <v>34.598693000000011</v>
      </c>
      <c r="AI202" s="984">
        <f t="shared" si="259"/>
        <v>47.458562300000018</v>
      </c>
      <c r="AJ202" s="983">
        <f t="shared" si="259"/>
        <v>47.350274760000019</v>
      </c>
      <c r="AK202" s="983">
        <f t="shared" si="259"/>
        <v>42.512706070000014</v>
      </c>
      <c r="AL202" s="983">
        <f t="shared" si="259"/>
        <v>9.4585623000000165</v>
      </c>
      <c r="AM202" s="984">
        <f t="shared" si="259"/>
        <v>10.404418530000019</v>
      </c>
      <c r="AN202" s="1040"/>
      <c r="AO202" s="985"/>
      <c r="AP202" s="985"/>
      <c r="AQ202" s="991"/>
      <c r="AR202" s="1040"/>
      <c r="AS202" s="985"/>
      <c r="AT202" s="985"/>
      <c r="AU202" s="991"/>
      <c r="AV202" s="1040"/>
      <c r="AW202" s="985"/>
      <c r="AX202" s="985"/>
      <c r="AY202" s="991"/>
      <c r="AZ202" s="1040"/>
      <c r="BA202" s="985"/>
      <c r="BB202" s="985"/>
      <c r="BC202" s="991"/>
      <c r="BD202" s="1040"/>
      <c r="BE202" s="985"/>
      <c r="BF202" s="985"/>
      <c r="BG202" s="991"/>
      <c r="BH202" s="1040"/>
      <c r="BI202" s="985"/>
      <c r="BJ202" s="985"/>
      <c r="BK202" s="991"/>
      <c r="BL202" s="979"/>
      <c r="BM202" s="986"/>
      <c r="BN202" s="986"/>
      <c r="BO202" s="873"/>
      <c r="BP202" s="873"/>
      <c r="BQ202" s="873"/>
      <c r="BR202" s="874"/>
      <c r="BS202" s="1022">
        <f>+SUM(AB202:AE202)</f>
        <v>62.105230000000006</v>
      </c>
      <c r="BT202" s="1022">
        <f>+SUM(AF202:AI202)</f>
        <v>153.23361430000006</v>
      </c>
      <c r="BU202" s="1024">
        <f>+SUM(AJ202:AM202)</f>
        <v>109.72596166000005</v>
      </c>
      <c r="BV202" s="873"/>
      <c r="BW202" s="873"/>
      <c r="BX202" s="873"/>
      <c r="BY202" s="873"/>
      <c r="BZ202" s="873"/>
      <c r="CA202" s="979"/>
      <c r="CB202" s="1449"/>
      <c r="CC202" s="1449"/>
      <c r="CD202" s="1449"/>
      <c r="CE202" s="1449"/>
      <c r="CF202" s="979"/>
      <c r="CG202" s="979"/>
      <c r="CH202" s="979"/>
      <c r="CI202" s="979"/>
    </row>
    <row r="203" spans="1:256" s="987" customFormat="1" ht="14.25" hidden="1" customHeight="1" outlineLevel="2">
      <c r="B203" s="1050" t="s">
        <v>251</v>
      </c>
      <c r="C203" s="1051"/>
      <c r="D203" s="1052"/>
      <c r="E203" s="1052"/>
      <c r="F203" s="1052"/>
      <c r="G203" s="1052"/>
      <c r="H203" s="1052"/>
      <c r="I203" s="1052"/>
      <c r="J203" s="1052"/>
      <c r="K203" s="1052"/>
      <c r="L203" s="1052"/>
      <c r="M203" s="1053"/>
      <c r="N203" s="1053"/>
      <c r="O203" s="1053"/>
      <c r="P203" s="1053"/>
      <c r="Q203" s="1053"/>
      <c r="R203" s="1053"/>
      <c r="S203" s="1053"/>
      <c r="T203" s="1053"/>
      <c r="U203" s="1053"/>
      <c r="V203" s="1053"/>
      <c r="W203" s="1053"/>
      <c r="X203" s="1053"/>
      <c r="Y203" s="1053"/>
      <c r="Z203" s="1053"/>
      <c r="AA203" s="1053"/>
      <c r="AB203" s="1055">
        <f>0.9*AB184</f>
        <v>100.37785905000001</v>
      </c>
      <c r="AC203" s="1056">
        <f>0.9*AC184</f>
        <v>87.791924475000002</v>
      </c>
      <c r="AD203" s="1056">
        <f>0.9*AD184</f>
        <v>83.704434300000003</v>
      </c>
      <c r="AE203" s="1057">
        <f>0.9*AE184</f>
        <v>110.9135259</v>
      </c>
      <c r="AF203" s="1055">
        <f>0.95*AF182</f>
        <v>153.9</v>
      </c>
      <c r="AG203" s="1056">
        <f>0.95*AG182</f>
        <v>144.4</v>
      </c>
      <c r="AH203" s="1056">
        <f>0.95*AH182</f>
        <v>189.631134</v>
      </c>
      <c r="AI203" s="1057">
        <f>0.95*AI182</f>
        <v>161.131134</v>
      </c>
      <c r="AJ203" s="1058">
        <f>0.9*AJ182</f>
        <v>97.402500000000003</v>
      </c>
      <c r="AK203" s="983"/>
      <c r="AL203" s="983"/>
      <c r="AM203" s="984"/>
      <c r="AN203" s="1040"/>
      <c r="AO203" s="985"/>
      <c r="AP203" s="985"/>
      <c r="AQ203" s="991"/>
      <c r="AR203" s="1040"/>
      <c r="AS203" s="985"/>
      <c r="AT203" s="985"/>
      <c r="AU203" s="991"/>
      <c r="AV203" s="1040"/>
      <c r="AW203" s="985"/>
      <c r="AX203" s="985"/>
      <c r="AY203" s="991"/>
      <c r="AZ203" s="1040"/>
      <c r="BA203" s="985"/>
      <c r="BB203" s="985"/>
      <c r="BC203" s="991"/>
      <c r="BD203" s="1040"/>
      <c r="BE203" s="985"/>
      <c r="BF203" s="985"/>
      <c r="BG203" s="991"/>
      <c r="BH203" s="1040"/>
      <c r="BI203" s="985"/>
      <c r="BJ203" s="985"/>
      <c r="BK203" s="991"/>
      <c r="BL203" s="979"/>
      <c r="BM203" s="986"/>
      <c r="BN203" s="986"/>
      <c r="BO203" s="873"/>
      <c r="BP203" s="873"/>
      <c r="BQ203" s="873"/>
      <c r="BR203" s="874"/>
      <c r="BS203" s="1022"/>
      <c r="BT203" s="1022"/>
      <c r="BU203" s="1024"/>
      <c r="BV203" s="873"/>
      <c r="BW203" s="873"/>
      <c r="BX203" s="873"/>
      <c r="BY203" s="873"/>
      <c r="BZ203" s="873"/>
      <c r="CA203" s="979"/>
      <c r="CB203" s="1449"/>
      <c r="CC203" s="1449"/>
      <c r="CD203" s="1449"/>
      <c r="CE203" s="1449"/>
      <c r="CF203" s="979"/>
      <c r="CG203" s="979"/>
      <c r="CH203" s="979"/>
      <c r="CI203" s="979"/>
    </row>
    <row r="204" spans="1:256" s="987" customFormat="1" ht="14.25" hidden="1" customHeight="1" outlineLevel="2">
      <c r="B204" s="1027" t="s">
        <v>252</v>
      </c>
      <c r="C204" s="979"/>
      <c r="D204" s="980"/>
      <c r="E204" s="980"/>
      <c r="F204" s="980"/>
      <c r="G204" s="980"/>
      <c r="H204" s="980"/>
      <c r="I204" s="980"/>
      <c r="J204" s="980"/>
      <c r="K204" s="980"/>
      <c r="L204" s="980"/>
      <c r="M204" s="981"/>
      <c r="N204" s="981"/>
      <c r="O204" s="981"/>
      <c r="P204" s="981"/>
      <c r="Q204" s="981"/>
      <c r="R204" s="981"/>
      <c r="S204" s="981"/>
      <c r="T204" s="981"/>
      <c r="U204" s="981"/>
      <c r="V204" s="981"/>
      <c r="W204" s="981"/>
      <c r="X204" s="981"/>
      <c r="Y204" s="981"/>
      <c r="Z204" s="981"/>
      <c r="AA204" s="981"/>
      <c r="AB204" s="1031">
        <f t="shared" ref="AB204:AJ204" si="260">AB203/AB202</f>
        <v>8.7204563307623761</v>
      </c>
      <c r="AC204" s="1032">
        <f t="shared" si="260"/>
        <v>6.1908308376160717</v>
      </c>
      <c r="AD204" s="1032">
        <f t="shared" si="260"/>
        <v>4.8484490621528398</v>
      </c>
      <c r="AE204" s="1033">
        <f t="shared" si="260"/>
        <v>5.7919853972036739</v>
      </c>
      <c r="AF204" s="1031">
        <f t="shared" si="260"/>
        <v>4.758601465890429</v>
      </c>
      <c r="AG204" s="1032">
        <f t="shared" si="260"/>
        <v>3.7183026288399574</v>
      </c>
      <c r="AH204" s="1032">
        <f t="shared" si="260"/>
        <v>5.480875650418354</v>
      </c>
      <c r="AI204" s="1033">
        <f t="shared" si="260"/>
        <v>3.3951962763102905</v>
      </c>
      <c r="AJ204" s="1032">
        <f t="shared" si="260"/>
        <v>2.0570630369875378</v>
      </c>
      <c r="AK204" s="983"/>
      <c r="AL204" s="983"/>
      <c r="AM204" s="984"/>
      <c r="AN204" s="1040"/>
      <c r="AO204" s="985"/>
      <c r="AP204" s="985"/>
      <c r="AQ204" s="991"/>
      <c r="AR204" s="1040"/>
      <c r="AS204" s="985"/>
      <c r="AT204" s="985"/>
      <c r="AU204" s="991"/>
      <c r="AV204" s="1040"/>
      <c r="AW204" s="985"/>
      <c r="AX204" s="985"/>
      <c r="AY204" s="991"/>
      <c r="AZ204" s="1040"/>
      <c r="BA204" s="985"/>
      <c r="BB204" s="985"/>
      <c r="BC204" s="991"/>
      <c r="BD204" s="1040"/>
      <c r="BE204" s="985"/>
      <c r="BF204" s="985"/>
      <c r="BG204" s="991"/>
      <c r="BH204" s="1040"/>
      <c r="BI204" s="985"/>
      <c r="BJ204" s="985"/>
      <c r="BK204" s="991"/>
      <c r="BL204" s="979"/>
      <c r="BM204" s="986"/>
      <c r="BN204" s="986"/>
      <c r="BO204" s="873"/>
      <c r="BP204" s="873"/>
      <c r="BQ204" s="873"/>
      <c r="BR204" s="874"/>
      <c r="BS204" s="1022"/>
      <c r="BT204" s="1022"/>
      <c r="BU204" s="1024"/>
      <c r="BV204" s="873"/>
      <c r="BW204" s="873"/>
      <c r="BX204" s="873"/>
      <c r="BY204" s="873"/>
      <c r="BZ204" s="873"/>
      <c r="CA204" s="979"/>
      <c r="CB204" s="1449"/>
      <c r="CC204" s="1449"/>
      <c r="CD204" s="1449"/>
      <c r="CE204" s="1449"/>
      <c r="CF204" s="979"/>
      <c r="CG204" s="979"/>
      <c r="CH204" s="979"/>
      <c r="CI204" s="979"/>
    </row>
    <row r="205" spans="1:256" s="987" customFormat="1" ht="14.25" hidden="1" customHeight="1" outlineLevel="2">
      <c r="B205" s="1027"/>
      <c r="C205" s="979"/>
      <c r="D205" s="980"/>
      <c r="E205" s="980"/>
      <c r="F205" s="980"/>
      <c r="G205" s="980"/>
      <c r="H205" s="980"/>
      <c r="I205" s="980"/>
      <c r="J205" s="980"/>
      <c r="K205" s="980"/>
      <c r="L205" s="980"/>
      <c r="M205" s="981"/>
      <c r="N205" s="981"/>
      <c r="O205" s="981"/>
      <c r="P205" s="981"/>
      <c r="Q205" s="981"/>
      <c r="R205" s="981"/>
      <c r="S205" s="981"/>
      <c r="T205" s="981"/>
      <c r="U205" s="981"/>
      <c r="V205" s="981"/>
      <c r="W205" s="981"/>
      <c r="X205" s="981"/>
      <c r="Y205" s="981"/>
      <c r="Z205" s="981"/>
      <c r="AA205" s="981"/>
      <c r="AB205" s="982"/>
      <c r="AC205" s="983"/>
      <c r="AD205" s="983"/>
      <c r="AE205" s="984"/>
      <c r="AF205" s="982"/>
      <c r="AG205" s="983"/>
      <c r="AH205" s="983"/>
      <c r="AI205" s="984"/>
      <c r="AJ205" s="983"/>
      <c r="AK205" s="983"/>
      <c r="AL205" s="983"/>
      <c r="AM205" s="984"/>
      <c r="AN205" s="1040"/>
      <c r="AO205" s="985"/>
      <c r="AP205" s="985"/>
      <c r="AQ205" s="991"/>
      <c r="AR205" s="1040"/>
      <c r="AS205" s="985"/>
      <c r="AT205" s="985"/>
      <c r="AU205" s="991"/>
      <c r="AV205" s="1040"/>
      <c r="AW205" s="985"/>
      <c r="AX205" s="985"/>
      <c r="AY205" s="991"/>
      <c r="AZ205" s="1040"/>
      <c r="BA205" s="985"/>
      <c r="BB205" s="985"/>
      <c r="BC205" s="991"/>
      <c r="BD205" s="1040"/>
      <c r="BE205" s="985"/>
      <c r="BF205" s="985"/>
      <c r="BG205" s="991"/>
      <c r="BH205" s="1040"/>
      <c r="BI205" s="985"/>
      <c r="BJ205" s="985"/>
      <c r="BK205" s="991"/>
      <c r="BL205" s="979"/>
      <c r="BM205" s="986"/>
      <c r="BN205" s="986"/>
      <c r="BO205" s="873"/>
      <c r="BP205" s="873"/>
      <c r="BQ205" s="873"/>
      <c r="BR205" s="874"/>
      <c r="BS205" s="1022"/>
      <c r="BT205" s="1022"/>
      <c r="BU205" s="1024"/>
      <c r="BV205" s="873"/>
      <c r="BW205" s="873"/>
      <c r="BX205" s="873"/>
      <c r="BY205" s="873"/>
      <c r="BZ205" s="873"/>
      <c r="CA205" s="979"/>
      <c r="CB205" s="1449"/>
      <c r="CC205" s="1449"/>
      <c r="CD205" s="1449"/>
      <c r="CE205" s="1449"/>
      <c r="CF205" s="979"/>
      <c r="CG205" s="979"/>
      <c r="CH205" s="979"/>
      <c r="CI205" s="979"/>
    </row>
    <row r="206" spans="1:256" s="987" customFormat="1" ht="14.25" hidden="1" customHeight="1" outlineLevel="2">
      <c r="B206" s="1027" t="s">
        <v>276</v>
      </c>
      <c r="C206" s="979"/>
      <c r="D206" s="980"/>
      <c r="E206" s="980"/>
      <c r="F206" s="980"/>
      <c r="G206" s="980"/>
      <c r="H206" s="980"/>
      <c r="I206" s="980"/>
      <c r="J206" s="980"/>
      <c r="K206" s="980"/>
      <c r="L206" s="980"/>
      <c r="M206" s="981"/>
      <c r="N206" s="981"/>
      <c r="O206" s="981"/>
      <c r="P206" s="981"/>
      <c r="Q206" s="981"/>
      <c r="R206" s="981"/>
      <c r="S206" s="981"/>
      <c r="T206" s="981"/>
      <c r="U206" s="981"/>
      <c r="V206" s="981"/>
      <c r="W206" s="981"/>
      <c r="X206" s="981"/>
      <c r="Y206" s="981"/>
      <c r="Z206" s="981"/>
      <c r="AA206" s="981"/>
      <c r="AB206" s="1161">
        <f t="shared" ref="AB206:AK206" si="261">+AB207-AB199-AB193</f>
        <v>19</v>
      </c>
      <c r="AC206" s="1162">
        <f t="shared" si="261"/>
        <v>25.700000000000003</v>
      </c>
      <c r="AD206" s="1162">
        <f t="shared" si="261"/>
        <v>28.5</v>
      </c>
      <c r="AE206" s="1163">
        <f t="shared" si="261"/>
        <v>31</v>
      </c>
      <c r="AF206" s="1161">
        <f t="shared" si="261"/>
        <v>30</v>
      </c>
      <c r="AG206" s="1162">
        <f t="shared" si="261"/>
        <v>32</v>
      </c>
      <c r="AH206" s="1162">
        <f t="shared" si="261"/>
        <v>42</v>
      </c>
      <c r="AI206" s="1163">
        <f t="shared" si="261"/>
        <v>37</v>
      </c>
      <c r="AJ206" s="1162">
        <f t="shared" si="261"/>
        <v>44</v>
      </c>
      <c r="AK206" s="1162">
        <f t="shared" si="261"/>
        <v>51</v>
      </c>
      <c r="AL206" s="983"/>
      <c r="AM206" s="984"/>
      <c r="AN206" s="1040"/>
      <c r="AO206" s="985"/>
      <c r="AP206" s="985"/>
      <c r="AQ206" s="991"/>
      <c r="AR206" s="1040"/>
      <c r="AS206" s="985"/>
      <c r="AT206" s="985"/>
      <c r="AU206" s="991"/>
      <c r="AV206" s="1040"/>
      <c r="AW206" s="985"/>
      <c r="AX206" s="985"/>
      <c r="AY206" s="991"/>
      <c r="AZ206" s="1040"/>
      <c r="BA206" s="985"/>
      <c r="BB206" s="985"/>
      <c r="BC206" s="991"/>
      <c r="BD206" s="1040"/>
      <c r="BE206" s="985"/>
      <c r="BF206" s="985"/>
      <c r="BG206" s="991"/>
      <c r="BH206" s="1040"/>
      <c r="BI206" s="985"/>
      <c r="BJ206" s="985"/>
      <c r="BK206" s="991"/>
      <c r="BL206" s="979"/>
      <c r="BM206" s="986"/>
      <c r="BN206" s="986"/>
      <c r="BO206" s="873"/>
      <c r="BP206" s="873"/>
      <c r="BQ206" s="873"/>
      <c r="BR206" s="874"/>
      <c r="BS206" s="1022"/>
      <c r="BT206" s="1022"/>
      <c r="BU206" s="1024"/>
      <c r="BV206" s="873"/>
      <c r="BW206" s="873"/>
      <c r="BX206" s="873"/>
      <c r="BY206" s="873"/>
      <c r="BZ206" s="873"/>
      <c r="CA206" s="979"/>
      <c r="CB206" s="1449"/>
      <c r="CC206" s="1449"/>
      <c r="CD206" s="1449"/>
      <c r="CE206" s="1449"/>
      <c r="CF206" s="979"/>
      <c r="CG206" s="979"/>
      <c r="CH206" s="979"/>
      <c r="CI206" s="979"/>
    </row>
    <row r="207" spans="1:256" s="987" customFormat="1" ht="14.25" hidden="1" customHeight="1" outlineLevel="3">
      <c r="B207" s="1027" t="s">
        <v>278</v>
      </c>
      <c r="C207" s="979"/>
      <c r="D207" s="980"/>
      <c r="E207" s="980"/>
      <c r="F207" s="980"/>
      <c r="G207" s="980"/>
      <c r="H207" s="980"/>
      <c r="I207" s="980"/>
      <c r="J207" s="980"/>
      <c r="K207" s="980"/>
      <c r="L207" s="980"/>
      <c r="M207" s="981"/>
      <c r="N207" s="981"/>
      <c r="O207" s="981"/>
      <c r="P207" s="981"/>
      <c r="Q207" s="981"/>
      <c r="R207" s="981"/>
      <c r="S207" s="981"/>
      <c r="T207" s="981"/>
      <c r="U207" s="981"/>
      <c r="V207" s="981"/>
      <c r="W207" s="981"/>
      <c r="X207" s="981"/>
      <c r="Y207" s="981"/>
      <c r="Z207" s="981"/>
      <c r="AA207" s="981"/>
      <c r="AB207" s="982">
        <v>29</v>
      </c>
      <c r="AC207" s="983">
        <v>37.700000000000003</v>
      </c>
      <c r="AD207" s="983">
        <v>43.5</v>
      </c>
      <c r="AE207" s="984">
        <v>48</v>
      </c>
      <c r="AF207" s="982">
        <v>58</v>
      </c>
      <c r="AG207" s="983">
        <v>63</v>
      </c>
      <c r="AH207" s="983">
        <v>68</v>
      </c>
      <c r="AI207" s="984">
        <v>75</v>
      </c>
      <c r="AJ207" s="983">
        <v>80</v>
      </c>
      <c r="AK207" s="983">
        <v>85</v>
      </c>
      <c r="AL207" s="983"/>
      <c r="AM207" s="984"/>
      <c r="AN207" s="1040"/>
      <c r="AO207" s="985"/>
      <c r="AP207" s="985"/>
      <c r="AQ207" s="991"/>
      <c r="AR207" s="1040"/>
      <c r="AS207" s="985"/>
      <c r="AT207" s="985"/>
      <c r="AU207" s="991"/>
      <c r="AV207" s="1040"/>
      <c r="AW207" s="985"/>
      <c r="AX207" s="985"/>
      <c r="AY207" s="991"/>
      <c r="AZ207" s="1040"/>
      <c r="BA207" s="985"/>
      <c r="BB207" s="985"/>
      <c r="BC207" s="991"/>
      <c r="BD207" s="1040"/>
      <c r="BE207" s="985"/>
      <c r="BF207" s="985"/>
      <c r="BG207" s="991"/>
      <c r="BH207" s="1040"/>
      <c r="BI207" s="985"/>
      <c r="BJ207" s="985"/>
      <c r="BK207" s="991"/>
      <c r="BL207" s="979"/>
      <c r="BM207" s="986"/>
      <c r="BN207" s="986"/>
      <c r="BO207" s="873"/>
      <c r="BP207" s="873"/>
      <c r="BQ207" s="873"/>
      <c r="BR207" s="874"/>
      <c r="BS207" s="1022"/>
      <c r="BT207" s="1022"/>
      <c r="BU207" s="1024"/>
      <c r="BV207" s="873"/>
      <c r="BW207" s="873"/>
      <c r="BX207" s="873"/>
      <c r="BY207" s="873"/>
      <c r="BZ207" s="873"/>
      <c r="CA207" s="979"/>
      <c r="CB207" s="1449"/>
      <c r="CC207" s="1449"/>
      <c r="CD207" s="1449"/>
      <c r="CE207" s="1449"/>
      <c r="CF207" s="979"/>
      <c r="CG207" s="979"/>
      <c r="CH207" s="979"/>
      <c r="CI207" s="979"/>
    </row>
    <row r="208" spans="1:256" s="987" customFormat="1" ht="14.25" hidden="1" customHeight="1" outlineLevel="2">
      <c r="B208" s="1027" t="s">
        <v>253</v>
      </c>
      <c r="C208" s="979"/>
      <c r="D208" s="980"/>
      <c r="E208" s="980"/>
      <c r="F208" s="980"/>
      <c r="G208" s="980"/>
      <c r="H208" s="980"/>
      <c r="I208" s="980"/>
      <c r="J208" s="980"/>
      <c r="K208" s="980"/>
      <c r="L208" s="980"/>
      <c r="M208" s="981"/>
      <c r="N208" s="981"/>
      <c r="O208" s="981"/>
      <c r="P208" s="981"/>
      <c r="Q208" s="981"/>
      <c r="R208" s="981"/>
      <c r="S208" s="981"/>
      <c r="T208" s="981"/>
      <c r="U208" s="981"/>
      <c r="V208" s="981"/>
      <c r="W208" s="981"/>
      <c r="X208" s="981"/>
      <c r="Y208" s="981"/>
      <c r="Z208" s="981"/>
      <c r="AA208" s="981"/>
      <c r="AB208" s="982"/>
      <c r="AC208" s="983"/>
      <c r="AD208" s="983"/>
      <c r="AE208" s="984"/>
      <c r="AF208" s="982"/>
      <c r="AG208" s="983"/>
      <c r="AH208" s="983"/>
      <c r="AI208" s="984"/>
      <c r="AJ208" s="983"/>
      <c r="AK208" s="985"/>
      <c r="AL208" s="985"/>
      <c r="AM208" s="991"/>
      <c r="AN208" s="1040"/>
      <c r="AO208" s="985"/>
      <c r="AP208" s="985"/>
      <c r="AQ208" s="991"/>
      <c r="AR208" s="1040"/>
      <c r="AS208" s="985"/>
      <c r="AT208" s="985"/>
      <c r="AU208" s="991"/>
      <c r="AV208" s="1040"/>
      <c r="AW208" s="985"/>
      <c r="AX208" s="985"/>
      <c r="AY208" s="991"/>
      <c r="AZ208" s="1040"/>
      <c r="BA208" s="985"/>
      <c r="BB208" s="985"/>
      <c r="BC208" s="991"/>
      <c r="BD208" s="1040"/>
      <c r="BE208" s="985"/>
      <c r="BF208" s="985"/>
      <c r="BG208" s="991"/>
      <c r="BH208" s="1040"/>
      <c r="BI208" s="985"/>
      <c r="BJ208" s="985"/>
      <c r="BK208" s="991"/>
      <c r="BL208" s="979"/>
      <c r="BM208" s="986"/>
      <c r="BN208" s="986"/>
      <c r="BO208" s="873"/>
      <c r="BP208" s="873"/>
      <c r="BQ208" s="873"/>
      <c r="BR208" s="874"/>
      <c r="BS208" s="1022"/>
      <c r="BT208" s="1022"/>
      <c r="BU208" s="1024"/>
      <c r="BV208" s="873"/>
      <c r="BW208" s="873"/>
      <c r="BX208" s="873"/>
      <c r="BY208" s="873"/>
      <c r="BZ208" s="873"/>
      <c r="CA208" s="979"/>
      <c r="CB208" s="1449"/>
      <c r="CC208" s="1449"/>
      <c r="CD208" s="1449"/>
      <c r="CE208" s="1449"/>
      <c r="CF208" s="979"/>
      <c r="CG208" s="979"/>
      <c r="CH208" s="979"/>
      <c r="CI208" s="979"/>
    </row>
    <row r="209" spans="1:256" s="1017" customFormat="1" ht="14.25" hidden="1" customHeight="1" outlineLevel="2">
      <c r="A209" s="987"/>
      <c r="B209" s="1027"/>
      <c r="C209" s="979"/>
      <c r="D209" s="980"/>
      <c r="E209" s="980"/>
      <c r="F209" s="980"/>
      <c r="G209" s="980"/>
      <c r="H209" s="980"/>
      <c r="I209" s="980"/>
      <c r="J209" s="980"/>
      <c r="K209" s="980"/>
      <c r="L209" s="980"/>
      <c r="M209" s="981"/>
      <c r="N209" s="981"/>
      <c r="O209" s="981"/>
      <c r="P209" s="981"/>
      <c r="Q209" s="981"/>
      <c r="R209" s="981"/>
      <c r="S209" s="981"/>
      <c r="T209" s="981"/>
      <c r="U209" s="981"/>
      <c r="V209" s="981"/>
      <c r="W209" s="981"/>
      <c r="X209" s="981"/>
      <c r="Y209" s="981"/>
      <c r="Z209" s="981"/>
      <c r="AA209" s="981"/>
      <c r="AB209" s="982"/>
      <c r="AC209" s="983"/>
      <c r="AD209" s="983"/>
      <c r="AE209" s="984"/>
      <c r="AF209" s="982"/>
      <c r="AG209" s="983"/>
      <c r="AH209" s="983"/>
      <c r="AI209" s="984"/>
      <c r="AJ209" s="983"/>
      <c r="AK209" s="985"/>
      <c r="AL209" s="985"/>
      <c r="AM209" s="991"/>
      <c r="AN209" s="1040"/>
      <c r="AO209" s="985"/>
      <c r="AP209" s="985"/>
      <c r="AQ209" s="991"/>
      <c r="AR209" s="1040"/>
      <c r="AS209" s="985"/>
      <c r="AT209" s="985"/>
      <c r="AU209" s="991"/>
      <c r="AV209" s="1040"/>
      <c r="AW209" s="985"/>
      <c r="AX209" s="985"/>
      <c r="AY209" s="991"/>
      <c r="AZ209" s="1040"/>
      <c r="BA209" s="985"/>
      <c r="BB209" s="985"/>
      <c r="BC209" s="991"/>
      <c r="BD209" s="1040"/>
      <c r="BE209" s="985"/>
      <c r="BF209" s="985"/>
      <c r="BG209" s="991"/>
      <c r="BH209" s="1040"/>
      <c r="BI209" s="985"/>
      <c r="BJ209" s="985"/>
      <c r="BK209" s="991"/>
      <c r="BL209" s="979"/>
      <c r="BM209" s="986"/>
      <c r="BN209" s="986"/>
      <c r="BO209" s="873"/>
      <c r="BP209" s="873"/>
      <c r="BQ209" s="873"/>
      <c r="BR209" s="874"/>
      <c r="BS209" s="1022"/>
      <c r="BT209" s="1022"/>
      <c r="BU209" s="1024"/>
      <c r="BV209" s="873"/>
      <c r="BW209" s="873"/>
      <c r="BX209" s="873"/>
      <c r="BY209" s="873"/>
      <c r="BZ209" s="873"/>
      <c r="CA209" s="979"/>
      <c r="CB209" s="1449"/>
      <c r="CC209" s="1449"/>
      <c r="CD209" s="1449"/>
      <c r="CE209" s="1449"/>
      <c r="CF209" s="979"/>
      <c r="CG209" s="979"/>
      <c r="CH209" s="979"/>
      <c r="CI209" s="979"/>
      <c r="CJ209" s="987"/>
      <c r="CK209" s="987"/>
      <c r="CL209" s="987"/>
      <c r="CM209" s="987"/>
      <c r="CN209" s="987"/>
      <c r="CO209" s="987"/>
      <c r="CP209" s="987"/>
      <c r="CQ209" s="987"/>
      <c r="CR209" s="987"/>
      <c r="CS209" s="987"/>
      <c r="CT209" s="987"/>
      <c r="CU209" s="987"/>
      <c r="CV209" s="987"/>
      <c r="CW209" s="987"/>
      <c r="CX209" s="987"/>
      <c r="CY209" s="987"/>
      <c r="CZ209" s="987"/>
      <c r="DA209" s="987"/>
      <c r="DB209" s="987"/>
      <c r="DC209" s="987"/>
      <c r="DD209" s="987"/>
      <c r="DE209" s="987"/>
      <c r="DF209" s="987"/>
      <c r="DG209" s="987"/>
      <c r="DH209" s="987"/>
      <c r="DI209" s="987"/>
      <c r="DJ209" s="987"/>
      <c r="DK209" s="987"/>
      <c r="DL209" s="987"/>
      <c r="DM209" s="987"/>
      <c r="DN209" s="987"/>
      <c r="DO209" s="987"/>
      <c r="DP209" s="987"/>
      <c r="DQ209" s="987"/>
      <c r="DR209" s="987"/>
      <c r="DS209" s="987"/>
      <c r="DT209" s="987"/>
      <c r="DU209" s="987"/>
      <c r="DV209" s="987"/>
      <c r="DW209" s="987"/>
      <c r="DX209" s="987"/>
      <c r="DY209" s="987"/>
      <c r="DZ209" s="987"/>
      <c r="EA209" s="987"/>
      <c r="EB209" s="987"/>
      <c r="EC209" s="987"/>
      <c r="ED209" s="987"/>
      <c r="EE209" s="987"/>
      <c r="EF209" s="987"/>
      <c r="EG209" s="987"/>
      <c r="EH209" s="987"/>
      <c r="EI209" s="987"/>
      <c r="EJ209" s="987"/>
      <c r="EK209" s="987"/>
      <c r="EL209" s="987"/>
      <c r="EM209" s="987"/>
      <c r="EN209" s="987"/>
      <c r="EO209" s="987"/>
      <c r="EP209" s="987"/>
      <c r="EQ209" s="987"/>
      <c r="ER209" s="987"/>
      <c r="ES209" s="987"/>
      <c r="ET209" s="987"/>
      <c r="EU209" s="987"/>
      <c r="EV209" s="987"/>
      <c r="EW209" s="987"/>
      <c r="EX209" s="987"/>
      <c r="EY209" s="987"/>
      <c r="EZ209" s="987"/>
      <c r="FA209" s="987"/>
      <c r="FB209" s="987"/>
      <c r="FC209" s="987"/>
      <c r="FD209" s="987"/>
      <c r="FE209" s="987"/>
      <c r="FF209" s="987"/>
      <c r="FG209" s="987"/>
      <c r="FH209" s="987"/>
      <c r="FI209" s="987"/>
      <c r="FJ209" s="987"/>
      <c r="FK209" s="987"/>
      <c r="FL209" s="987"/>
      <c r="FM209" s="987"/>
      <c r="FN209" s="987"/>
      <c r="FO209" s="987"/>
      <c r="FP209" s="987"/>
      <c r="FQ209" s="987"/>
      <c r="FR209" s="987"/>
      <c r="FS209" s="987"/>
      <c r="FT209" s="987"/>
      <c r="FU209" s="987"/>
      <c r="FV209" s="987"/>
      <c r="FW209" s="987"/>
      <c r="FX209" s="987"/>
      <c r="FY209" s="987"/>
      <c r="FZ209" s="987"/>
      <c r="GA209" s="987"/>
      <c r="GB209" s="987"/>
      <c r="GC209" s="987"/>
      <c r="GD209" s="987"/>
      <c r="GE209" s="987"/>
      <c r="GF209" s="987"/>
      <c r="GG209" s="987"/>
      <c r="GH209" s="987"/>
      <c r="GI209" s="987"/>
      <c r="GJ209" s="987"/>
      <c r="GK209" s="987"/>
      <c r="GL209" s="987"/>
      <c r="GM209" s="987"/>
      <c r="GN209" s="987"/>
      <c r="GO209" s="987"/>
      <c r="GP209" s="987"/>
      <c r="GQ209" s="987"/>
      <c r="GR209" s="987"/>
      <c r="GS209" s="987"/>
      <c r="GT209" s="987"/>
      <c r="GU209" s="987"/>
      <c r="GV209" s="987"/>
      <c r="GW209" s="987"/>
      <c r="GX209" s="987"/>
      <c r="GY209" s="987"/>
      <c r="GZ209" s="987"/>
      <c r="HA209" s="987"/>
      <c r="HB209" s="987"/>
      <c r="HC209" s="987"/>
      <c r="HD209" s="987"/>
      <c r="HE209" s="987"/>
      <c r="HF209" s="987"/>
      <c r="HG209" s="987"/>
      <c r="HH209" s="987"/>
      <c r="HI209" s="987"/>
      <c r="HJ209" s="987"/>
      <c r="HK209" s="987"/>
      <c r="HL209" s="987"/>
      <c r="HM209" s="987"/>
      <c r="HN209" s="987"/>
      <c r="HO209" s="987"/>
      <c r="HP209" s="987"/>
      <c r="HQ209" s="987"/>
      <c r="HR209" s="987"/>
      <c r="HS209" s="987"/>
      <c r="HT209" s="987"/>
      <c r="HU209" s="987"/>
      <c r="HV209" s="987"/>
      <c r="HW209" s="987"/>
      <c r="HX209" s="987"/>
      <c r="HY209" s="987"/>
      <c r="HZ209" s="987"/>
      <c r="IA209" s="987"/>
      <c r="IB209" s="987"/>
      <c r="IC209" s="987"/>
      <c r="ID209" s="987"/>
      <c r="IE209" s="987"/>
      <c r="IF209" s="987"/>
      <c r="IG209" s="987"/>
      <c r="IH209" s="987"/>
      <c r="II209" s="987"/>
      <c r="IJ209" s="987"/>
      <c r="IK209" s="987"/>
      <c r="IL209" s="987"/>
      <c r="IM209" s="987"/>
      <c r="IN209" s="987"/>
      <c r="IO209" s="987"/>
      <c r="IP209" s="987"/>
      <c r="IQ209" s="987"/>
      <c r="IR209" s="987"/>
      <c r="IS209" s="987"/>
      <c r="IT209" s="987"/>
      <c r="IU209" s="987"/>
      <c r="IV209" s="987"/>
    </row>
    <row r="210" spans="1:256" s="987" customFormat="1" ht="14.25" hidden="1" customHeight="1" outlineLevel="2">
      <c r="A210" s="1017"/>
      <c r="B210" s="1171" t="s">
        <v>282</v>
      </c>
      <c r="C210" s="1018"/>
      <c r="D210" s="1019"/>
      <c r="E210" s="1019"/>
      <c r="F210" s="1019"/>
      <c r="G210" s="1019"/>
      <c r="H210" s="1019"/>
      <c r="I210" s="1019"/>
      <c r="J210" s="1019"/>
      <c r="K210" s="1019"/>
      <c r="L210" s="1019"/>
      <c r="M210" s="983"/>
      <c r="N210" s="983"/>
      <c r="O210" s="983"/>
      <c r="P210" s="983"/>
      <c r="Q210" s="983"/>
      <c r="R210" s="983"/>
      <c r="S210" s="983"/>
      <c r="T210" s="983"/>
      <c r="U210" s="983"/>
      <c r="V210" s="983"/>
      <c r="W210" s="983"/>
      <c r="X210" s="983"/>
      <c r="Y210" s="983"/>
      <c r="Z210" s="983"/>
      <c r="AA210" s="983"/>
      <c r="AB210" s="982"/>
      <c r="AC210" s="983"/>
      <c r="AD210" s="983"/>
      <c r="AE210" s="984"/>
      <c r="AF210" s="982"/>
      <c r="AG210" s="983"/>
      <c r="AH210" s="983"/>
      <c r="AI210" s="984"/>
      <c r="AJ210" s="983"/>
      <c r="AK210" s="1020"/>
      <c r="AL210" s="1020"/>
      <c r="AM210" s="1034"/>
      <c r="AN210" s="1041"/>
      <c r="AO210" s="1020"/>
      <c r="AP210" s="1020"/>
      <c r="AQ210" s="1034"/>
      <c r="AR210" s="1041"/>
      <c r="AS210" s="1020"/>
      <c r="AT210" s="1020"/>
      <c r="AU210" s="1034"/>
      <c r="AV210" s="1041"/>
      <c r="AW210" s="1020"/>
      <c r="AX210" s="1020"/>
      <c r="AY210" s="1034"/>
      <c r="AZ210" s="1041"/>
      <c r="BA210" s="1020"/>
      <c r="BB210" s="1020"/>
      <c r="BC210" s="1034"/>
      <c r="BD210" s="1041"/>
      <c r="BE210" s="1020"/>
      <c r="BF210" s="1020"/>
      <c r="BG210" s="1034"/>
      <c r="BH210" s="1041"/>
      <c r="BI210" s="1020"/>
      <c r="BJ210" s="1020"/>
      <c r="BK210" s="1034"/>
      <c r="BL210" s="1018"/>
      <c r="BM210" s="1021"/>
      <c r="BN210" s="1021"/>
      <c r="BO210" s="1022"/>
      <c r="BP210" s="1022"/>
      <c r="BQ210" s="1022"/>
      <c r="BR210" s="1023"/>
      <c r="BS210" s="1022"/>
      <c r="BT210" s="1022"/>
      <c r="BU210" s="1024"/>
      <c r="BV210" s="1022"/>
      <c r="BW210" s="1022"/>
      <c r="BX210" s="1022"/>
      <c r="BY210" s="1022"/>
      <c r="BZ210" s="1022"/>
      <c r="CA210" s="1018"/>
      <c r="CB210" s="1450"/>
      <c r="CC210" s="1450"/>
      <c r="CD210" s="1450"/>
      <c r="CE210" s="1450"/>
      <c r="CF210" s="1018"/>
      <c r="CG210" s="1018"/>
      <c r="CH210" s="1018"/>
      <c r="CI210" s="1018"/>
      <c r="CJ210" s="1017"/>
      <c r="CK210" s="1017"/>
      <c r="CL210" s="1017"/>
      <c r="CM210" s="1017"/>
      <c r="CN210" s="1017"/>
      <c r="CO210" s="1017"/>
      <c r="CP210" s="1017"/>
      <c r="CQ210" s="1017"/>
      <c r="CR210" s="1017"/>
      <c r="CS210" s="1017"/>
      <c r="CT210" s="1017"/>
      <c r="CU210" s="1017"/>
      <c r="CV210" s="1017"/>
      <c r="CW210" s="1017"/>
      <c r="CX210" s="1017"/>
      <c r="CY210" s="1017"/>
      <c r="CZ210" s="1017"/>
      <c r="DA210" s="1017"/>
      <c r="DB210" s="1017"/>
      <c r="DC210" s="1017"/>
      <c r="DD210" s="1017"/>
      <c r="DE210" s="1017"/>
      <c r="DF210" s="1017"/>
      <c r="DG210" s="1017"/>
      <c r="DH210" s="1017"/>
      <c r="DI210" s="1017"/>
      <c r="DJ210" s="1017"/>
      <c r="DK210" s="1017"/>
      <c r="DL210" s="1017"/>
      <c r="DM210" s="1017"/>
      <c r="DN210" s="1017"/>
      <c r="DO210" s="1017"/>
      <c r="DP210" s="1017"/>
      <c r="DQ210" s="1017"/>
      <c r="DR210" s="1017"/>
      <c r="DS210" s="1017"/>
      <c r="DT210" s="1017"/>
      <c r="DU210" s="1017"/>
      <c r="DV210" s="1017"/>
      <c r="DW210" s="1017"/>
      <c r="DX210" s="1017"/>
      <c r="DY210" s="1017"/>
      <c r="DZ210" s="1017"/>
      <c r="EA210" s="1017"/>
      <c r="EB210" s="1017"/>
      <c r="EC210" s="1017"/>
      <c r="ED210" s="1017"/>
      <c r="EE210" s="1017"/>
      <c r="EF210" s="1017"/>
      <c r="EG210" s="1017"/>
      <c r="EH210" s="1017"/>
      <c r="EI210" s="1017"/>
      <c r="EJ210" s="1017"/>
      <c r="EK210" s="1017"/>
      <c r="EL210" s="1017"/>
      <c r="EM210" s="1017"/>
      <c r="EN210" s="1017"/>
      <c r="EO210" s="1017"/>
      <c r="EP210" s="1017"/>
      <c r="EQ210" s="1017"/>
      <c r="ER210" s="1017"/>
      <c r="ES210" s="1017"/>
      <c r="ET210" s="1017"/>
      <c r="EU210" s="1017"/>
      <c r="EV210" s="1017"/>
      <c r="EW210" s="1017"/>
      <c r="EX210" s="1017"/>
      <c r="EY210" s="1017"/>
      <c r="EZ210" s="1017"/>
      <c r="FA210" s="1017"/>
      <c r="FB210" s="1017"/>
      <c r="FC210" s="1017"/>
      <c r="FD210" s="1017"/>
      <c r="FE210" s="1017"/>
      <c r="FF210" s="1017"/>
      <c r="FG210" s="1017"/>
      <c r="FH210" s="1017"/>
      <c r="FI210" s="1017"/>
      <c r="FJ210" s="1017"/>
      <c r="FK210" s="1017"/>
      <c r="FL210" s="1017"/>
      <c r="FM210" s="1017"/>
      <c r="FN210" s="1017"/>
      <c r="FO210" s="1017"/>
      <c r="FP210" s="1017"/>
      <c r="FQ210" s="1017"/>
      <c r="FR210" s="1017"/>
      <c r="FS210" s="1017"/>
      <c r="FT210" s="1017"/>
      <c r="FU210" s="1017"/>
      <c r="FV210" s="1017"/>
      <c r="FW210" s="1017"/>
      <c r="FX210" s="1017"/>
      <c r="FY210" s="1017"/>
      <c r="FZ210" s="1017"/>
      <c r="GA210" s="1017"/>
      <c r="GB210" s="1017"/>
      <c r="GC210" s="1017"/>
      <c r="GD210" s="1017"/>
      <c r="GE210" s="1017"/>
      <c r="GF210" s="1017"/>
      <c r="GG210" s="1017"/>
      <c r="GH210" s="1017"/>
      <c r="GI210" s="1017"/>
      <c r="GJ210" s="1017"/>
      <c r="GK210" s="1017"/>
      <c r="GL210" s="1017"/>
      <c r="GM210" s="1017"/>
      <c r="GN210" s="1017"/>
      <c r="GO210" s="1017"/>
      <c r="GP210" s="1017"/>
      <c r="GQ210" s="1017"/>
      <c r="GR210" s="1017"/>
      <c r="GS210" s="1017"/>
      <c r="GT210" s="1017"/>
      <c r="GU210" s="1017"/>
      <c r="GV210" s="1017"/>
      <c r="GW210" s="1017"/>
      <c r="GX210" s="1017"/>
      <c r="GY210" s="1017"/>
      <c r="GZ210" s="1017"/>
      <c r="HA210" s="1017"/>
      <c r="HB210" s="1017"/>
      <c r="HC210" s="1017"/>
      <c r="HD210" s="1017"/>
      <c r="HE210" s="1017"/>
      <c r="HF210" s="1017"/>
      <c r="HG210" s="1017"/>
      <c r="HH210" s="1017"/>
      <c r="HI210" s="1017"/>
      <c r="HJ210" s="1017"/>
      <c r="HK210" s="1017"/>
      <c r="HL210" s="1017"/>
      <c r="HM210" s="1017"/>
      <c r="HN210" s="1017"/>
      <c r="HO210" s="1017"/>
      <c r="HP210" s="1017"/>
      <c r="HQ210" s="1017"/>
      <c r="HR210" s="1017"/>
      <c r="HS210" s="1017"/>
      <c r="HT210" s="1017"/>
      <c r="HU210" s="1017"/>
      <c r="HV210" s="1017"/>
      <c r="HW210" s="1017"/>
      <c r="HX210" s="1017"/>
      <c r="HY210" s="1017"/>
      <c r="HZ210" s="1017"/>
      <c r="IA210" s="1017"/>
      <c r="IB210" s="1017"/>
      <c r="IC210" s="1017"/>
      <c r="ID210" s="1017"/>
      <c r="IE210" s="1017"/>
      <c r="IF210" s="1017"/>
      <c r="IG210" s="1017"/>
      <c r="IH210" s="1017"/>
      <c r="II210" s="1017"/>
      <c r="IJ210" s="1017"/>
      <c r="IK210" s="1017"/>
      <c r="IL210" s="1017"/>
      <c r="IM210" s="1017"/>
      <c r="IN210" s="1017"/>
      <c r="IO210" s="1017"/>
      <c r="IP210" s="1017"/>
      <c r="IQ210" s="1017"/>
      <c r="IR210" s="1017"/>
      <c r="IS210" s="1017"/>
      <c r="IT210" s="1017"/>
      <c r="IU210" s="1017"/>
      <c r="IV210" s="1017"/>
    </row>
    <row r="211" spans="1:256" s="987" customFormat="1" ht="14.25" hidden="1" customHeight="1" outlineLevel="2">
      <c r="B211" s="1027" t="s">
        <v>281</v>
      </c>
      <c r="C211" s="979"/>
      <c r="D211" s="980"/>
      <c r="E211" s="980"/>
      <c r="F211" s="980"/>
      <c r="G211" s="980"/>
      <c r="H211" s="980"/>
      <c r="I211" s="980"/>
      <c r="J211" s="980"/>
      <c r="K211" s="980"/>
      <c r="L211" s="980"/>
      <c r="M211" s="981"/>
      <c r="N211" s="981"/>
      <c r="O211" s="981"/>
      <c r="P211" s="981"/>
      <c r="Q211" s="981"/>
      <c r="R211" s="981"/>
      <c r="S211" s="981"/>
      <c r="T211" s="981"/>
      <c r="U211" s="981"/>
      <c r="V211" s="981"/>
      <c r="W211" s="981"/>
      <c r="X211" s="981"/>
      <c r="Y211" s="981"/>
      <c r="Z211" s="981"/>
      <c r="AA211" s="981"/>
      <c r="AB211" s="1074">
        <f>AB212*AB110</f>
        <v>41.340129999999995</v>
      </c>
      <c r="AC211" s="992">
        <f>AC212*AC110</f>
        <v>38.438335000000002</v>
      </c>
      <c r="AD211" s="992">
        <f>AD212*AD110</f>
        <v>37.128779999999999</v>
      </c>
      <c r="AE211" s="1075">
        <f>AE212*AE110</f>
        <v>39.322140000000005</v>
      </c>
      <c r="AF211" s="1074">
        <f t="shared" ref="AF211:AM211" si="262">+AB211</f>
        <v>41.340129999999995</v>
      </c>
      <c r="AG211" s="992">
        <f t="shared" si="262"/>
        <v>38.438335000000002</v>
      </c>
      <c r="AH211" s="992">
        <f t="shared" si="262"/>
        <v>37.128779999999999</v>
      </c>
      <c r="AI211" s="1102">
        <f t="shared" si="262"/>
        <v>39.322140000000005</v>
      </c>
      <c r="AJ211" s="992">
        <f t="shared" si="262"/>
        <v>41.340129999999995</v>
      </c>
      <c r="AK211" s="1145">
        <f t="shared" si="262"/>
        <v>38.438335000000002</v>
      </c>
      <c r="AL211" s="1145">
        <f t="shared" si="262"/>
        <v>37.128779999999999</v>
      </c>
      <c r="AM211" s="1146">
        <f t="shared" si="262"/>
        <v>39.322140000000005</v>
      </c>
      <c r="AN211" s="1040"/>
      <c r="AO211" s="985"/>
      <c r="AP211" s="985"/>
      <c r="AQ211" s="991"/>
      <c r="AR211" s="1040"/>
      <c r="AS211" s="985"/>
      <c r="AT211" s="985"/>
      <c r="AU211" s="991"/>
      <c r="AV211" s="1040"/>
      <c r="AW211" s="985"/>
      <c r="AX211" s="985"/>
      <c r="AY211" s="991"/>
      <c r="AZ211" s="1040"/>
      <c r="BA211" s="985"/>
      <c r="BB211" s="985"/>
      <c r="BC211" s="991"/>
      <c r="BD211" s="1040"/>
      <c r="BE211" s="985"/>
      <c r="BF211" s="985"/>
      <c r="BG211" s="991"/>
      <c r="BH211" s="1040"/>
      <c r="BI211" s="985"/>
      <c r="BJ211" s="985"/>
      <c r="BK211" s="991"/>
      <c r="BL211" s="979"/>
      <c r="BM211" s="986"/>
      <c r="BN211" s="986"/>
      <c r="BO211" s="873"/>
      <c r="BP211" s="873"/>
      <c r="BQ211" s="873"/>
      <c r="BR211" s="874"/>
      <c r="BS211" s="1022">
        <f>+SUM(AB211:AE211)</f>
        <v>156.22938499999998</v>
      </c>
      <c r="BT211" s="1022">
        <f>+SUM(AF211:AI211)</f>
        <v>156.22938499999998</v>
      </c>
      <c r="BU211" s="1024">
        <f>+SUM(AJ211:AM211)</f>
        <v>156.22938499999998</v>
      </c>
      <c r="BV211" s="873"/>
      <c r="BW211" s="873"/>
      <c r="BX211" s="873"/>
      <c r="BY211" s="873"/>
      <c r="BZ211" s="873"/>
      <c r="CA211" s="979"/>
      <c r="CB211" s="1449"/>
      <c r="CC211" s="1449"/>
      <c r="CD211" s="1449"/>
      <c r="CE211" s="1449"/>
      <c r="CF211" s="979"/>
      <c r="CG211" s="979"/>
      <c r="CH211" s="979"/>
      <c r="CI211" s="979"/>
    </row>
    <row r="212" spans="1:256" s="987" customFormat="1" ht="14.25" hidden="1" customHeight="1" outlineLevel="2">
      <c r="B212" s="1086" t="s">
        <v>262</v>
      </c>
      <c r="C212" s="979"/>
      <c r="D212" s="980"/>
      <c r="E212" s="980"/>
      <c r="F212" s="980"/>
      <c r="G212" s="980"/>
      <c r="H212" s="980"/>
      <c r="I212" s="980"/>
      <c r="J212" s="980"/>
      <c r="K212" s="980"/>
      <c r="L212" s="980"/>
      <c r="M212" s="981"/>
      <c r="N212" s="981"/>
      <c r="O212" s="981"/>
      <c r="P212" s="981"/>
      <c r="Q212" s="981"/>
      <c r="R212" s="981"/>
      <c r="S212" s="981"/>
      <c r="T212" s="981"/>
      <c r="U212" s="981"/>
      <c r="V212" s="981"/>
      <c r="W212" s="981"/>
      <c r="X212" s="981"/>
      <c r="Y212" s="981"/>
      <c r="Z212" s="981"/>
      <c r="AA212" s="981"/>
      <c r="AB212" s="1091">
        <v>6.5000000000000002E-2</v>
      </c>
      <c r="AC212" s="1087">
        <v>6.5000000000000002E-2</v>
      </c>
      <c r="AD212" s="1087">
        <v>6.5000000000000002E-2</v>
      </c>
      <c r="AE212" s="1092">
        <v>6.5000000000000002E-2</v>
      </c>
      <c r="AF212" s="1100">
        <f t="shared" ref="AF212:AM212" si="263">+AF211/AF110</f>
        <v>6.6348561569634465E-2</v>
      </c>
      <c r="AG212" s="1101">
        <f t="shared" si="263"/>
        <v>6.3502319487994507E-2</v>
      </c>
      <c r="AH212" s="1101">
        <f t="shared" si="263"/>
        <v>6.1381653341797765E-2</v>
      </c>
      <c r="AI212" s="1092">
        <f t="shared" si="263"/>
        <v>6.4653942656455021E-2</v>
      </c>
      <c r="AJ212" s="1149">
        <f t="shared" si="263"/>
        <v>7.0637788534979595E-2</v>
      </c>
      <c r="AK212" s="1150">
        <f t="shared" si="263"/>
        <v>6.1969927806098599E-2</v>
      </c>
      <c r="AL212" s="1150">
        <f t="shared" si="263"/>
        <v>6.1300882807946752E-2</v>
      </c>
      <c r="AM212" s="1151">
        <f t="shared" si="263"/>
        <v>6.1204917917963113E-2</v>
      </c>
      <c r="AN212" s="985"/>
      <c r="AO212" s="985"/>
      <c r="AP212" s="985"/>
      <c r="AQ212" s="991"/>
      <c r="AR212" s="985"/>
      <c r="AS212" s="985"/>
      <c r="AT212" s="985"/>
      <c r="AU212" s="991"/>
      <c r="AV212" s="985"/>
      <c r="AW212" s="985"/>
      <c r="AX212" s="985"/>
      <c r="AY212" s="991"/>
      <c r="AZ212" s="985"/>
      <c r="BA212" s="985"/>
      <c r="BB212" s="985"/>
      <c r="BC212" s="991"/>
      <c r="BD212" s="985"/>
      <c r="BE212" s="985"/>
      <c r="BF212" s="985"/>
      <c r="BG212" s="991"/>
      <c r="BH212" s="985"/>
      <c r="BI212" s="985"/>
      <c r="BJ212" s="985"/>
      <c r="BK212" s="991"/>
      <c r="BL212" s="979"/>
      <c r="BM212" s="986"/>
      <c r="BN212" s="986"/>
      <c r="BO212" s="873"/>
      <c r="BP212" s="873"/>
      <c r="BQ212" s="873"/>
      <c r="BR212" s="874"/>
      <c r="BS212" s="1022"/>
      <c r="BT212" s="1022"/>
      <c r="BU212" s="1024"/>
      <c r="BV212" s="873"/>
      <c r="BW212" s="873"/>
      <c r="BX212" s="873"/>
      <c r="BY212" s="873"/>
      <c r="BZ212" s="873"/>
      <c r="CA212" s="979"/>
      <c r="CB212" s="1449"/>
      <c r="CC212" s="1449"/>
      <c r="CD212" s="1449"/>
      <c r="CE212" s="1449"/>
      <c r="CF212" s="979"/>
      <c r="CG212" s="979"/>
      <c r="CH212" s="979"/>
      <c r="CI212" s="979"/>
    </row>
    <row r="213" spans="1:256" s="987" customFormat="1" ht="14.25" hidden="1" customHeight="1" outlineLevel="2">
      <c r="B213" s="1027" t="s">
        <v>263</v>
      </c>
      <c r="C213" s="979"/>
      <c r="D213" s="980"/>
      <c r="E213" s="980"/>
      <c r="F213" s="980"/>
      <c r="G213" s="980"/>
      <c r="H213" s="980"/>
      <c r="I213" s="980"/>
      <c r="J213" s="980"/>
      <c r="K213" s="980"/>
      <c r="L213" s="980"/>
      <c r="M213" s="981"/>
      <c r="N213" s="981"/>
      <c r="O213" s="981"/>
      <c r="P213" s="981"/>
      <c r="Q213" s="981"/>
      <c r="R213" s="981"/>
      <c r="S213" s="981"/>
      <c r="T213" s="981"/>
      <c r="U213" s="981"/>
      <c r="V213" s="981"/>
      <c r="W213" s="981"/>
      <c r="X213" s="981"/>
      <c r="Y213" s="981"/>
      <c r="Z213" s="981"/>
      <c r="AA213" s="981"/>
      <c r="AB213" s="1093">
        <f>+AB211*0.35</f>
        <v>14.469045499999996</v>
      </c>
      <c r="AC213" s="1071">
        <f t="shared" ref="AC213:AM213" si="264">+AC211*0.35</f>
        <v>13.453417249999999</v>
      </c>
      <c r="AD213" s="1071">
        <f t="shared" si="264"/>
        <v>12.995073</v>
      </c>
      <c r="AE213" s="1094">
        <f t="shared" si="264"/>
        <v>13.762749000000001</v>
      </c>
      <c r="AF213" s="1093">
        <f t="shared" si="264"/>
        <v>14.469045499999996</v>
      </c>
      <c r="AG213" s="1071">
        <f t="shared" si="264"/>
        <v>13.453417249999999</v>
      </c>
      <c r="AH213" s="1071">
        <f t="shared" si="264"/>
        <v>12.995073</v>
      </c>
      <c r="AI213" s="1094">
        <f t="shared" si="264"/>
        <v>13.762749000000001</v>
      </c>
      <c r="AJ213" s="1071">
        <f t="shared" si="264"/>
        <v>14.469045499999996</v>
      </c>
      <c r="AK213" s="1147">
        <f t="shared" si="264"/>
        <v>13.453417249999999</v>
      </c>
      <c r="AL213" s="1147">
        <f t="shared" si="264"/>
        <v>12.995073</v>
      </c>
      <c r="AM213" s="1148">
        <f t="shared" si="264"/>
        <v>13.762749000000001</v>
      </c>
      <c r="AN213" s="985"/>
      <c r="AO213" s="985"/>
      <c r="AP213" s="985"/>
      <c r="AQ213" s="991"/>
      <c r="AR213" s="985"/>
      <c r="AS213" s="985"/>
      <c r="AT213" s="985"/>
      <c r="AU213" s="991"/>
      <c r="AV213" s="985"/>
      <c r="AW213" s="985"/>
      <c r="AX213" s="985"/>
      <c r="AY213" s="991"/>
      <c r="AZ213" s="985"/>
      <c r="BA213" s="985"/>
      <c r="BB213" s="985"/>
      <c r="BC213" s="991"/>
      <c r="BD213" s="985"/>
      <c r="BE213" s="985"/>
      <c r="BF213" s="985"/>
      <c r="BG213" s="991"/>
      <c r="BH213" s="985"/>
      <c r="BI213" s="985"/>
      <c r="BJ213" s="985"/>
      <c r="BK213" s="991"/>
      <c r="BL213" s="979"/>
      <c r="BM213" s="986"/>
      <c r="BN213" s="986"/>
      <c r="BO213" s="873"/>
      <c r="BP213" s="873"/>
      <c r="BQ213" s="873"/>
      <c r="BR213" s="874"/>
      <c r="BS213" s="1022">
        <f>+SUM(AB213:AE213)</f>
        <v>54.680284749999991</v>
      </c>
      <c r="BT213" s="1022">
        <f>+SUM(AF213:AI213)</f>
        <v>54.680284749999991</v>
      </c>
      <c r="BU213" s="1024"/>
      <c r="BV213" s="873"/>
      <c r="BW213" s="873"/>
      <c r="BX213" s="873"/>
      <c r="BY213" s="873"/>
      <c r="BZ213" s="873"/>
      <c r="CA213" s="979"/>
      <c r="CB213" s="1449"/>
      <c r="CC213" s="1449"/>
      <c r="CD213" s="1449"/>
      <c r="CE213" s="1449"/>
      <c r="CF213" s="979"/>
      <c r="CG213" s="979"/>
      <c r="CH213" s="979"/>
      <c r="CI213" s="979"/>
    </row>
    <row r="214" spans="1:256" s="987" customFormat="1" ht="14.25" hidden="1" customHeight="1" outlineLevel="2">
      <c r="B214" s="1027"/>
      <c r="C214" s="979"/>
      <c r="D214" s="980"/>
      <c r="E214" s="980"/>
      <c r="F214" s="980"/>
      <c r="G214" s="980"/>
      <c r="H214" s="980"/>
      <c r="I214" s="980"/>
      <c r="J214" s="980"/>
      <c r="K214" s="980"/>
      <c r="L214" s="980"/>
      <c r="M214" s="981"/>
      <c r="N214" s="981"/>
      <c r="O214" s="981"/>
      <c r="P214" s="981"/>
      <c r="Q214" s="981"/>
      <c r="R214" s="981"/>
      <c r="S214" s="981"/>
      <c r="T214" s="981"/>
      <c r="U214" s="981"/>
      <c r="V214" s="981"/>
      <c r="W214" s="981"/>
      <c r="X214" s="981"/>
      <c r="Y214" s="981"/>
      <c r="Z214" s="981"/>
      <c r="AA214" s="981"/>
      <c r="AB214" s="1095"/>
      <c r="AC214" s="1070"/>
      <c r="AD214" s="1070"/>
      <c r="AE214" s="1096"/>
      <c r="AF214" s="1095"/>
      <c r="AG214" s="1070"/>
      <c r="AH214" s="1070"/>
      <c r="AI214" s="1096"/>
      <c r="AJ214" s="1070"/>
      <c r="AK214" s="1072"/>
      <c r="AL214" s="1072"/>
      <c r="AM214" s="1073"/>
      <c r="AN214" s="1040"/>
      <c r="AO214" s="985"/>
      <c r="AP214" s="985"/>
      <c r="AQ214" s="991"/>
      <c r="AR214" s="1040"/>
      <c r="AS214" s="985"/>
      <c r="AT214" s="985"/>
      <c r="AU214" s="991"/>
      <c r="AV214" s="1040"/>
      <c r="AW214" s="985"/>
      <c r="AX214" s="985"/>
      <c r="AY214" s="991"/>
      <c r="AZ214" s="1040"/>
      <c r="BA214" s="985"/>
      <c r="BB214" s="985"/>
      <c r="BC214" s="991"/>
      <c r="BD214" s="1040"/>
      <c r="BE214" s="985"/>
      <c r="BF214" s="985"/>
      <c r="BG214" s="991"/>
      <c r="BH214" s="1040"/>
      <c r="BI214" s="985"/>
      <c r="BJ214" s="985"/>
      <c r="BK214" s="991"/>
      <c r="BL214" s="979"/>
      <c r="BM214" s="986"/>
      <c r="BN214" s="986"/>
      <c r="BO214" s="873"/>
      <c r="BP214" s="873"/>
      <c r="BQ214" s="873"/>
      <c r="BR214" s="993"/>
      <c r="BS214" s="1022"/>
      <c r="BT214" s="1022"/>
      <c r="BU214" s="1035"/>
      <c r="BV214" s="873"/>
      <c r="BW214" s="873"/>
      <c r="BX214" s="873"/>
      <c r="BY214" s="873"/>
      <c r="BZ214" s="873"/>
      <c r="CA214" s="979"/>
      <c r="CB214" s="1449"/>
      <c r="CC214" s="1449"/>
      <c r="CD214" s="1449"/>
      <c r="CE214" s="1449"/>
      <c r="CF214" s="979"/>
      <c r="CG214" s="979"/>
      <c r="CH214" s="979"/>
      <c r="CI214" s="979"/>
    </row>
    <row r="215" spans="1:256" s="121" customFormat="1" ht="14.25" hidden="1" customHeight="1" outlineLevel="2">
      <c r="A215" s="987"/>
      <c r="B215" s="1049"/>
      <c r="C215" s="995"/>
      <c r="D215" s="996"/>
      <c r="E215" s="996"/>
      <c r="F215" s="996"/>
      <c r="G215" s="996"/>
      <c r="H215" s="996"/>
      <c r="I215" s="996"/>
      <c r="J215" s="996"/>
      <c r="K215" s="996"/>
      <c r="L215" s="996"/>
      <c r="M215" s="997"/>
      <c r="N215" s="997"/>
      <c r="O215" s="997"/>
      <c r="P215" s="997"/>
      <c r="Q215" s="997"/>
      <c r="R215" s="997"/>
      <c r="S215" s="997"/>
      <c r="T215" s="997"/>
      <c r="U215" s="997"/>
      <c r="V215" s="997"/>
      <c r="W215" s="997"/>
      <c r="X215" s="997"/>
      <c r="Y215" s="997"/>
      <c r="Z215" s="997"/>
      <c r="AA215" s="997"/>
      <c r="AB215" s="1097">
        <f>+AB211+AB177+AB203</f>
        <v>235.13867904999998</v>
      </c>
      <c r="AC215" s="997"/>
      <c r="AD215" s="997"/>
      <c r="AE215" s="1098"/>
      <c r="AF215" s="1099"/>
      <c r="AG215" s="997"/>
      <c r="AH215" s="997"/>
      <c r="AI215" s="999"/>
      <c r="AJ215" s="998"/>
      <c r="AK215" s="998"/>
      <c r="AL215" s="998"/>
      <c r="AM215" s="999"/>
      <c r="AN215" s="1044"/>
      <c r="AO215" s="998"/>
      <c r="AP215" s="998"/>
      <c r="AQ215" s="999"/>
      <c r="AR215" s="1044"/>
      <c r="AS215" s="998"/>
      <c r="AT215" s="998"/>
      <c r="AU215" s="999"/>
      <c r="AV215" s="1044"/>
      <c r="AW215" s="998"/>
      <c r="AX215" s="998"/>
      <c r="AY215" s="999"/>
      <c r="AZ215" s="1044"/>
      <c r="BA215" s="998"/>
      <c r="BB215" s="998"/>
      <c r="BC215" s="999"/>
      <c r="BD215" s="1044"/>
      <c r="BE215" s="998"/>
      <c r="BF215" s="998"/>
      <c r="BG215" s="999"/>
      <c r="BH215" s="1044"/>
      <c r="BI215" s="998"/>
      <c r="BJ215" s="998"/>
      <c r="BK215" s="999"/>
      <c r="BL215" s="979"/>
      <c r="BM215" s="986"/>
      <c r="BN215" s="986"/>
      <c r="BO215" s="873"/>
      <c r="BP215" s="873"/>
      <c r="BQ215" s="873"/>
      <c r="BR215" s="1000"/>
      <c r="BS215" s="1001"/>
      <c r="BT215" s="1001"/>
      <c r="BU215" s="994"/>
      <c r="BV215" s="873"/>
      <c r="BW215" s="873"/>
      <c r="BX215" s="873"/>
      <c r="BY215" s="873"/>
      <c r="BZ215" s="873"/>
      <c r="CA215" s="979"/>
      <c r="CB215" s="1449"/>
      <c r="CC215" s="1449"/>
      <c r="CD215" s="1449"/>
      <c r="CE215" s="1449"/>
      <c r="CF215" s="979"/>
      <c r="CG215" s="979"/>
      <c r="CH215" s="979"/>
      <c r="CI215" s="979"/>
      <c r="CJ215" s="987"/>
      <c r="CK215" s="987"/>
      <c r="CL215" s="987"/>
      <c r="CM215" s="987"/>
      <c r="CN215" s="987"/>
      <c r="CO215" s="987"/>
      <c r="CP215" s="987"/>
      <c r="CQ215" s="987"/>
      <c r="CR215" s="987"/>
      <c r="CS215" s="987"/>
      <c r="CT215" s="987"/>
      <c r="CU215" s="987"/>
      <c r="CV215" s="987"/>
      <c r="CW215" s="987"/>
      <c r="CX215" s="987"/>
      <c r="CY215" s="987"/>
      <c r="CZ215" s="987"/>
      <c r="DA215" s="987"/>
      <c r="DB215" s="987"/>
      <c r="DC215" s="987"/>
      <c r="DD215" s="987"/>
      <c r="DE215" s="987"/>
      <c r="DF215" s="987"/>
      <c r="DG215" s="987"/>
      <c r="DH215" s="987"/>
      <c r="DI215" s="987"/>
      <c r="DJ215" s="987"/>
      <c r="DK215" s="987"/>
      <c r="DL215" s="987"/>
      <c r="DM215" s="987"/>
      <c r="DN215" s="987"/>
      <c r="DO215" s="987"/>
      <c r="DP215" s="987"/>
      <c r="DQ215" s="987"/>
      <c r="DR215" s="987"/>
      <c r="DS215" s="987"/>
      <c r="DT215" s="987"/>
      <c r="DU215" s="987"/>
      <c r="DV215" s="987"/>
      <c r="DW215" s="987"/>
      <c r="DX215" s="987"/>
      <c r="DY215" s="987"/>
      <c r="DZ215" s="987"/>
      <c r="EA215" s="987"/>
      <c r="EB215" s="987"/>
      <c r="EC215" s="987"/>
      <c r="ED215" s="987"/>
      <c r="EE215" s="987"/>
      <c r="EF215" s="987"/>
      <c r="EG215" s="987"/>
      <c r="EH215" s="987"/>
      <c r="EI215" s="987"/>
      <c r="EJ215" s="987"/>
      <c r="EK215" s="987"/>
      <c r="EL215" s="987"/>
      <c r="EM215" s="987"/>
      <c r="EN215" s="987"/>
      <c r="EO215" s="987"/>
      <c r="EP215" s="987"/>
      <c r="EQ215" s="987"/>
      <c r="ER215" s="987"/>
      <c r="ES215" s="987"/>
      <c r="ET215" s="987"/>
      <c r="EU215" s="987"/>
      <c r="EV215" s="987"/>
      <c r="EW215" s="987"/>
      <c r="EX215" s="987"/>
      <c r="EY215" s="987"/>
      <c r="EZ215" s="987"/>
      <c r="FA215" s="987"/>
      <c r="FB215" s="987"/>
      <c r="FC215" s="987"/>
      <c r="FD215" s="987"/>
      <c r="FE215" s="987"/>
      <c r="FF215" s="987"/>
      <c r="FG215" s="987"/>
      <c r="FH215" s="987"/>
      <c r="FI215" s="987"/>
      <c r="FJ215" s="987"/>
      <c r="FK215" s="987"/>
      <c r="FL215" s="987"/>
      <c r="FM215" s="987"/>
      <c r="FN215" s="987"/>
      <c r="FO215" s="987"/>
      <c r="FP215" s="987"/>
      <c r="FQ215" s="987"/>
      <c r="FR215" s="987"/>
      <c r="FS215" s="987"/>
      <c r="FT215" s="987"/>
      <c r="FU215" s="987"/>
      <c r="FV215" s="987"/>
      <c r="FW215" s="987"/>
      <c r="FX215" s="987"/>
      <c r="FY215" s="987"/>
      <c r="FZ215" s="987"/>
      <c r="GA215" s="987"/>
      <c r="GB215" s="987"/>
      <c r="GC215" s="987"/>
      <c r="GD215" s="987"/>
      <c r="GE215" s="987"/>
      <c r="GF215" s="987"/>
      <c r="GG215" s="987"/>
      <c r="GH215" s="987"/>
      <c r="GI215" s="987"/>
      <c r="GJ215" s="987"/>
      <c r="GK215" s="987"/>
      <c r="GL215" s="987"/>
      <c r="GM215" s="987"/>
      <c r="GN215" s="987"/>
      <c r="GO215" s="987"/>
      <c r="GP215" s="987"/>
      <c r="GQ215" s="987"/>
      <c r="GR215" s="987"/>
      <c r="GS215" s="987"/>
      <c r="GT215" s="987"/>
      <c r="GU215" s="987"/>
      <c r="GV215" s="987"/>
      <c r="GW215" s="987"/>
      <c r="GX215" s="987"/>
      <c r="GY215" s="987"/>
      <c r="GZ215" s="987"/>
      <c r="HA215" s="987"/>
      <c r="HB215" s="987"/>
      <c r="HC215" s="987"/>
      <c r="HD215" s="987"/>
      <c r="HE215" s="987"/>
      <c r="HF215" s="987"/>
      <c r="HG215" s="987"/>
      <c r="HH215" s="987"/>
      <c r="HI215" s="987"/>
      <c r="HJ215" s="987"/>
      <c r="HK215" s="987"/>
      <c r="HL215" s="987"/>
      <c r="HM215" s="987"/>
      <c r="HN215" s="987"/>
      <c r="HO215" s="987"/>
      <c r="HP215" s="987"/>
      <c r="HQ215" s="987"/>
      <c r="HR215" s="987"/>
      <c r="HS215" s="987"/>
      <c r="HT215" s="987"/>
      <c r="HU215" s="987"/>
      <c r="HV215" s="987"/>
      <c r="HW215" s="987"/>
      <c r="HX215" s="987"/>
      <c r="HY215" s="987"/>
      <c r="HZ215" s="987"/>
      <c r="IA215" s="987"/>
      <c r="IB215" s="987"/>
      <c r="IC215" s="987"/>
      <c r="ID215" s="987"/>
      <c r="IE215" s="987"/>
      <c r="IF215" s="987"/>
      <c r="IG215" s="987"/>
      <c r="IH215" s="987"/>
      <c r="II215" s="987"/>
      <c r="IJ215" s="987"/>
      <c r="IK215" s="987"/>
      <c r="IL215" s="987"/>
      <c r="IM215" s="987"/>
      <c r="IN215" s="987"/>
      <c r="IO215" s="987"/>
      <c r="IP215" s="987"/>
      <c r="IQ215" s="987"/>
      <c r="IR215" s="987"/>
      <c r="IS215" s="987"/>
      <c r="IT215" s="987"/>
      <c r="IU215" s="987"/>
      <c r="IV215" s="987"/>
    </row>
    <row r="216" spans="1:256" s="121" customFormat="1" ht="14.25" hidden="1" customHeight="1" outlineLevel="2">
      <c r="B216" s="961"/>
      <c r="C216" s="804"/>
      <c r="D216" s="962"/>
      <c r="E216" s="962"/>
      <c r="F216" s="962"/>
      <c r="G216" s="962"/>
      <c r="H216" s="962"/>
      <c r="I216" s="962"/>
      <c r="J216" s="962"/>
      <c r="K216" s="962"/>
      <c r="L216" s="962"/>
      <c r="M216" s="963"/>
      <c r="N216" s="963"/>
      <c r="O216" s="963"/>
      <c r="P216" s="963"/>
      <c r="Q216" s="963"/>
      <c r="R216" s="963"/>
      <c r="S216" s="963"/>
      <c r="T216" s="963"/>
      <c r="U216" s="963"/>
      <c r="V216" s="963"/>
      <c r="W216" s="963"/>
      <c r="X216" s="963"/>
      <c r="Y216" s="963"/>
      <c r="Z216" s="963"/>
      <c r="AA216" s="963"/>
      <c r="AB216" s="963"/>
      <c r="AC216" s="963"/>
      <c r="AD216" s="963"/>
      <c r="AE216" s="963"/>
      <c r="AF216" s="963"/>
      <c r="AG216" s="963"/>
      <c r="AH216" s="963"/>
      <c r="AI216" s="964"/>
      <c r="AJ216" s="964"/>
      <c r="AK216" s="964"/>
      <c r="AL216" s="964"/>
      <c r="AM216" s="964"/>
      <c r="AN216" s="964"/>
      <c r="AO216" s="964"/>
      <c r="AP216" s="964"/>
      <c r="AQ216" s="964"/>
      <c r="AR216" s="964"/>
      <c r="AS216" s="964"/>
      <c r="AT216" s="964"/>
      <c r="AU216" s="964"/>
      <c r="AV216" s="964"/>
      <c r="AW216" s="964"/>
      <c r="AX216" s="964"/>
      <c r="AY216" s="964"/>
      <c r="AZ216" s="964"/>
      <c r="BA216" s="964"/>
      <c r="BB216" s="964"/>
      <c r="BC216" s="964"/>
      <c r="BD216" s="964"/>
      <c r="BE216" s="964"/>
      <c r="BF216" s="964"/>
      <c r="BG216" s="964"/>
      <c r="BH216" s="964"/>
      <c r="BI216" s="964"/>
      <c r="BJ216" s="964"/>
      <c r="BK216" s="964"/>
      <c r="BL216" s="804"/>
      <c r="BM216" s="965"/>
      <c r="BN216" s="965"/>
      <c r="BO216" s="803"/>
      <c r="BP216" s="803"/>
      <c r="BQ216" s="803"/>
      <c r="BR216" s="803"/>
      <c r="BS216" s="803"/>
      <c r="BT216" s="803"/>
      <c r="BU216" s="803"/>
      <c r="BV216" s="803"/>
      <c r="BW216" s="803"/>
      <c r="BX216" s="803"/>
      <c r="BY216" s="803"/>
      <c r="BZ216" s="803"/>
      <c r="CA216" s="804"/>
      <c r="CB216" s="835"/>
      <c r="CC216" s="835"/>
      <c r="CD216" s="835"/>
      <c r="CE216" s="835"/>
      <c r="CF216" s="804"/>
      <c r="CG216" s="804"/>
      <c r="CH216" s="804"/>
      <c r="CI216" s="804"/>
    </row>
    <row r="217" spans="1:256" s="121" customFormat="1" ht="14.25" hidden="1" customHeight="1" outlineLevel="2">
      <c r="B217" s="961"/>
      <c r="C217" s="804"/>
      <c r="D217" s="962"/>
      <c r="E217" s="962"/>
      <c r="F217" s="962"/>
      <c r="G217" s="962"/>
      <c r="H217" s="962"/>
      <c r="I217" s="962"/>
      <c r="J217" s="962"/>
      <c r="K217" s="962"/>
      <c r="L217" s="962"/>
      <c r="M217" s="963"/>
      <c r="N217" s="963"/>
      <c r="O217" s="963"/>
      <c r="P217" s="963"/>
      <c r="Q217" s="963"/>
      <c r="R217" s="963"/>
      <c r="S217" s="963"/>
      <c r="T217" s="963"/>
      <c r="U217" s="963"/>
      <c r="V217" s="963"/>
      <c r="W217" s="963"/>
      <c r="X217" s="963"/>
      <c r="Y217" s="963"/>
      <c r="Z217" s="963"/>
      <c r="AA217" s="963"/>
      <c r="AB217" s="963"/>
      <c r="AC217" s="963"/>
      <c r="AD217" s="963"/>
      <c r="AE217" s="963"/>
      <c r="AF217" s="963"/>
      <c r="AG217" s="963"/>
      <c r="AH217" s="963"/>
      <c r="AI217" s="964"/>
      <c r="AJ217" s="964"/>
      <c r="AK217" s="964"/>
      <c r="AL217" s="964"/>
      <c r="AM217" s="964"/>
      <c r="AN217" s="964"/>
      <c r="AO217" s="964"/>
      <c r="AP217" s="964"/>
      <c r="AQ217" s="964"/>
      <c r="AR217" s="964"/>
      <c r="AS217" s="964"/>
      <c r="AT217" s="964"/>
      <c r="AU217" s="964"/>
      <c r="AV217" s="964"/>
      <c r="AW217" s="964"/>
      <c r="AX217" s="964"/>
      <c r="AY217" s="964"/>
      <c r="AZ217" s="964"/>
      <c r="BA217" s="964"/>
      <c r="BB217" s="964"/>
      <c r="BC217" s="964"/>
      <c r="BD217" s="964"/>
      <c r="BE217" s="964"/>
      <c r="BF217" s="964"/>
      <c r="BG217" s="964"/>
      <c r="BH217" s="964"/>
      <c r="BI217" s="964"/>
      <c r="BJ217" s="964"/>
      <c r="BK217" s="964"/>
      <c r="BL217" s="804"/>
      <c r="BM217" s="965"/>
      <c r="BN217" s="965"/>
      <c r="BO217" s="803"/>
      <c r="BP217" s="803"/>
      <c r="BQ217" s="803"/>
      <c r="BR217" s="803"/>
      <c r="BS217" s="803"/>
      <c r="BT217" s="803"/>
      <c r="BU217" s="803"/>
      <c r="BV217" s="803"/>
      <c r="BW217" s="803"/>
      <c r="BX217" s="803"/>
      <c r="BY217" s="803"/>
      <c r="BZ217" s="803"/>
      <c r="CA217" s="804"/>
      <c r="CB217" s="835"/>
      <c r="CC217" s="835"/>
      <c r="CD217" s="835"/>
      <c r="CE217" s="835"/>
      <c r="CF217" s="804"/>
      <c r="CG217" s="804"/>
      <c r="CH217" s="804"/>
      <c r="CI217" s="804"/>
    </row>
    <row r="218" spans="1:256" s="121" customFormat="1" ht="14.25" hidden="1" customHeight="1" outlineLevel="2">
      <c r="B218" s="961"/>
      <c r="C218" s="804"/>
      <c r="D218" s="962"/>
      <c r="E218" s="962"/>
      <c r="F218" s="962"/>
      <c r="G218" s="962"/>
      <c r="H218" s="962"/>
      <c r="I218" s="962"/>
      <c r="J218" s="962"/>
      <c r="K218" s="962"/>
      <c r="L218" s="962"/>
      <c r="M218" s="963"/>
      <c r="N218" s="963"/>
      <c r="O218" s="963"/>
      <c r="P218" s="963"/>
      <c r="Q218" s="963"/>
      <c r="R218" s="963"/>
      <c r="S218" s="963"/>
      <c r="T218" s="963"/>
      <c r="U218" s="963"/>
      <c r="V218" s="963"/>
      <c r="W218" s="963"/>
      <c r="X218" s="963"/>
      <c r="Y218" s="963"/>
      <c r="Z218" s="963"/>
      <c r="AA218" s="963"/>
      <c r="AB218" s="963"/>
      <c r="AC218" s="963"/>
      <c r="AD218" s="963"/>
      <c r="AE218" s="963"/>
      <c r="AF218" s="963"/>
      <c r="AG218" s="963"/>
      <c r="AH218" s="963"/>
      <c r="AI218" s="964"/>
      <c r="AJ218" s="964"/>
      <c r="AK218" s="964"/>
      <c r="AL218" s="964"/>
      <c r="AM218" s="964"/>
      <c r="AN218" s="964"/>
      <c r="AO218" s="964"/>
      <c r="AP218" s="964"/>
      <c r="AQ218" s="964"/>
      <c r="AR218" s="964"/>
      <c r="AS218" s="964"/>
      <c r="AT218" s="964"/>
      <c r="AU218" s="964"/>
      <c r="AV218" s="964"/>
      <c r="AW218" s="964"/>
      <c r="AX218" s="964"/>
      <c r="AY218" s="964"/>
      <c r="AZ218" s="964"/>
      <c r="BA218" s="964"/>
      <c r="BB218" s="964"/>
      <c r="BC218" s="964"/>
      <c r="BD218" s="964"/>
      <c r="BE218" s="964"/>
      <c r="BF218" s="964"/>
      <c r="BG218" s="964"/>
      <c r="BH218" s="964"/>
      <c r="BI218" s="964"/>
      <c r="BJ218" s="964"/>
      <c r="BK218" s="964"/>
      <c r="BL218" s="804"/>
      <c r="BM218" s="965"/>
      <c r="BN218" s="965"/>
      <c r="BO218" s="803"/>
      <c r="BP218" s="803"/>
      <c r="BQ218" s="803"/>
      <c r="BR218" s="803"/>
      <c r="BS218" s="803"/>
      <c r="BT218" s="803"/>
      <c r="BU218" s="803"/>
      <c r="BV218" s="803"/>
      <c r="BW218" s="803"/>
      <c r="BX218" s="803"/>
      <c r="BY218" s="803"/>
      <c r="BZ218" s="803"/>
      <c r="CA218" s="804"/>
      <c r="CB218" s="835"/>
      <c r="CC218" s="835"/>
      <c r="CD218" s="835"/>
      <c r="CE218" s="835"/>
      <c r="CF218" s="804"/>
      <c r="CG218" s="804"/>
      <c r="CH218" s="804"/>
      <c r="CI218" s="804"/>
    </row>
    <row r="219" spans="1:256" s="121" customFormat="1" ht="14.25" hidden="1" customHeight="1" outlineLevel="2">
      <c r="B219" s="961"/>
      <c r="C219" s="804"/>
      <c r="D219" s="962"/>
      <c r="E219" s="962"/>
      <c r="F219" s="962"/>
      <c r="G219" s="962"/>
      <c r="H219" s="962"/>
      <c r="I219" s="962"/>
      <c r="J219" s="962"/>
      <c r="K219" s="962"/>
      <c r="L219" s="962"/>
      <c r="M219" s="963"/>
      <c r="N219" s="963"/>
      <c r="O219" s="963"/>
      <c r="P219" s="963"/>
      <c r="Q219" s="963"/>
      <c r="R219" s="963"/>
      <c r="S219" s="963"/>
      <c r="T219" s="963"/>
      <c r="U219" s="963"/>
      <c r="V219" s="963"/>
      <c r="W219" s="963"/>
      <c r="X219" s="963"/>
      <c r="Y219" s="963"/>
      <c r="Z219" s="963"/>
      <c r="AA219" s="963"/>
      <c r="AB219" s="963"/>
      <c r="AC219" s="963"/>
      <c r="AD219" s="963"/>
      <c r="AE219" s="963"/>
      <c r="AF219" s="963"/>
      <c r="AG219" s="963"/>
      <c r="AH219" s="963"/>
      <c r="AI219" s="964"/>
      <c r="AJ219" s="964"/>
      <c r="AK219" s="964"/>
      <c r="AL219" s="964"/>
      <c r="AM219" s="964"/>
      <c r="AN219" s="964"/>
      <c r="AO219" s="964"/>
      <c r="AP219" s="964"/>
      <c r="AQ219" s="964"/>
      <c r="AR219" s="964"/>
      <c r="AS219" s="964"/>
      <c r="AT219" s="964"/>
      <c r="AU219" s="964"/>
      <c r="AV219" s="964"/>
      <c r="AW219" s="964"/>
      <c r="AX219" s="964"/>
      <c r="AY219" s="964"/>
      <c r="AZ219" s="964"/>
      <c r="BA219" s="964"/>
      <c r="BB219" s="964"/>
      <c r="BC219" s="964"/>
      <c r="BD219" s="964"/>
      <c r="BE219" s="964"/>
      <c r="BF219" s="964"/>
      <c r="BG219" s="964"/>
      <c r="BH219" s="964"/>
      <c r="BI219" s="964"/>
      <c r="BJ219" s="964"/>
      <c r="BK219" s="964"/>
      <c r="BL219" s="804"/>
      <c r="BM219" s="965"/>
      <c r="BN219" s="965"/>
      <c r="BO219" s="803"/>
      <c r="BP219" s="803"/>
      <c r="BQ219" s="803"/>
      <c r="BR219" s="803"/>
      <c r="BS219" s="803"/>
      <c r="BT219" s="803"/>
      <c r="BU219" s="803"/>
      <c r="BV219" s="803"/>
      <c r="BW219" s="803"/>
      <c r="BX219" s="803"/>
      <c r="BY219" s="803"/>
      <c r="BZ219" s="803"/>
      <c r="CA219" s="804"/>
      <c r="CB219" s="835"/>
      <c r="CC219" s="835"/>
      <c r="CD219" s="835"/>
      <c r="CE219" s="835"/>
      <c r="CF219" s="804"/>
      <c r="CG219" s="804"/>
      <c r="CH219" s="804"/>
      <c r="CI219" s="804"/>
    </row>
    <row r="220" spans="1:256" s="121" customFormat="1" ht="14.25" hidden="1" customHeight="1" outlineLevel="2">
      <c r="B220" s="961"/>
      <c r="C220" s="804"/>
      <c r="D220" s="962"/>
      <c r="E220" s="962"/>
      <c r="F220" s="962"/>
      <c r="G220" s="962"/>
      <c r="H220" s="962"/>
      <c r="I220" s="962"/>
      <c r="J220" s="962"/>
      <c r="K220" s="962"/>
      <c r="L220" s="962"/>
      <c r="M220" s="963"/>
      <c r="N220" s="963"/>
      <c r="O220" s="963"/>
      <c r="P220" s="963"/>
      <c r="Q220" s="963"/>
      <c r="R220" s="963"/>
      <c r="S220" s="963"/>
      <c r="T220" s="963"/>
      <c r="U220" s="963"/>
      <c r="V220" s="963"/>
      <c r="W220" s="963"/>
      <c r="X220" s="963"/>
      <c r="Y220" s="963"/>
      <c r="Z220" s="963"/>
      <c r="AA220" s="963"/>
      <c r="AB220" s="963"/>
      <c r="AC220" s="963"/>
      <c r="AD220" s="963"/>
      <c r="AE220" s="963"/>
      <c r="AF220" s="963"/>
      <c r="AG220" s="963"/>
      <c r="AH220" s="963"/>
      <c r="AI220" s="964"/>
      <c r="AJ220" s="964"/>
      <c r="AK220" s="964"/>
      <c r="AL220" s="964"/>
      <c r="AM220" s="964"/>
      <c r="AN220" s="964"/>
      <c r="AO220" s="964"/>
      <c r="AP220" s="964"/>
      <c r="AQ220" s="964"/>
      <c r="AR220" s="964"/>
      <c r="AS220" s="964"/>
      <c r="AT220" s="964"/>
      <c r="AU220" s="964"/>
      <c r="AV220" s="964"/>
      <c r="AW220" s="964"/>
      <c r="AX220" s="964"/>
      <c r="AY220" s="964"/>
      <c r="AZ220" s="964"/>
      <c r="BA220" s="964"/>
      <c r="BB220" s="964"/>
      <c r="BC220" s="964"/>
      <c r="BD220" s="964"/>
      <c r="BE220" s="964"/>
      <c r="BF220" s="964"/>
      <c r="BG220" s="964"/>
      <c r="BH220" s="964"/>
      <c r="BI220" s="964"/>
      <c r="BJ220" s="964"/>
      <c r="BK220" s="964"/>
      <c r="BL220" s="804"/>
      <c r="BM220" s="965"/>
      <c r="BN220" s="965"/>
      <c r="BO220" s="803"/>
      <c r="BP220" s="803"/>
      <c r="BQ220" s="803"/>
      <c r="BR220" s="803"/>
      <c r="BS220" s="803"/>
      <c r="BT220" s="803"/>
      <c r="BU220" s="803"/>
      <c r="BV220" s="803"/>
      <c r="BW220" s="803"/>
      <c r="BX220" s="803"/>
      <c r="BY220" s="803"/>
      <c r="BZ220" s="803"/>
      <c r="CA220" s="804"/>
      <c r="CB220" s="835"/>
      <c r="CC220" s="835"/>
      <c r="CD220" s="835"/>
      <c r="CE220" s="835"/>
      <c r="CF220" s="804"/>
      <c r="CG220" s="804"/>
      <c r="CH220" s="804"/>
      <c r="CI220" s="804"/>
    </row>
    <row r="221" spans="1:256" ht="14.25" hidden="1" customHeight="1" outlineLevel="2">
      <c r="A221" s="121"/>
      <c r="B221" s="961"/>
      <c r="C221" s="804"/>
      <c r="D221" s="962"/>
      <c r="E221" s="962"/>
      <c r="F221" s="962"/>
      <c r="G221" s="962"/>
      <c r="H221" s="962"/>
      <c r="I221" s="962"/>
      <c r="J221" s="962"/>
      <c r="K221" s="962"/>
      <c r="L221" s="962"/>
      <c r="M221" s="963"/>
      <c r="N221" s="963"/>
      <c r="O221" s="963"/>
      <c r="P221" s="963"/>
      <c r="Q221" s="963"/>
      <c r="R221" s="963"/>
      <c r="S221" s="963"/>
      <c r="T221" s="963"/>
      <c r="U221" s="963"/>
      <c r="V221" s="963"/>
      <c r="W221" s="963"/>
      <c r="X221" s="963"/>
      <c r="Y221" s="963"/>
      <c r="Z221" s="963"/>
      <c r="AA221" s="963"/>
      <c r="AB221" s="963"/>
      <c r="AC221" s="963"/>
      <c r="AD221" s="963"/>
      <c r="AE221" s="963"/>
      <c r="AF221" s="963"/>
      <c r="AG221" s="963"/>
      <c r="AH221" s="963"/>
      <c r="AI221" s="964"/>
      <c r="AJ221" s="964"/>
      <c r="AK221" s="964"/>
      <c r="AL221" s="964"/>
      <c r="AM221" s="964"/>
      <c r="AN221" s="964"/>
      <c r="AO221" s="964"/>
      <c r="AP221" s="964"/>
      <c r="AQ221" s="964"/>
      <c r="AR221" s="964"/>
      <c r="AS221" s="964"/>
      <c r="AT221" s="964"/>
      <c r="AU221" s="964"/>
      <c r="AV221" s="964"/>
      <c r="AW221" s="964"/>
      <c r="AX221" s="964"/>
      <c r="AY221" s="964"/>
      <c r="AZ221" s="964"/>
      <c r="BA221" s="964"/>
      <c r="BB221" s="964"/>
      <c r="BC221" s="964"/>
      <c r="BD221" s="964"/>
      <c r="BE221" s="964"/>
      <c r="BF221" s="964"/>
      <c r="BG221" s="964"/>
      <c r="BH221" s="964"/>
      <c r="BI221" s="964"/>
      <c r="BJ221" s="964"/>
      <c r="BK221" s="964"/>
      <c r="BL221" s="804"/>
      <c r="BM221" s="965"/>
      <c r="BN221" s="965"/>
      <c r="BO221" s="803"/>
      <c r="BP221" s="803"/>
      <c r="BQ221" s="803"/>
      <c r="BR221" s="803"/>
      <c r="BS221" s="803"/>
      <c r="BT221" s="803"/>
      <c r="BU221" s="803"/>
      <c r="BV221" s="803"/>
      <c r="BW221" s="803"/>
      <c r="BX221" s="803"/>
      <c r="BY221" s="803"/>
      <c r="BZ221" s="803"/>
      <c r="CA221" s="804"/>
      <c r="CB221" s="835"/>
      <c r="CC221" s="835"/>
      <c r="CD221" s="835"/>
      <c r="CE221" s="835"/>
      <c r="CF221" s="804"/>
      <c r="CG221" s="804"/>
      <c r="CH221" s="804"/>
      <c r="CI221" s="804"/>
      <c r="CJ221" s="121"/>
      <c r="CK221" s="121"/>
      <c r="CL221" s="121"/>
      <c r="CM221" s="121"/>
      <c r="CN221" s="121"/>
      <c r="CO221" s="121"/>
      <c r="CP221" s="121"/>
      <c r="CQ221" s="121"/>
      <c r="CR221" s="121"/>
      <c r="CS221" s="121"/>
      <c r="CT221" s="121"/>
      <c r="CU221" s="121"/>
      <c r="CV221" s="121"/>
      <c r="CW221" s="121"/>
      <c r="CX221" s="121"/>
      <c r="CY221" s="121"/>
      <c r="CZ221" s="121"/>
      <c r="DA221" s="121"/>
      <c r="DB221" s="121"/>
      <c r="DC221" s="121"/>
      <c r="DD221" s="121"/>
      <c r="DE221" s="121"/>
      <c r="DF221" s="121"/>
      <c r="DG221" s="121"/>
      <c r="DH221" s="121"/>
      <c r="DI221" s="121"/>
      <c r="DJ221" s="121"/>
      <c r="DK221" s="121"/>
      <c r="DL221" s="121"/>
      <c r="DM221" s="121"/>
      <c r="DN221" s="121"/>
      <c r="DO221" s="121"/>
      <c r="DP221" s="121"/>
      <c r="DQ221" s="121"/>
      <c r="DR221" s="121"/>
      <c r="DS221" s="121"/>
      <c r="DT221" s="121"/>
      <c r="DU221" s="121"/>
      <c r="DV221" s="121"/>
      <c r="DW221" s="121"/>
      <c r="DX221" s="121"/>
      <c r="DY221" s="121"/>
      <c r="DZ221" s="121"/>
      <c r="EA221" s="121"/>
      <c r="EB221" s="121"/>
      <c r="EC221" s="121"/>
      <c r="ED221" s="121"/>
      <c r="EE221" s="121"/>
      <c r="EF221" s="121"/>
      <c r="EG221" s="121"/>
      <c r="EH221" s="121"/>
      <c r="EI221" s="121"/>
      <c r="EJ221" s="121"/>
      <c r="EK221" s="121"/>
      <c r="EL221" s="121"/>
      <c r="EM221" s="121"/>
      <c r="EN221" s="121"/>
      <c r="EO221" s="121"/>
      <c r="EP221" s="121"/>
      <c r="EQ221" s="121"/>
      <c r="ER221" s="121"/>
      <c r="ES221" s="121"/>
      <c r="ET221" s="121"/>
      <c r="EU221" s="121"/>
      <c r="EV221" s="121"/>
      <c r="EW221" s="121"/>
      <c r="EX221" s="121"/>
      <c r="EY221" s="121"/>
      <c r="EZ221" s="121"/>
      <c r="FA221" s="121"/>
      <c r="FB221" s="121"/>
      <c r="FC221" s="121"/>
      <c r="FD221" s="121"/>
      <c r="FE221" s="121"/>
      <c r="FF221" s="121"/>
      <c r="FG221" s="121"/>
      <c r="FH221" s="121"/>
      <c r="FI221" s="121"/>
      <c r="FJ221" s="121"/>
      <c r="FK221" s="121"/>
      <c r="FL221" s="121"/>
      <c r="FM221" s="121"/>
      <c r="FN221" s="121"/>
      <c r="FO221" s="121"/>
      <c r="FP221" s="121"/>
      <c r="FQ221" s="121"/>
      <c r="FR221" s="121"/>
      <c r="FS221" s="121"/>
      <c r="FT221" s="121"/>
      <c r="FU221" s="121"/>
      <c r="FV221" s="121"/>
      <c r="FW221" s="121"/>
      <c r="FX221" s="121"/>
      <c r="FY221" s="121"/>
      <c r="FZ221" s="121"/>
      <c r="GA221" s="121"/>
      <c r="GB221" s="121"/>
      <c r="GC221" s="121"/>
      <c r="GD221" s="121"/>
      <c r="GE221" s="121"/>
      <c r="GF221" s="121"/>
      <c r="GG221" s="121"/>
      <c r="GH221" s="121"/>
      <c r="GI221" s="121"/>
      <c r="GJ221" s="121"/>
      <c r="GK221" s="121"/>
      <c r="GL221" s="121"/>
      <c r="GM221" s="121"/>
      <c r="GN221" s="121"/>
      <c r="GO221" s="121"/>
      <c r="GP221" s="121"/>
      <c r="GQ221" s="121"/>
      <c r="GR221" s="121"/>
      <c r="GS221" s="121"/>
      <c r="GT221" s="121"/>
      <c r="GU221" s="121"/>
      <c r="GV221" s="121"/>
      <c r="GW221" s="121"/>
      <c r="GX221" s="121"/>
      <c r="GY221" s="121"/>
      <c r="GZ221" s="121"/>
      <c r="HA221" s="121"/>
      <c r="HB221" s="121"/>
      <c r="HC221" s="121"/>
      <c r="HD221" s="121"/>
      <c r="HE221" s="121"/>
      <c r="HF221" s="121"/>
      <c r="HG221" s="121"/>
      <c r="HH221" s="121"/>
      <c r="HI221" s="121"/>
      <c r="HJ221" s="121"/>
      <c r="HK221" s="121"/>
      <c r="HL221" s="121"/>
      <c r="HM221" s="121"/>
      <c r="HN221" s="121"/>
      <c r="HO221" s="121"/>
      <c r="HP221" s="121"/>
      <c r="HQ221" s="121"/>
      <c r="HR221" s="121"/>
      <c r="HS221" s="121"/>
      <c r="HT221" s="121"/>
      <c r="HU221" s="121"/>
      <c r="HV221" s="121"/>
      <c r="HW221" s="121"/>
      <c r="HX221" s="121"/>
      <c r="HY221" s="121"/>
      <c r="HZ221" s="121"/>
      <c r="IA221" s="121"/>
      <c r="IB221" s="121"/>
      <c r="IC221" s="121"/>
      <c r="ID221" s="121"/>
      <c r="IE221" s="121"/>
      <c r="IF221" s="121"/>
      <c r="IG221" s="121"/>
      <c r="IH221" s="121"/>
      <c r="II221" s="121"/>
      <c r="IJ221" s="121"/>
      <c r="IK221" s="121"/>
      <c r="IL221" s="121"/>
      <c r="IM221" s="121"/>
      <c r="IN221" s="121"/>
      <c r="IO221" s="121"/>
      <c r="IP221" s="121"/>
      <c r="IQ221" s="121"/>
      <c r="IR221" s="121"/>
      <c r="IS221" s="121"/>
      <c r="IT221" s="121"/>
      <c r="IU221" s="121"/>
      <c r="IV221" s="121"/>
    </row>
    <row r="222" spans="1:256" ht="14.25" hidden="1" customHeight="1" outlineLevel="3">
      <c r="B222" s="74"/>
      <c r="AB222" s="8"/>
      <c r="AC222" s="8"/>
      <c r="AD222" s="8"/>
      <c r="AF222" s="8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</row>
    <row r="223" spans="1:256" ht="14.25" hidden="1" customHeight="1" outlineLevel="3">
      <c r="A223" s="1"/>
      <c r="B223" s="162" t="s">
        <v>70</v>
      </c>
      <c r="C223" s="163"/>
      <c r="D223" s="766" t="str">
        <f t="shared" ref="D223:AI223" si="265">D9</f>
        <v>F1Q06A</v>
      </c>
      <c r="E223" s="767" t="str">
        <f t="shared" si="265"/>
        <v>F2Q06A</v>
      </c>
      <c r="F223" s="767" t="str">
        <f t="shared" si="265"/>
        <v>F3Q06A</v>
      </c>
      <c r="G223" s="767" t="str">
        <f t="shared" si="265"/>
        <v>F4Q06A</v>
      </c>
      <c r="H223" s="766" t="str">
        <f t="shared" si="265"/>
        <v>F1Q07A</v>
      </c>
      <c r="I223" s="767" t="str">
        <f t="shared" si="265"/>
        <v>F2Q07A</v>
      </c>
      <c r="J223" s="767" t="str">
        <f t="shared" si="265"/>
        <v>F3Q07A</v>
      </c>
      <c r="K223" s="767" t="str">
        <f t="shared" si="265"/>
        <v>F4Q07A</v>
      </c>
      <c r="L223" s="766" t="str">
        <f t="shared" si="265"/>
        <v>F1Q08A</v>
      </c>
      <c r="M223" s="767" t="str">
        <f t="shared" si="265"/>
        <v>F2Q08A</v>
      </c>
      <c r="N223" s="767" t="str">
        <f t="shared" si="265"/>
        <v>F3Q08A</v>
      </c>
      <c r="O223" s="767" t="str">
        <f t="shared" si="265"/>
        <v>F4Q08A</v>
      </c>
      <c r="P223" s="766" t="str">
        <f t="shared" si="265"/>
        <v>F1Q09A</v>
      </c>
      <c r="Q223" s="767" t="str">
        <f t="shared" si="265"/>
        <v>F2Q09A</v>
      </c>
      <c r="R223" s="767" t="str">
        <f t="shared" si="265"/>
        <v>F3Q09A</v>
      </c>
      <c r="S223" s="767" t="str">
        <f t="shared" si="265"/>
        <v>F4Q09A</v>
      </c>
      <c r="T223" s="766" t="str">
        <f t="shared" si="265"/>
        <v>F1Q10A</v>
      </c>
      <c r="U223" s="767" t="str">
        <f t="shared" si="265"/>
        <v>F2Q10A</v>
      </c>
      <c r="V223" s="767" t="str">
        <f t="shared" si="265"/>
        <v>F3Q10A</v>
      </c>
      <c r="W223" s="767" t="str">
        <f t="shared" si="265"/>
        <v>F4Q10A</v>
      </c>
      <c r="X223" s="766" t="str">
        <f t="shared" si="265"/>
        <v>F1Q11A</v>
      </c>
      <c r="Y223" s="767" t="str">
        <f t="shared" si="265"/>
        <v>F2Q11A</v>
      </c>
      <c r="Z223" s="767" t="str">
        <f t="shared" si="265"/>
        <v>F3Q11A</v>
      </c>
      <c r="AA223" s="767" t="str">
        <f t="shared" si="265"/>
        <v>F4Q11A</v>
      </c>
      <c r="AB223" s="766" t="str">
        <f t="shared" si="265"/>
        <v>F1Q12A</v>
      </c>
      <c r="AC223" s="767" t="str">
        <f t="shared" si="265"/>
        <v>F2Q12A</v>
      </c>
      <c r="AD223" s="767" t="str">
        <f t="shared" si="265"/>
        <v>F3Q12A</v>
      </c>
      <c r="AE223" s="767" t="str">
        <f t="shared" si="265"/>
        <v>F4Q12A</v>
      </c>
      <c r="AF223" s="766" t="str">
        <f t="shared" si="265"/>
        <v>F1Q13A</v>
      </c>
      <c r="AG223" s="767" t="str">
        <f t="shared" si="265"/>
        <v>F2Q13A</v>
      </c>
      <c r="AH223" s="767" t="str">
        <f t="shared" si="265"/>
        <v>F3Q13A</v>
      </c>
      <c r="AI223" s="767" t="str">
        <f t="shared" si="265"/>
        <v>F4Q13A</v>
      </c>
      <c r="AJ223" s="766" t="str">
        <f t="shared" ref="AJ223:BG223" si="266">AJ9</f>
        <v>F1Q14A</v>
      </c>
      <c r="AK223" s="767" t="str">
        <f t="shared" si="266"/>
        <v>F2Q14</v>
      </c>
      <c r="AL223" s="767" t="str">
        <f t="shared" si="266"/>
        <v>F3Q14A</v>
      </c>
      <c r="AM223" s="767" t="str">
        <f t="shared" si="266"/>
        <v>F4Q14A</v>
      </c>
      <c r="AN223" s="766" t="str">
        <f t="shared" si="266"/>
        <v>F1Q15A</v>
      </c>
      <c r="AO223" s="767" t="str">
        <f t="shared" si="266"/>
        <v>F2Q15A</v>
      </c>
      <c r="AP223" s="767" t="str">
        <f t="shared" si="266"/>
        <v>F3Q15A</v>
      </c>
      <c r="AQ223" s="768" t="str">
        <f t="shared" si="266"/>
        <v>F4Q15A</v>
      </c>
      <c r="AR223" s="766" t="str">
        <f t="shared" si="266"/>
        <v>F1Q16A</v>
      </c>
      <c r="AS223" s="767" t="str">
        <f t="shared" si="266"/>
        <v>F2Q16A</v>
      </c>
      <c r="AT223" s="767" t="str">
        <f t="shared" si="266"/>
        <v>F3Q16A</v>
      </c>
      <c r="AU223" s="768" t="str">
        <f t="shared" si="266"/>
        <v>F4Q16A</v>
      </c>
      <c r="AV223" s="766" t="str">
        <f t="shared" si="266"/>
        <v>F1Q17A</v>
      </c>
      <c r="AW223" s="767" t="str">
        <f t="shared" si="266"/>
        <v>F2Q17A</v>
      </c>
      <c r="AX223" s="767" t="str">
        <f t="shared" si="266"/>
        <v>F3Q17A</v>
      </c>
      <c r="AY223" s="768" t="str">
        <f t="shared" si="266"/>
        <v>F4Q17A</v>
      </c>
      <c r="AZ223" s="766" t="str">
        <f t="shared" si="266"/>
        <v>F1Q18A</v>
      </c>
      <c r="BA223" s="767" t="str">
        <f t="shared" si="266"/>
        <v>F2Q18A</v>
      </c>
      <c r="BB223" s="767" t="str">
        <f t="shared" si="266"/>
        <v>F3Q18A</v>
      </c>
      <c r="BC223" s="768" t="str">
        <f t="shared" si="266"/>
        <v>F4Q18E</v>
      </c>
      <c r="BD223" s="766" t="str">
        <f t="shared" si="266"/>
        <v>F1Q19E</v>
      </c>
      <c r="BE223" s="767" t="str">
        <f t="shared" si="266"/>
        <v>F2Q19E</v>
      </c>
      <c r="BF223" s="767" t="str">
        <f t="shared" si="266"/>
        <v>F3Q19E</v>
      </c>
      <c r="BG223" s="768" t="str">
        <f t="shared" si="266"/>
        <v>F4Q19E</v>
      </c>
      <c r="BH223" s="766" t="str">
        <f>BH9</f>
        <v>F1Q20E</v>
      </c>
      <c r="BI223" s="767" t="str">
        <f>BI9</f>
        <v>F2Q20E</v>
      </c>
      <c r="BJ223" s="767" t="str">
        <f>BJ9</f>
        <v>F3Q20E</v>
      </c>
      <c r="BK223" s="768" t="str">
        <f>BK9</f>
        <v>F4Q20E</v>
      </c>
      <c r="BL223" s="20"/>
      <c r="BM223" s="766" t="str">
        <f t="shared" ref="BM223:CA223" si="267">BM9</f>
        <v>FY2006A</v>
      </c>
      <c r="BN223" s="767" t="str">
        <f t="shared" si="267"/>
        <v>FY2007A</v>
      </c>
      <c r="BO223" s="767" t="str">
        <f t="shared" si="267"/>
        <v>FY2008A</v>
      </c>
      <c r="BP223" s="767" t="str">
        <f t="shared" si="267"/>
        <v>FY2009A</v>
      </c>
      <c r="BQ223" s="767" t="str">
        <f t="shared" si="267"/>
        <v>FY2010A</v>
      </c>
      <c r="BR223" s="767" t="str">
        <f t="shared" si="267"/>
        <v>FY2011A</v>
      </c>
      <c r="BS223" s="767" t="str">
        <f t="shared" si="267"/>
        <v>FY2012A</v>
      </c>
      <c r="BT223" s="767" t="str">
        <f t="shared" si="267"/>
        <v>FY2013A</v>
      </c>
      <c r="BU223" s="768" t="str">
        <f t="shared" si="267"/>
        <v>FY2014A</v>
      </c>
      <c r="BV223" s="1036" t="str">
        <f t="shared" si="267"/>
        <v>FY2015A</v>
      </c>
      <c r="BW223" s="1240" t="str">
        <f t="shared" si="267"/>
        <v>FY2016A</v>
      </c>
      <c r="BX223" s="386" t="str">
        <f t="shared" si="267"/>
        <v>FY2017A</v>
      </c>
      <c r="BY223" s="386" t="str">
        <f t="shared" si="267"/>
        <v>FY2018E</v>
      </c>
      <c r="BZ223" s="386" t="str">
        <f t="shared" si="267"/>
        <v>FY2019E</v>
      </c>
      <c r="CA223" s="351" t="str">
        <f t="shared" si="267"/>
        <v>FY2020E</v>
      </c>
      <c r="CB223" s="1037"/>
      <c r="CC223" s="1037"/>
      <c r="CD223" s="1037"/>
      <c r="CE223" s="1037"/>
      <c r="CF223" s="371"/>
      <c r="CG223" s="371"/>
      <c r="CH223" s="371"/>
      <c r="CI223" s="371"/>
    </row>
    <row r="224" spans="1:256" ht="14.25" hidden="1" customHeight="1" outlineLevel="3">
      <c r="B224" s="449" t="str">
        <f>B137</f>
        <v>Industrial</v>
      </c>
      <c r="C224" s="418"/>
      <c r="D224" s="598"/>
      <c r="E224" s="599"/>
      <c r="F224" s="599"/>
      <c r="G224" s="600"/>
      <c r="H224" s="598"/>
      <c r="I224" s="599"/>
      <c r="J224" s="599"/>
      <c r="K224" s="600"/>
      <c r="L224" s="598"/>
      <c r="M224" s="580">
        <v>0.21</v>
      </c>
      <c r="N224" s="580">
        <v>0.24</v>
      </c>
      <c r="O224" s="581">
        <v>0.23</v>
      </c>
      <c r="P224" s="579">
        <v>0.24</v>
      </c>
      <c r="Q224" s="580">
        <v>0.24</v>
      </c>
      <c r="R224" s="580">
        <v>0.28000000000000003</v>
      </c>
      <c r="S224" s="581">
        <v>0.25</v>
      </c>
      <c r="T224" s="579">
        <v>0.24</v>
      </c>
      <c r="U224" s="580">
        <v>0.25</v>
      </c>
      <c r="V224" s="580">
        <v>0.26</v>
      </c>
      <c r="W224" s="581">
        <v>0.27</v>
      </c>
      <c r="X224" s="579">
        <v>0.27</v>
      </c>
      <c r="Y224" s="580">
        <v>0.28000000000000003</v>
      </c>
      <c r="Z224" s="580">
        <v>0.28999999999999998</v>
      </c>
      <c r="AA224" s="581">
        <v>0.28000000000000003</v>
      </c>
      <c r="AB224" s="579">
        <v>0.26</v>
      </c>
      <c r="AC224" s="580">
        <v>0.26</v>
      </c>
      <c r="AD224" s="580">
        <v>0.27</v>
      </c>
      <c r="AE224" s="580">
        <v>0.26</v>
      </c>
      <c r="AF224" s="579">
        <v>0.24</v>
      </c>
      <c r="AG224" s="580">
        <v>0.25</v>
      </c>
      <c r="AH224" s="580">
        <v>0.25</v>
      </c>
      <c r="AI224" s="580">
        <v>0.28999999999999998</v>
      </c>
      <c r="AJ224" s="455">
        <v>0.28999999999999998</v>
      </c>
      <c r="AK224" s="453">
        <v>0.28000000000000003</v>
      </c>
      <c r="AL224" s="453">
        <v>0.31</v>
      </c>
      <c r="AM224" s="454">
        <v>0.31</v>
      </c>
      <c r="AN224" s="455"/>
      <c r="AO224" s="453"/>
      <c r="AP224" s="453"/>
      <c r="AQ224" s="454"/>
      <c r="AR224" s="455"/>
      <c r="AS224" s="453"/>
      <c r="AT224" s="453"/>
      <c r="AU224" s="454"/>
      <c r="AV224" s="455"/>
      <c r="AW224" s="453"/>
      <c r="AX224" s="453"/>
      <c r="AY224" s="454"/>
      <c r="AZ224" s="455"/>
      <c r="BA224" s="453"/>
      <c r="BB224" s="453"/>
      <c r="BC224" s="454"/>
      <c r="BD224" s="455"/>
      <c r="BE224" s="453"/>
      <c r="BF224" s="453"/>
      <c r="BG224" s="454"/>
      <c r="BH224" s="455"/>
      <c r="BI224" s="453"/>
      <c r="BJ224" s="453"/>
      <c r="BK224" s="454"/>
      <c r="BL224" s="424"/>
      <c r="BM224" s="560"/>
      <c r="BN224" s="611"/>
      <c r="BO224" s="457"/>
      <c r="BP224" s="457"/>
      <c r="BQ224" s="457"/>
      <c r="BR224" s="457">
        <f t="shared" ref="BR224:BT228" si="268">BR137/BR$110</f>
        <v>0.27992167747086671</v>
      </c>
      <c r="BS224" s="467">
        <f t="shared" si="268"/>
        <v>0.26237655547322292</v>
      </c>
      <c r="BT224" s="467">
        <f t="shared" si="268"/>
        <v>0.25741237514125775</v>
      </c>
      <c r="BU224" s="456"/>
      <c r="BV224" s="456"/>
      <c r="BW224" s="456"/>
      <c r="BX224" s="458"/>
      <c r="BY224" s="458"/>
      <c r="BZ224" s="458"/>
      <c r="CA224" s="485"/>
      <c r="CB224" s="448"/>
      <c r="CC224" s="448"/>
      <c r="CD224" s="448"/>
      <c r="CE224" s="448"/>
      <c r="CF224" s="448"/>
      <c r="CG224" s="448"/>
      <c r="CH224" s="448"/>
      <c r="CI224" s="448"/>
    </row>
    <row r="225" spans="1:256" ht="14.25" hidden="1" customHeight="1" outlineLevel="3">
      <c r="B225" s="460" t="str">
        <f>B138</f>
        <v>Consumer</v>
      </c>
      <c r="C225" s="372"/>
      <c r="D225" s="601"/>
      <c r="E225" s="602"/>
      <c r="F225" s="602"/>
      <c r="G225" s="603"/>
      <c r="H225" s="601"/>
      <c r="I225" s="602"/>
      <c r="J225" s="602"/>
      <c r="K225" s="603"/>
      <c r="L225" s="601"/>
      <c r="M225" s="583">
        <v>0.28999999999999998</v>
      </c>
      <c r="N225" s="583">
        <v>0.27</v>
      </c>
      <c r="O225" s="584">
        <v>0.26</v>
      </c>
      <c r="P225" s="582">
        <v>0.28000000000000003</v>
      </c>
      <c r="Q225" s="583">
        <v>0.27</v>
      </c>
      <c r="R225" s="583">
        <v>0.28000000000000003</v>
      </c>
      <c r="S225" s="584">
        <v>0.32</v>
      </c>
      <c r="T225" s="582">
        <v>0.33</v>
      </c>
      <c r="U225" s="583">
        <v>0.31</v>
      </c>
      <c r="V225" s="583">
        <v>0.31</v>
      </c>
      <c r="W225" s="584">
        <v>0.33</v>
      </c>
      <c r="X225" s="582">
        <v>0.33</v>
      </c>
      <c r="Y225" s="583">
        <v>0.32</v>
      </c>
      <c r="Z225" s="583">
        <v>0.32</v>
      </c>
      <c r="AA225" s="584">
        <v>0.36</v>
      </c>
      <c r="AB225" s="582">
        <v>0.41</v>
      </c>
      <c r="AC225" s="583">
        <v>0.41</v>
      </c>
      <c r="AD225" s="583">
        <v>0.41</v>
      </c>
      <c r="AE225" s="583">
        <v>0.43</v>
      </c>
      <c r="AF225" s="582">
        <v>0.47</v>
      </c>
      <c r="AG225" s="583">
        <v>0.46</v>
      </c>
      <c r="AH225" s="583">
        <v>0.49</v>
      </c>
      <c r="AI225" s="583">
        <v>0.44</v>
      </c>
      <c r="AJ225" s="466">
        <v>0.43</v>
      </c>
      <c r="AK225" s="464">
        <v>0.39</v>
      </c>
      <c r="AL225" s="464">
        <v>0.38</v>
      </c>
      <c r="AM225" s="465">
        <v>0.38</v>
      </c>
      <c r="AN225" s="466"/>
      <c r="AO225" s="464"/>
      <c r="AP225" s="464"/>
      <c r="AQ225" s="465"/>
      <c r="AR225" s="466"/>
      <c r="AS225" s="464"/>
      <c r="AT225" s="464"/>
      <c r="AU225" s="465"/>
      <c r="AV225" s="466"/>
      <c r="AW225" s="464"/>
      <c r="AX225" s="464"/>
      <c r="AY225" s="465"/>
      <c r="AZ225" s="466"/>
      <c r="BA225" s="464"/>
      <c r="BB225" s="464"/>
      <c r="BC225" s="465"/>
      <c r="BD225" s="466"/>
      <c r="BE225" s="464"/>
      <c r="BF225" s="464"/>
      <c r="BG225" s="465"/>
      <c r="BH225" s="466"/>
      <c r="BI225" s="464"/>
      <c r="BJ225" s="464"/>
      <c r="BK225" s="465"/>
      <c r="BL225" s="424"/>
      <c r="BM225" s="564"/>
      <c r="BN225" s="612"/>
      <c r="BO225" s="270"/>
      <c r="BP225" s="270"/>
      <c r="BQ225" s="270"/>
      <c r="BR225" s="270">
        <f t="shared" si="268"/>
        <v>0.33266857201332667</v>
      </c>
      <c r="BS225" s="467">
        <f t="shared" si="268"/>
        <v>0.41503389807237606</v>
      </c>
      <c r="BT225" s="467">
        <f t="shared" si="268"/>
        <v>0.46500249645806063</v>
      </c>
      <c r="BU225" s="415"/>
      <c r="BV225" s="415"/>
      <c r="BW225" s="415"/>
      <c r="BX225" s="414"/>
      <c r="BY225" s="414"/>
      <c r="BZ225" s="414"/>
      <c r="CA225" s="459"/>
      <c r="CB225" s="448"/>
      <c r="CC225" s="448"/>
      <c r="CD225" s="448"/>
      <c r="CE225" s="448"/>
      <c r="CF225" s="448"/>
      <c r="CG225" s="448"/>
      <c r="CH225" s="448"/>
      <c r="CI225" s="448"/>
    </row>
    <row r="226" spans="1:256" ht="14.25" hidden="1" customHeight="1" outlineLevel="3">
      <c r="B226" s="460" t="str">
        <f>B139</f>
        <v>Communication</v>
      </c>
      <c r="C226" s="372"/>
      <c r="D226" s="601"/>
      <c r="E226" s="602"/>
      <c r="F226" s="602"/>
      <c r="G226" s="603"/>
      <c r="H226" s="601"/>
      <c r="I226" s="602"/>
      <c r="J226" s="602"/>
      <c r="K226" s="603"/>
      <c r="L226" s="601"/>
      <c r="M226" s="583">
        <v>0.19</v>
      </c>
      <c r="N226" s="583">
        <v>0.2</v>
      </c>
      <c r="O226" s="584">
        <v>0.2</v>
      </c>
      <c r="P226" s="582">
        <v>0.2</v>
      </c>
      <c r="Q226" s="583">
        <v>0.22</v>
      </c>
      <c r="R226" s="583">
        <v>0.21</v>
      </c>
      <c r="S226" s="584">
        <v>0.18</v>
      </c>
      <c r="T226" s="582">
        <v>0.18</v>
      </c>
      <c r="U226" s="583">
        <v>0.19</v>
      </c>
      <c r="V226" s="583">
        <v>0.19</v>
      </c>
      <c r="W226" s="584">
        <v>0.18</v>
      </c>
      <c r="X226" s="582">
        <v>0.2</v>
      </c>
      <c r="Y226" s="583">
        <v>0.21</v>
      </c>
      <c r="Z226" s="583">
        <v>0.2</v>
      </c>
      <c r="AA226" s="584">
        <v>0.19</v>
      </c>
      <c r="AB226" s="582">
        <v>0.17</v>
      </c>
      <c r="AC226" s="583">
        <v>0.17</v>
      </c>
      <c r="AD226" s="583">
        <v>0.17</v>
      </c>
      <c r="AE226" s="583">
        <v>0.16</v>
      </c>
      <c r="AF226" s="582">
        <v>0.15</v>
      </c>
      <c r="AG226" s="583">
        <v>0.15</v>
      </c>
      <c r="AH226" s="583">
        <v>0.14000000000000001</v>
      </c>
      <c r="AI226" s="583">
        <v>0.15</v>
      </c>
      <c r="AJ226" s="466">
        <v>0.16</v>
      </c>
      <c r="AK226" s="464">
        <v>0.16</v>
      </c>
      <c r="AL226" s="464">
        <v>0.17</v>
      </c>
      <c r="AM226" s="465">
        <v>0.17</v>
      </c>
      <c r="AN226" s="466"/>
      <c r="AO226" s="464"/>
      <c r="AP226" s="464"/>
      <c r="AQ226" s="465"/>
      <c r="AR226" s="466"/>
      <c r="AS226" s="464"/>
      <c r="AT226" s="464"/>
      <c r="AU226" s="465"/>
      <c r="AV226" s="466"/>
      <c r="AW226" s="464"/>
      <c r="AX226" s="464"/>
      <c r="AY226" s="465"/>
      <c r="AZ226" s="466"/>
      <c r="BA226" s="464"/>
      <c r="BB226" s="464"/>
      <c r="BC226" s="465"/>
      <c r="BD226" s="466"/>
      <c r="BE226" s="464"/>
      <c r="BF226" s="464"/>
      <c r="BG226" s="465"/>
      <c r="BH226" s="466"/>
      <c r="BI226" s="464"/>
      <c r="BJ226" s="464"/>
      <c r="BK226" s="465"/>
      <c r="BL226" s="424"/>
      <c r="BM226" s="564"/>
      <c r="BN226" s="612"/>
      <c r="BO226" s="270"/>
      <c r="BP226" s="270"/>
      <c r="BQ226" s="270"/>
      <c r="BR226" s="270">
        <f t="shared" si="268"/>
        <v>0.19994517342065679</v>
      </c>
      <c r="BS226" s="467">
        <f t="shared" si="268"/>
        <v>0.16748305096381197</v>
      </c>
      <c r="BT226" s="467">
        <f t="shared" si="268"/>
        <v>0.14752244866696515</v>
      </c>
      <c r="BU226" s="415"/>
      <c r="BV226" s="415"/>
      <c r="BW226" s="415"/>
      <c r="BX226" s="414"/>
      <c r="BY226" s="414"/>
      <c r="BZ226" s="414"/>
      <c r="CA226" s="459"/>
      <c r="CB226" s="448"/>
      <c r="CC226" s="448"/>
      <c r="CD226" s="448"/>
      <c r="CE226" s="448"/>
      <c r="CF226" s="448"/>
      <c r="CG226" s="448"/>
      <c r="CH226" s="448"/>
      <c r="CI226" s="448"/>
    </row>
    <row r="227" spans="1:256" s="121" customFormat="1" ht="14.25" hidden="1" customHeight="1" outlineLevel="3">
      <c r="A227"/>
      <c r="B227" s="460" t="str">
        <f>B140</f>
        <v>Computer</v>
      </c>
      <c r="C227" s="372"/>
      <c r="D227" s="601"/>
      <c r="E227" s="602"/>
      <c r="F227" s="602"/>
      <c r="G227" s="603"/>
      <c r="H227" s="601"/>
      <c r="I227" s="602"/>
      <c r="J227" s="602"/>
      <c r="K227" s="603"/>
      <c r="L227" s="601"/>
      <c r="M227" s="583">
        <v>0.31</v>
      </c>
      <c r="N227" s="583">
        <v>0.28999999999999998</v>
      </c>
      <c r="O227" s="584">
        <v>0.31</v>
      </c>
      <c r="P227" s="582">
        <v>0.28000000000000003</v>
      </c>
      <c r="Q227" s="583">
        <v>0.27</v>
      </c>
      <c r="R227" s="583">
        <v>0.23</v>
      </c>
      <c r="S227" s="584">
        <v>0.25</v>
      </c>
      <c r="T227" s="582">
        <v>0.25</v>
      </c>
      <c r="U227" s="583">
        <v>0.25</v>
      </c>
      <c r="V227" s="583">
        <v>0.24</v>
      </c>
      <c r="W227" s="584">
        <v>0.22</v>
      </c>
      <c r="X227" s="582">
        <v>0.2</v>
      </c>
      <c r="Y227" s="583">
        <v>0.19</v>
      </c>
      <c r="Z227" s="583">
        <v>0.19</v>
      </c>
      <c r="AA227" s="584">
        <v>0.17</v>
      </c>
      <c r="AB227" s="582">
        <v>0.16</v>
      </c>
      <c r="AC227" s="583">
        <v>0.16</v>
      </c>
      <c r="AD227" s="583">
        <v>0.15</v>
      </c>
      <c r="AE227" s="583">
        <v>0.15</v>
      </c>
      <c r="AF227" s="582">
        <v>0.14000000000000001</v>
      </c>
      <c r="AG227" s="583">
        <v>0.14000000000000001</v>
      </c>
      <c r="AH227" s="583">
        <v>0.12</v>
      </c>
      <c r="AI227" s="583">
        <v>0.12</v>
      </c>
      <c r="AJ227" s="466">
        <v>0.12</v>
      </c>
      <c r="AK227" s="464">
        <v>0.17</v>
      </c>
      <c r="AL227" s="464">
        <v>0.14000000000000001</v>
      </c>
      <c r="AM227" s="465">
        <v>0.14000000000000001</v>
      </c>
      <c r="AN227" s="466"/>
      <c r="AO227" s="464"/>
      <c r="AP227" s="464"/>
      <c r="AQ227" s="465"/>
      <c r="AR227" s="466"/>
      <c r="AS227" s="464"/>
      <c r="AT227" s="464"/>
      <c r="AU227" s="465"/>
      <c r="AV227" s="466"/>
      <c r="AW227" s="464"/>
      <c r="AX227" s="464"/>
      <c r="AY227" s="465"/>
      <c r="AZ227" s="466"/>
      <c r="BA227" s="464"/>
      <c r="BB227" s="464"/>
      <c r="BC227" s="465"/>
      <c r="BD227" s="466"/>
      <c r="BE227" s="464"/>
      <c r="BF227" s="464"/>
      <c r="BG227" s="465"/>
      <c r="BH227" s="466"/>
      <c r="BI227" s="464"/>
      <c r="BJ227" s="464"/>
      <c r="BK227" s="465"/>
      <c r="BL227" s="424"/>
      <c r="BM227" s="564"/>
      <c r="BN227" s="612"/>
      <c r="BO227" s="270"/>
      <c r="BP227" s="270"/>
      <c r="BQ227" s="270"/>
      <c r="BR227" s="270">
        <f t="shared" si="268"/>
        <v>0.18746457709514991</v>
      </c>
      <c r="BS227" s="467">
        <f t="shared" si="268"/>
        <v>0.15510649549058905</v>
      </c>
      <c r="BT227" s="467">
        <f t="shared" si="268"/>
        <v>0.13006267973371663</v>
      </c>
      <c r="BU227" s="415"/>
      <c r="BV227" s="415"/>
      <c r="BW227" s="415"/>
      <c r="BX227" s="414"/>
      <c r="BY227" s="414"/>
      <c r="BZ227" s="414"/>
      <c r="CA227" s="459"/>
      <c r="CB227" s="448"/>
      <c r="CC227" s="448"/>
      <c r="CD227" s="448"/>
      <c r="CE227" s="448"/>
      <c r="CF227" s="448"/>
      <c r="CG227" s="448"/>
      <c r="CH227" s="448"/>
      <c r="CI227" s="448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</row>
    <row r="228" spans="1:256" ht="14.25" hidden="1" customHeight="1" outlineLevel="3">
      <c r="A228" s="121"/>
      <c r="B228" s="469" t="s">
        <v>576</v>
      </c>
      <c r="C228" s="435"/>
      <c r="D228" s="568"/>
      <c r="E228" s="569"/>
      <c r="F228" s="569"/>
      <c r="G228" s="570"/>
      <c r="H228" s="568"/>
      <c r="I228" s="569"/>
      <c r="J228" s="569"/>
      <c r="K228" s="570"/>
      <c r="L228" s="568"/>
      <c r="M228" s="471">
        <f t="shared" ref="M228:AK228" si="269">SUM(M224:M227)</f>
        <v>1</v>
      </c>
      <c r="N228" s="471">
        <f t="shared" si="269"/>
        <v>1</v>
      </c>
      <c r="O228" s="472">
        <f t="shared" si="269"/>
        <v>1</v>
      </c>
      <c r="P228" s="470">
        <f t="shared" si="269"/>
        <v>1</v>
      </c>
      <c r="Q228" s="471">
        <f t="shared" si="269"/>
        <v>1</v>
      </c>
      <c r="R228" s="471">
        <f t="shared" si="269"/>
        <v>1</v>
      </c>
      <c r="S228" s="472">
        <f t="shared" si="269"/>
        <v>1</v>
      </c>
      <c r="T228" s="470">
        <f t="shared" si="269"/>
        <v>1</v>
      </c>
      <c r="U228" s="471">
        <f t="shared" si="269"/>
        <v>1</v>
      </c>
      <c r="V228" s="471">
        <f t="shared" si="269"/>
        <v>1</v>
      </c>
      <c r="W228" s="472">
        <f t="shared" si="269"/>
        <v>1</v>
      </c>
      <c r="X228" s="470">
        <f t="shared" si="269"/>
        <v>1</v>
      </c>
      <c r="Y228" s="471">
        <f t="shared" si="269"/>
        <v>1</v>
      </c>
      <c r="Z228" s="471">
        <f t="shared" si="269"/>
        <v>1</v>
      </c>
      <c r="AA228" s="472">
        <f t="shared" si="269"/>
        <v>1</v>
      </c>
      <c r="AB228" s="470">
        <f t="shared" si="269"/>
        <v>1</v>
      </c>
      <c r="AC228" s="471">
        <f t="shared" si="269"/>
        <v>1</v>
      </c>
      <c r="AD228" s="471">
        <f t="shared" si="269"/>
        <v>1</v>
      </c>
      <c r="AE228" s="471">
        <f t="shared" si="269"/>
        <v>1</v>
      </c>
      <c r="AF228" s="470">
        <f t="shared" si="269"/>
        <v>1</v>
      </c>
      <c r="AG228" s="471">
        <f t="shared" si="269"/>
        <v>1</v>
      </c>
      <c r="AH228" s="471">
        <f t="shared" si="269"/>
        <v>1</v>
      </c>
      <c r="AI228" s="471">
        <f t="shared" si="269"/>
        <v>1</v>
      </c>
      <c r="AJ228" s="470">
        <f t="shared" si="269"/>
        <v>1</v>
      </c>
      <c r="AK228" s="471">
        <f t="shared" si="269"/>
        <v>1</v>
      </c>
      <c r="AL228" s="471">
        <f>SUM(AL224:AL227)</f>
        <v>1</v>
      </c>
      <c r="AM228" s="474">
        <f>SUM(AM224:AM227)</f>
        <v>1</v>
      </c>
      <c r="AN228" s="475"/>
      <c r="AO228" s="473"/>
      <c r="AP228" s="473"/>
      <c r="AQ228" s="474"/>
      <c r="AR228" s="475"/>
      <c r="AS228" s="473"/>
      <c r="AT228" s="473"/>
      <c r="AU228" s="474"/>
      <c r="AV228" s="475"/>
      <c r="AW228" s="473"/>
      <c r="AX228" s="473"/>
      <c r="AY228" s="474"/>
      <c r="AZ228" s="475"/>
      <c r="BA228" s="473"/>
      <c r="BB228" s="473"/>
      <c r="BC228" s="474"/>
      <c r="BD228" s="475"/>
      <c r="BE228" s="473"/>
      <c r="BF228" s="473"/>
      <c r="BG228" s="474"/>
      <c r="BH228" s="475"/>
      <c r="BI228" s="473"/>
      <c r="BJ228" s="473"/>
      <c r="BK228" s="474"/>
      <c r="BL228" s="442"/>
      <c r="BM228" s="568"/>
      <c r="BN228" s="613"/>
      <c r="BO228" s="477"/>
      <c r="BP228" s="477"/>
      <c r="BQ228" s="477"/>
      <c r="BR228" s="477">
        <f t="shared" si="268"/>
        <v>1.0000000000000002</v>
      </c>
      <c r="BS228" s="477">
        <f t="shared" si="268"/>
        <v>1</v>
      </c>
      <c r="BT228" s="477">
        <f t="shared" si="268"/>
        <v>1</v>
      </c>
      <c r="BU228" s="476"/>
      <c r="BV228" s="476"/>
      <c r="BW228" s="476"/>
      <c r="BX228" s="478"/>
      <c r="BY228" s="478"/>
      <c r="BZ228" s="478"/>
      <c r="CA228" s="435"/>
      <c r="CB228" s="835"/>
      <c r="CC228" s="835"/>
      <c r="CD228" s="835"/>
      <c r="CE228" s="835"/>
      <c r="CF228" s="804"/>
      <c r="CG228" s="804"/>
      <c r="CH228" s="804"/>
      <c r="CI228" s="804"/>
      <c r="CJ228" s="121"/>
      <c r="CK228" s="121"/>
      <c r="CL228" s="121"/>
      <c r="CM228" s="121"/>
      <c r="CN228" s="121"/>
      <c r="CO228" s="121"/>
      <c r="CP228" s="121"/>
      <c r="CQ228" s="121"/>
      <c r="CR228" s="121"/>
      <c r="CS228" s="121"/>
      <c r="CT228" s="121"/>
      <c r="CU228" s="121"/>
      <c r="CV228" s="121"/>
      <c r="CW228" s="121"/>
      <c r="CX228" s="121"/>
      <c r="CY228" s="121"/>
      <c r="CZ228" s="121"/>
      <c r="DA228" s="121"/>
      <c r="DB228" s="121"/>
      <c r="DC228" s="121"/>
      <c r="DD228" s="121"/>
      <c r="DE228" s="121"/>
      <c r="DF228" s="121"/>
      <c r="DG228" s="121"/>
      <c r="DH228" s="121"/>
      <c r="DI228" s="121"/>
      <c r="DJ228" s="121"/>
      <c r="DK228" s="121"/>
      <c r="DL228" s="121"/>
      <c r="DM228" s="121"/>
      <c r="DN228" s="121"/>
      <c r="DO228" s="121"/>
      <c r="DP228" s="121"/>
      <c r="DQ228" s="121"/>
      <c r="DR228" s="121"/>
      <c r="DS228" s="121"/>
      <c r="DT228" s="121"/>
      <c r="DU228" s="121"/>
      <c r="DV228" s="121"/>
      <c r="DW228" s="121"/>
      <c r="DX228" s="121"/>
      <c r="DY228" s="121"/>
      <c r="DZ228" s="121"/>
      <c r="EA228" s="121"/>
      <c r="EB228" s="121"/>
      <c r="EC228" s="121"/>
      <c r="ED228" s="121"/>
      <c r="EE228" s="121"/>
      <c r="EF228" s="121"/>
      <c r="EG228" s="121"/>
      <c r="EH228" s="121"/>
      <c r="EI228" s="121"/>
      <c r="EJ228" s="121"/>
      <c r="EK228" s="121"/>
      <c r="EL228" s="121"/>
      <c r="EM228" s="121"/>
      <c r="EN228" s="121"/>
      <c r="EO228" s="121"/>
      <c r="EP228" s="121"/>
      <c r="EQ228" s="121"/>
      <c r="ER228" s="121"/>
      <c r="ES228" s="121"/>
      <c r="ET228" s="121"/>
      <c r="EU228" s="121"/>
      <c r="EV228" s="121"/>
      <c r="EW228" s="121"/>
      <c r="EX228" s="121"/>
      <c r="EY228" s="121"/>
      <c r="EZ228" s="121"/>
      <c r="FA228" s="121"/>
      <c r="FB228" s="121"/>
      <c r="FC228" s="121"/>
      <c r="FD228" s="121"/>
      <c r="FE228" s="121"/>
      <c r="FF228" s="121"/>
      <c r="FG228" s="121"/>
      <c r="FH228" s="121"/>
      <c r="FI228" s="121"/>
      <c r="FJ228" s="121"/>
      <c r="FK228" s="121"/>
      <c r="FL228" s="121"/>
      <c r="FM228" s="121"/>
      <c r="FN228" s="121"/>
      <c r="FO228" s="121"/>
      <c r="FP228" s="121"/>
      <c r="FQ228" s="121"/>
      <c r="FR228" s="121"/>
      <c r="FS228" s="121"/>
      <c r="FT228" s="121"/>
      <c r="FU228" s="121"/>
      <c r="FV228" s="121"/>
      <c r="FW228" s="121"/>
      <c r="FX228" s="121"/>
      <c r="FY228" s="121"/>
      <c r="FZ228" s="121"/>
      <c r="GA228" s="121"/>
      <c r="GB228" s="121"/>
      <c r="GC228" s="121"/>
      <c r="GD228" s="121"/>
      <c r="GE228" s="121"/>
      <c r="GF228" s="121"/>
      <c r="GG228" s="121"/>
      <c r="GH228" s="121"/>
      <c r="GI228" s="121"/>
      <c r="GJ228" s="121"/>
      <c r="GK228" s="121"/>
      <c r="GL228" s="121"/>
      <c r="GM228" s="121"/>
      <c r="GN228" s="121"/>
      <c r="GO228" s="121"/>
      <c r="GP228" s="121"/>
      <c r="GQ228" s="121"/>
      <c r="GR228" s="121"/>
      <c r="GS228" s="121"/>
      <c r="GT228" s="121"/>
      <c r="GU228" s="121"/>
      <c r="GV228" s="121"/>
      <c r="GW228" s="121"/>
      <c r="GX228" s="121"/>
      <c r="GY228" s="121"/>
      <c r="GZ228" s="121"/>
      <c r="HA228" s="121"/>
      <c r="HB228" s="121"/>
      <c r="HC228" s="121"/>
      <c r="HD228" s="121"/>
      <c r="HE228" s="121"/>
      <c r="HF228" s="121"/>
      <c r="HG228" s="121"/>
      <c r="HH228" s="121"/>
      <c r="HI228" s="121"/>
      <c r="HJ228" s="121"/>
      <c r="HK228" s="121"/>
      <c r="HL228" s="121"/>
      <c r="HM228" s="121"/>
      <c r="HN228" s="121"/>
      <c r="HO228" s="121"/>
      <c r="HP228" s="121"/>
      <c r="HQ228" s="121"/>
      <c r="HR228" s="121"/>
      <c r="HS228" s="121"/>
      <c r="HT228" s="121"/>
      <c r="HU228" s="121"/>
      <c r="HV228" s="121"/>
      <c r="HW228" s="121"/>
      <c r="HX228" s="121"/>
      <c r="HY228" s="121"/>
      <c r="HZ228" s="121"/>
      <c r="IA228" s="121"/>
      <c r="IB228" s="121"/>
      <c r="IC228" s="121"/>
      <c r="ID228" s="121"/>
      <c r="IE228" s="121"/>
      <c r="IF228" s="121"/>
      <c r="IG228" s="121"/>
      <c r="IH228" s="121"/>
      <c r="II228" s="121"/>
      <c r="IJ228" s="121"/>
      <c r="IK228" s="121"/>
      <c r="IL228" s="121"/>
      <c r="IM228" s="121"/>
      <c r="IN228" s="121"/>
      <c r="IO228" s="121"/>
      <c r="IP228" s="121"/>
      <c r="IQ228" s="121"/>
      <c r="IR228" s="121"/>
      <c r="IS228" s="121"/>
      <c r="IT228" s="121"/>
      <c r="IU228" s="121"/>
      <c r="IV228" s="121"/>
    </row>
    <row r="229" spans="1:256" s="8" customFormat="1" ht="14.25" hidden="1" customHeight="1" outlineLevel="3">
      <c r="A229"/>
      <c r="B229" s="37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V229" s="14"/>
      <c r="BW229" s="14"/>
      <c r="CA229"/>
      <c r="CB229" s="1425"/>
      <c r="CC229" s="1425"/>
      <c r="CD229" s="1425"/>
      <c r="CE229" s="1425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</row>
    <row r="230" spans="1:256" ht="14.25" hidden="1" customHeight="1" outlineLevel="3">
      <c r="A230" s="8"/>
      <c r="B230" s="322" t="s">
        <v>575</v>
      </c>
      <c r="C230" s="323"/>
      <c r="D230" s="557"/>
      <c r="E230" s="558"/>
      <c r="F230" s="558"/>
      <c r="G230" s="558"/>
      <c r="H230" s="557"/>
      <c r="I230" s="558"/>
      <c r="J230" s="558"/>
      <c r="K230" s="558"/>
      <c r="L230" s="557"/>
      <c r="M230" s="447" t="str">
        <f t="shared" ref="M230:AC230" si="270">IF(ROUND(M228,1)=1,"OK",M228)</f>
        <v>OK</v>
      </c>
      <c r="N230" s="447" t="str">
        <f t="shared" si="270"/>
        <v>OK</v>
      </c>
      <c r="O230" s="447" t="str">
        <f t="shared" si="270"/>
        <v>OK</v>
      </c>
      <c r="P230" s="446" t="str">
        <f t="shared" si="270"/>
        <v>OK</v>
      </c>
      <c r="Q230" s="447" t="str">
        <f t="shared" si="270"/>
        <v>OK</v>
      </c>
      <c r="R230" s="447" t="str">
        <f t="shared" si="270"/>
        <v>OK</v>
      </c>
      <c r="S230" s="447" t="str">
        <f t="shared" si="270"/>
        <v>OK</v>
      </c>
      <c r="T230" s="446" t="str">
        <f t="shared" si="270"/>
        <v>OK</v>
      </c>
      <c r="U230" s="447" t="str">
        <f t="shared" si="270"/>
        <v>OK</v>
      </c>
      <c r="V230" s="447" t="str">
        <f t="shared" si="270"/>
        <v>OK</v>
      </c>
      <c r="W230" s="447" t="str">
        <f t="shared" si="270"/>
        <v>OK</v>
      </c>
      <c r="X230" s="446" t="str">
        <f t="shared" si="270"/>
        <v>OK</v>
      </c>
      <c r="Y230" s="447" t="str">
        <f t="shared" si="270"/>
        <v>OK</v>
      </c>
      <c r="Z230" s="447" t="str">
        <f t="shared" si="270"/>
        <v>OK</v>
      </c>
      <c r="AA230" s="447" t="str">
        <f t="shared" si="270"/>
        <v>OK</v>
      </c>
      <c r="AB230" s="446" t="str">
        <f t="shared" si="270"/>
        <v>OK</v>
      </c>
      <c r="AC230" s="447" t="str">
        <f t="shared" si="270"/>
        <v>OK</v>
      </c>
      <c r="AD230" s="447" t="str">
        <f>IF(ROUND(AD228,1)=1,"OK",AD228)</f>
        <v>OK</v>
      </c>
      <c r="AE230" s="447" t="str">
        <f>IF(ROUND(AE228,1)=1,"OK",AE228)</f>
        <v>OK</v>
      </c>
      <c r="AF230" s="446" t="str">
        <f>IF(ROUND(AF228,1)=1,"OK",AF228)</f>
        <v>OK</v>
      </c>
      <c r="AG230" s="325"/>
      <c r="AH230" s="325"/>
      <c r="AI230" s="325"/>
      <c r="AJ230" s="324"/>
      <c r="AK230" s="325"/>
      <c r="AL230" s="325"/>
      <c r="AM230" s="325"/>
      <c r="AN230" s="324"/>
      <c r="AO230" s="325"/>
      <c r="AP230" s="325"/>
      <c r="AQ230" s="325"/>
      <c r="AR230" s="324"/>
      <c r="AS230" s="325"/>
      <c r="AT230" s="325"/>
      <c r="AU230" s="325"/>
      <c r="AV230" s="324"/>
      <c r="AW230" s="325"/>
      <c r="AX230" s="325"/>
      <c r="AY230" s="325"/>
      <c r="AZ230" s="324"/>
      <c r="BA230" s="325"/>
      <c r="BB230" s="325"/>
      <c r="BC230" s="325"/>
      <c r="BD230" s="324"/>
      <c r="BE230" s="325"/>
      <c r="BF230" s="325"/>
      <c r="BG230" s="325"/>
      <c r="BH230" s="324"/>
      <c r="BI230" s="325"/>
      <c r="BJ230" s="325"/>
      <c r="BK230" s="325"/>
      <c r="BL230" s="20"/>
      <c r="BM230" s="559"/>
      <c r="BN230" s="610"/>
      <c r="BO230" s="325">
        <f>IF(ROUND(BO228,1)=1,"OK",BO228)</f>
        <v>0</v>
      </c>
      <c r="BP230" s="325">
        <f>IF(ROUND(BP228,1)=1,"OK",BP228)</f>
        <v>0</v>
      </c>
      <c r="BQ230" s="325">
        <f>IF(ROUND(BQ228,1)=1,"OK",BQ228)</f>
        <v>0</v>
      </c>
      <c r="BR230" s="447" t="str">
        <f>IF(ROUND(BR228,1)=1,"OK",BR228)</f>
        <v>OK</v>
      </c>
      <c r="BS230" s="447"/>
      <c r="BT230" s="325"/>
      <c r="BU230" s="325"/>
      <c r="BV230" s="325"/>
      <c r="BW230" s="325"/>
      <c r="BX230" s="326"/>
      <c r="BY230" s="326"/>
      <c r="BZ230" s="326"/>
      <c r="CA230" s="484"/>
      <c r="CB230" s="74"/>
      <c r="CC230" s="74"/>
      <c r="CD230" s="74"/>
      <c r="CE230" s="74"/>
      <c r="CF230" s="8"/>
      <c r="CG230" s="8"/>
      <c r="CH230" s="8"/>
      <c r="CI230" s="8"/>
      <c r="CJ230" s="14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</row>
    <row r="231" spans="1:256" ht="14.25" hidden="1" customHeight="1" outlineLevel="3">
      <c r="B231" s="371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14"/>
      <c r="BX231" s="8"/>
      <c r="BY231" s="8"/>
      <c r="BZ231" s="8"/>
    </row>
    <row r="232" spans="1:256" ht="14.25" hidden="1" customHeight="1" outlineLevel="2">
      <c r="A232" s="1"/>
      <c r="B232" s="162" t="s">
        <v>577</v>
      </c>
      <c r="C232" s="163"/>
      <c r="D232" s="766" t="str">
        <f>D$9</f>
        <v>F1Q06A</v>
      </c>
      <c r="E232" s="767" t="str">
        <f t="shared" ref="E232:BK232" si="271">E$9</f>
        <v>F2Q06A</v>
      </c>
      <c r="F232" s="767" t="str">
        <f t="shared" si="271"/>
        <v>F3Q06A</v>
      </c>
      <c r="G232" s="767" t="str">
        <f t="shared" si="271"/>
        <v>F4Q06A</v>
      </c>
      <c r="H232" s="766" t="str">
        <f t="shared" si="271"/>
        <v>F1Q07A</v>
      </c>
      <c r="I232" s="767" t="str">
        <f t="shared" si="271"/>
        <v>F2Q07A</v>
      </c>
      <c r="J232" s="767" t="str">
        <f t="shared" si="271"/>
        <v>F3Q07A</v>
      </c>
      <c r="K232" s="767" t="str">
        <f t="shared" si="271"/>
        <v>F4Q07A</v>
      </c>
      <c r="L232" s="766" t="str">
        <f t="shared" si="271"/>
        <v>F1Q08A</v>
      </c>
      <c r="M232" s="767" t="str">
        <f t="shared" si="271"/>
        <v>F2Q08A</v>
      </c>
      <c r="N232" s="767" t="str">
        <f t="shared" si="271"/>
        <v>F3Q08A</v>
      </c>
      <c r="O232" s="767" t="str">
        <f t="shared" si="271"/>
        <v>F4Q08A</v>
      </c>
      <c r="P232" s="766" t="str">
        <f t="shared" si="271"/>
        <v>F1Q09A</v>
      </c>
      <c r="Q232" s="767" t="str">
        <f t="shared" si="271"/>
        <v>F2Q09A</v>
      </c>
      <c r="R232" s="767" t="str">
        <f t="shared" si="271"/>
        <v>F3Q09A</v>
      </c>
      <c r="S232" s="767" t="str">
        <f t="shared" si="271"/>
        <v>F4Q09A</v>
      </c>
      <c r="T232" s="766" t="str">
        <f t="shared" si="271"/>
        <v>F1Q10A</v>
      </c>
      <c r="U232" s="767" t="str">
        <f t="shared" si="271"/>
        <v>F2Q10A</v>
      </c>
      <c r="V232" s="767" t="str">
        <f t="shared" si="271"/>
        <v>F3Q10A</v>
      </c>
      <c r="W232" s="767" t="str">
        <f t="shared" si="271"/>
        <v>F4Q10A</v>
      </c>
      <c r="X232" s="766" t="str">
        <f t="shared" si="271"/>
        <v>F1Q11A</v>
      </c>
      <c r="Y232" s="767" t="str">
        <f t="shared" si="271"/>
        <v>F2Q11A</v>
      </c>
      <c r="Z232" s="767" t="str">
        <f t="shared" si="271"/>
        <v>F3Q11A</v>
      </c>
      <c r="AA232" s="767" t="str">
        <f t="shared" si="271"/>
        <v>F4Q11A</v>
      </c>
      <c r="AB232" s="766" t="str">
        <f t="shared" si="271"/>
        <v>F1Q12A</v>
      </c>
      <c r="AC232" s="767" t="str">
        <f t="shared" si="271"/>
        <v>F2Q12A</v>
      </c>
      <c r="AD232" s="767" t="str">
        <f t="shared" si="271"/>
        <v>F3Q12A</v>
      </c>
      <c r="AE232" s="767" t="str">
        <f t="shared" si="271"/>
        <v>F4Q12A</v>
      </c>
      <c r="AF232" s="766" t="str">
        <f t="shared" si="271"/>
        <v>F1Q13A</v>
      </c>
      <c r="AG232" s="767" t="str">
        <f t="shared" si="271"/>
        <v>F2Q13A</v>
      </c>
      <c r="AH232" s="767" t="str">
        <f t="shared" si="271"/>
        <v>F3Q13A</v>
      </c>
      <c r="AI232" s="767" t="str">
        <f t="shared" si="271"/>
        <v>F4Q13A</v>
      </c>
      <c r="AJ232" s="766" t="str">
        <f t="shared" si="271"/>
        <v>F1Q14A</v>
      </c>
      <c r="AK232" s="767" t="str">
        <f t="shared" si="271"/>
        <v>F2Q14</v>
      </c>
      <c r="AL232" s="767" t="str">
        <f t="shared" si="271"/>
        <v>F3Q14A</v>
      </c>
      <c r="AM232" s="767" t="str">
        <f t="shared" si="271"/>
        <v>F4Q14A</v>
      </c>
      <c r="AN232" s="766" t="str">
        <f t="shared" si="271"/>
        <v>F1Q15A</v>
      </c>
      <c r="AO232" s="767" t="str">
        <f t="shared" si="271"/>
        <v>F2Q15A</v>
      </c>
      <c r="AP232" s="767" t="str">
        <f t="shared" si="271"/>
        <v>F3Q15A</v>
      </c>
      <c r="AQ232" s="768" t="str">
        <f t="shared" si="271"/>
        <v>F4Q15A</v>
      </c>
      <c r="AR232" s="766" t="str">
        <f t="shared" si="271"/>
        <v>F1Q16A</v>
      </c>
      <c r="AS232" s="767" t="str">
        <f t="shared" si="271"/>
        <v>F2Q16A</v>
      </c>
      <c r="AT232" s="767" t="str">
        <f t="shared" si="271"/>
        <v>F3Q16A</v>
      </c>
      <c r="AU232" s="768" t="str">
        <f t="shared" si="271"/>
        <v>F4Q16A</v>
      </c>
      <c r="AV232" s="766" t="str">
        <f t="shared" si="271"/>
        <v>F1Q17A</v>
      </c>
      <c r="AW232" s="767" t="str">
        <f t="shared" si="271"/>
        <v>F2Q17A</v>
      </c>
      <c r="AX232" s="767" t="str">
        <f t="shared" si="271"/>
        <v>F3Q17A</v>
      </c>
      <c r="AY232" s="768" t="str">
        <f t="shared" si="271"/>
        <v>F4Q17A</v>
      </c>
      <c r="AZ232" s="766" t="str">
        <f t="shared" si="271"/>
        <v>F1Q18A</v>
      </c>
      <c r="BA232" s="767" t="str">
        <f t="shared" si="271"/>
        <v>F2Q18A</v>
      </c>
      <c r="BB232" s="767" t="str">
        <f t="shared" si="271"/>
        <v>F3Q18A</v>
      </c>
      <c r="BC232" s="768" t="str">
        <f t="shared" si="271"/>
        <v>F4Q18E</v>
      </c>
      <c r="BD232" s="766" t="str">
        <f t="shared" si="271"/>
        <v>F1Q19E</v>
      </c>
      <c r="BE232" s="767" t="str">
        <f t="shared" si="271"/>
        <v>F2Q19E</v>
      </c>
      <c r="BF232" s="767" t="str">
        <f t="shared" si="271"/>
        <v>F3Q19E</v>
      </c>
      <c r="BG232" s="768" t="str">
        <f t="shared" si="271"/>
        <v>F4Q19E</v>
      </c>
      <c r="BH232" s="766" t="str">
        <f t="shared" si="271"/>
        <v>F1Q20E</v>
      </c>
      <c r="BI232" s="767" t="str">
        <f t="shared" si="271"/>
        <v>F2Q20E</v>
      </c>
      <c r="BJ232" s="767" t="str">
        <f t="shared" si="271"/>
        <v>F3Q20E</v>
      </c>
      <c r="BK232" s="768" t="str">
        <f t="shared" si="271"/>
        <v>F4Q20E</v>
      </c>
      <c r="BL232" s="20"/>
      <c r="BM232" s="766" t="str">
        <f t="shared" ref="BM232:CA232" si="272">BM$9</f>
        <v>FY2006A</v>
      </c>
      <c r="BN232" s="767" t="str">
        <f t="shared" si="272"/>
        <v>FY2007A</v>
      </c>
      <c r="BO232" s="767" t="str">
        <f t="shared" si="272"/>
        <v>FY2008A</v>
      </c>
      <c r="BP232" s="767" t="str">
        <f t="shared" si="272"/>
        <v>FY2009A</v>
      </c>
      <c r="BQ232" s="767" t="str">
        <f t="shared" si="272"/>
        <v>FY2010A</v>
      </c>
      <c r="BR232" s="767" t="str">
        <f t="shared" si="272"/>
        <v>FY2011A</v>
      </c>
      <c r="BS232" s="767" t="str">
        <f t="shared" si="272"/>
        <v>FY2012A</v>
      </c>
      <c r="BT232" s="767" t="str">
        <f t="shared" si="272"/>
        <v>FY2013A</v>
      </c>
      <c r="BU232" s="768" t="str">
        <f t="shared" si="272"/>
        <v>FY2014A</v>
      </c>
      <c r="BV232" s="1036" t="str">
        <f t="shared" si="272"/>
        <v>FY2015A</v>
      </c>
      <c r="BW232" s="1240" t="str">
        <f t="shared" si="272"/>
        <v>FY2016A</v>
      </c>
      <c r="BX232" s="386" t="str">
        <f t="shared" si="272"/>
        <v>FY2017A</v>
      </c>
      <c r="BY232" s="386" t="str">
        <f t="shared" si="272"/>
        <v>FY2018E</v>
      </c>
      <c r="BZ232" s="386" t="str">
        <f t="shared" si="272"/>
        <v>FY2019E</v>
      </c>
      <c r="CA232" s="351" t="str">
        <f t="shared" si="272"/>
        <v>FY2020E</v>
      </c>
      <c r="CB232" s="1037"/>
      <c r="CC232" s="1037"/>
      <c r="CD232" s="1037"/>
      <c r="CE232" s="1037"/>
      <c r="CF232" s="371"/>
      <c r="CG232" s="371"/>
      <c r="CH232" s="371"/>
      <c r="CI232" s="371"/>
    </row>
    <row r="233" spans="1:256" ht="14.25" hidden="1" customHeight="1" outlineLevel="2">
      <c r="B233" s="368" t="s">
        <v>589</v>
      </c>
      <c r="C233" s="418"/>
      <c r="D233" s="540"/>
      <c r="E233" s="541"/>
      <c r="F233" s="541"/>
      <c r="G233" s="542"/>
      <c r="H233" s="419">
        <v>114.289</v>
      </c>
      <c r="I233" s="420">
        <v>110.514</v>
      </c>
      <c r="J233" s="420">
        <v>114.455</v>
      </c>
      <c r="K233" s="543">
        <v>75.475999999999985</v>
      </c>
      <c r="L233" s="419">
        <v>103.834</v>
      </c>
      <c r="M233" s="420">
        <v>103.545</v>
      </c>
      <c r="N233" s="420">
        <v>108.23099999999999</v>
      </c>
      <c r="O233" s="543">
        <v>65.170999999999992</v>
      </c>
      <c r="P233" s="419">
        <v>87.674999999999997</v>
      </c>
      <c r="Q233" s="420">
        <v>75.602000000000004</v>
      </c>
      <c r="R233" s="420">
        <v>71.403999999999996</v>
      </c>
      <c r="S233" s="543">
        <v>67.967000000000027</v>
      </c>
      <c r="T233" s="419">
        <v>68.966999999999999</v>
      </c>
      <c r="U233" s="420">
        <v>70.158000000000001</v>
      </c>
      <c r="V233" s="420">
        <v>70.171999999999997</v>
      </c>
      <c r="W233" s="543">
        <v>82.242000000000004</v>
      </c>
      <c r="X233" s="419">
        <v>96.188000000000002</v>
      </c>
      <c r="Y233" s="420">
        <v>84.353999999999999</v>
      </c>
      <c r="Z233" s="420">
        <v>88.998000000000005</v>
      </c>
      <c r="AA233" s="543">
        <v>90.77</v>
      </c>
      <c r="AB233" s="419">
        <v>76.929000000000002</v>
      </c>
      <c r="AC233" s="420">
        <v>74.512</v>
      </c>
      <c r="AD233" s="420">
        <v>69.272999999999996</v>
      </c>
      <c r="AE233" s="674">
        <f>287.174-AD233-AC233-AB233</f>
        <v>66.45999999999998</v>
      </c>
      <c r="AF233" s="419">
        <v>59.121000000000002</v>
      </c>
      <c r="AG233" s="420">
        <v>62.86</v>
      </c>
      <c r="AH233" s="420">
        <v>63.783999999999999</v>
      </c>
      <c r="AI233" s="674">
        <f>283.807-AH233-AG233-AF233</f>
        <v>98.042000000000002</v>
      </c>
      <c r="AJ233" s="419">
        <v>89.099000000000004</v>
      </c>
      <c r="AK233" s="420">
        <v>83.039000000000001</v>
      </c>
      <c r="AL233" s="420">
        <v>68.994</v>
      </c>
      <c r="AM233" s="674">
        <f>320.282-AL233-AK233-AJ233</f>
        <v>79.149999999999963</v>
      </c>
      <c r="AN233" s="423"/>
      <c r="AO233" s="421"/>
      <c r="AP233" s="421"/>
      <c r="AQ233" s="422"/>
      <c r="AR233" s="423"/>
      <c r="AS233" s="421"/>
      <c r="AT233" s="421"/>
      <c r="AU233" s="422"/>
      <c r="AV233" s="423"/>
      <c r="AW233" s="421"/>
      <c r="AX233" s="421"/>
      <c r="AY233" s="422"/>
      <c r="AZ233" s="423"/>
      <c r="BA233" s="421"/>
      <c r="BB233" s="421"/>
      <c r="BC233" s="422"/>
      <c r="BD233" s="423"/>
      <c r="BE233" s="421"/>
      <c r="BF233" s="421"/>
      <c r="BG233" s="422"/>
      <c r="BH233" s="423"/>
      <c r="BI233" s="421"/>
      <c r="BJ233" s="421"/>
      <c r="BK233" s="422"/>
      <c r="BL233" s="424"/>
      <c r="BM233" s="544"/>
      <c r="BN233" s="425">
        <f t="shared" ref="BN233:BN239" si="273">SUM(H233:K233)</f>
        <v>414.73399999999998</v>
      </c>
      <c r="BO233" s="425">
        <f t="shared" ref="BO233:BO239" si="274">SUM(L233:O233)</f>
        <v>380.78100000000001</v>
      </c>
      <c r="BP233" s="425">
        <f t="shared" ref="BP233:BP239" si="275">SUM(P233:S233)</f>
        <v>302.64800000000002</v>
      </c>
      <c r="BQ233" s="425">
        <f t="shared" ref="BQ233:BQ239" si="276">SUM(T233:W233)</f>
        <v>291.53899999999999</v>
      </c>
      <c r="BR233" s="425">
        <f t="shared" ref="BR233:BR239" si="277">SUM(X233:AA233)</f>
        <v>360.31</v>
      </c>
      <c r="BS233" s="411">
        <f t="shared" ref="BS233:BS240" si="278">SUM(AB233:AE233)</f>
        <v>287.17399999999998</v>
      </c>
      <c r="BT233" s="411"/>
      <c r="BU233" s="425"/>
      <c r="BV233" s="425"/>
      <c r="BW233" s="425"/>
      <c r="BX233" s="426"/>
      <c r="BY233" s="426"/>
      <c r="BZ233" s="426"/>
      <c r="CA233" s="418"/>
      <c r="CB233" s="448"/>
      <c r="CC233" s="448"/>
      <c r="CD233" s="448"/>
      <c r="CE233" s="448"/>
      <c r="CF233" s="371"/>
      <c r="CG233" s="371"/>
      <c r="CH233" s="371"/>
      <c r="CI233" s="371"/>
    </row>
    <row r="234" spans="1:256" ht="14.25" hidden="1" customHeight="1" outlineLevel="2">
      <c r="B234" s="369" t="s">
        <v>590</v>
      </c>
      <c r="C234" s="372"/>
      <c r="D234" s="545"/>
      <c r="E234" s="546"/>
      <c r="F234" s="546"/>
      <c r="G234" s="547"/>
      <c r="H234" s="427">
        <v>133.96199999999999</v>
      </c>
      <c r="I234" s="428">
        <v>143.983</v>
      </c>
      <c r="J234" s="428">
        <v>135.755</v>
      </c>
      <c r="K234" s="548">
        <v>168.18199999999996</v>
      </c>
      <c r="L234" s="427">
        <v>179.2</v>
      </c>
      <c r="M234" s="428">
        <v>183.80799999999999</v>
      </c>
      <c r="N234" s="428">
        <v>141.06899999999999</v>
      </c>
      <c r="O234" s="548">
        <v>168.91900000000004</v>
      </c>
      <c r="P234" s="427">
        <v>163.96600000000001</v>
      </c>
      <c r="Q234" s="428">
        <v>118.931</v>
      </c>
      <c r="R234" s="428">
        <v>91.006</v>
      </c>
      <c r="S234" s="548">
        <v>122.18800000000005</v>
      </c>
      <c r="T234" s="427">
        <v>141.42099999999999</v>
      </c>
      <c r="U234" s="428">
        <v>159.839</v>
      </c>
      <c r="V234" s="428">
        <v>173.239</v>
      </c>
      <c r="W234" s="548">
        <v>211.40899999999999</v>
      </c>
      <c r="X234" s="427">
        <v>232.30099999999999</v>
      </c>
      <c r="Y234" s="428">
        <v>228.143</v>
      </c>
      <c r="Z234" s="428">
        <v>220.80500000000001</v>
      </c>
      <c r="AA234" s="548">
        <v>234.37900000000008</v>
      </c>
      <c r="AB234" s="427">
        <v>276.43</v>
      </c>
      <c r="AC234" s="428">
        <v>260.39600000000002</v>
      </c>
      <c r="AD234" s="428">
        <v>254.41399999999999</v>
      </c>
      <c r="AE234" s="778">
        <f>1040.833-AD234-AC234-AB234</f>
        <v>249.59300000000013</v>
      </c>
      <c r="AF234" s="427">
        <v>274.90499999999997</v>
      </c>
      <c r="AG234" s="428">
        <v>266.47899999999998</v>
      </c>
      <c r="AH234" s="428">
        <v>225.80799999999999</v>
      </c>
      <c r="AI234" s="778">
        <f>996.108-AH234-AG234-AF234</f>
        <v>228.916</v>
      </c>
      <c r="AJ234" s="427">
        <v>233.898</v>
      </c>
      <c r="AK234" s="428">
        <v>271.31099999999998</v>
      </c>
      <c r="AL234" s="428">
        <v>240.67699999999999</v>
      </c>
      <c r="AM234" s="778">
        <f>997.706-AL234-AK234-AJ234</f>
        <v>251.82000000000002</v>
      </c>
      <c r="AN234" s="431"/>
      <c r="AO234" s="429"/>
      <c r="AP234" s="429"/>
      <c r="AQ234" s="430"/>
      <c r="AR234" s="431"/>
      <c r="AS234" s="429"/>
      <c r="AT234" s="429"/>
      <c r="AU234" s="430"/>
      <c r="AV234" s="431"/>
      <c r="AW234" s="429"/>
      <c r="AX234" s="429"/>
      <c r="AY234" s="430"/>
      <c r="AZ234" s="431"/>
      <c r="BA234" s="429"/>
      <c r="BB234" s="429"/>
      <c r="BC234" s="430"/>
      <c r="BD234" s="431"/>
      <c r="BE234" s="429"/>
      <c r="BF234" s="429"/>
      <c r="BG234" s="430"/>
      <c r="BH234" s="431"/>
      <c r="BI234" s="429"/>
      <c r="BJ234" s="429"/>
      <c r="BK234" s="430"/>
      <c r="BL234" s="424"/>
      <c r="BM234" s="549"/>
      <c r="BN234" s="411">
        <f t="shared" si="273"/>
        <v>581.88199999999995</v>
      </c>
      <c r="BO234" s="411">
        <f t="shared" si="274"/>
        <v>672.99600000000009</v>
      </c>
      <c r="BP234" s="411">
        <f t="shared" si="275"/>
        <v>496.09100000000007</v>
      </c>
      <c r="BQ234" s="411">
        <f t="shared" si="276"/>
        <v>685.90800000000002</v>
      </c>
      <c r="BR234" s="411">
        <f t="shared" si="277"/>
        <v>915.62800000000016</v>
      </c>
      <c r="BS234" s="411">
        <f t="shared" si="278"/>
        <v>1040.8330000000001</v>
      </c>
      <c r="BT234" s="411"/>
      <c r="BU234" s="411"/>
      <c r="BV234" s="411"/>
      <c r="BW234" s="411"/>
      <c r="BX234" s="412"/>
      <c r="BY234" s="412"/>
      <c r="BZ234" s="412"/>
      <c r="CA234" s="372"/>
      <c r="CB234" s="448"/>
      <c r="CC234" s="448"/>
      <c r="CD234" s="448"/>
      <c r="CE234" s="448"/>
      <c r="CF234" s="371"/>
      <c r="CG234" s="371"/>
      <c r="CH234" s="371"/>
      <c r="CI234" s="371"/>
    </row>
    <row r="235" spans="1:256" ht="14.25" hidden="1" customHeight="1" outlineLevel="2">
      <c r="B235" s="369" t="s">
        <v>13</v>
      </c>
      <c r="C235" s="372"/>
      <c r="D235" s="545"/>
      <c r="E235" s="546"/>
      <c r="F235" s="546"/>
      <c r="G235" s="547"/>
      <c r="H235" s="427">
        <v>49.292999999999999</v>
      </c>
      <c r="I235" s="428">
        <v>51.823999999999998</v>
      </c>
      <c r="J235" s="428">
        <v>82.554000000000002</v>
      </c>
      <c r="K235" s="548">
        <v>11.14</v>
      </c>
      <c r="L235" s="427">
        <v>45.741</v>
      </c>
      <c r="M235" s="428">
        <v>41.143000000000001</v>
      </c>
      <c r="N235" s="428">
        <v>39.334000000000003</v>
      </c>
      <c r="O235" s="548">
        <v>39.130999999999986</v>
      </c>
      <c r="P235" s="427">
        <v>37.859000000000002</v>
      </c>
      <c r="Q235" s="428">
        <v>33.497999999999998</v>
      </c>
      <c r="R235" s="428">
        <v>22.585000000000001</v>
      </c>
      <c r="S235" s="548">
        <v>26.821000000000005</v>
      </c>
      <c r="T235" s="427">
        <v>34.409999999999997</v>
      </c>
      <c r="U235" s="428">
        <v>30.713000000000001</v>
      </c>
      <c r="V235" s="428">
        <v>31.981000000000002</v>
      </c>
      <c r="W235" s="548">
        <v>34.40900000000002</v>
      </c>
      <c r="X235" s="427">
        <v>37.122</v>
      </c>
      <c r="Y235" s="428">
        <v>45.332000000000001</v>
      </c>
      <c r="Z235" s="428">
        <v>41.503</v>
      </c>
      <c r="AA235" s="548">
        <v>39.103999999999999</v>
      </c>
      <c r="AB235" s="427">
        <v>36.906999999999996</v>
      </c>
      <c r="AC235" s="428">
        <v>37.326999999999998</v>
      </c>
      <c r="AD235" s="428">
        <v>31.001999999999999</v>
      </c>
      <c r="AE235" s="778">
        <f>149.77-AD235-AC235-AB235</f>
        <v>44.53400000000002</v>
      </c>
      <c r="AF235" s="427">
        <v>35.816000000000003</v>
      </c>
      <c r="AG235" s="428">
        <v>35.170999999999999</v>
      </c>
      <c r="AH235" s="428">
        <v>0</v>
      </c>
      <c r="AI235" s="778">
        <f>234.989-AH235-AG235-AF235</f>
        <v>164.00200000000001</v>
      </c>
      <c r="AJ235" s="427">
        <v>0</v>
      </c>
      <c r="AK235" s="428">
        <v>0</v>
      </c>
      <c r="AL235" s="428">
        <v>0</v>
      </c>
      <c r="AM235" s="778">
        <f>151.84+185.293-AL235-AK235-AJ235</f>
        <v>337.13300000000004</v>
      </c>
      <c r="AN235" s="431"/>
      <c r="AO235" s="429"/>
      <c r="AP235" s="429"/>
      <c r="AQ235" s="430"/>
      <c r="AR235" s="431"/>
      <c r="AS235" s="429"/>
      <c r="AT235" s="429"/>
      <c r="AU235" s="430"/>
      <c r="AV235" s="431"/>
      <c r="AW235" s="429"/>
      <c r="AX235" s="429"/>
      <c r="AY235" s="430"/>
      <c r="AZ235" s="431"/>
      <c r="BA235" s="429"/>
      <c r="BB235" s="429"/>
      <c r="BC235" s="430"/>
      <c r="BD235" s="431"/>
      <c r="BE235" s="429"/>
      <c r="BF235" s="429"/>
      <c r="BG235" s="430"/>
      <c r="BH235" s="431"/>
      <c r="BI235" s="429"/>
      <c r="BJ235" s="429"/>
      <c r="BK235" s="430"/>
      <c r="BL235" s="424"/>
      <c r="BM235" s="549"/>
      <c r="BN235" s="411">
        <f t="shared" si="273"/>
        <v>194.81099999999998</v>
      </c>
      <c r="BO235" s="411">
        <f t="shared" si="274"/>
        <v>165.34899999999999</v>
      </c>
      <c r="BP235" s="411">
        <f t="shared" si="275"/>
        <v>120.76300000000001</v>
      </c>
      <c r="BQ235" s="411">
        <f t="shared" si="276"/>
        <v>131.51300000000001</v>
      </c>
      <c r="BR235" s="411">
        <f t="shared" si="277"/>
        <v>163.06100000000001</v>
      </c>
      <c r="BS235" s="411">
        <f t="shared" si="278"/>
        <v>149.77000000000001</v>
      </c>
      <c r="BT235" s="411"/>
      <c r="BU235" s="411"/>
      <c r="BV235" s="411"/>
      <c r="BW235" s="411"/>
      <c r="BX235" s="412"/>
      <c r="BY235" s="412"/>
      <c r="BZ235" s="412"/>
      <c r="CA235" s="372"/>
      <c r="CB235" s="448"/>
      <c r="CC235" s="448"/>
      <c r="CD235" s="448"/>
      <c r="CE235" s="448"/>
      <c r="CF235" s="371"/>
      <c r="CG235" s="371"/>
      <c r="CH235" s="371"/>
      <c r="CI235" s="371"/>
    </row>
    <row r="236" spans="1:256" ht="14.25" hidden="1" customHeight="1" outlineLevel="2">
      <c r="B236" s="369" t="s">
        <v>47</v>
      </c>
      <c r="C236" s="372"/>
      <c r="D236" s="545"/>
      <c r="E236" s="546"/>
      <c r="F236" s="546"/>
      <c r="G236" s="547"/>
      <c r="H236" s="427">
        <v>0</v>
      </c>
      <c r="I236" s="428">
        <v>0</v>
      </c>
      <c r="J236" s="428">
        <v>0</v>
      </c>
      <c r="K236" s="548">
        <v>0</v>
      </c>
      <c r="L236" s="427">
        <v>0</v>
      </c>
      <c r="M236" s="428">
        <v>0</v>
      </c>
      <c r="N236" s="428">
        <v>0</v>
      </c>
      <c r="O236" s="548">
        <v>0</v>
      </c>
      <c r="P236" s="427">
        <v>54.515000000000001</v>
      </c>
      <c r="Q236" s="428">
        <v>53.226999999999997</v>
      </c>
      <c r="R236" s="428">
        <v>52.161000000000001</v>
      </c>
      <c r="S236" s="548">
        <v>69.930000000000007</v>
      </c>
      <c r="T236" s="427">
        <v>82.515000000000001</v>
      </c>
      <c r="U236" s="428">
        <v>74.27</v>
      </c>
      <c r="V236" s="428">
        <v>81.602000000000004</v>
      </c>
      <c r="W236" s="548">
        <v>73.540999999999983</v>
      </c>
      <c r="X236" s="427">
        <v>85.9</v>
      </c>
      <c r="Y236" s="428">
        <v>66.474000000000004</v>
      </c>
      <c r="Z236" s="428">
        <v>64.62</v>
      </c>
      <c r="AA236" s="548">
        <v>77.011999999999972</v>
      </c>
      <c r="AB236" s="427">
        <v>65.760999999999996</v>
      </c>
      <c r="AC236" s="428">
        <v>41.677999999999997</v>
      </c>
      <c r="AD236" s="428">
        <v>39.957999999999998</v>
      </c>
      <c r="AE236" s="778">
        <f>201.819-AD236-AC236-AB236</f>
        <v>54.421999999999997</v>
      </c>
      <c r="AF236" s="427">
        <v>64.379000000000005</v>
      </c>
      <c r="AG236" s="428">
        <v>56.616</v>
      </c>
      <c r="AH236" s="428">
        <v>73.361999999999995</v>
      </c>
      <c r="AI236" s="778">
        <f>235.879-AH236-AG236-AF236</f>
        <v>41.521999999999991</v>
      </c>
      <c r="AJ236" s="427">
        <v>35.036000000000001</v>
      </c>
      <c r="AK236" s="428">
        <v>33.725999999999999</v>
      </c>
      <c r="AL236" s="428">
        <v>33.216999999999999</v>
      </c>
      <c r="AM236" s="778">
        <f>144.838-AL236-AK236-AJ236</f>
        <v>42.858999999999995</v>
      </c>
      <c r="AN236" s="431"/>
      <c r="AO236" s="429"/>
      <c r="AP236" s="429"/>
      <c r="AQ236" s="430"/>
      <c r="AR236" s="431"/>
      <c r="AS236" s="429"/>
      <c r="AT236" s="429"/>
      <c r="AU236" s="430"/>
      <c r="AV236" s="431"/>
      <c r="AW236" s="429"/>
      <c r="AX236" s="429"/>
      <c r="AY236" s="430"/>
      <c r="AZ236" s="431"/>
      <c r="BA236" s="429"/>
      <c r="BB236" s="429"/>
      <c r="BC236" s="430"/>
      <c r="BD236" s="431"/>
      <c r="BE236" s="429"/>
      <c r="BF236" s="429"/>
      <c r="BG236" s="430"/>
      <c r="BH236" s="431"/>
      <c r="BI236" s="429"/>
      <c r="BJ236" s="429"/>
      <c r="BK236" s="430"/>
      <c r="BL236" s="424"/>
      <c r="BM236" s="549"/>
      <c r="BN236" s="411">
        <f t="shared" si="273"/>
        <v>0</v>
      </c>
      <c r="BO236" s="411">
        <f t="shared" si="274"/>
        <v>0</v>
      </c>
      <c r="BP236" s="411">
        <f t="shared" si="275"/>
        <v>229.833</v>
      </c>
      <c r="BQ236" s="411">
        <f t="shared" si="276"/>
        <v>311.928</v>
      </c>
      <c r="BR236" s="411">
        <f t="shared" si="277"/>
        <v>294.00599999999997</v>
      </c>
      <c r="BS236" s="411">
        <f t="shared" si="278"/>
        <v>201.81899999999999</v>
      </c>
      <c r="BT236" s="411"/>
      <c r="BU236" s="411"/>
      <c r="BV236" s="411"/>
      <c r="BW236" s="411"/>
      <c r="BX236" s="412"/>
      <c r="BY236" s="412"/>
      <c r="BZ236" s="412"/>
      <c r="CA236" s="372"/>
      <c r="CB236" s="448"/>
      <c r="CC236" s="448"/>
      <c r="CD236" s="448"/>
      <c r="CE236" s="448"/>
      <c r="CF236" s="371"/>
      <c r="CG236" s="371"/>
      <c r="CH236" s="371"/>
      <c r="CI236" s="371"/>
    </row>
    <row r="237" spans="1:256" ht="14.25" hidden="1" customHeight="1" outlineLevel="2">
      <c r="B237" s="369" t="s">
        <v>14</v>
      </c>
      <c r="C237" s="372"/>
      <c r="D237" s="545"/>
      <c r="E237" s="546"/>
      <c r="F237" s="546"/>
      <c r="G237" s="547"/>
      <c r="H237" s="427">
        <v>102.089</v>
      </c>
      <c r="I237" s="428">
        <v>93.67</v>
      </c>
      <c r="J237" s="428">
        <v>83.923000000000002</v>
      </c>
      <c r="K237" s="548">
        <v>134.75400000000002</v>
      </c>
      <c r="L237" s="427">
        <v>94.587999999999994</v>
      </c>
      <c r="M237" s="428">
        <v>111.12</v>
      </c>
      <c r="N237" s="428">
        <v>87.417000000000002</v>
      </c>
      <c r="O237" s="548">
        <v>126.59400000000002</v>
      </c>
      <c r="P237" s="427">
        <v>55.414000000000001</v>
      </c>
      <c r="Q237" s="428">
        <v>45.762999999999998</v>
      </c>
      <c r="R237" s="428">
        <v>28.116</v>
      </c>
      <c r="S237" s="548">
        <v>39.909999999999997</v>
      </c>
      <c r="T237" s="427">
        <v>51.728999999999999</v>
      </c>
      <c r="U237" s="428">
        <v>54.747</v>
      </c>
      <c r="V237" s="428">
        <v>56.581000000000003</v>
      </c>
      <c r="W237" s="548">
        <v>60.728999999999985</v>
      </c>
      <c r="X237" s="427">
        <v>64.069000000000003</v>
      </c>
      <c r="Y237" s="428">
        <v>71.650999999999996</v>
      </c>
      <c r="Z237" s="428">
        <v>72.72</v>
      </c>
      <c r="AA237" s="548">
        <v>74.680999999999997</v>
      </c>
      <c r="AB237" s="427">
        <v>80.313999999999993</v>
      </c>
      <c r="AC237" s="428">
        <v>88.317999999999998</v>
      </c>
      <c r="AD237" s="428">
        <v>85.116</v>
      </c>
      <c r="AE237" s="778">
        <f>356.636-AD237-AC237-AB237</f>
        <v>102.88800000000006</v>
      </c>
      <c r="AF237" s="427">
        <v>101.611</v>
      </c>
      <c r="AG237" s="428">
        <v>102.075</v>
      </c>
      <c r="AH237" s="428">
        <f>71.917+79.314</f>
        <v>151.23099999999999</v>
      </c>
      <c r="AI237" s="778">
        <f>328.956-AH237-AG237-AF237</f>
        <v>-25.960999999999984</v>
      </c>
      <c r="AJ237" s="427">
        <v>138.346</v>
      </c>
      <c r="AK237" s="428">
        <v>145.221</v>
      </c>
      <c r="AL237" s="428">
        <v>160.703</v>
      </c>
      <c r="AM237" s="778">
        <f>266.3496-AL237-AK237-AJ237</f>
        <v>-177.9204</v>
      </c>
      <c r="AN237" s="431"/>
      <c r="AO237" s="429"/>
      <c r="AP237" s="429"/>
      <c r="AQ237" s="430"/>
      <c r="AR237" s="431"/>
      <c r="AS237" s="429"/>
      <c r="AT237" s="429"/>
      <c r="AU237" s="430"/>
      <c r="AV237" s="431"/>
      <c r="AW237" s="429"/>
      <c r="AX237" s="429"/>
      <c r="AY237" s="430"/>
      <c r="AZ237" s="431"/>
      <c r="BA237" s="429"/>
      <c r="BB237" s="429"/>
      <c r="BC237" s="430"/>
      <c r="BD237" s="431"/>
      <c r="BE237" s="429"/>
      <c r="BF237" s="429"/>
      <c r="BG237" s="430"/>
      <c r="BH237" s="431"/>
      <c r="BI237" s="429"/>
      <c r="BJ237" s="429"/>
      <c r="BK237" s="430"/>
      <c r="BL237" s="424"/>
      <c r="BM237" s="549"/>
      <c r="BN237" s="411">
        <f t="shared" si="273"/>
        <v>414.43600000000004</v>
      </c>
      <c r="BO237" s="411">
        <f t="shared" si="274"/>
        <v>419.71900000000005</v>
      </c>
      <c r="BP237" s="411">
        <f t="shared" si="275"/>
        <v>169.203</v>
      </c>
      <c r="BQ237" s="411">
        <f t="shared" si="276"/>
        <v>223.786</v>
      </c>
      <c r="BR237" s="411">
        <f t="shared" si="277"/>
        <v>283.12099999999998</v>
      </c>
      <c r="BS237" s="411">
        <f t="shared" si="278"/>
        <v>356.63600000000008</v>
      </c>
      <c r="BT237" s="411"/>
      <c r="BU237" s="411"/>
      <c r="BV237" s="411"/>
      <c r="BW237" s="411"/>
      <c r="BX237" s="412"/>
      <c r="BY237" s="412"/>
      <c r="BZ237" s="412"/>
      <c r="CA237" s="372"/>
      <c r="CB237" s="448"/>
      <c r="CC237" s="448"/>
      <c r="CD237" s="448"/>
      <c r="CE237" s="448"/>
      <c r="CF237" s="371"/>
      <c r="CG237" s="371"/>
      <c r="CH237" s="371"/>
      <c r="CI237" s="371"/>
    </row>
    <row r="238" spans="1:256" ht="14.25" hidden="1" customHeight="1" outlineLevel="2">
      <c r="B238" s="369" t="s">
        <v>579</v>
      </c>
      <c r="C238" s="372"/>
      <c r="D238" s="545"/>
      <c r="E238" s="546"/>
      <c r="F238" s="546"/>
      <c r="G238" s="547"/>
      <c r="H238" s="427">
        <v>90.29</v>
      </c>
      <c r="I238" s="428">
        <v>84.924999999999997</v>
      </c>
      <c r="J238" s="428">
        <v>46.226999999999997</v>
      </c>
      <c r="K238" s="548">
        <v>139.22699999999998</v>
      </c>
      <c r="L238" s="427">
        <v>89.105000000000004</v>
      </c>
      <c r="M238" s="428">
        <v>88.783000000000001</v>
      </c>
      <c r="N238" s="428">
        <v>100.48099999999999</v>
      </c>
      <c r="O238" s="548">
        <v>90.853999999999999</v>
      </c>
      <c r="P238" s="427">
        <v>90.655000000000001</v>
      </c>
      <c r="Q238" s="428">
        <v>73.272000000000006</v>
      </c>
      <c r="R238" s="428">
        <v>66.963999999999999</v>
      </c>
      <c r="S238" s="548">
        <v>60.63300000000001</v>
      </c>
      <c r="T238" s="427">
        <v>60.887999999999998</v>
      </c>
      <c r="U238" s="428">
        <v>65.182000000000002</v>
      </c>
      <c r="V238" s="428">
        <v>77.278000000000006</v>
      </c>
      <c r="W238" s="548">
        <v>85.32699999999997</v>
      </c>
      <c r="X238" s="427">
        <v>89.903000000000006</v>
      </c>
      <c r="Y238" s="428">
        <v>94.605999999999995</v>
      </c>
      <c r="Z238" s="428">
        <v>100.381</v>
      </c>
      <c r="AA238" s="548">
        <v>94.28300000000003</v>
      </c>
      <c r="AB238" s="427">
        <v>83.638000000000005</v>
      </c>
      <c r="AC238" s="428">
        <v>70.995000000000005</v>
      </c>
      <c r="AD238" s="428">
        <v>75.933000000000007</v>
      </c>
      <c r="AE238" s="778">
        <f>302.373-AD238-AC238-AB238</f>
        <v>71.806999999999988</v>
      </c>
      <c r="AF238" s="427">
        <v>70.906999999999996</v>
      </c>
      <c r="AG238" s="428">
        <v>66.941000000000003</v>
      </c>
      <c r="AH238" s="428">
        <v>75.733999999999995</v>
      </c>
      <c r="AI238" s="778">
        <f>294.998-AH238-AG238-AF238</f>
        <v>81.416000000000011</v>
      </c>
      <c r="AJ238" s="427">
        <v>72.626000000000005</v>
      </c>
      <c r="AK238" s="428">
        <v>73.400999999999996</v>
      </c>
      <c r="AL238" s="428">
        <v>84.004999999999995</v>
      </c>
      <c r="AM238" s="778">
        <f>324.867-AL238-AK238-AJ238</f>
        <v>94.835000000000008</v>
      </c>
      <c r="AN238" s="431"/>
      <c r="AO238" s="429"/>
      <c r="AP238" s="429"/>
      <c r="AQ238" s="430"/>
      <c r="AR238" s="431"/>
      <c r="AS238" s="429"/>
      <c r="AT238" s="429"/>
      <c r="AU238" s="430"/>
      <c r="AV238" s="431"/>
      <c r="AW238" s="429"/>
      <c r="AX238" s="429"/>
      <c r="AY238" s="430"/>
      <c r="AZ238" s="431"/>
      <c r="BA238" s="429"/>
      <c r="BB238" s="429"/>
      <c r="BC238" s="430"/>
      <c r="BD238" s="431"/>
      <c r="BE238" s="429"/>
      <c r="BF238" s="429"/>
      <c r="BG238" s="430"/>
      <c r="BH238" s="431"/>
      <c r="BI238" s="429"/>
      <c r="BJ238" s="429"/>
      <c r="BK238" s="430"/>
      <c r="BL238" s="424"/>
      <c r="BM238" s="549"/>
      <c r="BN238" s="411">
        <f t="shared" si="273"/>
        <v>360.66899999999998</v>
      </c>
      <c r="BO238" s="411">
        <f t="shared" si="274"/>
        <v>369.22300000000001</v>
      </c>
      <c r="BP238" s="411">
        <f t="shared" si="275"/>
        <v>291.524</v>
      </c>
      <c r="BQ238" s="411">
        <f t="shared" si="276"/>
        <v>288.67499999999995</v>
      </c>
      <c r="BR238" s="411">
        <f t="shared" si="277"/>
        <v>379.173</v>
      </c>
      <c r="BS238" s="411">
        <f t="shared" si="278"/>
        <v>302.37300000000005</v>
      </c>
      <c r="BT238" s="411"/>
      <c r="BU238" s="411"/>
      <c r="BV238" s="411"/>
      <c r="BW238" s="411"/>
      <c r="BX238" s="412"/>
      <c r="BY238" s="412"/>
      <c r="BZ238" s="412"/>
      <c r="CA238" s="372"/>
      <c r="CB238" s="448"/>
      <c r="CC238" s="448"/>
      <c r="CD238" s="448"/>
      <c r="CE238" s="448"/>
      <c r="CF238" s="371"/>
      <c r="CG238" s="371"/>
      <c r="CH238" s="371"/>
      <c r="CI238" s="371"/>
    </row>
    <row r="239" spans="1:256" s="121" customFormat="1" ht="14.25" hidden="1" customHeight="1" outlineLevel="2">
      <c r="A239"/>
      <c r="B239" s="369" t="s">
        <v>48</v>
      </c>
      <c r="C239" s="373"/>
      <c r="D239" s="545"/>
      <c r="E239" s="546"/>
      <c r="F239" s="546"/>
      <c r="G239" s="547"/>
      <c r="H239" s="427">
        <v>12.821999999999999</v>
      </c>
      <c r="I239" s="428">
        <v>12.537000000000001</v>
      </c>
      <c r="J239" s="428">
        <v>13.641999999999999</v>
      </c>
      <c r="K239" s="548">
        <v>3.5909999999999975</v>
      </c>
      <c r="L239" s="427">
        <v>11.613</v>
      </c>
      <c r="M239" s="428">
        <v>11.625999999999999</v>
      </c>
      <c r="N239" s="428">
        <v>10.878</v>
      </c>
      <c r="O239" s="548">
        <v>10.598000000000006</v>
      </c>
      <c r="P239" s="427">
        <v>11.12</v>
      </c>
      <c r="Q239" s="428">
        <v>10.382</v>
      </c>
      <c r="R239" s="428">
        <v>7.4290000000000003</v>
      </c>
      <c r="S239" s="548">
        <v>7.0220000000000038</v>
      </c>
      <c r="T239" s="427">
        <v>9.3160000000000007</v>
      </c>
      <c r="U239" s="428">
        <v>18.606000000000002</v>
      </c>
      <c r="V239" s="428">
        <v>18.027000000000001</v>
      </c>
      <c r="W239" s="548">
        <v>18.305</v>
      </c>
      <c r="X239" s="427">
        <v>20.655999999999999</v>
      </c>
      <c r="Y239" s="428">
        <v>22.376000000000001</v>
      </c>
      <c r="Z239" s="428">
        <v>17.748000000000001</v>
      </c>
      <c r="AA239" s="548">
        <v>16.261999999999993</v>
      </c>
      <c r="AB239" s="427">
        <v>16.023</v>
      </c>
      <c r="AC239" s="428">
        <v>18.132999999999999</v>
      </c>
      <c r="AD239" s="428">
        <v>15.516</v>
      </c>
      <c r="AE239" s="778">
        <f>64.924-AD239-AC239-AB239</f>
        <v>15.25200000000001</v>
      </c>
      <c r="AF239" s="427">
        <v>16.335999999999999</v>
      </c>
      <c r="AG239" s="428">
        <v>15.164</v>
      </c>
      <c r="AH239" s="428">
        <v>14.965</v>
      </c>
      <c r="AI239" s="778">
        <f>66.722-AH239-AG239-AF239</f>
        <v>20.256999999999991</v>
      </c>
      <c r="AJ239" s="427">
        <v>16.236000000000001</v>
      </c>
      <c r="AK239" s="428">
        <v>13.576000000000001</v>
      </c>
      <c r="AL239" s="428">
        <v>18.135000000000002</v>
      </c>
      <c r="AM239" s="778">
        <f>62.488-AL239-AK239-AJ239</f>
        <v>14.540999999999993</v>
      </c>
      <c r="AN239" s="431"/>
      <c r="AO239" s="429"/>
      <c r="AP239" s="429"/>
      <c r="AQ239" s="430"/>
      <c r="AR239" s="431"/>
      <c r="AS239" s="429"/>
      <c r="AT239" s="429"/>
      <c r="AU239" s="430"/>
      <c r="AV239" s="431"/>
      <c r="AW239" s="429"/>
      <c r="AX239" s="429"/>
      <c r="AY239" s="430"/>
      <c r="AZ239" s="431"/>
      <c r="BA239" s="429"/>
      <c r="BB239" s="429"/>
      <c r="BC239" s="430"/>
      <c r="BD239" s="431"/>
      <c r="BE239" s="429"/>
      <c r="BF239" s="429"/>
      <c r="BG239" s="430"/>
      <c r="BH239" s="431"/>
      <c r="BI239" s="429"/>
      <c r="BJ239" s="429"/>
      <c r="BK239" s="430"/>
      <c r="BL239" s="424"/>
      <c r="BM239" s="585"/>
      <c r="BN239" s="432">
        <f t="shared" si="273"/>
        <v>42.591999999999999</v>
      </c>
      <c r="BO239" s="432">
        <f t="shared" si="274"/>
        <v>44.715000000000003</v>
      </c>
      <c r="BP239" s="432">
        <f t="shared" si="275"/>
        <v>35.953000000000003</v>
      </c>
      <c r="BQ239" s="432">
        <f t="shared" si="276"/>
        <v>64.254000000000005</v>
      </c>
      <c r="BR239" s="432">
        <f t="shared" si="277"/>
        <v>77.042000000000002</v>
      </c>
      <c r="BS239" s="432">
        <f t="shared" si="278"/>
        <v>64.924000000000007</v>
      </c>
      <c r="BT239" s="432"/>
      <c r="BU239" s="432"/>
      <c r="BV239" s="432"/>
      <c r="BW239" s="432"/>
      <c r="BX239" s="433"/>
      <c r="BY239" s="433"/>
      <c r="BZ239" s="433"/>
      <c r="CA239" s="373"/>
      <c r="CB239" s="448"/>
      <c r="CC239" s="448"/>
      <c r="CD239" s="448"/>
      <c r="CE239" s="448"/>
      <c r="CF239" s="371"/>
      <c r="CG239" s="371"/>
      <c r="CH239" s="371"/>
      <c r="CI239" s="371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</row>
    <row r="240" spans="1:256" ht="14.25" hidden="1" customHeight="1" outlineLevel="2">
      <c r="A240" s="121"/>
      <c r="B240" s="434" t="s">
        <v>576</v>
      </c>
      <c r="C240" s="435"/>
      <c r="D240" s="553"/>
      <c r="E240" s="554"/>
      <c r="F240" s="554"/>
      <c r="G240" s="555"/>
      <c r="H240" s="436">
        <f t="shared" ref="H240:AC240" si="279">SUM(H233:H239)</f>
        <v>502.745</v>
      </c>
      <c r="I240" s="437">
        <f t="shared" si="279"/>
        <v>497.45300000000003</v>
      </c>
      <c r="J240" s="437">
        <f t="shared" si="279"/>
        <v>476.55599999999998</v>
      </c>
      <c r="K240" s="438">
        <f t="shared" si="279"/>
        <v>532.37</v>
      </c>
      <c r="L240" s="436">
        <f t="shared" si="279"/>
        <v>524.0809999999999</v>
      </c>
      <c r="M240" s="437">
        <f t="shared" si="279"/>
        <v>540.02499999999998</v>
      </c>
      <c r="N240" s="437">
        <f t="shared" si="279"/>
        <v>487.41</v>
      </c>
      <c r="O240" s="438">
        <f t="shared" si="279"/>
        <v>501.26700000000005</v>
      </c>
      <c r="P240" s="436">
        <f t="shared" si="279"/>
        <v>501.20399999999995</v>
      </c>
      <c r="Q240" s="437">
        <f t="shared" si="279"/>
        <v>410.67499999999995</v>
      </c>
      <c r="R240" s="437">
        <f t="shared" si="279"/>
        <v>339.66499999999996</v>
      </c>
      <c r="S240" s="438">
        <f t="shared" si="279"/>
        <v>394.47100000000006</v>
      </c>
      <c r="T240" s="436">
        <f t="shared" si="279"/>
        <v>449.24599999999992</v>
      </c>
      <c r="U240" s="437">
        <f t="shared" si="279"/>
        <v>473.51500000000004</v>
      </c>
      <c r="V240" s="437">
        <f t="shared" si="279"/>
        <v>508.88000000000005</v>
      </c>
      <c r="W240" s="438">
        <f t="shared" si="279"/>
        <v>565.96199999999999</v>
      </c>
      <c r="X240" s="436">
        <f t="shared" si="279"/>
        <v>626.1389999999999</v>
      </c>
      <c r="Y240" s="437">
        <f t="shared" si="279"/>
        <v>612.93599999999992</v>
      </c>
      <c r="Z240" s="437">
        <f t="shared" si="279"/>
        <v>606.77499999999998</v>
      </c>
      <c r="AA240" s="438">
        <f t="shared" si="279"/>
        <v>626.49099999999999</v>
      </c>
      <c r="AB240" s="436">
        <f t="shared" si="279"/>
        <v>636.00200000000007</v>
      </c>
      <c r="AC240" s="437">
        <f t="shared" si="279"/>
        <v>591.35900000000004</v>
      </c>
      <c r="AD240" s="437">
        <f t="shared" ref="AD240:AI240" si="280">SUM(AD233:AD239)</f>
        <v>571.21199999999999</v>
      </c>
      <c r="AE240" s="438">
        <f t="shared" si="280"/>
        <v>604.95600000000013</v>
      </c>
      <c r="AF240" s="436">
        <f t="shared" si="280"/>
        <v>623.07500000000005</v>
      </c>
      <c r="AG240" s="437">
        <f t="shared" si="280"/>
        <v>605.30600000000004</v>
      </c>
      <c r="AH240" s="437">
        <f t="shared" si="280"/>
        <v>604.88400000000001</v>
      </c>
      <c r="AI240" s="438">
        <f t="shared" si="280"/>
        <v>608.19399999999996</v>
      </c>
      <c r="AJ240" s="436">
        <f>SUM(AJ233:AJ239)</f>
        <v>585.24099999999999</v>
      </c>
      <c r="AK240" s="437">
        <f>SUM(AK233:AK239)</f>
        <v>620.274</v>
      </c>
      <c r="AL240" s="437">
        <f>SUM(AL233:AL239)</f>
        <v>605.73099999999999</v>
      </c>
      <c r="AM240" s="438">
        <f>SUM(AM233:AM239)</f>
        <v>642.41760000000011</v>
      </c>
      <c r="AN240" s="441"/>
      <c r="AO240" s="439"/>
      <c r="AP240" s="439"/>
      <c r="AQ240" s="440"/>
      <c r="AR240" s="441"/>
      <c r="AS240" s="439"/>
      <c r="AT240" s="439"/>
      <c r="AU240" s="440"/>
      <c r="AV240" s="441"/>
      <c r="AW240" s="439"/>
      <c r="AX240" s="439"/>
      <c r="AY240" s="440"/>
      <c r="AZ240" s="441"/>
      <c r="BA240" s="439"/>
      <c r="BB240" s="439"/>
      <c r="BC240" s="440"/>
      <c r="BD240" s="441"/>
      <c r="BE240" s="439"/>
      <c r="BF240" s="439"/>
      <c r="BG240" s="440"/>
      <c r="BH240" s="441"/>
      <c r="BI240" s="439"/>
      <c r="BJ240" s="439"/>
      <c r="BK240" s="440"/>
      <c r="BL240" s="442"/>
      <c r="BM240" s="578"/>
      <c r="BN240" s="443">
        <f>SUM(BN233:BN239)</f>
        <v>2009.1239999999998</v>
      </c>
      <c r="BO240" s="444">
        <f>SUM(BO233:BO239)</f>
        <v>2052.7829999999999</v>
      </c>
      <c r="BP240" s="444">
        <f>SUM(BP233:BP239)</f>
        <v>1646.0149999999999</v>
      </c>
      <c r="BQ240" s="444">
        <f>SUM(BQ233:BQ239)</f>
        <v>1997.6029999999998</v>
      </c>
      <c r="BR240" s="444">
        <f>SUM(BR233:BR239)</f>
        <v>2472.3409999999999</v>
      </c>
      <c r="BS240" s="444">
        <f t="shared" si="278"/>
        <v>2403.5290000000005</v>
      </c>
      <c r="BT240" s="444"/>
      <c r="BU240" s="444"/>
      <c r="BV240" s="444"/>
      <c r="BW240" s="444"/>
      <c r="BX240" s="445"/>
      <c r="BY240" s="445"/>
      <c r="BZ240" s="445"/>
      <c r="CA240" s="435"/>
      <c r="CB240" s="835"/>
      <c r="CC240" s="835"/>
      <c r="CD240" s="835"/>
      <c r="CE240" s="835"/>
      <c r="CF240" s="804"/>
      <c r="CG240" s="804"/>
      <c r="CH240" s="804"/>
      <c r="CI240" s="804"/>
      <c r="CJ240" s="121"/>
      <c r="CK240" s="121"/>
      <c r="CL240" s="121"/>
      <c r="CM240" s="121"/>
      <c r="CN240" s="121"/>
      <c r="CO240" s="121"/>
      <c r="CP240" s="121"/>
      <c r="CQ240" s="121"/>
      <c r="CR240" s="121"/>
      <c r="CS240" s="121"/>
      <c r="CT240" s="121"/>
      <c r="CU240" s="121"/>
      <c r="CV240" s="121"/>
      <c r="CW240" s="121"/>
      <c r="CX240" s="121"/>
      <c r="CY240" s="121"/>
      <c r="CZ240" s="121"/>
      <c r="DA240" s="121"/>
      <c r="DB240" s="121"/>
      <c r="DC240" s="121"/>
      <c r="DD240" s="121"/>
      <c r="DE240" s="121"/>
      <c r="DF240" s="121"/>
      <c r="DG240" s="121"/>
      <c r="DH240" s="121"/>
      <c r="DI240" s="121"/>
      <c r="DJ240" s="121"/>
      <c r="DK240" s="121"/>
      <c r="DL240" s="121"/>
      <c r="DM240" s="121"/>
      <c r="DN240" s="121"/>
      <c r="DO240" s="121"/>
      <c r="DP240" s="121"/>
      <c r="DQ240" s="121"/>
      <c r="DR240" s="121"/>
      <c r="DS240" s="121"/>
      <c r="DT240" s="121"/>
      <c r="DU240" s="121"/>
      <c r="DV240" s="121"/>
      <c r="DW240" s="121"/>
      <c r="DX240" s="121"/>
      <c r="DY240" s="121"/>
      <c r="DZ240" s="121"/>
      <c r="EA240" s="121"/>
      <c r="EB240" s="121"/>
      <c r="EC240" s="121"/>
      <c r="ED240" s="121"/>
      <c r="EE240" s="121"/>
      <c r="EF240" s="121"/>
      <c r="EG240" s="121"/>
      <c r="EH240" s="121"/>
      <c r="EI240" s="121"/>
      <c r="EJ240" s="121"/>
      <c r="EK240" s="121"/>
      <c r="EL240" s="121"/>
      <c r="EM240" s="121"/>
      <c r="EN240" s="121"/>
      <c r="EO240" s="121"/>
      <c r="EP240" s="121"/>
      <c r="EQ240" s="121"/>
      <c r="ER240" s="121"/>
      <c r="ES240" s="121"/>
      <c r="ET240" s="121"/>
      <c r="EU240" s="121"/>
      <c r="EV240" s="121"/>
      <c r="EW240" s="121"/>
      <c r="EX240" s="121"/>
      <c r="EY240" s="121"/>
      <c r="EZ240" s="121"/>
      <c r="FA240" s="121"/>
      <c r="FB240" s="121"/>
      <c r="FC240" s="121"/>
      <c r="FD240" s="121"/>
      <c r="FE240" s="121"/>
      <c r="FF240" s="121"/>
      <c r="FG240" s="121"/>
      <c r="FH240" s="121"/>
      <c r="FI240" s="121"/>
      <c r="FJ240" s="121"/>
      <c r="FK240" s="121"/>
      <c r="FL240" s="121"/>
      <c r="FM240" s="121"/>
      <c r="FN240" s="121"/>
      <c r="FO240" s="121"/>
      <c r="FP240" s="121"/>
      <c r="FQ240" s="121"/>
      <c r="FR240" s="121"/>
      <c r="FS240" s="121"/>
      <c r="FT240" s="121"/>
      <c r="FU240" s="121"/>
      <c r="FV240" s="121"/>
      <c r="FW240" s="121"/>
      <c r="FX240" s="121"/>
      <c r="FY240" s="121"/>
      <c r="FZ240" s="121"/>
      <c r="GA240" s="121"/>
      <c r="GB240" s="121"/>
      <c r="GC240" s="121"/>
      <c r="GD240" s="121"/>
      <c r="GE240" s="121"/>
      <c r="GF240" s="121"/>
      <c r="GG240" s="121"/>
      <c r="GH240" s="121"/>
      <c r="GI240" s="121"/>
      <c r="GJ240" s="121"/>
      <c r="GK240" s="121"/>
      <c r="GL240" s="121"/>
      <c r="GM240" s="121"/>
      <c r="GN240" s="121"/>
      <c r="GO240" s="121"/>
      <c r="GP240" s="121"/>
      <c r="GQ240" s="121"/>
      <c r="GR240" s="121"/>
      <c r="GS240" s="121"/>
      <c r="GT240" s="121"/>
      <c r="GU240" s="121"/>
      <c r="GV240" s="121"/>
      <c r="GW240" s="121"/>
      <c r="GX240" s="121"/>
      <c r="GY240" s="121"/>
      <c r="GZ240" s="121"/>
      <c r="HA240" s="121"/>
      <c r="HB240" s="121"/>
      <c r="HC240" s="121"/>
      <c r="HD240" s="121"/>
      <c r="HE240" s="121"/>
      <c r="HF240" s="121"/>
      <c r="HG240" s="121"/>
      <c r="HH240" s="121"/>
      <c r="HI240" s="121"/>
      <c r="HJ240" s="121"/>
      <c r="HK240" s="121"/>
      <c r="HL240" s="121"/>
      <c r="HM240" s="121"/>
      <c r="HN240" s="121"/>
      <c r="HO240" s="121"/>
      <c r="HP240" s="121"/>
      <c r="HQ240" s="121"/>
      <c r="HR240" s="121"/>
      <c r="HS240" s="121"/>
      <c r="HT240" s="121"/>
      <c r="HU240" s="121"/>
      <c r="HV240" s="121"/>
      <c r="HW240" s="121"/>
      <c r="HX240" s="121"/>
      <c r="HY240" s="121"/>
      <c r="HZ240" s="121"/>
      <c r="IA240" s="121"/>
      <c r="IB240" s="121"/>
      <c r="IC240" s="121"/>
      <c r="ID240" s="121"/>
      <c r="IE240" s="121"/>
      <c r="IF240" s="121"/>
      <c r="IG240" s="121"/>
      <c r="IH240" s="121"/>
      <c r="II240" s="121"/>
      <c r="IJ240" s="121"/>
      <c r="IK240" s="121"/>
      <c r="IL240" s="121"/>
      <c r="IM240" s="121"/>
      <c r="IN240" s="121"/>
      <c r="IO240" s="121"/>
      <c r="IP240" s="121"/>
      <c r="IQ240" s="121"/>
      <c r="IR240" s="121"/>
      <c r="IS240" s="121"/>
      <c r="IT240" s="121"/>
      <c r="IU240" s="121"/>
      <c r="IV240" s="121"/>
    </row>
    <row r="241" spans="1:256" s="8" customFormat="1" ht="14.25" hidden="1" customHeight="1" outlineLevel="2">
      <c r="A241"/>
      <c r="B241" s="74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E241"/>
      <c r="AI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 s="371"/>
      <c r="BM241" s="371"/>
      <c r="BN241" s="371"/>
      <c r="BO241" s="371"/>
      <c r="BP241" s="371"/>
      <c r="BQ241" s="371"/>
      <c r="BR241" s="371"/>
      <c r="BS241" s="371"/>
      <c r="BT241" s="371"/>
      <c r="BU241" s="371"/>
      <c r="BV241" s="371"/>
      <c r="BW241" s="371"/>
      <c r="BX241" s="371"/>
      <c r="BY241" s="371"/>
      <c r="BZ241" s="371"/>
      <c r="CA241"/>
      <c r="CB241" s="1425"/>
      <c r="CC241" s="1425"/>
      <c r="CD241" s="1425"/>
      <c r="CE241" s="1425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</row>
    <row r="242" spans="1:256" ht="14.25" hidden="1" customHeight="1" outlineLevel="2">
      <c r="A242" s="8"/>
      <c r="B242" s="322" t="s">
        <v>522</v>
      </c>
      <c r="C242" s="323"/>
      <c r="D242" s="557"/>
      <c r="E242" s="558"/>
      <c r="F242" s="558"/>
      <c r="G242" s="558"/>
      <c r="H242" s="446" t="str">
        <f>IF(ABS(H240-IS!H$10)&lt;1,"OK",H240-IS!H$10)</f>
        <v>OK</v>
      </c>
      <c r="I242" s="447" t="str">
        <f>IF(ABS(I240-IS!I$10)&lt;1,"OK",I240-IS!I$10)</f>
        <v>OK</v>
      </c>
      <c r="J242" s="447" t="str">
        <f>IF(ABS(J240-IS!J$10)&lt;1,"OK",J240-IS!J$10)</f>
        <v>OK</v>
      </c>
      <c r="K242" s="447" t="str">
        <f>IF(ABS(K240-IS!K$10)&lt;1,"OK",K240-IS!K$10)</f>
        <v>OK</v>
      </c>
      <c r="L242" s="446" t="str">
        <f>IF(ABS(L240-IS!L$10)&lt;1,"OK",L240-IS!L$10)</f>
        <v>OK</v>
      </c>
      <c r="M242" s="447" t="str">
        <f>IF(ABS(M240-IS!M$10)&lt;1,"OK",M240-IS!M$10)</f>
        <v>OK</v>
      </c>
      <c r="N242" s="447" t="str">
        <f>IF(ABS(N240-IS!N$10)&lt;1,"OK",N240-IS!N$10)</f>
        <v>OK</v>
      </c>
      <c r="O242" s="447" t="str">
        <f>IF(ABS(O240-IS!O$10)&lt;1,"OK",O240-IS!O$10)</f>
        <v>OK</v>
      </c>
      <c r="P242" s="446" t="str">
        <f>IF(ABS(P240-IS!P$10)&lt;1,"OK",P240-IS!P$10)</f>
        <v>OK</v>
      </c>
      <c r="Q242" s="447" t="str">
        <f>IF(ABS(Q240-IS!Q$10)&lt;1,"OK",Q240-IS!Q$10)</f>
        <v>OK</v>
      </c>
      <c r="R242" s="447" t="str">
        <f>IF(ABS(R240-IS!R$10)&lt;1,"OK",R240-IS!R$10)</f>
        <v>OK</v>
      </c>
      <c r="S242" s="447" t="str">
        <f>IF(ABS(S240-IS!S$10)&lt;1,"OK",S240-IS!S$10)</f>
        <v>OK</v>
      </c>
      <c r="T242" s="446" t="str">
        <f>IF(ABS(T240-IS!T$10)&lt;1,"OK",T240-IS!T$10)</f>
        <v>OK</v>
      </c>
      <c r="U242" s="447" t="str">
        <f>IF(ABS(U240-IS!U$10)&lt;1,"OK",U240-IS!U$10)</f>
        <v>OK</v>
      </c>
      <c r="V242" s="447" t="str">
        <f>IF(ABS(V240-IS!V$10)&lt;1,"OK",V240-IS!V$10)</f>
        <v>OK</v>
      </c>
      <c r="W242" s="447" t="str">
        <f>IF(ABS(W240-IS!W$10)&lt;1,"OK",W240-IS!W$10)</f>
        <v>OK</v>
      </c>
      <c r="X242" s="446" t="str">
        <f>IF(ABS(X240-IS!X$10)&lt;1,"OK",X240-IS!X$10)</f>
        <v>OK</v>
      </c>
      <c r="Y242" s="447" t="str">
        <f>IF(ABS(Y240-IS!Y$10)&lt;1,"OK",Y240-IS!Y$10)</f>
        <v>OK</v>
      </c>
      <c r="Z242" s="447" t="str">
        <f>IF(ABS(Z240-IS!Z$10)&lt;1,"OK",Z240-IS!Z$10)</f>
        <v>OK</v>
      </c>
      <c r="AA242" s="447" t="str">
        <f>IF(ABS(AA240-IS!AA$10)&lt;1,"OK",AA240-IS!AA$10)</f>
        <v>OK</v>
      </c>
      <c r="AB242" s="446" t="str">
        <f>IF(ABS(AB240-IS!AB$10)&lt;1,"OK",AB240-IS!AB$10)</f>
        <v>OK</v>
      </c>
      <c r="AC242" s="447" t="str">
        <f>IF(ABS(AC240-IS!AC$10)&lt;1,"OK",AC240-IS!AC$10)</f>
        <v>OK</v>
      </c>
      <c r="AD242" s="447" t="str">
        <f>IF(ABS(AD240-IS!AD$10)&lt;1,"OK",AD240-IS!AD$10)</f>
        <v>OK</v>
      </c>
      <c r="AE242" s="447" t="str">
        <f>IF(ABS(AE240-IS!AE$10)&lt;1,"OK",AE240-IS!AE$10)</f>
        <v>OK</v>
      </c>
      <c r="AF242" s="446" t="str">
        <f>IF(ABS(AF240-IS!AF$10)&lt;1,"OK",AF240-IS!AF$10)</f>
        <v>OK</v>
      </c>
      <c r="AG242" s="447" t="str">
        <f>IF(ABS(AG240-IS!AG$10)&lt;1,"OK",AG240-IS!AG$10)</f>
        <v>OK</v>
      </c>
      <c r="AH242" s="447" t="str">
        <f>IF(ABS(AH240-IS!AH$10)&lt;1,"OK",AH240-IS!AH$10)</f>
        <v>OK</v>
      </c>
      <c r="AI242" s="447" t="str">
        <f>IF(ABS(AI240-IS!AI$10)&lt;1,"OK",AI240-IS!AI$10)</f>
        <v>OK</v>
      </c>
      <c r="AJ242" s="446" t="str">
        <f>IF(ABS(AJ240-IS!AJ$10)&lt;1,"OK",AJ240-IS!AJ$10)</f>
        <v>OK</v>
      </c>
      <c r="AK242" s="447" t="str">
        <f>IF(ABS(AK240-IS!AK$10)&lt;1,"OK",AK240-IS!AK$10)</f>
        <v>OK</v>
      </c>
      <c r="AL242" s="447" t="str">
        <f>IF(ABS(AL240-IS!AL$10)&lt;1,"OK",AL240-IS!AL$10)</f>
        <v>OK</v>
      </c>
      <c r="AM242" s="447" t="str">
        <f>IF(ABS(AM240-IS!AM$10)&lt;1,"OK",AM240-IS!AM$10)</f>
        <v>OK</v>
      </c>
      <c r="AN242" s="324"/>
      <c r="AO242" s="325"/>
      <c r="AP242" s="325"/>
      <c r="AQ242" s="325"/>
      <c r="AR242" s="324"/>
      <c r="AS242" s="325"/>
      <c r="AT242" s="325"/>
      <c r="AU242" s="325"/>
      <c r="AV242" s="324"/>
      <c r="AW242" s="325"/>
      <c r="AX242" s="325"/>
      <c r="AY242" s="325"/>
      <c r="AZ242" s="324"/>
      <c r="BA242" s="325"/>
      <c r="BB242" s="325"/>
      <c r="BC242" s="325"/>
      <c r="BD242" s="324"/>
      <c r="BE242" s="325"/>
      <c r="BF242" s="325"/>
      <c r="BG242" s="325"/>
      <c r="BH242" s="324"/>
      <c r="BI242" s="325"/>
      <c r="BJ242" s="325"/>
      <c r="BK242" s="325"/>
      <c r="BL242" s="20"/>
      <c r="BM242" s="559"/>
      <c r="BN242" s="325" t="str">
        <f>IF(ABS(BN240-IS!BN$10)&lt;1,"OK",BN240-IS!BN$10)</f>
        <v>OK</v>
      </c>
      <c r="BO242" s="325" t="str">
        <f>IF(ABS(BO240-IS!BO$10)&lt;1,"OK",BO240-IS!BO$10)</f>
        <v>OK</v>
      </c>
      <c r="BP242" s="325" t="str">
        <f>IF(ABS(BP240-IS!BP$10)&lt;1,"OK",BP240-IS!BP$10)</f>
        <v>OK</v>
      </c>
      <c r="BQ242" s="325" t="str">
        <f>IF(ABS(BQ240-IS!BQ$10)&lt;1,"OK",BQ240-IS!BQ$10)</f>
        <v>OK</v>
      </c>
      <c r="BR242" s="447" t="str">
        <f>IF(ABS(BR240-IS!BR$10)&lt;1,"OK",BR240-IS!BR$10)</f>
        <v>OK</v>
      </c>
      <c r="BS242" s="447" t="str">
        <f>IF(ABS(BS240-IS!BS$10)&lt;1,"OK",BS240-IS!BS$10)</f>
        <v>OK</v>
      </c>
      <c r="BT242" s="325"/>
      <c r="BU242" s="325"/>
      <c r="BV242" s="325"/>
      <c r="BW242" s="325"/>
      <c r="BX242" s="326"/>
      <c r="BY242" s="326"/>
      <c r="BZ242" s="326"/>
      <c r="CA242" s="484"/>
      <c r="CB242" s="74"/>
      <c r="CC242" s="74"/>
      <c r="CD242" s="74"/>
      <c r="CE242" s="74"/>
      <c r="CF242" s="14"/>
      <c r="CG242" s="14"/>
      <c r="CH242" s="14"/>
      <c r="CI242" s="14"/>
      <c r="CJ242" s="14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</row>
    <row r="243" spans="1:256" ht="14.25" hidden="1" customHeight="1" outlineLevel="2">
      <c r="B243" s="74"/>
      <c r="AB243" s="8"/>
      <c r="AC243" s="8"/>
      <c r="AD243" s="8"/>
      <c r="AF243" s="8"/>
      <c r="AG243" s="8"/>
      <c r="BS243" s="8"/>
      <c r="BV243" s="1209"/>
      <c r="BW243" s="1209"/>
    </row>
    <row r="244" spans="1:256" ht="14.25" hidden="1" customHeight="1" outlineLevel="2">
      <c r="A244" s="1"/>
      <c r="B244" s="162" t="s">
        <v>578</v>
      </c>
      <c r="C244" s="163"/>
      <c r="D244" s="766" t="str">
        <f>D$9</f>
        <v>F1Q06A</v>
      </c>
      <c r="E244" s="767" t="str">
        <f t="shared" ref="E244:BK244" si="281">E$9</f>
        <v>F2Q06A</v>
      </c>
      <c r="F244" s="767" t="str">
        <f t="shared" si="281"/>
        <v>F3Q06A</v>
      </c>
      <c r="G244" s="767" t="str">
        <f t="shared" si="281"/>
        <v>F4Q06A</v>
      </c>
      <c r="H244" s="766" t="str">
        <f t="shared" si="281"/>
        <v>F1Q07A</v>
      </c>
      <c r="I244" s="767" t="str">
        <f t="shared" si="281"/>
        <v>F2Q07A</v>
      </c>
      <c r="J244" s="767" t="str">
        <f t="shared" si="281"/>
        <v>F3Q07A</v>
      </c>
      <c r="K244" s="767" t="str">
        <f t="shared" si="281"/>
        <v>F4Q07A</v>
      </c>
      <c r="L244" s="766" t="str">
        <f t="shared" si="281"/>
        <v>F1Q08A</v>
      </c>
      <c r="M244" s="767" t="str">
        <f t="shared" si="281"/>
        <v>F2Q08A</v>
      </c>
      <c r="N244" s="767" t="str">
        <f t="shared" si="281"/>
        <v>F3Q08A</v>
      </c>
      <c r="O244" s="767" t="str">
        <f t="shared" si="281"/>
        <v>F4Q08A</v>
      </c>
      <c r="P244" s="766" t="str">
        <f t="shared" si="281"/>
        <v>F1Q09A</v>
      </c>
      <c r="Q244" s="767" t="str">
        <f t="shared" si="281"/>
        <v>F2Q09A</v>
      </c>
      <c r="R244" s="767" t="str">
        <f t="shared" si="281"/>
        <v>F3Q09A</v>
      </c>
      <c r="S244" s="767" t="str">
        <f t="shared" si="281"/>
        <v>F4Q09A</v>
      </c>
      <c r="T244" s="766" t="str">
        <f t="shared" si="281"/>
        <v>F1Q10A</v>
      </c>
      <c r="U244" s="767" t="str">
        <f t="shared" si="281"/>
        <v>F2Q10A</v>
      </c>
      <c r="V244" s="767" t="str">
        <f t="shared" si="281"/>
        <v>F3Q10A</v>
      </c>
      <c r="W244" s="767" t="str">
        <f t="shared" si="281"/>
        <v>F4Q10A</v>
      </c>
      <c r="X244" s="766" t="str">
        <f t="shared" si="281"/>
        <v>F1Q11A</v>
      </c>
      <c r="Y244" s="767" t="str">
        <f t="shared" si="281"/>
        <v>F2Q11A</v>
      </c>
      <c r="Z244" s="767" t="str">
        <f t="shared" si="281"/>
        <v>F3Q11A</v>
      </c>
      <c r="AA244" s="767" t="str">
        <f t="shared" si="281"/>
        <v>F4Q11A</v>
      </c>
      <c r="AB244" s="766" t="str">
        <f t="shared" si="281"/>
        <v>F1Q12A</v>
      </c>
      <c r="AC244" s="767" t="str">
        <f t="shared" si="281"/>
        <v>F2Q12A</v>
      </c>
      <c r="AD244" s="767" t="str">
        <f t="shared" si="281"/>
        <v>F3Q12A</v>
      </c>
      <c r="AE244" s="767" t="str">
        <f t="shared" si="281"/>
        <v>F4Q12A</v>
      </c>
      <c r="AF244" s="766" t="str">
        <f t="shared" si="281"/>
        <v>F1Q13A</v>
      </c>
      <c r="AG244" s="767" t="str">
        <f t="shared" si="281"/>
        <v>F2Q13A</v>
      </c>
      <c r="AH244" s="767" t="str">
        <f t="shared" si="281"/>
        <v>F3Q13A</v>
      </c>
      <c r="AI244" s="767" t="str">
        <f t="shared" si="281"/>
        <v>F4Q13A</v>
      </c>
      <c r="AJ244" s="766" t="str">
        <f t="shared" si="281"/>
        <v>F1Q14A</v>
      </c>
      <c r="AK244" s="767" t="str">
        <f t="shared" si="281"/>
        <v>F2Q14</v>
      </c>
      <c r="AL244" s="767" t="str">
        <f t="shared" si="281"/>
        <v>F3Q14A</v>
      </c>
      <c r="AM244" s="767" t="str">
        <f t="shared" si="281"/>
        <v>F4Q14A</v>
      </c>
      <c r="AN244" s="766" t="str">
        <f t="shared" si="281"/>
        <v>F1Q15A</v>
      </c>
      <c r="AO244" s="767" t="str">
        <f t="shared" si="281"/>
        <v>F2Q15A</v>
      </c>
      <c r="AP244" s="767" t="str">
        <f t="shared" si="281"/>
        <v>F3Q15A</v>
      </c>
      <c r="AQ244" s="768" t="str">
        <f t="shared" si="281"/>
        <v>F4Q15A</v>
      </c>
      <c r="AR244" s="766" t="str">
        <f t="shared" si="281"/>
        <v>F1Q16A</v>
      </c>
      <c r="AS244" s="767" t="str">
        <f t="shared" si="281"/>
        <v>F2Q16A</v>
      </c>
      <c r="AT244" s="767" t="str">
        <f t="shared" si="281"/>
        <v>F3Q16A</v>
      </c>
      <c r="AU244" s="768" t="str">
        <f t="shared" si="281"/>
        <v>F4Q16A</v>
      </c>
      <c r="AV244" s="766" t="str">
        <f t="shared" si="281"/>
        <v>F1Q17A</v>
      </c>
      <c r="AW244" s="767" t="str">
        <f t="shared" si="281"/>
        <v>F2Q17A</v>
      </c>
      <c r="AX244" s="767" t="str">
        <f t="shared" si="281"/>
        <v>F3Q17A</v>
      </c>
      <c r="AY244" s="768" t="str">
        <f t="shared" si="281"/>
        <v>F4Q17A</v>
      </c>
      <c r="AZ244" s="766" t="str">
        <f t="shared" si="281"/>
        <v>F1Q18A</v>
      </c>
      <c r="BA244" s="767" t="str">
        <f t="shared" si="281"/>
        <v>F2Q18A</v>
      </c>
      <c r="BB244" s="767" t="str">
        <f t="shared" si="281"/>
        <v>F3Q18A</v>
      </c>
      <c r="BC244" s="768" t="str">
        <f t="shared" si="281"/>
        <v>F4Q18E</v>
      </c>
      <c r="BD244" s="766" t="str">
        <f t="shared" si="281"/>
        <v>F1Q19E</v>
      </c>
      <c r="BE244" s="767" t="str">
        <f t="shared" si="281"/>
        <v>F2Q19E</v>
      </c>
      <c r="BF244" s="767" t="str">
        <f t="shared" si="281"/>
        <v>F3Q19E</v>
      </c>
      <c r="BG244" s="768" t="str">
        <f t="shared" si="281"/>
        <v>F4Q19E</v>
      </c>
      <c r="BH244" s="766" t="str">
        <f t="shared" si="281"/>
        <v>F1Q20E</v>
      </c>
      <c r="BI244" s="767" t="str">
        <f t="shared" si="281"/>
        <v>F2Q20E</v>
      </c>
      <c r="BJ244" s="767" t="str">
        <f t="shared" si="281"/>
        <v>F3Q20E</v>
      </c>
      <c r="BK244" s="768" t="str">
        <f t="shared" si="281"/>
        <v>F4Q20E</v>
      </c>
      <c r="BL244" s="20"/>
      <c r="BM244" s="766" t="str">
        <f t="shared" ref="BM244:CA244" si="282">BM$9</f>
        <v>FY2006A</v>
      </c>
      <c r="BN244" s="767" t="str">
        <f t="shared" si="282"/>
        <v>FY2007A</v>
      </c>
      <c r="BO244" s="767" t="str">
        <f t="shared" si="282"/>
        <v>FY2008A</v>
      </c>
      <c r="BP244" s="767" t="str">
        <f t="shared" si="282"/>
        <v>FY2009A</v>
      </c>
      <c r="BQ244" s="767" t="str">
        <f t="shared" si="282"/>
        <v>FY2010A</v>
      </c>
      <c r="BR244" s="767" t="str">
        <f t="shared" si="282"/>
        <v>FY2011A</v>
      </c>
      <c r="BS244" s="767" t="str">
        <f t="shared" si="282"/>
        <v>FY2012A</v>
      </c>
      <c r="BT244" s="767" t="str">
        <f t="shared" si="282"/>
        <v>FY2013A</v>
      </c>
      <c r="BU244" s="768" t="str">
        <f t="shared" si="282"/>
        <v>FY2014A</v>
      </c>
      <c r="BV244" s="1036" t="str">
        <f t="shared" si="282"/>
        <v>FY2015A</v>
      </c>
      <c r="BW244" s="1240" t="str">
        <f t="shared" si="282"/>
        <v>FY2016A</v>
      </c>
      <c r="BX244" s="386" t="str">
        <f t="shared" si="282"/>
        <v>FY2017A</v>
      </c>
      <c r="BY244" s="386" t="str">
        <f t="shared" si="282"/>
        <v>FY2018E</v>
      </c>
      <c r="BZ244" s="386" t="str">
        <f t="shared" si="282"/>
        <v>FY2019E</v>
      </c>
      <c r="CA244" s="351" t="str">
        <f t="shared" si="282"/>
        <v>FY2020E</v>
      </c>
      <c r="CB244" s="1037"/>
      <c r="CC244" s="1037"/>
      <c r="CD244" s="1037"/>
      <c r="CE244" s="1037"/>
      <c r="CF244" s="371"/>
      <c r="CG244" s="371"/>
      <c r="CH244" s="371"/>
      <c r="CI244" s="371"/>
    </row>
    <row r="245" spans="1:256" ht="14.25" hidden="1" customHeight="1" outlineLevel="2">
      <c r="B245" s="449" t="str">
        <f t="shared" ref="B245:B251" si="283">B233</f>
        <v>United States</v>
      </c>
      <c r="C245" s="418"/>
      <c r="D245" s="586"/>
      <c r="E245" s="561"/>
      <c r="F245" s="561"/>
      <c r="G245" s="562"/>
      <c r="H245" s="450">
        <f>H233/IS!H$10</f>
        <v>0.22732995852768303</v>
      </c>
      <c r="I245" s="451">
        <f>I233/IS!I$10</f>
        <v>0.2221596814171389</v>
      </c>
      <c r="J245" s="451">
        <f>J233/IS!J$10</f>
        <v>0.24017114462938249</v>
      </c>
      <c r="K245" s="452">
        <f>K233/IS!K$10</f>
        <v>0.14177357852621295</v>
      </c>
      <c r="L245" s="450">
        <f>L233/IS!L$10</f>
        <v>0.19812586222358758</v>
      </c>
      <c r="M245" s="451">
        <f>M233/IS!M$10</f>
        <v>0.19174112309615296</v>
      </c>
      <c r="N245" s="451">
        <f>N233/IS!N$10</f>
        <v>0.22205330214808885</v>
      </c>
      <c r="O245" s="452">
        <f>O233/IS!O$10</f>
        <v>0.13001254820285396</v>
      </c>
      <c r="P245" s="450">
        <f>P233/IS!P$10</f>
        <v>0.1749287715181842</v>
      </c>
      <c r="Q245" s="451">
        <f>Q233/IS!Q$10</f>
        <v>0.18409204358677786</v>
      </c>
      <c r="R245" s="451">
        <f>R233/IS!R$10</f>
        <v>0.21021889214372982</v>
      </c>
      <c r="S245" s="452">
        <f>S233/IS!S$10</f>
        <v>0.17229910437015647</v>
      </c>
      <c r="T245" s="450">
        <f>T233/IS!T$10</f>
        <v>0.15351722664197345</v>
      </c>
      <c r="U245" s="451">
        <f>U233/IS!U$10</f>
        <v>0.1481642608998659</v>
      </c>
      <c r="V245" s="451">
        <f>V233/IS!V$10</f>
        <v>0.13789498506524131</v>
      </c>
      <c r="W245" s="452">
        <f>W233/IS!W$10</f>
        <v>0.14531364296542879</v>
      </c>
      <c r="X245" s="450">
        <f>X233/IS!X$10</f>
        <v>0.15362084137867152</v>
      </c>
      <c r="Y245" s="451">
        <f>Y233/IS!Y$10</f>
        <v>0.13762285132542385</v>
      </c>
      <c r="Z245" s="451">
        <f>Z233/IS!Z$10</f>
        <v>0.14667380824852705</v>
      </c>
      <c r="AA245" s="452">
        <f>AA233/IS!AA$10</f>
        <v>0.14488635910172701</v>
      </c>
      <c r="AB245" s="450">
        <f>AB233/IS!AB$10</f>
        <v>0.12095716680136227</v>
      </c>
      <c r="AC245" s="451">
        <f>AC233/IS!AC$10</f>
        <v>0.12600129532145446</v>
      </c>
      <c r="AD245" s="451">
        <f>AD233/IS!AD$10</f>
        <v>0.12127371273712736</v>
      </c>
      <c r="AE245" s="452">
        <f>AE233/IS!AE$10</f>
        <v>0.10985922943156193</v>
      </c>
      <c r="AF245" s="450">
        <f>AF233/IS!AF$10</f>
        <v>9.4885848413112386E-2</v>
      </c>
      <c r="AG245" s="451">
        <f>AG233/IS!AG$10</f>
        <v>0.10384830152022283</v>
      </c>
      <c r="AH245" s="451">
        <f>AH233/IS!AH$10</f>
        <v>0.10544831736332916</v>
      </c>
      <c r="AI245" s="452">
        <f>AI233/IS!AI$10</f>
        <v>0.16120185335600154</v>
      </c>
      <c r="AJ245" s="450">
        <f>AJ233/IS!AJ$10</f>
        <v>0.15224326388615972</v>
      </c>
      <c r="AK245" s="451">
        <f>AK233/IS!AK$10</f>
        <v>0.13387470698433274</v>
      </c>
      <c r="AL245" s="451">
        <f>AL233/IS!AL$10</f>
        <v>0.11391144843572772</v>
      </c>
      <c r="AM245" s="452">
        <f>AM233/IS!AM$10</f>
        <v>0.1231969891060552</v>
      </c>
      <c r="AN245" s="455"/>
      <c r="AO245" s="453"/>
      <c r="AP245" s="453"/>
      <c r="AQ245" s="454"/>
      <c r="AR245" s="455"/>
      <c r="AS245" s="453"/>
      <c r="AT245" s="453"/>
      <c r="AU245" s="454"/>
      <c r="AV245" s="455"/>
      <c r="AW245" s="453"/>
      <c r="AX245" s="453"/>
      <c r="AY245" s="454"/>
      <c r="AZ245" s="455"/>
      <c r="BA245" s="453"/>
      <c r="BB245" s="453"/>
      <c r="BC245" s="454"/>
      <c r="BD245" s="455"/>
      <c r="BE245" s="453"/>
      <c r="BF245" s="453"/>
      <c r="BG245" s="454"/>
      <c r="BH245" s="455"/>
      <c r="BI245" s="453"/>
      <c r="BJ245" s="453"/>
      <c r="BK245" s="454"/>
      <c r="BL245" s="424"/>
      <c r="BM245" s="560"/>
      <c r="BN245" s="456">
        <f>BN233/IS!BN$10</f>
        <v>0.20642528783688813</v>
      </c>
      <c r="BO245" s="457">
        <f>BO233/IS!BO$10</f>
        <v>0.18549500848360495</v>
      </c>
      <c r="BP245" s="457">
        <f>BP233/IS!BP$10</f>
        <v>0.1838670972014228</v>
      </c>
      <c r="BQ245" s="457">
        <f>BQ233/IS!BQ$10</f>
        <v>0.14594441438063518</v>
      </c>
      <c r="BR245" s="457">
        <f>BR233/IS!BR$10</f>
        <v>0.14573636889086097</v>
      </c>
      <c r="BS245" s="467">
        <f>BS233/IS!BS$10</f>
        <v>0.11948014773277126</v>
      </c>
      <c r="BT245" s="467"/>
      <c r="BU245" s="456"/>
      <c r="BV245" s="456"/>
      <c r="BW245" s="456"/>
      <c r="BX245" s="458"/>
      <c r="BY245" s="458"/>
      <c r="BZ245" s="458"/>
      <c r="CA245" s="485"/>
      <c r="CB245" s="448"/>
      <c r="CC245" s="448"/>
      <c r="CD245" s="448"/>
      <c r="CE245" s="448"/>
      <c r="CF245" s="448"/>
      <c r="CG245" s="448"/>
      <c r="CH245" s="448"/>
      <c r="CI245" s="448"/>
    </row>
    <row r="246" spans="1:256" ht="14.25" hidden="1" customHeight="1" outlineLevel="2">
      <c r="B246" s="460" t="str">
        <f t="shared" si="283"/>
        <v>China</v>
      </c>
      <c r="C246" s="372"/>
      <c r="D246" s="564"/>
      <c r="E246" s="565"/>
      <c r="F246" s="565"/>
      <c r="G246" s="566"/>
      <c r="H246" s="461">
        <f>H234/IS!H$10</f>
        <v>0.2664611284050562</v>
      </c>
      <c r="I246" s="462">
        <f>I234/IS!I$10</f>
        <v>0.28944040944571653</v>
      </c>
      <c r="J246" s="462">
        <f>J234/IS!J$10</f>
        <v>0.2848668362165202</v>
      </c>
      <c r="K246" s="463">
        <f>K234/IS!K$10</f>
        <v>0.31591186580761493</v>
      </c>
      <c r="L246" s="461">
        <f>L234/IS!L$10</f>
        <v>0.34193187694268629</v>
      </c>
      <c r="M246" s="462">
        <f>M234/IS!M$10</f>
        <v>0.3403694273413268</v>
      </c>
      <c r="N246" s="462">
        <f>N234/IS!N$10</f>
        <v>0.28942574013664057</v>
      </c>
      <c r="O246" s="463">
        <f>O234/IS!O$10</f>
        <v>0.33698408233536231</v>
      </c>
      <c r="P246" s="461">
        <f>P234/IS!P$10</f>
        <v>0.32714423667807918</v>
      </c>
      <c r="Q246" s="462">
        <f>Q234/IS!Q$10</f>
        <v>0.28959883119254881</v>
      </c>
      <c r="R246" s="462">
        <f>R234/IS!R$10</f>
        <v>0.26792869444894235</v>
      </c>
      <c r="S246" s="463">
        <f>S234/IS!S$10</f>
        <v>0.30975154067092381</v>
      </c>
      <c r="T246" s="461">
        <f>T234/IS!T$10</f>
        <v>0.31479634765807596</v>
      </c>
      <c r="U246" s="462">
        <f>U234/IS!U$10</f>
        <v>0.33755847227648544</v>
      </c>
      <c r="V246" s="462">
        <f>V234/IS!V$10</f>
        <v>0.34043192894199026</v>
      </c>
      <c r="W246" s="463">
        <f>W234/IS!W$10</f>
        <v>0.37353921288001668</v>
      </c>
      <c r="X246" s="461">
        <f>X234/IS!X$10</f>
        <v>0.37100547961395153</v>
      </c>
      <c r="Y246" s="462">
        <f>Y234/IS!Y$10</f>
        <v>0.37221341216701254</v>
      </c>
      <c r="Z246" s="462">
        <f>Z234/IS!Z$10</f>
        <v>0.36389930369576862</v>
      </c>
      <c r="AA246" s="463">
        <f>AA234/IS!AA$10</f>
        <v>0.37411391384712661</v>
      </c>
      <c r="AB246" s="461">
        <f>AB234/IS!AB$10</f>
        <v>0.43463699799686167</v>
      </c>
      <c r="AC246" s="462">
        <f>AC234/IS!AC$10</f>
        <v>0.44033488963556822</v>
      </c>
      <c r="AD246" s="462">
        <f>AD234/IS!AD$10</f>
        <v>0.44539330406223959</v>
      </c>
      <c r="AE246" s="463">
        <f>AE234/IS!AE$10</f>
        <v>0.41258041907180049</v>
      </c>
      <c r="AF246" s="461">
        <f>AF234/IS!AF$10</f>
        <v>0.44120691730530026</v>
      </c>
      <c r="AG246" s="462">
        <f>AG234/IS!AG$10</f>
        <v>0.44023849094507567</v>
      </c>
      <c r="AH246" s="462">
        <f>AH234/IS!AH$10</f>
        <v>0.37330794003478351</v>
      </c>
      <c r="AI246" s="463">
        <f>AI234/IS!AI$10</f>
        <v>0.37638648194490576</v>
      </c>
      <c r="AJ246" s="461">
        <f>AJ234/IS!AJ$10</f>
        <v>0.39966099435958863</v>
      </c>
      <c r="AK246" s="462">
        <f>AK234/IS!AK$10</f>
        <v>0.4374050822700935</v>
      </c>
      <c r="AL246" s="462">
        <f>AL234/IS!AL$10</f>
        <v>0.39736594015661708</v>
      </c>
      <c r="AM246" s="463">
        <f>AM234/IS!AM$10</f>
        <v>0.39195787487917672</v>
      </c>
      <c r="AN246" s="466"/>
      <c r="AO246" s="464"/>
      <c r="AP246" s="464"/>
      <c r="AQ246" s="465"/>
      <c r="AR246" s="466"/>
      <c r="AS246" s="464"/>
      <c r="AT246" s="464"/>
      <c r="AU246" s="465"/>
      <c r="AV246" s="466"/>
      <c r="AW246" s="464"/>
      <c r="AX246" s="464"/>
      <c r="AY246" s="465"/>
      <c r="AZ246" s="466"/>
      <c r="BA246" s="464"/>
      <c r="BB246" s="464"/>
      <c r="BC246" s="465"/>
      <c r="BD246" s="466"/>
      <c r="BE246" s="464"/>
      <c r="BF246" s="464"/>
      <c r="BG246" s="465"/>
      <c r="BH246" s="466"/>
      <c r="BI246" s="464"/>
      <c r="BJ246" s="464"/>
      <c r="BK246" s="465"/>
      <c r="BL246" s="424"/>
      <c r="BM246" s="564"/>
      <c r="BN246" s="415">
        <f>BN234/IS!BN$10</f>
        <v>0.28961975467915368</v>
      </c>
      <c r="BO246" s="270">
        <f>BO234/IS!BO$10</f>
        <v>0.32784566123160613</v>
      </c>
      <c r="BP246" s="270">
        <f>BP234/IS!BP$10</f>
        <v>0.30138911249289951</v>
      </c>
      <c r="BQ246" s="270">
        <f>BQ234/IS!BQ$10</f>
        <v>0.34336552358001066</v>
      </c>
      <c r="BR246" s="270">
        <f>BR234/IS!BR$10</f>
        <v>0.37034858864533671</v>
      </c>
      <c r="BS246" s="467">
        <f>BS234/IS!BS$10</f>
        <v>0.43304366204859607</v>
      </c>
      <c r="BT246" s="467"/>
      <c r="BU246" s="415"/>
      <c r="BV246" s="415"/>
      <c r="BW246" s="415"/>
      <c r="BX246" s="414"/>
      <c r="BY246" s="414"/>
      <c r="BZ246" s="414"/>
      <c r="CA246" s="459"/>
      <c r="CB246" s="448"/>
      <c r="CC246" s="448"/>
      <c r="CD246" s="448"/>
      <c r="CE246" s="448"/>
      <c r="CF246" s="448"/>
      <c r="CG246" s="448"/>
      <c r="CH246" s="448"/>
      <c r="CI246" s="448"/>
    </row>
    <row r="247" spans="1:256" ht="14.25" hidden="1" customHeight="1" outlineLevel="2">
      <c r="B247" s="460" t="str">
        <f t="shared" si="283"/>
        <v>Japan</v>
      </c>
      <c r="C247" s="372"/>
      <c r="D247" s="564"/>
      <c r="E247" s="565"/>
      <c r="F247" s="565"/>
      <c r="G247" s="566"/>
      <c r="H247" s="461">
        <f>H235/IS!H$10</f>
        <v>9.8047718028026129E-2</v>
      </c>
      <c r="I247" s="462">
        <f>I235/IS!I$10</f>
        <v>0.10417868622764362</v>
      </c>
      <c r="J247" s="462">
        <f>J235/IS!J$10</f>
        <v>0.17323042832321911</v>
      </c>
      <c r="K247" s="463">
        <f>K235/IS!K$10</f>
        <v>2.0925296316471626E-2</v>
      </c>
      <c r="L247" s="461">
        <f>L235/IS!L$10</f>
        <v>8.7278493210019056E-2</v>
      </c>
      <c r="M247" s="462">
        <f>M235/IS!M$10</f>
        <v>7.6187213554928024E-2</v>
      </c>
      <c r="N247" s="462">
        <f>N235/IS!N$10</f>
        <v>8.0700026671590652E-2</v>
      </c>
      <c r="O247" s="463">
        <f>O235/IS!O$10</f>
        <v>7.8064185354312157E-2</v>
      </c>
      <c r="P247" s="461">
        <f>P235/IS!P$10</f>
        <v>7.5536109049409023E-2</v>
      </c>
      <c r="Q247" s="462">
        <f>Q235/IS!Q$10</f>
        <v>8.1568149996956218E-2</v>
      </c>
      <c r="R247" s="462">
        <f>R235/IS!R$10</f>
        <v>6.6491984749679836E-2</v>
      </c>
      <c r="S247" s="463">
        <f>S235/IS!S$10</f>
        <v>6.7992323897067192E-2</v>
      </c>
      <c r="T247" s="461">
        <f>T235/IS!T$10</f>
        <v>7.6595005854253564E-2</v>
      </c>
      <c r="U247" s="462">
        <f>U235/IS!U$10</f>
        <v>6.4861725605313461E-2</v>
      </c>
      <c r="V247" s="462">
        <f>V235/IS!V$10</f>
        <v>6.2845857569564539E-2</v>
      </c>
      <c r="W247" s="463">
        <f>W235/IS!W$10</f>
        <v>6.0797368021174601E-2</v>
      </c>
      <c r="X247" s="461">
        <f>X235/IS!X$10</f>
        <v>5.9287155088566593E-2</v>
      </c>
      <c r="Y247" s="462">
        <f>Y235/IS!Y$10</f>
        <v>7.3958781993552339E-2</v>
      </c>
      <c r="Z247" s="462">
        <f>Z235/IS!Z$10</f>
        <v>6.8399324296485514E-2</v>
      </c>
      <c r="AA247" s="463">
        <f>AA235/IS!AA$10</f>
        <v>6.2417496819587227E-2</v>
      </c>
      <c r="AB247" s="461">
        <f>AB235/IS!AB$10</f>
        <v>5.8029691730529145E-2</v>
      </c>
      <c r="AC247" s="462">
        <f>AC235/IS!AC$10</f>
        <v>6.3120710093192117E-2</v>
      </c>
      <c r="AD247" s="462">
        <f>AD235/IS!AD$10</f>
        <v>5.4274069872481671E-2</v>
      </c>
      <c r="AE247" s="463">
        <f>AE235/IS!AE$10</f>
        <v>7.3615271193276904E-2</v>
      </c>
      <c r="AF247" s="461">
        <f>AF235/IS!AF$10</f>
        <v>5.7482646551378247E-2</v>
      </c>
      <c r="AG247" s="462">
        <f>AG235/IS!AG$10</f>
        <v>5.8104495907854867E-2</v>
      </c>
      <c r="AH247" s="462">
        <f>AH235/IS!AH$10</f>
        <v>0</v>
      </c>
      <c r="AI247" s="463">
        <f>AI235/IS!AI$10</f>
        <v>0.26965409063555384</v>
      </c>
      <c r="AJ247" s="461">
        <f>AJ235/IS!AJ$10</f>
        <v>0</v>
      </c>
      <c r="AK247" s="462">
        <f>AK235/IS!AK$10</f>
        <v>0</v>
      </c>
      <c r="AL247" s="462">
        <f>AL235/IS!AL$10</f>
        <v>0</v>
      </c>
      <c r="AM247" s="463">
        <f>AM235/IS!AM$10</f>
        <v>0.52474757458359733</v>
      </c>
      <c r="AN247" s="466"/>
      <c r="AO247" s="464"/>
      <c r="AP247" s="464"/>
      <c r="AQ247" s="465"/>
      <c r="AR247" s="466"/>
      <c r="AS247" s="464"/>
      <c r="AT247" s="464"/>
      <c r="AU247" s="465"/>
      <c r="AV247" s="466"/>
      <c r="AW247" s="464"/>
      <c r="AX247" s="464"/>
      <c r="AY247" s="465"/>
      <c r="AZ247" s="466"/>
      <c r="BA247" s="464"/>
      <c r="BB247" s="464"/>
      <c r="BC247" s="465"/>
      <c r="BD247" s="466"/>
      <c r="BE247" s="464"/>
      <c r="BF247" s="464"/>
      <c r="BG247" s="465"/>
      <c r="BH247" s="466"/>
      <c r="BI247" s="464"/>
      <c r="BJ247" s="464"/>
      <c r="BK247" s="465"/>
      <c r="BL247" s="424"/>
      <c r="BM247" s="564"/>
      <c r="BN247" s="415">
        <f>BN235/IS!BN$10</f>
        <v>9.6963154091036688E-2</v>
      </c>
      <c r="BO247" s="270">
        <f>BO235/IS!BO$10</f>
        <v>8.0548699010075595E-2</v>
      </c>
      <c r="BP247" s="270">
        <f>BP235/IS!BP$10</f>
        <v>7.3366889123124626E-2</v>
      </c>
      <c r="BQ247" s="270">
        <f>BQ235/IS!BQ$10</f>
        <v>6.5835403731372047E-2</v>
      </c>
      <c r="BR247" s="270">
        <f>BR235/IS!BR$10</f>
        <v>6.5954089666433569E-2</v>
      </c>
      <c r="BS247" s="467">
        <f>BS235/IS!BS$10</f>
        <v>6.2312541267444663E-2</v>
      </c>
      <c r="BT247" s="467"/>
      <c r="BU247" s="415"/>
      <c r="BV247" s="415"/>
      <c r="BW247" s="415"/>
      <c r="BX247" s="414"/>
      <c r="BY247" s="414"/>
      <c r="BZ247" s="414"/>
      <c r="CA247" s="459"/>
      <c r="CB247" s="448"/>
      <c r="CC247" s="448"/>
      <c r="CD247" s="448"/>
      <c r="CE247" s="448"/>
      <c r="CF247" s="448"/>
      <c r="CG247" s="448"/>
      <c r="CH247" s="448"/>
      <c r="CI247" s="448"/>
    </row>
    <row r="248" spans="1:256" ht="14.25" hidden="1" customHeight="1" outlineLevel="2">
      <c r="B248" s="460" t="str">
        <f t="shared" si="283"/>
        <v>Korea</v>
      </c>
      <c r="C248" s="372"/>
      <c r="D248" s="564"/>
      <c r="E248" s="565"/>
      <c r="F248" s="565"/>
      <c r="G248" s="566"/>
      <c r="H248" s="461">
        <f>H236/IS!H$10</f>
        <v>0</v>
      </c>
      <c r="I248" s="462">
        <f>I236/IS!I$10</f>
        <v>0</v>
      </c>
      <c r="J248" s="462">
        <f>J236/IS!J$10</f>
        <v>0</v>
      </c>
      <c r="K248" s="463">
        <f>K236/IS!K$10</f>
        <v>0</v>
      </c>
      <c r="L248" s="461">
        <f>L236/IS!L$10</f>
        <v>0</v>
      </c>
      <c r="M248" s="462">
        <f>M236/IS!M$10</f>
        <v>0</v>
      </c>
      <c r="N248" s="462">
        <f>N236/IS!N$10</f>
        <v>0</v>
      </c>
      <c r="O248" s="463">
        <f>O236/IS!O$10</f>
        <v>0</v>
      </c>
      <c r="P248" s="461">
        <f>P236/IS!P$10</f>
        <v>0.10876808644783362</v>
      </c>
      <c r="Q248" s="462">
        <f>Q236/IS!Q$10</f>
        <v>0.12960857125464173</v>
      </c>
      <c r="R248" s="462">
        <f>R236/IS!R$10</f>
        <v>0.15356601357219613</v>
      </c>
      <c r="S248" s="463">
        <f>S236/IS!S$10</f>
        <v>0.17727538906535581</v>
      </c>
      <c r="T248" s="461">
        <f>T236/IS!T$10</f>
        <v>0.18367442336715298</v>
      </c>
      <c r="U248" s="462">
        <f>U236/IS!U$10</f>
        <v>0.1568482519033188</v>
      </c>
      <c r="V248" s="462">
        <f>V236/IS!V$10</f>
        <v>0.16035607608866531</v>
      </c>
      <c r="W248" s="463">
        <f>W236/IS!W$10</f>
        <v>0.12993981928115311</v>
      </c>
      <c r="X248" s="461">
        <f>X236/IS!X$10</f>
        <v>0.13718998497138815</v>
      </c>
      <c r="Y248" s="462">
        <f>Y236/IS!Y$10</f>
        <v>0.10845177963115235</v>
      </c>
      <c r="Z248" s="462">
        <f>Z236/IS!Z$10</f>
        <v>0.1064974661118207</v>
      </c>
      <c r="AA248" s="463">
        <f>AA236/IS!AA$10</f>
        <v>0.1229259478587881</v>
      </c>
      <c r="AB248" s="461">
        <f>AB236/IS!AB$10</f>
        <v>0.10339747359285034</v>
      </c>
      <c r="AC248" s="462">
        <f>AC236/IS!AC$10</f>
        <v>7.0478338877061134E-2</v>
      </c>
      <c r="AD248" s="462">
        <f>AD236/IS!AD$10</f>
        <v>6.9953012191620617E-2</v>
      </c>
      <c r="AE248" s="463">
        <f>AE236/IS!AE$10</f>
        <v>8.9960261572742478E-2</v>
      </c>
      <c r="AF248" s="461">
        <f>AF236/IS!AF$10</f>
        <v>0.10332463989086386</v>
      </c>
      <c r="AG248" s="462">
        <f>AG236/IS!AG$10</f>
        <v>9.3532857761198462E-2</v>
      </c>
      <c r="AH248" s="462">
        <f>AH236/IS!AH$10</f>
        <v>0.12128275834705496</v>
      </c>
      <c r="AI248" s="463">
        <f>AI236/IS!AI$10</f>
        <v>6.8270979325675676E-2</v>
      </c>
      <c r="AJ248" s="461">
        <f>AJ236/IS!AJ$10</f>
        <v>5.9865935571841347E-2</v>
      </c>
      <c r="AK248" s="462">
        <f>AK236/IS!AK$10</f>
        <v>5.4372744948200311E-2</v>
      </c>
      <c r="AL248" s="462">
        <f>AL236/IS!AL$10</f>
        <v>5.4842400537576705E-2</v>
      </c>
      <c r="AM248" s="463">
        <f>AM236/IS!AM$10</f>
        <v>6.6710041138299703E-2</v>
      </c>
      <c r="AN248" s="466"/>
      <c r="AO248" s="464"/>
      <c r="AP248" s="464"/>
      <c r="AQ248" s="465"/>
      <c r="AR248" s="466"/>
      <c r="AS248" s="464"/>
      <c r="AT248" s="464"/>
      <c r="AU248" s="465"/>
      <c r="AV248" s="466"/>
      <c r="AW248" s="464"/>
      <c r="AX248" s="464"/>
      <c r="AY248" s="465"/>
      <c r="AZ248" s="466"/>
      <c r="BA248" s="464"/>
      <c r="BB248" s="464"/>
      <c r="BC248" s="465"/>
      <c r="BD248" s="466"/>
      <c r="BE248" s="464"/>
      <c r="BF248" s="464"/>
      <c r="BG248" s="465"/>
      <c r="BH248" s="466"/>
      <c r="BI248" s="464"/>
      <c r="BJ248" s="464"/>
      <c r="BK248" s="465"/>
      <c r="BL248" s="424"/>
      <c r="BM248" s="564"/>
      <c r="BN248" s="415">
        <f>BN236/IS!BN$10</f>
        <v>0</v>
      </c>
      <c r="BO248" s="270">
        <f>BO236/IS!BO$10</f>
        <v>0</v>
      </c>
      <c r="BP248" s="270">
        <f>BP236/IS!BP$10</f>
        <v>0.13962995476954945</v>
      </c>
      <c r="BQ248" s="270">
        <f>BQ236/IS!BQ$10</f>
        <v>0.15615114714985909</v>
      </c>
      <c r="BR248" s="270">
        <f>BR236/IS!BR$10</f>
        <v>0.11891806186929717</v>
      </c>
      <c r="BS248" s="467">
        <f>BS236/IS!BS$10</f>
        <v>8.3967782373335201E-2</v>
      </c>
      <c r="BT248" s="467"/>
      <c r="BU248" s="415"/>
      <c r="BV248" s="415"/>
      <c r="BW248" s="415"/>
      <c r="BX248" s="414"/>
      <c r="BY248" s="414"/>
      <c r="BZ248" s="414"/>
      <c r="CA248" s="459"/>
      <c r="CB248" s="448"/>
      <c r="CC248" s="448"/>
      <c r="CD248" s="448"/>
      <c r="CE248" s="448"/>
      <c r="CF248" s="448"/>
      <c r="CG248" s="448"/>
      <c r="CH248" s="448"/>
      <c r="CI248" s="448"/>
    </row>
    <row r="249" spans="1:256" ht="14.25" hidden="1" customHeight="1" outlineLevel="2">
      <c r="B249" s="460" t="str">
        <f t="shared" si="283"/>
        <v>Rest of Asia</v>
      </c>
      <c r="C249" s="372"/>
      <c r="D249" s="564"/>
      <c r="E249" s="565"/>
      <c r="F249" s="565"/>
      <c r="G249" s="566"/>
      <c r="H249" s="461">
        <f>H237/IS!H$10</f>
        <v>0.20306318312464569</v>
      </c>
      <c r="I249" s="462">
        <f>I237/IS!I$10</f>
        <v>0.18829919610495868</v>
      </c>
      <c r="J249" s="462">
        <f>J237/IS!J$10</f>
        <v>0.176103123242599</v>
      </c>
      <c r="K249" s="463">
        <f>K237/IS!K$10</f>
        <v>0.25312094971542354</v>
      </c>
      <c r="L249" s="461">
        <f>L237/IS!L$10</f>
        <v>0.18048355120677909</v>
      </c>
      <c r="M249" s="462">
        <f>M237/IS!M$10</f>
        <v>0.20576825146983937</v>
      </c>
      <c r="N249" s="462">
        <f>N237/IS!N$10</f>
        <v>0.1793500338524035</v>
      </c>
      <c r="O249" s="463">
        <f>O237/IS!O$10</f>
        <v>0.25254804325838331</v>
      </c>
      <c r="P249" s="461">
        <f>P237/IS!P$10</f>
        <v>0.11056176726442726</v>
      </c>
      <c r="Q249" s="462">
        <f>Q237/IS!Q$10</f>
        <v>0.11143361538929809</v>
      </c>
      <c r="R249" s="462">
        <f>R237/IS!R$10</f>
        <v>8.2775676033739115E-2</v>
      </c>
      <c r="S249" s="463">
        <f>S237/IS!S$10</f>
        <v>0.10117347029312669</v>
      </c>
      <c r="T249" s="461">
        <f>T237/IS!T$10</f>
        <v>0.11514626730121137</v>
      </c>
      <c r="U249" s="462">
        <f>U237/IS!U$10</f>
        <v>0.11561830142656516</v>
      </c>
      <c r="V249" s="462">
        <f>V237/IS!V$10</f>
        <v>0.11118731331551643</v>
      </c>
      <c r="W249" s="463">
        <f>W237/IS!W$10</f>
        <v>0.1073022570419922</v>
      </c>
      <c r="X249" s="461">
        <f>X237/IS!X$10</f>
        <v>0.10232392487929996</v>
      </c>
      <c r="Y249" s="462">
        <f>Y237/IS!Y$10</f>
        <v>0.11689801219050601</v>
      </c>
      <c r="Z249" s="462">
        <f>Z237/IS!Z$10</f>
        <v>0.11984673066622718</v>
      </c>
      <c r="AA249" s="463">
        <f>AA237/IS!AA$10</f>
        <v>0.11920522401758371</v>
      </c>
      <c r="AB249" s="461">
        <f>AB237/IS!AB$10</f>
        <v>0.12627947710856255</v>
      </c>
      <c r="AC249" s="462">
        <f>AC237/IS!AC$10</f>
        <v>0.14934751986525949</v>
      </c>
      <c r="AD249" s="462">
        <f>AD237/IS!AD$10</f>
        <v>0.14900947459086994</v>
      </c>
      <c r="AE249" s="463">
        <f>AE237/IS!AE$10</f>
        <v>0.1700751790212843</v>
      </c>
      <c r="AF249" s="461">
        <f>AF237/IS!AF$10</f>
        <v>0.16307988604903101</v>
      </c>
      <c r="AG249" s="462">
        <f>AG237/IS!AG$10</f>
        <v>0.16863371583959186</v>
      </c>
      <c r="AH249" s="462">
        <f>AH237/IS!AH$10</f>
        <v>0.25001653209541003</v>
      </c>
      <c r="AI249" s="463">
        <f>AI237/IS!AI$10</f>
        <v>-4.2685393147581178E-2</v>
      </c>
      <c r="AJ249" s="461">
        <f>AJ237/IS!AJ$10</f>
        <v>0.2363915036711372</v>
      </c>
      <c r="AK249" s="462">
        <f>AK237/IS!AK$10</f>
        <v>0.23412395167297034</v>
      </c>
      <c r="AL249" s="462">
        <f>AL237/IS!AL$10</f>
        <v>0.26532613702592617</v>
      </c>
      <c r="AM249" s="463">
        <f>AM237/IS!AM$10</f>
        <v>-0.27693313430884386</v>
      </c>
      <c r="AN249" s="466"/>
      <c r="AO249" s="464"/>
      <c r="AP249" s="464"/>
      <c r="AQ249" s="465"/>
      <c r="AR249" s="466"/>
      <c r="AS249" s="464"/>
      <c r="AT249" s="464"/>
      <c r="AU249" s="465"/>
      <c r="AV249" s="466"/>
      <c r="AW249" s="464"/>
      <c r="AX249" s="464"/>
      <c r="AY249" s="465"/>
      <c r="AZ249" s="466"/>
      <c r="BA249" s="464"/>
      <c r="BB249" s="464"/>
      <c r="BC249" s="465"/>
      <c r="BD249" s="466"/>
      <c r="BE249" s="464"/>
      <c r="BF249" s="464"/>
      <c r="BG249" s="465"/>
      <c r="BH249" s="466"/>
      <c r="BI249" s="464"/>
      <c r="BJ249" s="464"/>
      <c r="BK249" s="465"/>
      <c r="BL249" s="424"/>
      <c r="BM249" s="564"/>
      <c r="BN249" s="415">
        <f>BN237/IS!BN$10</f>
        <v>0.20627696448800575</v>
      </c>
      <c r="BO249" s="270">
        <f>BO237/IS!BO$10</f>
        <v>0.20446340407144842</v>
      </c>
      <c r="BP249" s="270">
        <f>BP237/IS!BP$10</f>
        <v>0.10279553953032018</v>
      </c>
      <c r="BQ249" s="270">
        <f>BQ237/IS!BQ$10</f>
        <v>0.11202726467671505</v>
      </c>
      <c r="BR249" s="270">
        <f>BR237/IS!BR$10</f>
        <v>0.11451535204892854</v>
      </c>
      <c r="BS249" s="467">
        <f>BS237/IS!BS$10</f>
        <v>0.14838015268382454</v>
      </c>
      <c r="BT249" s="467"/>
      <c r="BU249" s="415"/>
      <c r="BV249" s="415"/>
      <c r="BW249" s="415"/>
      <c r="BX249" s="414"/>
      <c r="BY249" s="414"/>
      <c r="BZ249" s="414"/>
      <c r="CA249" s="459"/>
      <c r="CB249" s="448"/>
      <c r="CC249" s="448"/>
      <c r="CD249" s="448"/>
      <c r="CE249" s="448"/>
      <c r="CF249" s="448"/>
      <c r="CG249" s="448"/>
      <c r="CH249" s="448"/>
      <c r="CI249" s="448"/>
    </row>
    <row r="250" spans="1:256" ht="14.25" hidden="1" customHeight="1" outlineLevel="2">
      <c r="B250" s="460" t="str">
        <f t="shared" si="283"/>
        <v>Europe</v>
      </c>
      <c r="C250" s="372"/>
      <c r="D250" s="564"/>
      <c r="E250" s="565"/>
      <c r="F250" s="565"/>
      <c r="G250" s="566"/>
      <c r="H250" s="461">
        <f>H238/IS!H$10</f>
        <v>0.17959402878198691</v>
      </c>
      <c r="I250" s="462">
        <f>I238/IS!I$10</f>
        <v>0.17071964587609281</v>
      </c>
      <c r="J250" s="462">
        <f>J238/IS!J$10</f>
        <v>9.7002241079747184E-2</v>
      </c>
      <c r="K250" s="463">
        <f>K238/IS!K$10</f>
        <v>0.26152300092041247</v>
      </c>
      <c r="L250" s="461">
        <f>L238/IS!L$10</f>
        <v>0.17002142798536868</v>
      </c>
      <c r="M250" s="462">
        <f>M238/IS!M$10</f>
        <v>0.16440535160409242</v>
      </c>
      <c r="N250" s="462">
        <f>N238/IS!N$10</f>
        <v>0.20615293079748054</v>
      </c>
      <c r="O250" s="463">
        <f>O238/IS!O$10</f>
        <v>0.18124871575427867</v>
      </c>
      <c r="P250" s="461">
        <f>P238/IS!P$10</f>
        <v>0.18087445431401186</v>
      </c>
      <c r="Q250" s="462">
        <f>Q238/IS!Q$10</f>
        <v>0.17841845741766604</v>
      </c>
      <c r="R250" s="462">
        <f>R238/IS!R$10</f>
        <v>0.19714718914224308</v>
      </c>
      <c r="S250" s="463">
        <f>S238/IS!S$10</f>
        <v>0.15370711661947262</v>
      </c>
      <c r="T250" s="461">
        <f>T238/IS!T$10</f>
        <v>0.13553376101289716</v>
      </c>
      <c r="U250" s="462">
        <f>U238/IS!U$10</f>
        <v>0.13765561809024002</v>
      </c>
      <c r="V250" s="462">
        <f>V238/IS!V$10</f>
        <v>0.15185898443640938</v>
      </c>
      <c r="W250" s="463">
        <f>W238/IS!W$10</f>
        <v>0.15076453896197972</v>
      </c>
      <c r="X250" s="461">
        <f>X238/IS!X$10</f>
        <v>0.14358313409642268</v>
      </c>
      <c r="Y250" s="462">
        <f>Y238/IS!Y$10</f>
        <v>0.15434890429017056</v>
      </c>
      <c r="Z250" s="462">
        <f>Z238/IS!Z$10</f>
        <v>0.16543364509084918</v>
      </c>
      <c r="AA250" s="463">
        <f>AA238/IS!AA$10</f>
        <v>0.15049378203358083</v>
      </c>
      <c r="AB250" s="461">
        <f>AB238/IS!AB$10</f>
        <v>0.13150587576768627</v>
      </c>
      <c r="AC250" s="462">
        <f>AC238/IS!AC$10</f>
        <v>0.12005397736400393</v>
      </c>
      <c r="AD250" s="462">
        <f>AD238/IS!AD$10</f>
        <v>0.13293313165689799</v>
      </c>
      <c r="AE250" s="463">
        <f>AE238/IS!AE$10</f>
        <v>0.11869788877207596</v>
      </c>
      <c r="AF250" s="461">
        <f>AF238/IS!AF$10</f>
        <v>0.11380170926453476</v>
      </c>
      <c r="AG250" s="462">
        <f>AG238/IS!AG$10</f>
        <v>0.11059034603985422</v>
      </c>
      <c r="AH250" s="462">
        <f>AH238/IS!AH$10</f>
        <v>0.12520417137831386</v>
      </c>
      <c r="AI250" s="463">
        <f>AI238/IS!AI$10</f>
        <v>0.13386518117574328</v>
      </c>
      <c r="AJ250" s="461">
        <f>AJ238/IS!AJ$10</f>
        <v>0.12409588528486556</v>
      </c>
      <c r="AK250" s="462">
        <f>AK238/IS!AK$10</f>
        <v>0.11833641261764961</v>
      </c>
      <c r="AL250" s="462">
        <f>AL238/IS!AL$10</f>
        <v>0.13869512168947018</v>
      </c>
      <c r="AM250" s="463">
        <f>AM238/IS!AM$10</f>
        <v>0.14761069440142452</v>
      </c>
      <c r="AN250" s="466"/>
      <c r="AO250" s="464"/>
      <c r="AP250" s="464"/>
      <c r="AQ250" s="465"/>
      <c r="AR250" s="466"/>
      <c r="AS250" s="464"/>
      <c r="AT250" s="464"/>
      <c r="AU250" s="465"/>
      <c r="AV250" s="466"/>
      <c r="AW250" s="464"/>
      <c r="AX250" s="464"/>
      <c r="AY250" s="465"/>
      <c r="AZ250" s="466"/>
      <c r="BA250" s="464"/>
      <c r="BB250" s="464"/>
      <c r="BC250" s="465"/>
      <c r="BD250" s="466"/>
      <c r="BE250" s="464"/>
      <c r="BF250" s="464"/>
      <c r="BG250" s="465"/>
      <c r="BH250" s="466"/>
      <c r="BI250" s="464"/>
      <c r="BJ250" s="464"/>
      <c r="BK250" s="465"/>
      <c r="BL250" s="424"/>
      <c r="BM250" s="564"/>
      <c r="BN250" s="415">
        <f>BN238/IS!BN$10</f>
        <v>0.17951555006062345</v>
      </c>
      <c r="BO250" s="270">
        <f>BO238/IS!BO$10</f>
        <v>0.17986460332144216</v>
      </c>
      <c r="BP250" s="270">
        <f>BP238/IS!BP$10</f>
        <v>0.17710895708726831</v>
      </c>
      <c r="BQ250" s="270">
        <f>BQ238/IS!BQ$10</f>
        <v>0.14451069606923894</v>
      </c>
      <c r="BR250" s="270">
        <f>BR238/IS!BR$10</f>
        <v>0.15336597985472072</v>
      </c>
      <c r="BS250" s="467">
        <f>BS238/IS!BS$10</f>
        <v>0.12580376604567703</v>
      </c>
      <c r="BT250" s="467"/>
      <c r="BU250" s="415"/>
      <c r="BV250" s="415"/>
      <c r="BW250" s="415"/>
      <c r="BX250" s="414"/>
      <c r="BY250" s="414"/>
      <c r="BZ250" s="414"/>
      <c r="CA250" s="459"/>
      <c r="CB250" s="448"/>
      <c r="CC250" s="448"/>
      <c r="CD250" s="448"/>
      <c r="CE250" s="448"/>
      <c r="CF250" s="448"/>
      <c r="CG250" s="448"/>
      <c r="CH250" s="448"/>
      <c r="CI250" s="448"/>
    </row>
    <row r="251" spans="1:256" s="121" customFormat="1" ht="14.25" hidden="1" customHeight="1" outlineLevel="2">
      <c r="A251"/>
      <c r="B251" s="460" t="str">
        <f t="shared" si="283"/>
        <v>Rest of World</v>
      </c>
      <c r="C251" s="372"/>
      <c r="D251" s="564"/>
      <c r="E251" s="565"/>
      <c r="F251" s="565"/>
      <c r="G251" s="566"/>
      <c r="H251" s="461">
        <f>H239/IS!H$10</f>
        <v>2.5503983132602014E-2</v>
      </c>
      <c r="I251" s="462">
        <f>I239/IS!I$10</f>
        <v>2.5202380928449526E-2</v>
      </c>
      <c r="J251" s="462">
        <f>J239/IS!J$10</f>
        <v>2.8626226508532051E-2</v>
      </c>
      <c r="K251" s="463">
        <f>K239/IS!K$10</f>
        <v>6.7453087138644131E-3</v>
      </c>
      <c r="L251" s="461">
        <f>L239/IS!L$10</f>
        <v>2.2158788431559242E-2</v>
      </c>
      <c r="M251" s="462">
        <f>M239/IS!M$10</f>
        <v>2.1528632933660478E-2</v>
      </c>
      <c r="N251" s="462">
        <f>N239/IS!N$10</f>
        <v>2.2317966393795775E-2</v>
      </c>
      <c r="O251" s="463">
        <f>O239/IS!O$10</f>
        <v>2.1142425094809767E-2</v>
      </c>
      <c r="P251" s="461">
        <f>P239/IS!P$10</f>
        <v>2.2186574728054843E-2</v>
      </c>
      <c r="Q251" s="462">
        <f>Q239/IS!Q$10</f>
        <v>2.5280331162111157E-2</v>
      </c>
      <c r="R251" s="462">
        <f>R239/IS!R$10</f>
        <v>2.1871549909469625E-2</v>
      </c>
      <c r="S251" s="463">
        <f>S239/IS!S$10</f>
        <v>1.780105508389717E-2</v>
      </c>
      <c r="T251" s="461">
        <f>T239/IS!T$10</f>
        <v>2.0736968164435522E-2</v>
      </c>
      <c r="U251" s="462">
        <f>U239/IS!U$10</f>
        <v>3.9293369798211256E-2</v>
      </c>
      <c r="V251" s="462">
        <f>V239/IS!V$10</f>
        <v>3.5424854582612797E-2</v>
      </c>
      <c r="W251" s="463">
        <f>W239/IS!W$10</f>
        <v>3.234316084825483E-2</v>
      </c>
      <c r="X251" s="461">
        <f>X239/IS!X$10</f>
        <v>3.298947997169957E-2</v>
      </c>
      <c r="Y251" s="462">
        <f>Y239/IS!Y$10</f>
        <v>3.650625840218228E-2</v>
      </c>
      <c r="Z251" s="462">
        <f>Z239/IS!Z$10</f>
        <v>2.9249721890321784E-2</v>
      </c>
      <c r="AA251" s="463">
        <f>AA239/IS!AA$10</f>
        <v>2.595727632160718E-2</v>
      </c>
      <c r="AB251" s="461">
        <f>AB239/IS!AB$10</f>
        <v>2.5193317002147792E-2</v>
      </c>
      <c r="AC251" s="462">
        <f>AC239/IS!AC$10</f>
        <v>3.0663268843460569E-2</v>
      </c>
      <c r="AD251" s="462">
        <f>AD239/IS!AD$10</f>
        <v>2.7163294888762842E-2</v>
      </c>
      <c r="AE251" s="463">
        <f>AE239/IS!AE$10</f>
        <v>2.5211750937258262E-2</v>
      </c>
      <c r="AF251" s="461">
        <f>AF239/IS!AF$10</f>
        <v>2.6218352525779396E-2</v>
      </c>
      <c r="AG251" s="462">
        <f>AG239/IS!AG$10</f>
        <v>2.505179198620202E-2</v>
      </c>
      <c r="AH251" s="462">
        <f>AH239/IS!AH$10</f>
        <v>2.4740280781108442E-2</v>
      </c>
      <c r="AI251" s="463">
        <f>AI239/IS!AI$10</f>
        <v>3.3306806709701167E-2</v>
      </c>
      <c r="AJ251" s="461">
        <f>AJ239/IS!AJ$10</f>
        <v>2.7742417226407586E-2</v>
      </c>
      <c r="AK251" s="462">
        <f>AK239/IS!AK$10</f>
        <v>2.1887101506753468E-2</v>
      </c>
      <c r="AL251" s="462">
        <f>AL239/IS!AL$10</f>
        <v>2.9941503860943304E-2</v>
      </c>
      <c r="AM251" s="463">
        <f>AM239/IS!AM$10</f>
        <v>2.2633069091486401E-2</v>
      </c>
      <c r="AN251" s="466"/>
      <c r="AO251" s="464"/>
      <c r="AP251" s="464"/>
      <c r="AQ251" s="465"/>
      <c r="AR251" s="466"/>
      <c r="AS251" s="464"/>
      <c r="AT251" s="464"/>
      <c r="AU251" s="465"/>
      <c r="AV251" s="466"/>
      <c r="AW251" s="464"/>
      <c r="AX251" s="464"/>
      <c r="AY251" s="465"/>
      <c r="AZ251" s="466"/>
      <c r="BA251" s="464"/>
      <c r="BB251" s="464"/>
      <c r="BC251" s="465"/>
      <c r="BD251" s="466"/>
      <c r="BE251" s="464"/>
      <c r="BF251" s="464"/>
      <c r="BG251" s="465"/>
      <c r="BH251" s="466"/>
      <c r="BI251" s="464"/>
      <c r="BJ251" s="464"/>
      <c r="BK251" s="465"/>
      <c r="BL251" s="424"/>
      <c r="BM251" s="564"/>
      <c r="BN251" s="415">
        <f>BN239/IS!BN$10</f>
        <v>2.1199288844292341E-2</v>
      </c>
      <c r="BO251" s="270">
        <f>BO239/IS!BO$10</f>
        <v>2.1782623881822876E-2</v>
      </c>
      <c r="BP251" s="270">
        <f>BP239/IS!BP$10</f>
        <v>2.1842449795414984E-2</v>
      </c>
      <c r="BQ251" s="270">
        <f>BQ239/IS!BQ$10</f>
        <v>3.2165550412168988E-2</v>
      </c>
      <c r="BR251" s="270">
        <f>BR239/IS!BR$10</f>
        <v>3.1161559024422608E-2</v>
      </c>
      <c r="BS251" s="467">
        <f>BS239/IS!BS$10</f>
        <v>2.7011947848351321E-2</v>
      </c>
      <c r="BT251" s="467"/>
      <c r="BU251" s="415"/>
      <c r="BV251" s="415"/>
      <c r="BW251" s="415"/>
      <c r="BX251" s="414"/>
      <c r="BY251" s="414"/>
      <c r="BZ251" s="414"/>
      <c r="CA251" s="373"/>
      <c r="CB251" s="448"/>
      <c r="CC251" s="448"/>
      <c r="CD251" s="448"/>
      <c r="CE251" s="448"/>
      <c r="CF251" s="371"/>
      <c r="CG251" s="371"/>
      <c r="CH251" s="371"/>
      <c r="CI251" s="37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</row>
    <row r="252" spans="1:256" ht="14.25" hidden="1" customHeight="1" outlineLevel="2">
      <c r="A252" s="121"/>
      <c r="B252" s="469" t="s">
        <v>576</v>
      </c>
      <c r="C252" s="435"/>
      <c r="D252" s="568"/>
      <c r="E252" s="569"/>
      <c r="F252" s="569"/>
      <c r="G252" s="570"/>
      <c r="H252" s="470">
        <f t="shared" ref="H252:AC252" si="284">SUM(H245:H251)</f>
        <v>1</v>
      </c>
      <c r="I252" s="471">
        <f t="shared" si="284"/>
        <v>1</v>
      </c>
      <c r="J252" s="471">
        <f t="shared" si="284"/>
        <v>1</v>
      </c>
      <c r="K252" s="472">
        <f t="shared" si="284"/>
        <v>0.99999999999999978</v>
      </c>
      <c r="L252" s="470">
        <f t="shared" si="284"/>
        <v>0.99999999999999989</v>
      </c>
      <c r="M252" s="471">
        <f t="shared" si="284"/>
        <v>1.0000000000000002</v>
      </c>
      <c r="N252" s="471">
        <f t="shared" si="284"/>
        <v>0.99999999999999978</v>
      </c>
      <c r="O252" s="472">
        <f t="shared" si="284"/>
        <v>1.0000000000000002</v>
      </c>
      <c r="P252" s="470">
        <f t="shared" si="284"/>
        <v>1</v>
      </c>
      <c r="Q252" s="471">
        <f t="shared" si="284"/>
        <v>1</v>
      </c>
      <c r="R252" s="471">
        <f t="shared" si="284"/>
        <v>1</v>
      </c>
      <c r="S252" s="472">
        <f t="shared" si="284"/>
        <v>0.99999999999999978</v>
      </c>
      <c r="T252" s="470">
        <f t="shared" si="284"/>
        <v>1</v>
      </c>
      <c r="U252" s="471">
        <f t="shared" si="284"/>
        <v>1</v>
      </c>
      <c r="V252" s="471">
        <f t="shared" si="284"/>
        <v>1</v>
      </c>
      <c r="W252" s="472">
        <f t="shared" si="284"/>
        <v>1</v>
      </c>
      <c r="X252" s="470">
        <f t="shared" si="284"/>
        <v>1</v>
      </c>
      <c r="Y252" s="471">
        <f t="shared" si="284"/>
        <v>0.99999999999999989</v>
      </c>
      <c r="Z252" s="471">
        <f t="shared" si="284"/>
        <v>1</v>
      </c>
      <c r="AA252" s="472">
        <f t="shared" si="284"/>
        <v>1.0000000000000007</v>
      </c>
      <c r="AB252" s="470">
        <f t="shared" si="284"/>
        <v>1.0000000000000002</v>
      </c>
      <c r="AC252" s="471">
        <f t="shared" si="284"/>
        <v>0.99999999999999989</v>
      </c>
      <c r="AD252" s="471">
        <f t="shared" ref="AD252:AI252" si="285">SUM(AD245:AD251)</f>
        <v>1</v>
      </c>
      <c r="AE252" s="472">
        <f t="shared" si="285"/>
        <v>1.0000000000000004</v>
      </c>
      <c r="AF252" s="470">
        <f t="shared" si="285"/>
        <v>0.99999999999999989</v>
      </c>
      <c r="AG252" s="471">
        <f t="shared" si="285"/>
        <v>0.99999999999999978</v>
      </c>
      <c r="AH252" s="471">
        <f t="shared" si="285"/>
        <v>0.99999999999999989</v>
      </c>
      <c r="AI252" s="472">
        <f t="shared" si="285"/>
        <v>1.0000000000000002</v>
      </c>
      <c r="AJ252" s="470">
        <f>SUM(AJ245:AJ251)</f>
        <v>1.0000000000000002</v>
      </c>
      <c r="AK252" s="471">
        <f>SUM(AK245:AK251)</f>
        <v>1</v>
      </c>
      <c r="AL252" s="471">
        <f>SUM(AL245:AL251)</f>
        <v>1.0000825517062613</v>
      </c>
      <c r="AM252" s="472">
        <f>SUM(AM245:AM251)</f>
        <v>0.99992310889119607</v>
      </c>
      <c r="AN252" s="475"/>
      <c r="AO252" s="473"/>
      <c r="AP252" s="473"/>
      <c r="AQ252" s="474"/>
      <c r="AR252" s="475"/>
      <c r="AS252" s="473"/>
      <c r="AT252" s="473"/>
      <c r="AU252" s="474"/>
      <c r="AV252" s="475"/>
      <c r="AW252" s="473"/>
      <c r="AX252" s="473"/>
      <c r="AY252" s="474"/>
      <c r="AZ252" s="475"/>
      <c r="BA252" s="473"/>
      <c r="BB252" s="473"/>
      <c r="BC252" s="474"/>
      <c r="BD252" s="475"/>
      <c r="BE252" s="473"/>
      <c r="BF252" s="473"/>
      <c r="BG252" s="474"/>
      <c r="BH252" s="475"/>
      <c r="BI252" s="473"/>
      <c r="BJ252" s="473"/>
      <c r="BK252" s="474"/>
      <c r="BL252" s="442"/>
      <c r="BM252" s="568"/>
      <c r="BN252" s="476">
        <f t="shared" ref="BN252:BS252" si="286">SUM(BN245:BN251)</f>
        <v>1</v>
      </c>
      <c r="BO252" s="477">
        <f t="shared" si="286"/>
        <v>1</v>
      </c>
      <c r="BP252" s="477">
        <f t="shared" si="286"/>
        <v>0.99999999999999989</v>
      </c>
      <c r="BQ252" s="477">
        <f t="shared" si="286"/>
        <v>1</v>
      </c>
      <c r="BR252" s="477">
        <f t="shared" si="286"/>
        <v>1.0000000000000002</v>
      </c>
      <c r="BS252" s="477">
        <f t="shared" si="286"/>
        <v>1</v>
      </c>
      <c r="BT252" s="477"/>
      <c r="BU252" s="476"/>
      <c r="BV252" s="476"/>
      <c r="BW252" s="476"/>
      <c r="BX252" s="478"/>
      <c r="BY252" s="478"/>
      <c r="BZ252" s="478"/>
      <c r="CA252" s="435"/>
      <c r="CB252" s="835"/>
      <c r="CC252" s="835"/>
      <c r="CD252" s="835"/>
      <c r="CE252" s="835"/>
      <c r="CF252" s="804"/>
      <c r="CG252" s="804"/>
      <c r="CH252" s="804"/>
      <c r="CI252" s="804"/>
      <c r="CJ252" s="121"/>
      <c r="CK252" s="121"/>
      <c r="CL252" s="121"/>
      <c r="CM252" s="121"/>
      <c r="CN252" s="121"/>
      <c r="CO252" s="121"/>
      <c r="CP252" s="121"/>
      <c r="CQ252" s="121"/>
      <c r="CR252" s="121"/>
      <c r="CS252" s="121"/>
      <c r="CT252" s="121"/>
      <c r="CU252" s="121"/>
      <c r="CV252" s="121"/>
      <c r="CW252" s="121"/>
      <c r="CX252" s="121"/>
      <c r="CY252" s="121"/>
      <c r="CZ252" s="121"/>
      <c r="DA252" s="121"/>
      <c r="DB252" s="121"/>
      <c r="DC252" s="121"/>
      <c r="DD252" s="121"/>
      <c r="DE252" s="121"/>
      <c r="DF252" s="121"/>
      <c r="DG252" s="121"/>
      <c r="DH252" s="121"/>
      <c r="DI252" s="121"/>
      <c r="DJ252" s="121"/>
      <c r="DK252" s="121"/>
      <c r="DL252" s="121"/>
      <c r="DM252" s="121"/>
      <c r="DN252" s="121"/>
      <c r="DO252" s="121"/>
      <c r="DP252" s="121"/>
      <c r="DQ252" s="121"/>
      <c r="DR252" s="121"/>
      <c r="DS252" s="121"/>
      <c r="DT252" s="121"/>
      <c r="DU252" s="121"/>
      <c r="DV252" s="121"/>
      <c r="DW252" s="121"/>
      <c r="DX252" s="121"/>
      <c r="DY252" s="121"/>
      <c r="DZ252" s="121"/>
      <c r="EA252" s="121"/>
      <c r="EB252" s="121"/>
      <c r="EC252" s="121"/>
      <c r="ED252" s="121"/>
      <c r="EE252" s="121"/>
      <c r="EF252" s="121"/>
      <c r="EG252" s="121"/>
      <c r="EH252" s="121"/>
      <c r="EI252" s="121"/>
      <c r="EJ252" s="121"/>
      <c r="EK252" s="121"/>
      <c r="EL252" s="121"/>
      <c r="EM252" s="121"/>
      <c r="EN252" s="121"/>
      <c r="EO252" s="121"/>
      <c r="EP252" s="121"/>
      <c r="EQ252" s="121"/>
      <c r="ER252" s="121"/>
      <c r="ES252" s="121"/>
      <c r="ET252" s="121"/>
      <c r="EU252" s="121"/>
      <c r="EV252" s="121"/>
      <c r="EW252" s="121"/>
      <c r="EX252" s="121"/>
      <c r="EY252" s="121"/>
      <c r="EZ252" s="121"/>
      <c r="FA252" s="121"/>
      <c r="FB252" s="121"/>
      <c r="FC252" s="121"/>
      <c r="FD252" s="121"/>
      <c r="FE252" s="121"/>
      <c r="FF252" s="121"/>
      <c r="FG252" s="121"/>
      <c r="FH252" s="121"/>
      <c r="FI252" s="121"/>
      <c r="FJ252" s="121"/>
      <c r="FK252" s="121"/>
      <c r="FL252" s="121"/>
      <c r="FM252" s="121"/>
      <c r="FN252" s="121"/>
      <c r="FO252" s="121"/>
      <c r="FP252" s="121"/>
      <c r="FQ252" s="121"/>
      <c r="FR252" s="121"/>
      <c r="FS252" s="121"/>
      <c r="FT252" s="121"/>
      <c r="FU252" s="121"/>
      <c r="FV252" s="121"/>
      <c r="FW252" s="121"/>
      <c r="FX252" s="121"/>
      <c r="FY252" s="121"/>
      <c r="FZ252" s="121"/>
      <c r="GA252" s="121"/>
      <c r="GB252" s="121"/>
      <c r="GC252" s="121"/>
      <c r="GD252" s="121"/>
      <c r="GE252" s="121"/>
      <c r="GF252" s="121"/>
      <c r="GG252" s="121"/>
      <c r="GH252" s="121"/>
      <c r="GI252" s="121"/>
      <c r="GJ252" s="121"/>
      <c r="GK252" s="121"/>
      <c r="GL252" s="121"/>
      <c r="GM252" s="121"/>
      <c r="GN252" s="121"/>
      <c r="GO252" s="121"/>
      <c r="GP252" s="121"/>
      <c r="GQ252" s="121"/>
      <c r="GR252" s="121"/>
      <c r="GS252" s="121"/>
      <c r="GT252" s="121"/>
      <c r="GU252" s="121"/>
      <c r="GV252" s="121"/>
      <c r="GW252" s="121"/>
      <c r="GX252" s="121"/>
      <c r="GY252" s="121"/>
      <c r="GZ252" s="121"/>
      <c r="HA252" s="121"/>
      <c r="HB252" s="121"/>
      <c r="HC252" s="121"/>
      <c r="HD252" s="121"/>
      <c r="HE252" s="121"/>
      <c r="HF252" s="121"/>
      <c r="HG252" s="121"/>
      <c r="HH252" s="121"/>
      <c r="HI252" s="121"/>
      <c r="HJ252" s="121"/>
      <c r="HK252" s="121"/>
      <c r="HL252" s="121"/>
      <c r="HM252" s="121"/>
      <c r="HN252" s="121"/>
      <c r="HO252" s="121"/>
      <c r="HP252" s="121"/>
      <c r="HQ252" s="121"/>
      <c r="HR252" s="121"/>
      <c r="HS252" s="121"/>
      <c r="HT252" s="121"/>
      <c r="HU252" s="121"/>
      <c r="HV252" s="121"/>
      <c r="HW252" s="121"/>
      <c r="HX252" s="121"/>
      <c r="HY252" s="121"/>
      <c r="HZ252" s="121"/>
      <c r="IA252" s="121"/>
      <c r="IB252" s="121"/>
      <c r="IC252" s="121"/>
      <c r="ID252" s="121"/>
      <c r="IE252" s="121"/>
      <c r="IF252" s="121"/>
      <c r="IG252" s="121"/>
      <c r="IH252" s="121"/>
      <c r="II252" s="121"/>
      <c r="IJ252" s="121"/>
      <c r="IK252" s="121"/>
      <c r="IL252" s="121"/>
      <c r="IM252" s="121"/>
      <c r="IN252" s="121"/>
      <c r="IO252" s="121"/>
      <c r="IP252" s="121"/>
      <c r="IQ252" s="121"/>
      <c r="IR252" s="121"/>
      <c r="IS252" s="121"/>
      <c r="IT252" s="121"/>
      <c r="IU252" s="121"/>
      <c r="IV252" s="121"/>
    </row>
    <row r="253" spans="1:256" s="8" customFormat="1" ht="14.25" hidden="1" customHeight="1" outlineLevel="3">
      <c r="A253"/>
      <c r="B253" s="37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V253" s="14"/>
      <c r="BW253" s="14"/>
      <c r="CA253"/>
      <c r="CB253" s="1425"/>
      <c r="CC253" s="1425"/>
      <c r="CD253" s="1425"/>
      <c r="CE253" s="1425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</row>
    <row r="254" spans="1:256" ht="14.25" hidden="1" customHeight="1" outlineLevel="2">
      <c r="A254" s="8"/>
      <c r="B254" s="322" t="s">
        <v>575</v>
      </c>
      <c r="C254" s="323"/>
      <c r="D254" s="557"/>
      <c r="E254" s="558"/>
      <c r="F254" s="558"/>
      <c r="G254" s="558"/>
      <c r="H254" s="446" t="str">
        <f>IF(ROUND(H252,1)=1,"OK",H252)</f>
        <v>OK</v>
      </c>
      <c r="I254" s="447" t="str">
        <f>IF(ROUND(I252,1)=1,"OK",I252)</f>
        <v>OK</v>
      </c>
      <c r="J254" s="447" t="str">
        <f>IF(ROUND(J252,1)=1,"OK",J252)</f>
        <v>OK</v>
      </c>
      <c r="K254" s="447" t="str">
        <f>IF(ROUND(K252,1)=1,"OK",K252)</f>
        <v>OK</v>
      </c>
      <c r="L254" s="446" t="str">
        <f t="shared" ref="L254:AC254" si="287">IF(ROUND(L252,1)=1,"OK",L252)</f>
        <v>OK</v>
      </c>
      <c r="M254" s="447" t="str">
        <f t="shared" si="287"/>
        <v>OK</v>
      </c>
      <c r="N254" s="447" t="str">
        <f t="shared" si="287"/>
        <v>OK</v>
      </c>
      <c r="O254" s="447" t="str">
        <f t="shared" si="287"/>
        <v>OK</v>
      </c>
      <c r="P254" s="446" t="str">
        <f t="shared" si="287"/>
        <v>OK</v>
      </c>
      <c r="Q254" s="447" t="str">
        <f t="shared" si="287"/>
        <v>OK</v>
      </c>
      <c r="R254" s="447" t="str">
        <f t="shared" si="287"/>
        <v>OK</v>
      </c>
      <c r="S254" s="447" t="str">
        <f t="shared" si="287"/>
        <v>OK</v>
      </c>
      <c r="T254" s="446" t="str">
        <f t="shared" si="287"/>
        <v>OK</v>
      </c>
      <c r="U254" s="447" t="str">
        <f t="shared" si="287"/>
        <v>OK</v>
      </c>
      <c r="V254" s="447" t="str">
        <f t="shared" si="287"/>
        <v>OK</v>
      </c>
      <c r="W254" s="447" t="str">
        <f t="shared" si="287"/>
        <v>OK</v>
      </c>
      <c r="X254" s="446" t="str">
        <f t="shared" si="287"/>
        <v>OK</v>
      </c>
      <c r="Y254" s="447" t="str">
        <f t="shared" si="287"/>
        <v>OK</v>
      </c>
      <c r="Z254" s="447" t="str">
        <f t="shared" si="287"/>
        <v>OK</v>
      </c>
      <c r="AA254" s="447" t="str">
        <f t="shared" si="287"/>
        <v>OK</v>
      </c>
      <c r="AB254" s="446" t="str">
        <f t="shared" si="287"/>
        <v>OK</v>
      </c>
      <c r="AC254" s="447" t="str">
        <f t="shared" si="287"/>
        <v>OK</v>
      </c>
      <c r="AD254" s="447" t="str">
        <f t="shared" ref="AD254:AI254" si="288">IF(ROUND(AD252,1)=1,"OK",AD252)</f>
        <v>OK</v>
      </c>
      <c r="AE254" s="447" t="str">
        <f t="shared" si="288"/>
        <v>OK</v>
      </c>
      <c r="AF254" s="446" t="str">
        <f t="shared" si="288"/>
        <v>OK</v>
      </c>
      <c r="AG254" s="447" t="str">
        <f t="shared" si="288"/>
        <v>OK</v>
      </c>
      <c r="AH254" s="447" t="str">
        <f t="shared" si="288"/>
        <v>OK</v>
      </c>
      <c r="AI254" s="447" t="str">
        <f t="shared" si="288"/>
        <v>OK</v>
      </c>
      <c r="AJ254" s="446" t="str">
        <f>IF(ROUND(AJ252,1)=1,"OK",AJ252)</f>
        <v>OK</v>
      </c>
      <c r="AK254" s="447" t="str">
        <f>IF(ROUND(AK252,1)=1,"OK",AK252)</f>
        <v>OK</v>
      </c>
      <c r="AL254" s="447" t="str">
        <f>IF(ROUND(AL252,1)=1,"OK",AL252)</f>
        <v>OK</v>
      </c>
      <c r="AM254" s="447" t="str">
        <f>IF(ROUND(AM252,1)=1,"OK",AM252)</f>
        <v>OK</v>
      </c>
      <c r="AN254" s="324"/>
      <c r="AO254" s="325"/>
      <c r="AP254" s="325"/>
      <c r="AQ254" s="325"/>
      <c r="AR254" s="324"/>
      <c r="AS254" s="325"/>
      <c r="AT254" s="325"/>
      <c r="AU254" s="325"/>
      <c r="AV254" s="324"/>
      <c r="AW254" s="325"/>
      <c r="AX254" s="325"/>
      <c r="AY254" s="325"/>
      <c r="AZ254" s="324"/>
      <c r="BA254" s="325"/>
      <c r="BB254" s="325"/>
      <c r="BC254" s="325"/>
      <c r="BD254" s="324"/>
      <c r="BE254" s="325"/>
      <c r="BF254" s="325"/>
      <c r="BG254" s="325"/>
      <c r="BH254" s="324"/>
      <c r="BI254" s="325"/>
      <c r="BJ254" s="325"/>
      <c r="BK254" s="325"/>
      <c r="BL254" s="20"/>
      <c r="BM254" s="559"/>
      <c r="BN254" s="325" t="str">
        <f>IF(ROUND(BN252,1)=1,"OK",BN252)</f>
        <v>OK</v>
      </c>
      <c r="BO254" s="325" t="str">
        <f>IF(ROUND(BO252,1)=1,"OK",BO252)</f>
        <v>OK</v>
      </c>
      <c r="BP254" s="325" t="str">
        <f>IF(ROUND(BP252,1)=1,"OK",BP252)</f>
        <v>OK</v>
      </c>
      <c r="BQ254" s="325" t="str">
        <f>IF(ROUND(BQ252,1)=1,"OK",BQ252)</f>
        <v>OK</v>
      </c>
      <c r="BR254" s="447" t="str">
        <f>IF(ROUND(BR252,1)=1,"OK",BR252)</f>
        <v>OK</v>
      </c>
      <c r="BS254" s="447"/>
      <c r="BT254" s="325"/>
      <c r="BU254" s="325"/>
      <c r="BV254" s="325"/>
      <c r="BW254" s="325"/>
      <c r="BX254" s="326"/>
      <c r="BY254" s="326"/>
      <c r="BZ254" s="326"/>
      <c r="CA254" s="484"/>
      <c r="CB254" s="74"/>
      <c r="CC254" s="74"/>
      <c r="CD254" s="74"/>
      <c r="CE254" s="74"/>
      <c r="CF254" s="8"/>
      <c r="CG254" s="8"/>
      <c r="CH254" s="8"/>
      <c r="CI254" s="8"/>
      <c r="CJ254" s="14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  <c r="FQ254" s="8"/>
      <c r="FR254" s="8"/>
      <c r="FS254" s="8"/>
      <c r="FT254" s="8"/>
      <c r="FU254" s="8"/>
      <c r="FV254" s="8"/>
      <c r="FW254" s="8"/>
      <c r="FX254" s="8"/>
      <c r="FY254" s="8"/>
      <c r="FZ254" s="8"/>
      <c r="GA254" s="8"/>
      <c r="GB254" s="8"/>
      <c r="GC254" s="8"/>
      <c r="GD254" s="8"/>
      <c r="GE254" s="8"/>
      <c r="GF254" s="8"/>
      <c r="GG254" s="8"/>
      <c r="GH254" s="8"/>
      <c r="GI254" s="8"/>
      <c r="GJ254" s="8"/>
      <c r="GK254" s="8"/>
      <c r="GL254" s="8"/>
      <c r="GM254" s="8"/>
      <c r="GN254" s="8"/>
      <c r="GO254" s="8"/>
      <c r="GP254" s="8"/>
      <c r="GQ254" s="8"/>
      <c r="GR254" s="8"/>
      <c r="GS254" s="8"/>
      <c r="GT254" s="8"/>
      <c r="GU254" s="8"/>
      <c r="GV254" s="8"/>
      <c r="GW254" s="8"/>
      <c r="GX254" s="8"/>
      <c r="GY254" s="8"/>
      <c r="GZ254" s="8"/>
      <c r="HA254" s="8"/>
      <c r="HB254" s="8"/>
      <c r="HC254" s="8"/>
      <c r="HD254" s="8"/>
      <c r="HE254" s="8"/>
      <c r="HF254" s="8"/>
      <c r="HG254" s="8"/>
      <c r="HH254" s="8"/>
      <c r="HI254" s="8"/>
      <c r="HJ254" s="8"/>
      <c r="HK254" s="8"/>
      <c r="HL254" s="8"/>
      <c r="HM254" s="8"/>
      <c r="HN254" s="8"/>
      <c r="HO254" s="8"/>
      <c r="HP254" s="8"/>
      <c r="HQ254" s="8"/>
      <c r="HR254" s="8"/>
      <c r="HS254" s="8"/>
      <c r="HT254" s="8"/>
      <c r="HU254" s="8"/>
      <c r="HV254" s="8"/>
      <c r="HW254" s="8"/>
      <c r="HX254" s="8"/>
      <c r="HY254" s="8"/>
      <c r="HZ254" s="8"/>
      <c r="IA254" s="8"/>
      <c r="IB254" s="8"/>
      <c r="IC254" s="8"/>
      <c r="ID254" s="8"/>
      <c r="IE254" s="8"/>
      <c r="IF254" s="8"/>
      <c r="IG254" s="8"/>
      <c r="IH254" s="8"/>
      <c r="II254" s="8"/>
      <c r="IJ254" s="8"/>
      <c r="IK254" s="8"/>
      <c r="IL254" s="8"/>
      <c r="IM254" s="8"/>
      <c r="IN254" s="8"/>
      <c r="IO254" s="8"/>
      <c r="IP254" s="8"/>
      <c r="IQ254" s="8"/>
      <c r="IR254" s="8"/>
      <c r="IS254" s="8"/>
      <c r="IT254" s="8"/>
      <c r="IU254" s="8"/>
      <c r="IV254" s="8"/>
    </row>
    <row r="255" spans="1:256" ht="14.25" hidden="1" customHeight="1" outlineLevel="2">
      <c r="B255" s="371"/>
      <c r="AE255" s="702">
        <f>SUM(Z257:AC257)</f>
        <v>829.88578999999982</v>
      </c>
      <c r="BM255" s="8"/>
      <c r="BN255" s="8"/>
      <c r="BO255" s="8"/>
      <c r="BP255" s="8"/>
      <c r="BQ255" s="8"/>
      <c r="BR255" s="8"/>
      <c r="BS255" s="8"/>
      <c r="BT255" s="8"/>
      <c r="BU255" s="8"/>
      <c r="BV255" s="14"/>
      <c r="BW255" s="14"/>
      <c r="BX255" s="8"/>
      <c r="BY255" s="8"/>
      <c r="BZ255" s="8"/>
    </row>
    <row r="256" spans="1:256" ht="14.25" hidden="1" customHeight="1" outlineLevel="2">
      <c r="A256" s="1"/>
      <c r="B256" s="162" t="s">
        <v>77</v>
      </c>
      <c r="C256" s="163"/>
      <c r="D256" s="766" t="str">
        <f t="shared" ref="D256:AI256" si="289">D9</f>
        <v>F1Q06A</v>
      </c>
      <c r="E256" s="767" t="str">
        <f t="shared" si="289"/>
        <v>F2Q06A</v>
      </c>
      <c r="F256" s="767" t="str">
        <f t="shared" si="289"/>
        <v>F3Q06A</v>
      </c>
      <c r="G256" s="767" t="str">
        <f t="shared" si="289"/>
        <v>F4Q06A</v>
      </c>
      <c r="H256" s="766" t="str">
        <f t="shared" si="289"/>
        <v>F1Q07A</v>
      </c>
      <c r="I256" s="767" t="str">
        <f t="shared" si="289"/>
        <v>F2Q07A</v>
      </c>
      <c r="J256" s="767" t="str">
        <f t="shared" si="289"/>
        <v>F3Q07A</v>
      </c>
      <c r="K256" s="767" t="str">
        <f t="shared" si="289"/>
        <v>F4Q07A</v>
      </c>
      <c r="L256" s="766" t="str">
        <f t="shared" si="289"/>
        <v>F1Q08A</v>
      </c>
      <c r="M256" s="767" t="str">
        <f t="shared" si="289"/>
        <v>F2Q08A</v>
      </c>
      <c r="N256" s="767" t="str">
        <f t="shared" si="289"/>
        <v>F3Q08A</v>
      </c>
      <c r="O256" s="767" t="str">
        <f t="shared" si="289"/>
        <v>F4Q08A</v>
      </c>
      <c r="P256" s="766" t="str">
        <f t="shared" si="289"/>
        <v>F1Q09A</v>
      </c>
      <c r="Q256" s="767" t="str">
        <f t="shared" si="289"/>
        <v>F2Q09A</v>
      </c>
      <c r="R256" s="767" t="str">
        <f t="shared" si="289"/>
        <v>F3Q09A</v>
      </c>
      <c r="S256" s="767" t="str">
        <f t="shared" si="289"/>
        <v>F4Q09A</v>
      </c>
      <c r="T256" s="766" t="str">
        <f t="shared" si="289"/>
        <v>F1Q10A</v>
      </c>
      <c r="U256" s="767" t="str">
        <f t="shared" si="289"/>
        <v>F2Q10A</v>
      </c>
      <c r="V256" s="767" t="str">
        <f t="shared" si="289"/>
        <v>F3Q10A</v>
      </c>
      <c r="W256" s="767" t="str">
        <f t="shared" si="289"/>
        <v>F4Q10A</v>
      </c>
      <c r="X256" s="766" t="str">
        <f t="shared" si="289"/>
        <v>F1Q11A</v>
      </c>
      <c r="Y256" s="767" t="str">
        <f t="shared" si="289"/>
        <v>F2Q11A</v>
      </c>
      <c r="Z256" s="767" t="str">
        <f t="shared" si="289"/>
        <v>F3Q11A</v>
      </c>
      <c r="AA256" s="767" t="str">
        <f t="shared" si="289"/>
        <v>F4Q11A</v>
      </c>
      <c r="AB256" s="766" t="str">
        <f t="shared" si="289"/>
        <v>F1Q12A</v>
      </c>
      <c r="AC256" s="767" t="str">
        <f t="shared" si="289"/>
        <v>F2Q12A</v>
      </c>
      <c r="AD256" s="767" t="str">
        <f t="shared" si="289"/>
        <v>F3Q12A</v>
      </c>
      <c r="AE256" s="768" t="str">
        <f t="shared" si="289"/>
        <v>F4Q12A</v>
      </c>
      <c r="AF256" s="767" t="str">
        <f t="shared" si="289"/>
        <v>F1Q13A</v>
      </c>
      <c r="AG256" s="767" t="str">
        <f t="shared" si="289"/>
        <v>F2Q13A</v>
      </c>
      <c r="AH256" s="767" t="str">
        <f t="shared" si="289"/>
        <v>F3Q13A</v>
      </c>
      <c r="AI256" s="767" t="str">
        <f t="shared" si="289"/>
        <v>F4Q13A</v>
      </c>
      <c r="AJ256" s="766" t="str">
        <f t="shared" ref="AJ256:BG256" si="290">AJ9</f>
        <v>F1Q14A</v>
      </c>
      <c r="AK256" s="767" t="str">
        <f t="shared" si="290"/>
        <v>F2Q14</v>
      </c>
      <c r="AL256" s="767" t="str">
        <f t="shared" si="290"/>
        <v>F3Q14A</v>
      </c>
      <c r="AM256" s="767" t="str">
        <f t="shared" si="290"/>
        <v>F4Q14A</v>
      </c>
      <c r="AN256" s="766" t="str">
        <f t="shared" si="290"/>
        <v>F1Q15A</v>
      </c>
      <c r="AO256" s="767" t="str">
        <f t="shared" si="290"/>
        <v>F2Q15A</v>
      </c>
      <c r="AP256" s="767" t="str">
        <f t="shared" si="290"/>
        <v>F3Q15A</v>
      </c>
      <c r="AQ256" s="768" t="str">
        <f t="shared" si="290"/>
        <v>F4Q15A</v>
      </c>
      <c r="AR256" s="766" t="str">
        <f t="shared" si="290"/>
        <v>F1Q16A</v>
      </c>
      <c r="AS256" s="767" t="str">
        <f t="shared" si="290"/>
        <v>F2Q16A</v>
      </c>
      <c r="AT256" s="767" t="str">
        <f t="shared" si="290"/>
        <v>F3Q16A</v>
      </c>
      <c r="AU256" s="768" t="str">
        <f t="shared" si="290"/>
        <v>F4Q16A</v>
      </c>
      <c r="AV256" s="766" t="str">
        <f t="shared" si="290"/>
        <v>F1Q17A</v>
      </c>
      <c r="AW256" s="767" t="str">
        <f t="shared" si="290"/>
        <v>F2Q17A</v>
      </c>
      <c r="AX256" s="767" t="str">
        <f t="shared" si="290"/>
        <v>F3Q17A</v>
      </c>
      <c r="AY256" s="768" t="str">
        <f t="shared" si="290"/>
        <v>F4Q17A</v>
      </c>
      <c r="AZ256" s="766" t="str">
        <f t="shared" si="290"/>
        <v>F1Q18A</v>
      </c>
      <c r="BA256" s="767" t="str">
        <f t="shared" si="290"/>
        <v>F2Q18A</v>
      </c>
      <c r="BB256" s="767" t="str">
        <f t="shared" si="290"/>
        <v>F3Q18A</v>
      </c>
      <c r="BC256" s="768" t="str">
        <f t="shared" si="290"/>
        <v>F4Q18E</v>
      </c>
      <c r="BD256" s="766" t="str">
        <f t="shared" si="290"/>
        <v>F1Q19E</v>
      </c>
      <c r="BE256" s="767" t="str">
        <f t="shared" si="290"/>
        <v>F2Q19E</v>
      </c>
      <c r="BF256" s="767" t="str">
        <f t="shared" si="290"/>
        <v>F3Q19E</v>
      </c>
      <c r="BG256" s="768" t="str">
        <f t="shared" si="290"/>
        <v>F4Q19E</v>
      </c>
      <c r="BH256" s="766" t="str">
        <f>BH9</f>
        <v>F1Q20E</v>
      </c>
      <c r="BI256" s="767" t="str">
        <f>BI9</f>
        <v>F2Q20E</v>
      </c>
      <c r="BJ256" s="767" t="str">
        <f>BJ9</f>
        <v>F3Q20E</v>
      </c>
      <c r="BK256" s="768" t="str">
        <f>BK9</f>
        <v>F4Q20E</v>
      </c>
      <c r="BL256" s="20"/>
      <c r="BM256" s="766" t="str">
        <f t="shared" ref="BM256:CA256" si="291">BM9</f>
        <v>FY2006A</v>
      </c>
      <c r="BN256" s="767" t="str">
        <f t="shared" si="291"/>
        <v>FY2007A</v>
      </c>
      <c r="BO256" s="767" t="str">
        <f t="shared" si="291"/>
        <v>FY2008A</v>
      </c>
      <c r="BP256" s="767" t="str">
        <f t="shared" si="291"/>
        <v>FY2009A</v>
      </c>
      <c r="BQ256" s="767" t="str">
        <f t="shared" si="291"/>
        <v>FY2010A</v>
      </c>
      <c r="BR256" s="767" t="str">
        <f t="shared" si="291"/>
        <v>FY2011A</v>
      </c>
      <c r="BS256" s="767" t="str">
        <f t="shared" si="291"/>
        <v>FY2012A</v>
      </c>
      <c r="BT256" s="767" t="str">
        <f t="shared" si="291"/>
        <v>FY2013A</v>
      </c>
      <c r="BU256" s="768" t="str">
        <f t="shared" si="291"/>
        <v>FY2014A</v>
      </c>
      <c r="BV256" s="1036" t="str">
        <f t="shared" si="291"/>
        <v>FY2015A</v>
      </c>
      <c r="BW256" s="1240" t="str">
        <f t="shared" si="291"/>
        <v>FY2016A</v>
      </c>
      <c r="BX256" s="386" t="str">
        <f t="shared" si="291"/>
        <v>FY2017A</v>
      </c>
      <c r="BY256" s="386" t="str">
        <f t="shared" si="291"/>
        <v>FY2018E</v>
      </c>
      <c r="BZ256" s="386" t="str">
        <f t="shared" si="291"/>
        <v>FY2019E</v>
      </c>
      <c r="CA256" s="351" t="str">
        <f t="shared" si="291"/>
        <v>FY2020E</v>
      </c>
      <c r="CB256" s="1037"/>
      <c r="CC256" s="1037"/>
      <c r="CD256" s="1037"/>
      <c r="CE256" s="1037"/>
      <c r="CF256" s="371"/>
      <c r="CG256" s="371"/>
      <c r="CH256" s="371"/>
      <c r="CI256" s="371"/>
    </row>
    <row r="257" spans="1:256" ht="14.25" hidden="1" customHeight="1" outlineLevel="2">
      <c r="B257" s="368" t="s">
        <v>78</v>
      </c>
      <c r="C257" s="418"/>
      <c r="D257" s="540"/>
      <c r="E257" s="541"/>
      <c r="F257" s="541"/>
      <c r="G257" s="542"/>
      <c r="H257" s="540"/>
      <c r="I257" s="541"/>
      <c r="J257" s="541"/>
      <c r="K257" s="670"/>
      <c r="L257" s="540"/>
      <c r="M257" s="541"/>
      <c r="N257" s="541"/>
      <c r="O257" s="574">
        <f>IS!O$10*O266</f>
        <v>95.240729999999985</v>
      </c>
      <c r="P257" s="540"/>
      <c r="Q257" s="541"/>
      <c r="R257" s="541"/>
      <c r="S257" s="670"/>
      <c r="T257" s="540"/>
      <c r="U257" s="541"/>
      <c r="V257" s="541"/>
      <c r="W257" s="574">
        <f>IS!W$10*W266</f>
        <v>158.46936000000002</v>
      </c>
      <c r="X257" s="540"/>
      <c r="Y257" s="573">
        <f>IS!Y$10*Y266</f>
        <v>183.88079999999999</v>
      </c>
      <c r="Z257" s="573">
        <f>IS!Z$10*Z266</f>
        <v>188.10024999999999</v>
      </c>
      <c r="AA257" s="574">
        <f>IS!AA$10*AA266</f>
        <v>206.74202999999989</v>
      </c>
      <c r="AB257" s="572">
        <f>IS!AB$10*AB266</f>
        <v>216.24068</v>
      </c>
      <c r="AC257" s="573">
        <f>IS!AC$10*AC266</f>
        <v>218.80283</v>
      </c>
      <c r="AD257" s="573">
        <f>IS!AD$10*AD266</f>
        <v>199.92419999999998</v>
      </c>
      <c r="AE257" s="574">
        <f>AD257*(1+AE31)</f>
        <v>199.30241343800952</v>
      </c>
      <c r="AF257" s="573">
        <f>AE257*(1+AF31)</f>
        <v>180.65008907806819</v>
      </c>
      <c r="AG257" s="573">
        <f>AF257*(1+AG31)</f>
        <v>179.47889323011034</v>
      </c>
      <c r="AH257" s="573">
        <f>AG257*(1+AH31)</f>
        <v>182.10008426615488</v>
      </c>
      <c r="AI257" s="574">
        <f>AH257*(1+AI31)</f>
        <v>183.33848339392566</v>
      </c>
      <c r="AJ257" s="423"/>
      <c r="AK257" s="421"/>
      <c r="AL257" s="421"/>
      <c r="AM257" s="422"/>
      <c r="AN257" s="423"/>
      <c r="AO257" s="421"/>
      <c r="AP257" s="421"/>
      <c r="AQ257" s="422"/>
      <c r="AR257" s="423"/>
      <c r="AS257" s="421"/>
      <c r="AT257" s="421"/>
      <c r="AU257" s="422"/>
      <c r="AV257" s="423"/>
      <c r="AW257" s="421"/>
      <c r="AX257" s="421"/>
      <c r="AY257" s="422"/>
      <c r="AZ257" s="423"/>
      <c r="BA257" s="421"/>
      <c r="BB257" s="421"/>
      <c r="BC257" s="422"/>
      <c r="BD257" s="423"/>
      <c r="BE257" s="421"/>
      <c r="BF257" s="421"/>
      <c r="BG257" s="422"/>
      <c r="BH257" s="423"/>
      <c r="BI257" s="421"/>
      <c r="BJ257" s="421"/>
      <c r="BK257" s="422"/>
      <c r="BL257" s="424"/>
      <c r="BM257" s="544"/>
      <c r="BN257" s="425">
        <f>SUM(H257:K257)</f>
        <v>0</v>
      </c>
      <c r="BO257" s="425">
        <f>SUM(L257:O257)</f>
        <v>95.240729999999985</v>
      </c>
      <c r="BP257" s="425">
        <f>SUM(P257:S257)</f>
        <v>0</v>
      </c>
      <c r="BQ257" s="425">
        <f>SUM(T257:W257)</f>
        <v>158.46936000000002</v>
      </c>
      <c r="BR257" s="425"/>
      <c r="BS257" s="411"/>
      <c r="BT257" s="411"/>
      <c r="BU257" s="425"/>
      <c r="BV257" s="425"/>
      <c r="BW257" s="425"/>
      <c r="BX257" s="426"/>
      <c r="BY257" s="426"/>
      <c r="BZ257" s="426"/>
      <c r="CA257" s="418"/>
      <c r="CB257" s="448"/>
      <c r="CC257" s="448"/>
      <c r="CD257" s="448"/>
      <c r="CE257" s="448"/>
      <c r="CF257" s="371"/>
      <c r="CG257" s="371"/>
      <c r="CH257" s="371"/>
      <c r="CI257" s="371"/>
    </row>
    <row r="258" spans="1:256" ht="14.25" hidden="1" customHeight="1" outlineLevel="2">
      <c r="B258" s="460" t="s">
        <v>517</v>
      </c>
      <c r="C258" s="372"/>
      <c r="D258" s="545"/>
      <c r="E258" s="546"/>
      <c r="F258" s="546"/>
      <c r="G258" s="547"/>
      <c r="H258" s="545"/>
      <c r="I258" s="546"/>
      <c r="J258" s="546"/>
      <c r="K258" s="671"/>
      <c r="L258" s="545"/>
      <c r="M258" s="546"/>
      <c r="N258" s="546"/>
      <c r="O258" s="577"/>
      <c r="P258" s="545"/>
      <c r="Q258" s="546"/>
      <c r="R258" s="546"/>
      <c r="S258" s="671"/>
      <c r="T258" s="545"/>
      <c r="U258" s="546"/>
      <c r="V258" s="546"/>
      <c r="W258" s="577"/>
      <c r="X258" s="545"/>
      <c r="Y258" s="576"/>
      <c r="Z258" s="462">
        <f t="shared" ref="Z258:AI258" si="292">Z257/Y257-1</f>
        <v>2.2946658922519347E-2</v>
      </c>
      <c r="AA258" s="463">
        <f t="shared" si="292"/>
        <v>9.910555674434196E-2</v>
      </c>
      <c r="AB258" s="461">
        <f t="shared" si="292"/>
        <v>4.5944455512989313E-2</v>
      </c>
      <c r="AC258" s="462">
        <f t="shared" si="292"/>
        <v>1.1848603139797742E-2</v>
      </c>
      <c r="AD258" s="462">
        <f t="shared" si="292"/>
        <v>-8.6281470856661269E-2</v>
      </c>
      <c r="AE258" s="463">
        <f t="shared" si="292"/>
        <v>-3.1101115422268455E-3</v>
      </c>
      <c r="AF258" s="467">
        <f t="shared" si="292"/>
        <v>-9.3588050632125941E-2</v>
      </c>
      <c r="AG258" s="467">
        <f t="shared" si="292"/>
        <v>-6.4832287320473192E-3</v>
      </c>
      <c r="AH258" s="467">
        <f t="shared" si="292"/>
        <v>1.460445286278822E-2</v>
      </c>
      <c r="AI258" s="821">
        <f t="shared" si="292"/>
        <v>6.800651041768635E-3</v>
      </c>
      <c r="AJ258" s="431"/>
      <c r="AK258" s="429"/>
      <c r="AL258" s="429"/>
      <c r="AM258" s="430"/>
      <c r="AN258" s="431"/>
      <c r="AO258" s="429"/>
      <c r="AP258" s="429"/>
      <c r="AQ258" s="430"/>
      <c r="AR258" s="431"/>
      <c r="AS258" s="429"/>
      <c r="AT258" s="429"/>
      <c r="AU258" s="430"/>
      <c r="AV258" s="431"/>
      <c r="AW258" s="429"/>
      <c r="AX258" s="429"/>
      <c r="AY258" s="430"/>
      <c r="AZ258" s="431"/>
      <c r="BA258" s="429"/>
      <c r="BB258" s="429"/>
      <c r="BC258" s="430"/>
      <c r="BD258" s="431"/>
      <c r="BE258" s="429"/>
      <c r="BF258" s="429"/>
      <c r="BG258" s="430"/>
      <c r="BH258" s="431"/>
      <c r="BI258" s="429"/>
      <c r="BJ258" s="429"/>
      <c r="BK258" s="430"/>
      <c r="BL258" s="424"/>
      <c r="BM258" s="549"/>
      <c r="BN258" s="411"/>
      <c r="BO258" s="411"/>
      <c r="BP258" s="411"/>
      <c r="BQ258" s="411"/>
      <c r="BR258" s="411"/>
      <c r="BS258" s="411"/>
      <c r="BT258" s="411"/>
      <c r="BU258" s="411"/>
      <c r="BV258" s="411"/>
      <c r="BW258" s="411"/>
      <c r="BX258" s="412"/>
      <c r="BY258" s="412"/>
      <c r="BZ258" s="412"/>
      <c r="CA258" s="372"/>
      <c r="CB258" s="448"/>
      <c r="CC258" s="448"/>
      <c r="CD258" s="448"/>
      <c r="CE258" s="448"/>
      <c r="CF258" s="371"/>
      <c r="CG258" s="371"/>
      <c r="CH258" s="371"/>
      <c r="CI258" s="371"/>
    </row>
    <row r="259" spans="1:256" ht="14.25" hidden="1" customHeight="1" outlineLevel="2">
      <c r="B259" s="369" t="s">
        <v>79</v>
      </c>
      <c r="C259" s="372"/>
      <c r="D259" s="545"/>
      <c r="E259" s="546"/>
      <c r="F259" s="546"/>
      <c r="G259" s="547"/>
      <c r="H259" s="545"/>
      <c r="I259" s="546"/>
      <c r="J259" s="546"/>
      <c r="K259" s="671"/>
      <c r="L259" s="545"/>
      <c r="M259" s="546"/>
      <c r="N259" s="546"/>
      <c r="O259" s="577">
        <f>IS!O$10*O267</f>
        <v>406.02626999999995</v>
      </c>
      <c r="P259" s="545"/>
      <c r="Q259" s="546"/>
      <c r="R259" s="546"/>
      <c r="S259" s="671"/>
      <c r="T259" s="545"/>
      <c r="U259" s="546"/>
      <c r="V259" s="546"/>
      <c r="W259" s="577">
        <f>IS!W$10*W267</f>
        <v>407.49263999999999</v>
      </c>
      <c r="X259" s="545"/>
      <c r="Y259" s="576">
        <f>IS!Y$10*Y267</f>
        <v>429.05520000000001</v>
      </c>
      <c r="Z259" s="576">
        <f>IS!Z$10*Z267</f>
        <v>418.67474999999996</v>
      </c>
      <c r="AA259" s="577">
        <f>IS!AA$10*AA267</f>
        <v>419.74896999999982</v>
      </c>
      <c r="AB259" s="575">
        <f>IS!AB$10*AB267</f>
        <v>419.7613199999999</v>
      </c>
      <c r="AC259" s="576">
        <f>IS!AC$10*AC267</f>
        <v>372.55617000000001</v>
      </c>
      <c r="AD259" s="576">
        <f>IS!AD$10*AD267</f>
        <v>371.2878</v>
      </c>
      <c r="AE259" s="577">
        <f>AD259*1.05</f>
        <v>389.85219000000001</v>
      </c>
      <c r="AF259" s="576">
        <f>AE259*1.05</f>
        <v>409.34479950000002</v>
      </c>
      <c r="AG259" s="576">
        <f>AF259*1.05</f>
        <v>429.81203947500006</v>
      </c>
      <c r="AH259" s="576">
        <f>AG259*1.05</f>
        <v>451.30264144875008</v>
      </c>
      <c r="AI259" s="577">
        <f>AH259*1.05</f>
        <v>473.86777352118759</v>
      </c>
      <c r="AJ259" s="431"/>
      <c r="AK259" s="429"/>
      <c r="AL259" s="429"/>
      <c r="AM259" s="430"/>
      <c r="AN259" s="431"/>
      <c r="AO259" s="429"/>
      <c r="AP259" s="429"/>
      <c r="AQ259" s="430"/>
      <c r="AR259" s="431"/>
      <c r="AS259" s="429"/>
      <c r="AT259" s="429"/>
      <c r="AU259" s="430"/>
      <c r="AV259" s="431"/>
      <c r="AW259" s="429"/>
      <c r="AX259" s="429"/>
      <c r="AY259" s="430"/>
      <c r="AZ259" s="431"/>
      <c r="BA259" s="429"/>
      <c r="BB259" s="429"/>
      <c r="BC259" s="430"/>
      <c r="BD259" s="431"/>
      <c r="BE259" s="429"/>
      <c r="BF259" s="429"/>
      <c r="BG259" s="430"/>
      <c r="BH259" s="431"/>
      <c r="BI259" s="429"/>
      <c r="BJ259" s="429"/>
      <c r="BK259" s="430"/>
      <c r="BL259" s="424"/>
      <c r="BM259" s="549"/>
      <c r="BN259" s="411">
        <f>SUM(H259:K259)</f>
        <v>0</v>
      </c>
      <c r="BO259" s="411">
        <f>SUM(L259:O259)</f>
        <v>406.02626999999995</v>
      </c>
      <c r="BP259" s="411">
        <f>SUM(P259:S259)</f>
        <v>0</v>
      </c>
      <c r="BQ259" s="411">
        <f>SUM(T259:W259)</f>
        <v>407.49263999999999</v>
      </c>
      <c r="BR259" s="411"/>
      <c r="BS259" s="411"/>
      <c r="BT259" s="411"/>
      <c r="BU259" s="411"/>
      <c r="BV259" s="411"/>
      <c r="BW259" s="411"/>
      <c r="BX259" s="412"/>
      <c r="BY259" s="412"/>
      <c r="BZ259" s="412"/>
      <c r="CA259" s="372"/>
      <c r="CB259" s="448"/>
      <c r="CC259" s="448"/>
      <c r="CD259" s="448"/>
      <c r="CE259" s="448"/>
      <c r="CF259" s="371"/>
      <c r="CG259" s="371"/>
      <c r="CH259" s="371"/>
      <c r="CI259" s="371"/>
    </row>
    <row r="260" spans="1:256" s="121" customFormat="1" ht="14.25" hidden="1" customHeight="1" outlineLevel="2">
      <c r="A260"/>
      <c r="B260" s="460" t="s">
        <v>517</v>
      </c>
      <c r="C260" s="372"/>
      <c r="D260" s="545"/>
      <c r="E260" s="546"/>
      <c r="F260" s="546"/>
      <c r="G260" s="547"/>
      <c r="H260" s="545"/>
      <c r="I260" s="546"/>
      <c r="J260" s="546"/>
      <c r="K260" s="671"/>
      <c r="L260" s="545"/>
      <c r="M260" s="546"/>
      <c r="N260" s="546"/>
      <c r="O260" s="577"/>
      <c r="P260" s="545"/>
      <c r="Q260" s="546"/>
      <c r="R260" s="546"/>
      <c r="S260" s="671"/>
      <c r="T260" s="545"/>
      <c r="U260" s="546"/>
      <c r="V260" s="546"/>
      <c r="W260" s="577"/>
      <c r="X260" s="545"/>
      <c r="Y260" s="576"/>
      <c r="Z260" s="462">
        <f t="shared" ref="Z260:AI260" si="293">Z259/Y259-1</f>
        <v>-2.419374010616826E-2</v>
      </c>
      <c r="AA260" s="463">
        <f t="shared" si="293"/>
        <v>2.5657625638992876E-3</v>
      </c>
      <c r="AB260" s="461">
        <f t="shared" si="293"/>
        <v>2.9422347361807155E-5</v>
      </c>
      <c r="AC260" s="462">
        <f t="shared" si="293"/>
        <v>-0.11245712206165137</v>
      </c>
      <c r="AD260" s="462">
        <f t="shared" si="293"/>
        <v>-3.404506762027304E-3</v>
      </c>
      <c r="AE260" s="463">
        <f t="shared" si="293"/>
        <v>5.0000000000000044E-2</v>
      </c>
      <c r="AF260" s="737">
        <f t="shared" si="293"/>
        <v>5.0000000000000044E-2</v>
      </c>
      <c r="AG260" s="822">
        <f t="shared" si="293"/>
        <v>5.0000000000000044E-2</v>
      </c>
      <c r="AH260" s="822">
        <f t="shared" si="293"/>
        <v>5.0000000000000044E-2</v>
      </c>
      <c r="AI260" s="823">
        <f t="shared" si="293"/>
        <v>5.0000000000000044E-2</v>
      </c>
      <c r="AJ260" s="431"/>
      <c r="AK260" s="429"/>
      <c r="AL260" s="429"/>
      <c r="AM260" s="430"/>
      <c r="AN260" s="431"/>
      <c r="AO260" s="429"/>
      <c r="AP260" s="429"/>
      <c r="AQ260" s="430"/>
      <c r="AR260" s="431"/>
      <c r="AS260" s="429"/>
      <c r="AT260" s="429"/>
      <c r="AU260" s="430"/>
      <c r="AV260" s="431"/>
      <c r="AW260" s="429"/>
      <c r="AX260" s="429"/>
      <c r="AY260" s="430"/>
      <c r="AZ260" s="431"/>
      <c r="BA260" s="429"/>
      <c r="BB260" s="429"/>
      <c r="BC260" s="430"/>
      <c r="BD260" s="431"/>
      <c r="BE260" s="429"/>
      <c r="BF260" s="429"/>
      <c r="BG260" s="430"/>
      <c r="BH260" s="431"/>
      <c r="BI260" s="429"/>
      <c r="BJ260" s="429"/>
      <c r="BK260" s="430"/>
      <c r="BL260" s="424"/>
      <c r="BM260" s="549"/>
      <c r="BN260" s="411"/>
      <c r="BO260" s="411"/>
      <c r="BP260" s="411"/>
      <c r="BQ260" s="411"/>
      <c r="BR260" s="411"/>
      <c r="BS260" s="411"/>
      <c r="BT260" s="411"/>
      <c r="BU260" s="411"/>
      <c r="BV260" s="411"/>
      <c r="BW260" s="411"/>
      <c r="BX260" s="412"/>
      <c r="BY260" s="412"/>
      <c r="BZ260" s="412"/>
      <c r="CA260" s="372"/>
      <c r="CB260" s="448"/>
      <c r="CC260" s="448"/>
      <c r="CD260" s="448"/>
      <c r="CE260" s="448"/>
      <c r="CF260" s="371"/>
      <c r="CG260" s="371"/>
      <c r="CH260" s="371"/>
      <c r="CI260" s="371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</row>
    <row r="261" spans="1:256" ht="14.25" hidden="1" customHeight="1" outlineLevel="2">
      <c r="A261" s="121"/>
      <c r="B261" s="434" t="s">
        <v>576</v>
      </c>
      <c r="C261" s="435"/>
      <c r="D261" s="553"/>
      <c r="E261" s="554"/>
      <c r="F261" s="554"/>
      <c r="G261" s="555"/>
      <c r="H261" s="553"/>
      <c r="I261" s="554"/>
      <c r="J261" s="554"/>
      <c r="K261" s="555"/>
      <c r="L261" s="553"/>
      <c r="M261" s="554"/>
      <c r="N261" s="554"/>
      <c r="O261" s="438">
        <f>SUM(O257:O259)</f>
        <v>501.26699999999994</v>
      </c>
      <c r="P261" s="553"/>
      <c r="Q261" s="554"/>
      <c r="R261" s="554"/>
      <c r="S261" s="555"/>
      <c r="T261" s="553"/>
      <c r="U261" s="554"/>
      <c r="V261" s="554"/>
      <c r="W261" s="438">
        <f>SUM(W257:W259)</f>
        <v>565.96199999999999</v>
      </c>
      <c r="X261" s="553"/>
      <c r="Y261" s="437">
        <f t="shared" ref="Y261:AD261" si="294">SUM(Y257:Y259)</f>
        <v>612.93600000000004</v>
      </c>
      <c r="Z261" s="437">
        <f t="shared" si="294"/>
        <v>606.79794665892246</v>
      </c>
      <c r="AA261" s="438">
        <f t="shared" si="294"/>
        <v>626.59010555674399</v>
      </c>
      <c r="AB261" s="436">
        <f t="shared" si="294"/>
        <v>636.04794445551283</v>
      </c>
      <c r="AC261" s="437">
        <f t="shared" si="294"/>
        <v>591.37084860313985</v>
      </c>
      <c r="AD261" s="437">
        <f t="shared" si="294"/>
        <v>571.12571852914334</v>
      </c>
      <c r="AE261" s="438">
        <f>AE257+AE259</f>
        <v>589.15460343800953</v>
      </c>
      <c r="AF261" s="437">
        <f>AF257+AF259</f>
        <v>589.99488857806818</v>
      </c>
      <c r="AG261" s="437">
        <f>AG257+AG259</f>
        <v>609.29093270511044</v>
      </c>
      <c r="AH261" s="437">
        <f>AH257+AH259</f>
        <v>633.40272571490493</v>
      </c>
      <c r="AI261" s="437">
        <f>AI257+AI259</f>
        <v>657.20625691511327</v>
      </c>
      <c r="AJ261" s="441"/>
      <c r="AK261" s="439"/>
      <c r="AL261" s="439"/>
      <c r="AM261" s="440"/>
      <c r="AN261" s="441"/>
      <c r="AO261" s="439"/>
      <c r="AP261" s="439"/>
      <c r="AQ261" s="440"/>
      <c r="AR261" s="441"/>
      <c r="AS261" s="439"/>
      <c r="AT261" s="439"/>
      <c r="AU261" s="440"/>
      <c r="AV261" s="441"/>
      <c r="AW261" s="439"/>
      <c r="AX261" s="439"/>
      <c r="AY261" s="440"/>
      <c r="AZ261" s="441"/>
      <c r="BA261" s="439"/>
      <c r="BB261" s="439"/>
      <c r="BC261" s="440"/>
      <c r="BD261" s="441"/>
      <c r="BE261" s="439"/>
      <c r="BF261" s="439"/>
      <c r="BG261" s="440"/>
      <c r="BH261" s="441"/>
      <c r="BI261" s="439"/>
      <c r="BJ261" s="439"/>
      <c r="BK261" s="440"/>
      <c r="BL261" s="442"/>
      <c r="BM261" s="578"/>
      <c r="BN261" s="443">
        <f>SUM(BN257:BN259)</f>
        <v>0</v>
      </c>
      <c r="BO261" s="444">
        <f>SUM(BO257:BO259)</f>
        <v>501.26699999999994</v>
      </c>
      <c r="BP261" s="444">
        <f>SUM(BP257:BP259)</f>
        <v>0</v>
      </c>
      <c r="BQ261" s="444">
        <f>SUM(BQ257:BQ259)</f>
        <v>565.96199999999999</v>
      </c>
      <c r="BR261" s="444"/>
      <c r="BS261" s="444"/>
      <c r="BT261" s="444"/>
      <c r="BU261" s="444"/>
      <c r="BV261" s="444"/>
      <c r="BW261" s="444"/>
      <c r="BX261" s="445"/>
      <c r="BY261" s="445"/>
      <c r="BZ261" s="445"/>
      <c r="CA261" s="435"/>
      <c r="CB261" s="835"/>
      <c r="CC261" s="835"/>
      <c r="CD261" s="835"/>
      <c r="CE261" s="835"/>
      <c r="CF261" s="804"/>
      <c r="CG261" s="804"/>
      <c r="CH261" s="804"/>
      <c r="CI261" s="804"/>
      <c r="CJ261" s="121"/>
      <c r="CK261" s="121"/>
      <c r="CL261" s="121"/>
      <c r="CM261" s="121"/>
      <c r="CN261" s="121"/>
      <c r="CO261" s="121"/>
      <c r="CP261" s="121"/>
      <c r="CQ261" s="121"/>
      <c r="CR261" s="121"/>
      <c r="CS261" s="121"/>
      <c r="CT261" s="121"/>
      <c r="CU261" s="121"/>
      <c r="CV261" s="121"/>
      <c r="CW261" s="121"/>
      <c r="CX261" s="121"/>
      <c r="CY261" s="121"/>
      <c r="CZ261" s="121"/>
      <c r="DA261" s="121"/>
      <c r="DB261" s="121"/>
      <c r="DC261" s="121"/>
      <c r="DD261" s="121"/>
      <c r="DE261" s="121"/>
      <c r="DF261" s="121"/>
      <c r="DG261" s="121"/>
      <c r="DH261" s="121"/>
      <c r="DI261" s="121"/>
      <c r="DJ261" s="121"/>
      <c r="DK261" s="121"/>
      <c r="DL261" s="121"/>
      <c r="DM261" s="121"/>
      <c r="DN261" s="121"/>
      <c r="DO261" s="121"/>
      <c r="DP261" s="121"/>
      <c r="DQ261" s="121"/>
      <c r="DR261" s="121"/>
      <c r="DS261" s="121"/>
      <c r="DT261" s="121"/>
      <c r="DU261" s="121"/>
      <c r="DV261" s="121"/>
      <c r="DW261" s="121"/>
      <c r="DX261" s="121"/>
      <c r="DY261" s="121"/>
      <c r="DZ261" s="121"/>
      <c r="EA261" s="121"/>
      <c r="EB261" s="121"/>
      <c r="EC261" s="121"/>
      <c r="ED261" s="121"/>
      <c r="EE261" s="121"/>
      <c r="EF261" s="121"/>
      <c r="EG261" s="121"/>
      <c r="EH261" s="121"/>
      <c r="EI261" s="121"/>
      <c r="EJ261" s="121"/>
      <c r="EK261" s="121"/>
      <c r="EL261" s="121"/>
      <c r="EM261" s="121"/>
      <c r="EN261" s="121"/>
      <c r="EO261" s="121"/>
      <c r="EP261" s="121"/>
      <c r="EQ261" s="121"/>
      <c r="ER261" s="121"/>
      <c r="ES261" s="121"/>
      <c r="ET261" s="121"/>
      <c r="EU261" s="121"/>
      <c r="EV261" s="121"/>
      <c r="EW261" s="121"/>
      <c r="EX261" s="121"/>
      <c r="EY261" s="121"/>
      <c r="EZ261" s="121"/>
      <c r="FA261" s="121"/>
      <c r="FB261" s="121"/>
      <c r="FC261" s="121"/>
      <c r="FD261" s="121"/>
      <c r="FE261" s="121"/>
      <c r="FF261" s="121"/>
      <c r="FG261" s="121"/>
      <c r="FH261" s="121"/>
      <c r="FI261" s="121"/>
      <c r="FJ261" s="121"/>
      <c r="FK261" s="121"/>
      <c r="FL261" s="121"/>
      <c r="FM261" s="121"/>
      <c r="FN261" s="121"/>
      <c r="FO261" s="121"/>
      <c r="FP261" s="121"/>
      <c r="FQ261" s="121"/>
      <c r="FR261" s="121"/>
      <c r="FS261" s="121"/>
      <c r="FT261" s="121"/>
      <c r="FU261" s="121"/>
      <c r="FV261" s="121"/>
      <c r="FW261" s="121"/>
      <c r="FX261" s="121"/>
      <c r="FY261" s="121"/>
      <c r="FZ261" s="121"/>
      <c r="GA261" s="121"/>
      <c r="GB261" s="121"/>
      <c r="GC261" s="121"/>
      <c r="GD261" s="121"/>
      <c r="GE261" s="121"/>
      <c r="GF261" s="121"/>
      <c r="GG261" s="121"/>
      <c r="GH261" s="121"/>
      <c r="GI261" s="121"/>
      <c r="GJ261" s="121"/>
      <c r="GK261" s="121"/>
      <c r="GL261" s="121"/>
      <c r="GM261" s="121"/>
      <c r="GN261" s="121"/>
      <c r="GO261" s="121"/>
      <c r="GP261" s="121"/>
      <c r="GQ261" s="121"/>
      <c r="GR261" s="121"/>
      <c r="GS261" s="121"/>
      <c r="GT261" s="121"/>
      <c r="GU261" s="121"/>
      <c r="GV261" s="121"/>
      <c r="GW261" s="121"/>
      <c r="GX261" s="121"/>
      <c r="GY261" s="121"/>
      <c r="GZ261" s="121"/>
      <c r="HA261" s="121"/>
      <c r="HB261" s="121"/>
      <c r="HC261" s="121"/>
      <c r="HD261" s="121"/>
      <c r="HE261" s="121"/>
      <c r="HF261" s="121"/>
      <c r="HG261" s="121"/>
      <c r="HH261" s="121"/>
      <c r="HI261" s="121"/>
      <c r="HJ261" s="121"/>
      <c r="HK261" s="121"/>
      <c r="HL261" s="121"/>
      <c r="HM261" s="121"/>
      <c r="HN261" s="121"/>
      <c r="HO261" s="121"/>
      <c r="HP261" s="121"/>
      <c r="HQ261" s="121"/>
      <c r="HR261" s="121"/>
      <c r="HS261" s="121"/>
      <c r="HT261" s="121"/>
      <c r="HU261" s="121"/>
      <c r="HV261" s="121"/>
      <c r="HW261" s="121"/>
      <c r="HX261" s="121"/>
      <c r="HY261" s="121"/>
      <c r="HZ261" s="121"/>
      <c r="IA261" s="121"/>
      <c r="IB261" s="121"/>
      <c r="IC261" s="121"/>
      <c r="ID261" s="121"/>
      <c r="IE261" s="121"/>
      <c r="IF261" s="121"/>
      <c r="IG261" s="121"/>
      <c r="IH261" s="121"/>
      <c r="II261" s="121"/>
      <c r="IJ261" s="121"/>
      <c r="IK261" s="121"/>
      <c r="IL261" s="121"/>
      <c r="IM261" s="121"/>
      <c r="IN261" s="121"/>
      <c r="IO261" s="121"/>
      <c r="IP261" s="121"/>
      <c r="IQ261" s="121"/>
      <c r="IR261" s="121"/>
      <c r="IS261" s="121"/>
      <c r="IT261" s="121"/>
      <c r="IU261" s="121"/>
      <c r="IV261" s="121"/>
    </row>
    <row r="262" spans="1:256" s="8" customFormat="1" ht="14.25" hidden="1" customHeight="1" outlineLevel="2">
      <c r="A262"/>
      <c r="B262" s="74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E262" s="739">
        <f>IS!AE10</f>
        <v>604.95600000000002</v>
      </c>
      <c r="AF262" s="739">
        <f>IS!AF10</f>
        <v>623.07500000000005</v>
      </c>
      <c r="AG262" s="739">
        <f>IS!AG10</f>
        <v>605.30600000000004</v>
      </c>
      <c r="AH262" s="739">
        <f>IS!AH10</f>
        <v>604.88400000000001</v>
      </c>
      <c r="AI262" s="739">
        <f>IS!AI10</f>
        <v>608.19399999999996</v>
      </c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 s="371"/>
      <c r="BM262" s="371"/>
      <c r="BN262" s="371"/>
      <c r="BO262" s="371"/>
      <c r="BP262" s="371"/>
      <c r="BQ262" s="371"/>
      <c r="BR262" s="371"/>
      <c r="BS262" s="371"/>
      <c r="BT262" s="371"/>
      <c r="BU262" s="371"/>
      <c r="BV262" s="371"/>
      <c r="BW262" s="371"/>
      <c r="BX262" s="371"/>
      <c r="BY262" s="371"/>
      <c r="BZ262" s="371"/>
      <c r="CA262"/>
      <c r="CB262" s="1425"/>
      <c r="CC262" s="1425"/>
      <c r="CD262" s="1425"/>
      <c r="CE262" s="1425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</row>
    <row r="263" spans="1:256" ht="14.25" hidden="1" customHeight="1" outlineLevel="2">
      <c r="A263" s="8"/>
      <c r="B263" s="322" t="s">
        <v>522</v>
      </c>
      <c r="C263" s="323"/>
      <c r="D263" s="557"/>
      <c r="E263" s="558"/>
      <c r="F263" s="558"/>
      <c r="G263" s="558"/>
      <c r="H263" s="557"/>
      <c r="I263" s="558"/>
      <c r="J263" s="558"/>
      <c r="K263" s="558"/>
      <c r="L263" s="557"/>
      <c r="M263" s="558"/>
      <c r="N263" s="558"/>
      <c r="O263" s="447" t="str">
        <f>IF(ABS(O261-IS!O$10)&lt;1,"OK",O261-IS!O$10)</f>
        <v>OK</v>
      </c>
      <c r="P263" s="557"/>
      <c r="Q263" s="558"/>
      <c r="R263" s="558"/>
      <c r="S263" s="558"/>
      <c r="T263" s="557"/>
      <c r="U263" s="558"/>
      <c r="V263" s="558"/>
      <c r="W263" s="447" t="str">
        <f>IF(ABS(W261-IS!W$10)&lt;1,"OK",W261-IS!W$10)</f>
        <v>OK</v>
      </c>
      <c r="X263" s="553"/>
      <c r="Y263" s="447" t="str">
        <f>IF(ABS(Y261-IS!Y$10)&lt;1,"OK",Y261-IS!Y$10)</f>
        <v>OK</v>
      </c>
      <c r="Z263" s="447" t="str">
        <f>IF(ABS(Z261-IS!Z$10)&lt;1,"OK",Z261-IS!Z$10)</f>
        <v>OK</v>
      </c>
      <c r="AA263" s="447" t="str">
        <f>IF(ABS(AA261-IS!AA$10)&lt;1,"OK",AA261-IS!AA$10)</f>
        <v>OK</v>
      </c>
      <c r="AB263" s="446" t="str">
        <f>IF(ABS(AB261-IS!AB$10)&lt;1,"OK",AB261-IS!AB$10)</f>
        <v>OK</v>
      </c>
      <c r="AC263" s="447" t="str">
        <f>IF(ABS(AC261-IS!AC$10)&lt;1,"OK",AC261-IS!AC$10)</f>
        <v>OK</v>
      </c>
      <c r="AD263" s="447" t="str">
        <f>IF(ABS(AD261-IS!AD$10)&lt;1,"OK",AD261-IS!AD$10)</f>
        <v>OK</v>
      </c>
      <c r="AE263" s="447"/>
      <c r="AF263" s="446"/>
      <c r="AG263" s="325"/>
      <c r="AH263" s="325"/>
      <c r="AI263" s="325"/>
      <c r="AJ263" s="324"/>
      <c r="AK263" s="325"/>
      <c r="AL263" s="325"/>
      <c r="AM263" s="325"/>
      <c r="AN263" s="324"/>
      <c r="AO263" s="325"/>
      <c r="AP263" s="325"/>
      <c r="AQ263" s="325"/>
      <c r="AR263" s="324"/>
      <c r="AS263" s="325"/>
      <c r="AT263" s="325"/>
      <c r="AU263" s="325"/>
      <c r="AV263" s="324"/>
      <c r="AW263" s="325"/>
      <c r="AX263" s="325"/>
      <c r="AY263" s="325"/>
      <c r="AZ263" s="324"/>
      <c r="BA263" s="325"/>
      <c r="BB263" s="325"/>
      <c r="BC263" s="325"/>
      <c r="BD263" s="324"/>
      <c r="BE263" s="325"/>
      <c r="BF263" s="325"/>
      <c r="BG263" s="325"/>
      <c r="BH263" s="324"/>
      <c r="BI263" s="325"/>
      <c r="BJ263" s="325"/>
      <c r="BK263" s="325"/>
      <c r="BL263" s="20"/>
      <c r="BM263" s="559"/>
      <c r="BN263" s="325">
        <f>IF(ABS(BN261-IS!BN$10)&lt;1,"OK",BN261-IS!BN$10)</f>
        <v>-2009.1239999999998</v>
      </c>
      <c r="BO263" s="325">
        <f>IF(ABS(BO261-IS!BO$10)&lt;1,"OK",BO261-IS!BO$10)</f>
        <v>-1551.5160000000001</v>
      </c>
      <c r="BP263" s="325">
        <f>IF(ABS(BP261-IS!BP$10)&lt;1,"OK",BP261-IS!BP$10)</f>
        <v>-1646.0150000000003</v>
      </c>
      <c r="BQ263" s="325">
        <f>IF(ABS(BQ261-IS!BQ$10)&lt;1,"OK",BQ261-IS!BQ$10)</f>
        <v>-1431.6410000000001</v>
      </c>
      <c r="BR263" s="447"/>
      <c r="BS263" s="447"/>
      <c r="BT263" s="325"/>
      <c r="BU263" s="325"/>
      <c r="BV263" s="325"/>
      <c r="BW263" s="325"/>
      <c r="BX263" s="326"/>
      <c r="BY263" s="326"/>
      <c r="BZ263" s="326"/>
      <c r="CA263" s="484"/>
      <c r="CB263" s="74"/>
      <c r="CC263" s="74"/>
      <c r="CD263" s="74"/>
      <c r="CE263" s="74"/>
      <c r="CF263" s="14"/>
      <c r="CG263" s="14"/>
      <c r="CH263" s="14"/>
      <c r="CI263" s="14"/>
      <c r="CJ263" s="14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  <c r="FQ263" s="8"/>
      <c r="FR263" s="8"/>
      <c r="FS263" s="8"/>
      <c r="FT263" s="8"/>
      <c r="FU263" s="8"/>
      <c r="FV263" s="8"/>
      <c r="FW263" s="8"/>
      <c r="FX263" s="8"/>
      <c r="FY263" s="8"/>
      <c r="FZ263" s="8"/>
      <c r="GA263" s="8"/>
      <c r="GB263" s="8"/>
      <c r="GC263" s="8"/>
      <c r="GD263" s="8"/>
      <c r="GE263" s="8"/>
      <c r="GF263" s="8"/>
      <c r="GG263" s="8"/>
      <c r="GH263" s="8"/>
      <c r="GI263" s="8"/>
      <c r="GJ263" s="8"/>
      <c r="GK263" s="8"/>
      <c r="GL263" s="8"/>
      <c r="GM263" s="8"/>
      <c r="GN263" s="8"/>
      <c r="GO263" s="8"/>
      <c r="GP263" s="8"/>
      <c r="GQ263" s="8"/>
      <c r="GR263" s="8"/>
      <c r="GS263" s="8"/>
      <c r="GT263" s="8"/>
      <c r="GU263" s="8"/>
      <c r="GV263" s="8"/>
      <c r="GW263" s="8"/>
      <c r="GX263" s="8"/>
      <c r="GY263" s="8"/>
      <c r="GZ263" s="8"/>
      <c r="HA263" s="8"/>
      <c r="HB263" s="8"/>
      <c r="HC263" s="8"/>
      <c r="HD263" s="8"/>
      <c r="HE263" s="8"/>
      <c r="HF263" s="8"/>
      <c r="HG263" s="8"/>
      <c r="HH263" s="8"/>
      <c r="HI263" s="8"/>
      <c r="HJ263" s="8"/>
      <c r="HK263" s="8"/>
      <c r="HL263" s="8"/>
      <c r="HM263" s="8"/>
      <c r="HN263" s="8"/>
      <c r="HO263" s="8"/>
      <c r="HP263" s="8"/>
      <c r="HQ263" s="8"/>
      <c r="HR263" s="8"/>
      <c r="HS263" s="8"/>
      <c r="HT263" s="8"/>
      <c r="HU263" s="8"/>
      <c r="HV263" s="8"/>
      <c r="HW263" s="8"/>
      <c r="HX263" s="8"/>
      <c r="HY263" s="8"/>
      <c r="HZ263" s="8"/>
      <c r="IA263" s="8"/>
      <c r="IB263" s="8"/>
      <c r="IC263" s="8"/>
      <c r="ID263" s="8"/>
      <c r="IE263" s="8"/>
      <c r="IF263" s="8"/>
      <c r="IG263" s="8"/>
      <c r="IH263" s="8"/>
      <c r="II263" s="8"/>
      <c r="IJ263" s="8"/>
      <c r="IK263" s="8"/>
      <c r="IL263" s="8"/>
      <c r="IM263" s="8"/>
      <c r="IN263" s="8"/>
      <c r="IO263" s="8"/>
      <c r="IP263" s="8"/>
      <c r="IQ263" s="8"/>
      <c r="IR263" s="8"/>
      <c r="IS263" s="8"/>
      <c r="IT263" s="8"/>
      <c r="IU263" s="8"/>
      <c r="IV263" s="8"/>
    </row>
    <row r="264" spans="1:256" ht="14.25" hidden="1" customHeight="1" outlineLevel="2">
      <c r="B264" s="74"/>
      <c r="AB264" s="8"/>
      <c r="AC264" s="8"/>
      <c r="AD264" s="8"/>
      <c r="AF264" s="8"/>
      <c r="BS264" s="8"/>
      <c r="BV264" s="1209"/>
      <c r="BW264" s="1209"/>
    </row>
    <row r="265" spans="1:256" ht="14.25" hidden="1" customHeight="1" outlineLevel="2">
      <c r="A265" s="1"/>
      <c r="B265" s="162" t="s">
        <v>200</v>
      </c>
      <c r="C265" s="163"/>
      <c r="D265" s="766" t="str">
        <f t="shared" ref="D265:AI265" si="295">D9</f>
        <v>F1Q06A</v>
      </c>
      <c r="E265" s="767" t="str">
        <f t="shared" si="295"/>
        <v>F2Q06A</v>
      </c>
      <c r="F265" s="767" t="str">
        <f t="shared" si="295"/>
        <v>F3Q06A</v>
      </c>
      <c r="G265" s="767" t="str">
        <f t="shared" si="295"/>
        <v>F4Q06A</v>
      </c>
      <c r="H265" s="766" t="str">
        <f t="shared" si="295"/>
        <v>F1Q07A</v>
      </c>
      <c r="I265" s="767" t="str">
        <f t="shared" si="295"/>
        <v>F2Q07A</v>
      </c>
      <c r="J265" s="767" t="str">
        <f t="shared" si="295"/>
        <v>F3Q07A</v>
      </c>
      <c r="K265" s="767" t="str">
        <f t="shared" si="295"/>
        <v>F4Q07A</v>
      </c>
      <c r="L265" s="766" t="str">
        <f t="shared" si="295"/>
        <v>F1Q08A</v>
      </c>
      <c r="M265" s="767" t="str">
        <f t="shared" si="295"/>
        <v>F2Q08A</v>
      </c>
      <c r="N265" s="767" t="str">
        <f t="shared" si="295"/>
        <v>F3Q08A</v>
      </c>
      <c r="O265" s="767" t="str">
        <f t="shared" si="295"/>
        <v>F4Q08A</v>
      </c>
      <c r="P265" s="766" t="str">
        <f t="shared" si="295"/>
        <v>F1Q09A</v>
      </c>
      <c r="Q265" s="767" t="str">
        <f t="shared" si="295"/>
        <v>F2Q09A</v>
      </c>
      <c r="R265" s="767" t="str">
        <f t="shared" si="295"/>
        <v>F3Q09A</v>
      </c>
      <c r="S265" s="767" t="str">
        <f t="shared" si="295"/>
        <v>F4Q09A</v>
      </c>
      <c r="T265" s="766" t="str">
        <f t="shared" si="295"/>
        <v>F1Q10A</v>
      </c>
      <c r="U265" s="767" t="str">
        <f t="shared" si="295"/>
        <v>F2Q10A</v>
      </c>
      <c r="V265" s="767" t="str">
        <f t="shared" si="295"/>
        <v>F3Q10A</v>
      </c>
      <c r="W265" s="767" t="str">
        <f t="shared" si="295"/>
        <v>F4Q10A</v>
      </c>
      <c r="X265" s="766" t="str">
        <f t="shared" si="295"/>
        <v>F1Q11A</v>
      </c>
      <c r="Y265" s="767" t="str">
        <f t="shared" si="295"/>
        <v>F2Q11A</v>
      </c>
      <c r="Z265" s="767" t="str">
        <f t="shared" si="295"/>
        <v>F3Q11A</v>
      </c>
      <c r="AA265" s="767" t="str">
        <f t="shared" si="295"/>
        <v>F4Q11A</v>
      </c>
      <c r="AB265" s="766" t="str">
        <f t="shared" si="295"/>
        <v>F1Q12A</v>
      </c>
      <c r="AC265" s="767" t="str">
        <f t="shared" si="295"/>
        <v>F2Q12A</v>
      </c>
      <c r="AD265" s="767" t="str">
        <f t="shared" si="295"/>
        <v>F3Q12A</v>
      </c>
      <c r="AE265" s="767" t="str">
        <f t="shared" si="295"/>
        <v>F4Q12A</v>
      </c>
      <c r="AF265" s="766" t="str">
        <f t="shared" si="295"/>
        <v>F1Q13A</v>
      </c>
      <c r="AG265" s="767" t="str">
        <f t="shared" si="295"/>
        <v>F2Q13A</v>
      </c>
      <c r="AH265" s="767" t="str">
        <f t="shared" si="295"/>
        <v>F3Q13A</v>
      </c>
      <c r="AI265" s="767" t="str">
        <f t="shared" si="295"/>
        <v>F4Q13A</v>
      </c>
      <c r="AJ265" s="766" t="str">
        <f t="shared" ref="AJ265:BG265" si="296">AJ9</f>
        <v>F1Q14A</v>
      </c>
      <c r="AK265" s="767" t="str">
        <f t="shared" si="296"/>
        <v>F2Q14</v>
      </c>
      <c r="AL265" s="767" t="str">
        <f t="shared" si="296"/>
        <v>F3Q14A</v>
      </c>
      <c r="AM265" s="767" t="str">
        <f t="shared" si="296"/>
        <v>F4Q14A</v>
      </c>
      <c r="AN265" s="766" t="str">
        <f t="shared" si="296"/>
        <v>F1Q15A</v>
      </c>
      <c r="AO265" s="767" t="str">
        <f t="shared" si="296"/>
        <v>F2Q15A</v>
      </c>
      <c r="AP265" s="767" t="str">
        <f t="shared" si="296"/>
        <v>F3Q15A</v>
      </c>
      <c r="AQ265" s="768" t="str">
        <f t="shared" si="296"/>
        <v>F4Q15A</v>
      </c>
      <c r="AR265" s="766" t="str">
        <f t="shared" si="296"/>
        <v>F1Q16A</v>
      </c>
      <c r="AS265" s="767" t="str">
        <f t="shared" si="296"/>
        <v>F2Q16A</v>
      </c>
      <c r="AT265" s="767" t="str">
        <f t="shared" si="296"/>
        <v>F3Q16A</v>
      </c>
      <c r="AU265" s="768" t="str">
        <f t="shared" si="296"/>
        <v>F4Q16A</v>
      </c>
      <c r="AV265" s="766" t="str">
        <f t="shared" si="296"/>
        <v>F1Q17A</v>
      </c>
      <c r="AW265" s="767" t="str">
        <f t="shared" si="296"/>
        <v>F2Q17A</v>
      </c>
      <c r="AX265" s="767" t="str">
        <f t="shared" si="296"/>
        <v>F3Q17A</v>
      </c>
      <c r="AY265" s="768" t="str">
        <f t="shared" si="296"/>
        <v>F4Q17A</v>
      </c>
      <c r="AZ265" s="766" t="str">
        <f t="shared" si="296"/>
        <v>F1Q18A</v>
      </c>
      <c r="BA265" s="767" t="str">
        <f t="shared" si="296"/>
        <v>F2Q18A</v>
      </c>
      <c r="BB265" s="767" t="str">
        <f t="shared" si="296"/>
        <v>F3Q18A</v>
      </c>
      <c r="BC265" s="768" t="str">
        <f t="shared" si="296"/>
        <v>F4Q18E</v>
      </c>
      <c r="BD265" s="766" t="str">
        <f t="shared" si="296"/>
        <v>F1Q19E</v>
      </c>
      <c r="BE265" s="767" t="str">
        <f t="shared" si="296"/>
        <v>F2Q19E</v>
      </c>
      <c r="BF265" s="767" t="str">
        <f t="shared" si="296"/>
        <v>F3Q19E</v>
      </c>
      <c r="BG265" s="768" t="str">
        <f t="shared" si="296"/>
        <v>F4Q19E</v>
      </c>
      <c r="BH265" s="766" t="str">
        <f>BH9</f>
        <v>F1Q20E</v>
      </c>
      <c r="BI265" s="767" t="str">
        <f>BI9</f>
        <v>F2Q20E</v>
      </c>
      <c r="BJ265" s="767" t="str">
        <f>BJ9</f>
        <v>F3Q20E</v>
      </c>
      <c r="BK265" s="768" t="str">
        <f>BK9</f>
        <v>F4Q20E</v>
      </c>
      <c r="BL265" s="20"/>
      <c r="BM265" s="766" t="str">
        <f t="shared" ref="BM265:CA265" si="297">BM9</f>
        <v>FY2006A</v>
      </c>
      <c r="BN265" s="767" t="str">
        <f t="shared" si="297"/>
        <v>FY2007A</v>
      </c>
      <c r="BO265" s="767" t="str">
        <f t="shared" si="297"/>
        <v>FY2008A</v>
      </c>
      <c r="BP265" s="767" t="str">
        <f t="shared" si="297"/>
        <v>FY2009A</v>
      </c>
      <c r="BQ265" s="767" t="str">
        <f t="shared" si="297"/>
        <v>FY2010A</v>
      </c>
      <c r="BR265" s="767" t="str">
        <f t="shared" si="297"/>
        <v>FY2011A</v>
      </c>
      <c r="BS265" s="767" t="str">
        <f t="shared" si="297"/>
        <v>FY2012A</v>
      </c>
      <c r="BT265" s="767" t="str">
        <f t="shared" si="297"/>
        <v>FY2013A</v>
      </c>
      <c r="BU265" s="768" t="str">
        <f t="shared" si="297"/>
        <v>FY2014A</v>
      </c>
      <c r="BV265" s="1036" t="str">
        <f t="shared" si="297"/>
        <v>FY2015A</v>
      </c>
      <c r="BW265" s="1240" t="str">
        <f t="shared" si="297"/>
        <v>FY2016A</v>
      </c>
      <c r="BX265" s="386" t="str">
        <f t="shared" si="297"/>
        <v>FY2017A</v>
      </c>
      <c r="BY265" s="386" t="str">
        <f t="shared" si="297"/>
        <v>FY2018E</v>
      </c>
      <c r="BZ265" s="386" t="str">
        <f t="shared" si="297"/>
        <v>FY2019E</v>
      </c>
      <c r="CA265" s="351" t="str">
        <f t="shared" si="297"/>
        <v>FY2020E</v>
      </c>
      <c r="CB265" s="1037"/>
      <c r="CC265" s="1037"/>
      <c r="CD265" s="1037"/>
      <c r="CE265" s="1037"/>
      <c r="CF265" s="371"/>
      <c r="CG265" s="371"/>
      <c r="CH265" s="371"/>
      <c r="CI265" s="371"/>
    </row>
    <row r="266" spans="1:256" ht="14.25" hidden="1" customHeight="1" outlineLevel="2">
      <c r="B266" s="449" t="str">
        <f>B257</f>
        <v>High Integration</v>
      </c>
      <c r="C266" s="418"/>
      <c r="D266" s="586"/>
      <c r="E266" s="561"/>
      <c r="F266" s="561"/>
      <c r="G266" s="562"/>
      <c r="H266" s="560"/>
      <c r="I266" s="561"/>
      <c r="J266" s="561"/>
      <c r="K266" s="562"/>
      <c r="L266" s="560"/>
      <c r="M266" s="561"/>
      <c r="N266" s="561"/>
      <c r="O266" s="616">
        <v>0.19</v>
      </c>
      <c r="P266" s="560"/>
      <c r="Q266" s="561"/>
      <c r="R266" s="561"/>
      <c r="S266" s="562"/>
      <c r="T266" s="560"/>
      <c r="U266" s="561"/>
      <c r="V266" s="561"/>
      <c r="W266" s="616">
        <v>0.28000000000000003</v>
      </c>
      <c r="X266" s="560"/>
      <c r="Y266" s="615">
        <v>0.3</v>
      </c>
      <c r="Z266" s="615">
        <v>0.31</v>
      </c>
      <c r="AA266" s="616">
        <v>0.33</v>
      </c>
      <c r="AB266" s="615">
        <v>0.34</v>
      </c>
      <c r="AC266" s="615">
        <v>0.37</v>
      </c>
      <c r="AD266" s="615">
        <v>0.35</v>
      </c>
      <c r="AE266" s="616">
        <v>0.4</v>
      </c>
      <c r="AF266" s="615">
        <v>0.41</v>
      </c>
      <c r="AG266" s="615">
        <v>0.45</v>
      </c>
      <c r="AH266" s="451">
        <f>AH257/AH261</f>
        <v>0.28749494890572713</v>
      </c>
      <c r="AI266" s="452">
        <f>AI257/AI261</f>
        <v>0.27896643019575845</v>
      </c>
      <c r="AJ266" s="455"/>
      <c r="AK266" s="453"/>
      <c r="AL266" s="453"/>
      <c r="AM266" s="454"/>
      <c r="AN266" s="455"/>
      <c r="AO266" s="453"/>
      <c r="AP266" s="453"/>
      <c r="AQ266" s="454"/>
      <c r="AR266" s="455"/>
      <c r="AS266" s="453"/>
      <c r="AT266" s="453"/>
      <c r="AU266" s="454"/>
      <c r="AV266" s="455"/>
      <c r="AW266" s="453"/>
      <c r="AX266" s="453"/>
      <c r="AY266" s="454"/>
      <c r="AZ266" s="455"/>
      <c r="BA266" s="453"/>
      <c r="BB266" s="453"/>
      <c r="BC266" s="454"/>
      <c r="BD266" s="455"/>
      <c r="BE266" s="453"/>
      <c r="BF266" s="453"/>
      <c r="BG266" s="454"/>
      <c r="BH266" s="455"/>
      <c r="BI266" s="453"/>
      <c r="BJ266" s="453"/>
      <c r="BK266" s="454"/>
      <c r="BL266" s="424"/>
      <c r="BM266" s="560"/>
      <c r="BN266" s="456"/>
      <c r="BO266" s="457"/>
      <c r="BP266" s="457"/>
      <c r="BQ266" s="457"/>
      <c r="BR266" s="457"/>
      <c r="BS266" s="467"/>
      <c r="BT266" s="467"/>
      <c r="BU266" s="456"/>
      <c r="BV266" s="456"/>
      <c r="BW266" s="456"/>
      <c r="BX266" s="458"/>
      <c r="BY266" s="458"/>
      <c r="BZ266" s="458"/>
      <c r="CA266" s="485"/>
      <c r="CB266" s="448"/>
      <c r="CC266" s="448"/>
      <c r="CD266" s="448"/>
      <c r="CE266" s="448"/>
      <c r="CF266" s="448"/>
      <c r="CG266" s="448"/>
      <c r="CH266" s="448"/>
      <c r="CI266" s="448"/>
    </row>
    <row r="267" spans="1:256" s="121" customFormat="1" ht="14.25" hidden="1" customHeight="1" outlineLevel="2">
      <c r="A267"/>
      <c r="B267" s="460" t="str">
        <f>B259</f>
        <v>Building Block</v>
      </c>
      <c r="C267" s="372"/>
      <c r="D267" s="564"/>
      <c r="E267" s="565"/>
      <c r="F267" s="565"/>
      <c r="G267" s="566"/>
      <c r="H267" s="564"/>
      <c r="I267" s="565"/>
      <c r="J267" s="565"/>
      <c r="K267" s="566"/>
      <c r="L267" s="564"/>
      <c r="M267" s="565"/>
      <c r="N267" s="565"/>
      <c r="O267" s="584">
        <v>0.81</v>
      </c>
      <c r="P267" s="564"/>
      <c r="Q267" s="565"/>
      <c r="R267" s="565"/>
      <c r="S267" s="566"/>
      <c r="T267" s="564"/>
      <c r="U267" s="565"/>
      <c r="V267" s="565"/>
      <c r="W267" s="584">
        <v>0.72</v>
      </c>
      <c r="X267" s="564"/>
      <c r="Y267" s="583">
        <v>0.7</v>
      </c>
      <c r="Z267" s="583">
        <v>0.69</v>
      </c>
      <c r="AA267" s="584">
        <v>0.67</v>
      </c>
      <c r="AB267" s="583">
        <f>1-AB266</f>
        <v>0.65999999999999992</v>
      </c>
      <c r="AC267" s="583">
        <v>0.63</v>
      </c>
      <c r="AD267" s="583">
        <v>0.65</v>
      </c>
      <c r="AE267" s="584">
        <v>0.6</v>
      </c>
      <c r="AF267" s="583">
        <v>0.59</v>
      </c>
      <c r="AG267" s="583">
        <v>0.55000000000000004</v>
      </c>
      <c r="AH267" s="737">
        <f>AH259/AH261</f>
        <v>0.71250505109427298</v>
      </c>
      <c r="AI267" s="738">
        <f>AI259/AI261</f>
        <v>0.72103356980424149</v>
      </c>
      <c r="AJ267" s="466"/>
      <c r="AK267" s="464"/>
      <c r="AL267" s="464"/>
      <c r="AM267" s="465"/>
      <c r="AN267" s="466"/>
      <c r="AO267" s="464"/>
      <c r="AP267" s="464"/>
      <c r="AQ267" s="465"/>
      <c r="AR267" s="466"/>
      <c r="AS267" s="464"/>
      <c r="AT267" s="464"/>
      <c r="AU267" s="465"/>
      <c r="AV267" s="466"/>
      <c r="AW267" s="464"/>
      <c r="AX267" s="464"/>
      <c r="AY267" s="465"/>
      <c r="AZ267" s="466"/>
      <c r="BA267" s="464"/>
      <c r="BB267" s="464"/>
      <c r="BC267" s="465"/>
      <c r="BD267" s="466"/>
      <c r="BE267" s="464"/>
      <c r="BF267" s="464"/>
      <c r="BG267" s="465"/>
      <c r="BH267" s="466"/>
      <c r="BI267" s="464"/>
      <c r="BJ267" s="464"/>
      <c r="BK267" s="465"/>
      <c r="BL267" s="424"/>
      <c r="BM267" s="564"/>
      <c r="BN267" s="415"/>
      <c r="BO267" s="270"/>
      <c r="BP267" s="270"/>
      <c r="BQ267" s="270"/>
      <c r="BR267" s="270"/>
      <c r="BS267" s="467"/>
      <c r="BT267" s="467"/>
      <c r="BU267" s="415"/>
      <c r="BV267" s="415"/>
      <c r="BW267" s="415"/>
      <c r="BX267" s="414"/>
      <c r="BY267" s="414"/>
      <c r="BZ267" s="414"/>
      <c r="CA267" s="459"/>
      <c r="CB267" s="448"/>
      <c r="CC267" s="448"/>
      <c r="CD267" s="448"/>
      <c r="CE267" s="448"/>
      <c r="CF267" s="448"/>
      <c r="CG267" s="448"/>
      <c r="CH267" s="448"/>
      <c r="CI267" s="448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</row>
    <row r="268" spans="1:256" ht="14.25" hidden="1" customHeight="1" outlineLevel="2">
      <c r="A268" s="121"/>
      <c r="B268" s="469" t="s">
        <v>576</v>
      </c>
      <c r="C268" s="435"/>
      <c r="D268" s="568"/>
      <c r="E268" s="569"/>
      <c r="F268" s="569"/>
      <c r="G268" s="570"/>
      <c r="H268" s="568"/>
      <c r="I268" s="569"/>
      <c r="J268" s="569"/>
      <c r="K268" s="570"/>
      <c r="L268" s="568"/>
      <c r="M268" s="569"/>
      <c r="N268" s="569"/>
      <c r="O268" s="471">
        <f>SUM(O266:O267)</f>
        <v>1</v>
      </c>
      <c r="P268" s="568"/>
      <c r="Q268" s="569"/>
      <c r="R268" s="569"/>
      <c r="S268" s="570"/>
      <c r="T268" s="568"/>
      <c r="U268" s="569"/>
      <c r="V268" s="569"/>
      <c r="W268" s="471">
        <f>SUM(W266:W267)</f>
        <v>1</v>
      </c>
      <c r="X268" s="568"/>
      <c r="Y268" s="471">
        <f t="shared" ref="Y268:AD268" si="298">SUM(Y266:Y267)</f>
        <v>1</v>
      </c>
      <c r="Z268" s="471">
        <f t="shared" si="298"/>
        <v>1</v>
      </c>
      <c r="AA268" s="472">
        <f t="shared" si="298"/>
        <v>1</v>
      </c>
      <c r="AB268" s="470">
        <f t="shared" si="298"/>
        <v>1</v>
      </c>
      <c r="AC268" s="471">
        <f t="shared" si="298"/>
        <v>1</v>
      </c>
      <c r="AD268" s="471">
        <f t="shared" si="298"/>
        <v>1</v>
      </c>
      <c r="AE268" s="472">
        <f>SUM(AE266:AE267)</f>
        <v>1</v>
      </c>
      <c r="AF268" s="470">
        <f>SUM(AF266:AF267)</f>
        <v>1</v>
      </c>
      <c r="AG268" s="471">
        <f>SUM(AG266:AG267)</f>
        <v>1</v>
      </c>
      <c r="AH268" s="471">
        <f>SUM(AH266:AH267)</f>
        <v>1</v>
      </c>
      <c r="AI268" s="472">
        <f>SUM(AI266:AI267)</f>
        <v>1</v>
      </c>
      <c r="AJ268" s="475"/>
      <c r="AK268" s="473"/>
      <c r="AL268" s="473"/>
      <c r="AM268" s="474"/>
      <c r="AN268" s="475"/>
      <c r="AO268" s="473"/>
      <c r="AP268" s="473"/>
      <c r="AQ268" s="474"/>
      <c r="AR268" s="475"/>
      <c r="AS268" s="473"/>
      <c r="AT268" s="473"/>
      <c r="AU268" s="474"/>
      <c r="AV268" s="475"/>
      <c r="AW268" s="473"/>
      <c r="AX268" s="473"/>
      <c r="AY268" s="474"/>
      <c r="AZ268" s="475"/>
      <c r="BA268" s="473"/>
      <c r="BB268" s="473"/>
      <c r="BC268" s="474"/>
      <c r="BD268" s="475"/>
      <c r="BE268" s="473"/>
      <c r="BF268" s="473"/>
      <c r="BG268" s="474"/>
      <c r="BH268" s="475"/>
      <c r="BI268" s="473"/>
      <c r="BJ268" s="473"/>
      <c r="BK268" s="474"/>
      <c r="BL268" s="442"/>
      <c r="BM268" s="568"/>
      <c r="BN268" s="476"/>
      <c r="BO268" s="477"/>
      <c r="BP268" s="477"/>
      <c r="BQ268" s="477"/>
      <c r="BR268" s="477"/>
      <c r="BS268" s="477"/>
      <c r="BT268" s="477"/>
      <c r="BU268" s="476"/>
      <c r="BV268" s="476"/>
      <c r="BW268" s="476"/>
      <c r="BX268" s="478"/>
      <c r="BY268" s="478"/>
      <c r="BZ268" s="478"/>
      <c r="CA268" s="435"/>
      <c r="CB268" s="835"/>
      <c r="CC268" s="835"/>
      <c r="CD268" s="835"/>
      <c r="CE268" s="835"/>
      <c r="CF268" s="804"/>
      <c r="CG268" s="804"/>
      <c r="CH268" s="804"/>
      <c r="CI268" s="804"/>
      <c r="CJ268" s="121"/>
      <c r="CK268" s="121"/>
      <c r="CL268" s="121"/>
      <c r="CM268" s="121"/>
      <c r="CN268" s="121"/>
      <c r="CO268" s="121"/>
      <c r="CP268" s="121"/>
      <c r="CQ268" s="121"/>
      <c r="CR268" s="121"/>
      <c r="CS268" s="121"/>
      <c r="CT268" s="121"/>
      <c r="CU268" s="121"/>
      <c r="CV268" s="121"/>
      <c r="CW268" s="121"/>
      <c r="CX268" s="121"/>
      <c r="CY268" s="121"/>
      <c r="CZ268" s="121"/>
      <c r="DA268" s="121"/>
      <c r="DB268" s="121"/>
      <c r="DC268" s="121"/>
      <c r="DD268" s="121"/>
      <c r="DE268" s="121"/>
      <c r="DF268" s="121"/>
      <c r="DG268" s="121"/>
      <c r="DH268" s="121"/>
      <c r="DI268" s="121"/>
      <c r="DJ268" s="121"/>
      <c r="DK268" s="121"/>
      <c r="DL268" s="121"/>
      <c r="DM268" s="121"/>
      <c r="DN268" s="121"/>
      <c r="DO268" s="121"/>
      <c r="DP268" s="121"/>
      <c r="DQ268" s="121"/>
      <c r="DR268" s="121"/>
      <c r="DS268" s="121"/>
      <c r="DT268" s="121"/>
      <c r="DU268" s="121"/>
      <c r="DV268" s="121"/>
      <c r="DW268" s="121"/>
      <c r="DX268" s="121"/>
      <c r="DY268" s="121"/>
      <c r="DZ268" s="121"/>
      <c r="EA268" s="121"/>
      <c r="EB268" s="121"/>
      <c r="EC268" s="121"/>
      <c r="ED268" s="121"/>
      <c r="EE268" s="121"/>
      <c r="EF268" s="121"/>
      <c r="EG268" s="121"/>
      <c r="EH268" s="121"/>
      <c r="EI268" s="121"/>
      <c r="EJ268" s="121"/>
      <c r="EK268" s="121"/>
      <c r="EL268" s="121"/>
      <c r="EM268" s="121"/>
      <c r="EN268" s="121"/>
      <c r="EO268" s="121"/>
      <c r="EP268" s="121"/>
      <c r="EQ268" s="121"/>
      <c r="ER268" s="121"/>
      <c r="ES268" s="121"/>
      <c r="ET268" s="121"/>
      <c r="EU268" s="121"/>
      <c r="EV268" s="121"/>
      <c r="EW268" s="121"/>
      <c r="EX268" s="121"/>
      <c r="EY268" s="121"/>
      <c r="EZ268" s="121"/>
      <c r="FA268" s="121"/>
      <c r="FB268" s="121"/>
      <c r="FC268" s="121"/>
      <c r="FD268" s="121"/>
      <c r="FE268" s="121"/>
      <c r="FF268" s="121"/>
      <c r="FG268" s="121"/>
      <c r="FH268" s="121"/>
      <c r="FI268" s="121"/>
      <c r="FJ268" s="121"/>
      <c r="FK268" s="121"/>
      <c r="FL268" s="121"/>
      <c r="FM268" s="121"/>
      <c r="FN268" s="121"/>
      <c r="FO268" s="121"/>
      <c r="FP268" s="121"/>
      <c r="FQ268" s="121"/>
      <c r="FR268" s="121"/>
      <c r="FS268" s="121"/>
      <c r="FT268" s="121"/>
      <c r="FU268" s="121"/>
      <c r="FV268" s="121"/>
      <c r="FW268" s="121"/>
      <c r="FX268" s="121"/>
      <c r="FY268" s="121"/>
      <c r="FZ268" s="121"/>
      <c r="GA268" s="121"/>
      <c r="GB268" s="121"/>
      <c r="GC268" s="121"/>
      <c r="GD268" s="121"/>
      <c r="GE268" s="121"/>
      <c r="GF268" s="121"/>
      <c r="GG268" s="121"/>
      <c r="GH268" s="121"/>
      <c r="GI268" s="121"/>
      <c r="GJ268" s="121"/>
      <c r="GK268" s="121"/>
      <c r="GL268" s="121"/>
      <c r="GM268" s="121"/>
      <c r="GN268" s="121"/>
      <c r="GO268" s="121"/>
      <c r="GP268" s="121"/>
      <c r="GQ268" s="121"/>
      <c r="GR268" s="121"/>
      <c r="GS268" s="121"/>
      <c r="GT268" s="121"/>
      <c r="GU268" s="121"/>
      <c r="GV268" s="121"/>
      <c r="GW268" s="121"/>
      <c r="GX268" s="121"/>
      <c r="GY268" s="121"/>
      <c r="GZ268" s="121"/>
      <c r="HA268" s="121"/>
      <c r="HB268" s="121"/>
      <c r="HC268" s="121"/>
      <c r="HD268" s="121"/>
      <c r="HE268" s="121"/>
      <c r="HF268" s="121"/>
      <c r="HG268" s="121"/>
      <c r="HH268" s="121"/>
      <c r="HI268" s="121"/>
      <c r="HJ268" s="121"/>
      <c r="HK268" s="121"/>
      <c r="HL268" s="121"/>
      <c r="HM268" s="121"/>
      <c r="HN268" s="121"/>
      <c r="HO268" s="121"/>
      <c r="HP268" s="121"/>
      <c r="HQ268" s="121"/>
      <c r="HR268" s="121"/>
      <c r="HS268" s="121"/>
      <c r="HT268" s="121"/>
      <c r="HU268" s="121"/>
      <c r="HV268" s="121"/>
      <c r="HW268" s="121"/>
      <c r="HX268" s="121"/>
      <c r="HY268" s="121"/>
      <c r="HZ268" s="121"/>
      <c r="IA268" s="121"/>
      <c r="IB268" s="121"/>
      <c r="IC268" s="121"/>
      <c r="ID268" s="121"/>
      <c r="IE268" s="121"/>
      <c r="IF268" s="121"/>
      <c r="IG268" s="121"/>
      <c r="IH268" s="121"/>
      <c r="II268" s="121"/>
      <c r="IJ268" s="121"/>
      <c r="IK268" s="121"/>
      <c r="IL268" s="121"/>
      <c r="IM268" s="121"/>
      <c r="IN268" s="121"/>
      <c r="IO268" s="121"/>
      <c r="IP268" s="121"/>
      <c r="IQ268" s="121"/>
      <c r="IR268" s="121"/>
      <c r="IS268" s="121"/>
      <c r="IT268" s="121"/>
      <c r="IU268" s="121"/>
      <c r="IV268" s="121"/>
    </row>
    <row r="269" spans="1:256" s="8" customFormat="1" ht="14.25" hidden="1" customHeight="1" outlineLevel="3">
      <c r="A269"/>
      <c r="B269" s="37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V269" s="14"/>
      <c r="BW269" s="14"/>
      <c r="CA269"/>
      <c r="CB269" s="1425"/>
      <c r="CC269" s="1425"/>
      <c r="CD269" s="1425"/>
      <c r="CE269" s="1425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</row>
    <row r="270" spans="1:256" s="8" customFormat="1" ht="14.25" hidden="1" customHeight="1" outlineLevel="2">
      <c r="B270" s="322" t="s">
        <v>575</v>
      </c>
      <c r="C270" s="323"/>
      <c r="D270" s="557"/>
      <c r="E270" s="558"/>
      <c r="F270" s="558"/>
      <c r="G270" s="558"/>
      <c r="H270" s="446">
        <f>IF(ROUND(H268,1)=1,"OK",H268)</f>
        <v>0</v>
      </c>
      <c r="I270" s="447">
        <f>IF(ROUND(I268,1)=1,"OK",I268)</f>
        <v>0</v>
      </c>
      <c r="J270" s="447">
        <f>IF(ROUND(J268,1)=1,"OK",J268)</f>
        <v>0</v>
      </c>
      <c r="K270" s="447">
        <f>IF(ROUND(K268,1)=1,"OK",K268)</f>
        <v>0</v>
      </c>
      <c r="L270" s="446">
        <f t="shared" ref="L270:AF270" si="299">IF(ROUND(L268,1)=1,"OK",L268)</f>
        <v>0</v>
      </c>
      <c r="M270" s="447">
        <f t="shared" si="299"/>
        <v>0</v>
      </c>
      <c r="N270" s="447">
        <f t="shared" si="299"/>
        <v>0</v>
      </c>
      <c r="O270" s="447" t="str">
        <f t="shared" si="299"/>
        <v>OK</v>
      </c>
      <c r="P270" s="446">
        <f t="shared" si="299"/>
        <v>0</v>
      </c>
      <c r="Q270" s="447">
        <f t="shared" si="299"/>
        <v>0</v>
      </c>
      <c r="R270" s="447">
        <f t="shared" si="299"/>
        <v>0</v>
      </c>
      <c r="S270" s="447">
        <f t="shared" si="299"/>
        <v>0</v>
      </c>
      <c r="T270" s="446">
        <f t="shared" si="299"/>
        <v>0</v>
      </c>
      <c r="U270" s="447">
        <f t="shared" si="299"/>
        <v>0</v>
      </c>
      <c r="V270" s="447">
        <f t="shared" si="299"/>
        <v>0</v>
      </c>
      <c r="W270" s="447" t="str">
        <f t="shared" si="299"/>
        <v>OK</v>
      </c>
      <c r="X270" s="446">
        <f t="shared" si="299"/>
        <v>0</v>
      </c>
      <c r="Y270" s="447" t="str">
        <f t="shared" si="299"/>
        <v>OK</v>
      </c>
      <c r="Z270" s="447" t="str">
        <f t="shared" si="299"/>
        <v>OK</v>
      </c>
      <c r="AA270" s="447" t="str">
        <f t="shared" si="299"/>
        <v>OK</v>
      </c>
      <c r="AB270" s="446" t="str">
        <f t="shared" si="299"/>
        <v>OK</v>
      </c>
      <c r="AC270" s="447" t="str">
        <f t="shared" si="299"/>
        <v>OK</v>
      </c>
      <c r="AD270" s="447" t="str">
        <f t="shared" si="299"/>
        <v>OK</v>
      </c>
      <c r="AE270" s="447" t="str">
        <f t="shared" si="299"/>
        <v>OK</v>
      </c>
      <c r="AF270" s="446" t="str">
        <f t="shared" si="299"/>
        <v>OK</v>
      </c>
      <c r="AG270" s="325"/>
      <c r="AH270" s="325"/>
      <c r="AI270" s="325"/>
      <c r="AJ270" s="324"/>
      <c r="AK270" s="325"/>
      <c r="AL270" s="325"/>
      <c r="AM270" s="325"/>
      <c r="AN270" s="324"/>
      <c r="AO270" s="325"/>
      <c r="AP270" s="325"/>
      <c r="AQ270" s="325"/>
      <c r="AR270" s="324"/>
      <c r="AS270" s="325"/>
      <c r="AT270" s="325"/>
      <c r="AU270" s="325"/>
      <c r="AV270" s="324"/>
      <c r="AW270" s="325"/>
      <c r="AX270" s="325"/>
      <c r="AY270" s="325"/>
      <c r="AZ270" s="324"/>
      <c r="BA270" s="325"/>
      <c r="BB270" s="325"/>
      <c r="BC270" s="325"/>
      <c r="BD270" s="324"/>
      <c r="BE270" s="325"/>
      <c r="BF270" s="325"/>
      <c r="BG270" s="325"/>
      <c r="BH270" s="324"/>
      <c r="BI270" s="325"/>
      <c r="BJ270" s="325"/>
      <c r="BK270" s="325"/>
      <c r="BL270" s="20"/>
      <c r="BM270" s="559"/>
      <c r="BN270" s="325">
        <f>IF(ROUND(BN268,1)=1,"OK",BN268)</f>
        <v>0</v>
      </c>
      <c r="BO270" s="325">
        <f>IF(ROUND(BO268,1)=1,"OK",BO268)</f>
        <v>0</v>
      </c>
      <c r="BP270" s="325">
        <f>IF(ROUND(BP268,1)=1,"OK",BP268)</f>
        <v>0</v>
      </c>
      <c r="BQ270" s="325">
        <f>IF(ROUND(BQ268,1)=1,"OK",BQ268)</f>
        <v>0</v>
      </c>
      <c r="BR270" s="447">
        <f>IF(ROUND(BR268,1)=1,"OK",BR268)</f>
        <v>0</v>
      </c>
      <c r="BS270" s="447"/>
      <c r="BT270" s="325"/>
      <c r="BU270" s="325"/>
      <c r="BV270" s="325"/>
      <c r="BW270" s="325"/>
      <c r="BX270" s="326"/>
      <c r="BY270" s="326"/>
      <c r="BZ270" s="326"/>
      <c r="CA270" s="484"/>
      <c r="CB270" s="74"/>
      <c r="CC270" s="74"/>
      <c r="CD270" s="74"/>
      <c r="CE270" s="74"/>
      <c r="CJ270" s="14"/>
    </row>
    <row r="271" spans="1:256" ht="14.25" hidden="1" customHeight="1" outlineLevel="2">
      <c r="A271" s="8"/>
      <c r="B271" s="479"/>
      <c r="C271" s="310"/>
      <c r="D271" s="387"/>
      <c r="E271" s="387"/>
      <c r="F271" s="387"/>
      <c r="G271" s="387"/>
      <c r="H271" s="387"/>
      <c r="I271" s="387"/>
      <c r="J271" s="387"/>
      <c r="K271" s="387"/>
      <c r="L271" s="387"/>
      <c r="M271" s="387"/>
      <c r="N271" s="387"/>
      <c r="O271" s="387"/>
      <c r="P271" s="387"/>
      <c r="Q271" s="387"/>
      <c r="R271" s="387"/>
      <c r="S271" s="387"/>
      <c r="T271" s="387"/>
      <c r="U271" s="387"/>
      <c r="V271" s="387"/>
      <c r="W271" s="387"/>
      <c r="X271" s="387"/>
      <c r="Y271" s="387"/>
      <c r="Z271" s="387"/>
      <c r="AA271" s="387"/>
      <c r="AB271" s="387"/>
      <c r="AC271" s="387"/>
      <c r="AD271" s="387"/>
      <c r="AE271" s="387"/>
      <c r="AF271" s="387"/>
      <c r="AG271" s="387"/>
      <c r="AH271" s="387"/>
      <c r="AI271" s="387"/>
      <c r="AJ271" s="387"/>
      <c r="AK271" s="387"/>
      <c r="AL271" s="387"/>
      <c r="AM271" s="387"/>
      <c r="AN271" s="387"/>
      <c r="AO271" s="387"/>
      <c r="AP271" s="387"/>
      <c r="AQ271" s="387"/>
      <c r="AR271" s="387"/>
      <c r="AS271" s="387"/>
      <c r="AT271" s="387"/>
      <c r="AU271" s="387"/>
      <c r="AV271" s="387"/>
      <c r="AW271" s="387"/>
      <c r="AX271" s="387"/>
      <c r="AY271" s="387"/>
      <c r="AZ271" s="387"/>
      <c r="BA271" s="387"/>
      <c r="BB271" s="387"/>
      <c r="BC271" s="387"/>
      <c r="BD271" s="387"/>
      <c r="BE271" s="387"/>
      <c r="BF271" s="387"/>
      <c r="BG271" s="387"/>
      <c r="BH271" s="387"/>
      <c r="BI271" s="387"/>
      <c r="BJ271" s="387"/>
      <c r="BK271" s="387"/>
      <c r="BL271" s="14"/>
      <c r="BM271" s="387"/>
      <c r="BN271" s="387"/>
      <c r="BO271" s="387"/>
      <c r="BP271" s="387"/>
      <c r="BQ271" s="387"/>
      <c r="BR271" s="387"/>
      <c r="BS271" s="387"/>
      <c r="BT271" s="387"/>
      <c r="BU271" s="387"/>
      <c r="BV271" s="387"/>
      <c r="BW271" s="387"/>
      <c r="BX271" s="387"/>
      <c r="BY271" s="387"/>
      <c r="BZ271" s="387"/>
      <c r="CA271" s="8"/>
      <c r="CB271" s="74"/>
      <c r="CC271" s="74"/>
      <c r="CD271" s="74"/>
      <c r="CE271" s="74"/>
      <c r="CF271" s="8"/>
      <c r="CG271" s="8"/>
      <c r="CH271" s="8"/>
      <c r="CI271" s="8"/>
      <c r="CJ271" s="14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  <c r="FQ271" s="8"/>
      <c r="FR271" s="8"/>
      <c r="FS271" s="8"/>
      <c r="FT271" s="8"/>
      <c r="FU271" s="8"/>
      <c r="FV271" s="8"/>
      <c r="FW271" s="8"/>
      <c r="FX271" s="8"/>
      <c r="FY271" s="8"/>
      <c r="FZ271" s="8"/>
      <c r="GA271" s="8"/>
      <c r="GB271" s="8"/>
      <c r="GC271" s="8"/>
      <c r="GD271" s="8"/>
      <c r="GE271" s="8"/>
      <c r="GF271" s="8"/>
      <c r="GG271" s="8"/>
      <c r="GH271" s="8"/>
      <c r="GI271" s="8"/>
      <c r="GJ271" s="8"/>
      <c r="GK271" s="8"/>
      <c r="GL271" s="8"/>
      <c r="GM271" s="8"/>
      <c r="GN271" s="8"/>
      <c r="GO271" s="8"/>
      <c r="GP271" s="8"/>
      <c r="GQ271" s="8"/>
      <c r="GR271" s="8"/>
      <c r="GS271" s="8"/>
      <c r="GT271" s="8"/>
      <c r="GU271" s="8"/>
      <c r="GV271" s="8"/>
      <c r="GW271" s="8"/>
      <c r="GX271" s="8"/>
      <c r="GY271" s="8"/>
      <c r="GZ271" s="8"/>
      <c r="HA271" s="8"/>
      <c r="HB271" s="8"/>
      <c r="HC271" s="8"/>
      <c r="HD271" s="8"/>
      <c r="HE271" s="8"/>
      <c r="HF271" s="8"/>
      <c r="HG271" s="8"/>
      <c r="HH271" s="8"/>
      <c r="HI271" s="8"/>
      <c r="HJ271" s="8"/>
      <c r="HK271" s="8"/>
      <c r="HL271" s="8"/>
      <c r="HM271" s="8"/>
      <c r="HN271" s="8"/>
      <c r="HO271" s="8"/>
      <c r="HP271" s="8"/>
      <c r="HQ271" s="8"/>
      <c r="HR271" s="8"/>
      <c r="HS271" s="8"/>
      <c r="HT271" s="8"/>
      <c r="HU271" s="8"/>
      <c r="HV271" s="8"/>
      <c r="HW271" s="8"/>
      <c r="HX271" s="8"/>
      <c r="HY271" s="8"/>
      <c r="HZ271" s="8"/>
      <c r="IA271" s="8"/>
      <c r="IB271" s="8"/>
      <c r="IC271" s="8"/>
      <c r="ID271" s="8"/>
      <c r="IE271" s="8"/>
      <c r="IF271" s="8"/>
      <c r="IG271" s="8"/>
      <c r="IH271" s="8"/>
      <c r="II271" s="8"/>
      <c r="IJ271" s="8"/>
      <c r="IK271" s="8"/>
      <c r="IL271" s="8"/>
      <c r="IM271" s="8"/>
      <c r="IN271" s="8"/>
      <c r="IO271" s="8"/>
      <c r="IP271" s="8"/>
      <c r="IQ271" s="8"/>
      <c r="IR271" s="8"/>
      <c r="IS271" s="8"/>
      <c r="IT271" s="8"/>
      <c r="IU271" s="8"/>
      <c r="IV271" s="8"/>
    </row>
    <row r="272" spans="1:256" ht="14.25" hidden="1" customHeight="1" outlineLevel="2">
      <c r="A272" s="1"/>
      <c r="B272" s="162" t="s">
        <v>71</v>
      </c>
      <c r="C272" s="163"/>
      <c r="D272" s="766" t="str">
        <f t="shared" ref="D272:AI272" si="300">D9</f>
        <v>F1Q06A</v>
      </c>
      <c r="E272" s="767" t="str">
        <f t="shared" si="300"/>
        <v>F2Q06A</v>
      </c>
      <c r="F272" s="767" t="str">
        <f t="shared" si="300"/>
        <v>F3Q06A</v>
      </c>
      <c r="G272" s="767" t="str">
        <f t="shared" si="300"/>
        <v>F4Q06A</v>
      </c>
      <c r="H272" s="766" t="str">
        <f t="shared" si="300"/>
        <v>F1Q07A</v>
      </c>
      <c r="I272" s="767" t="str">
        <f t="shared" si="300"/>
        <v>F2Q07A</v>
      </c>
      <c r="J272" s="767" t="str">
        <f t="shared" si="300"/>
        <v>F3Q07A</v>
      </c>
      <c r="K272" s="767" t="str">
        <f t="shared" si="300"/>
        <v>F4Q07A</v>
      </c>
      <c r="L272" s="766" t="str">
        <f t="shared" si="300"/>
        <v>F1Q08A</v>
      </c>
      <c r="M272" s="767" t="str">
        <f t="shared" si="300"/>
        <v>F2Q08A</v>
      </c>
      <c r="N272" s="767" t="str">
        <f t="shared" si="300"/>
        <v>F3Q08A</v>
      </c>
      <c r="O272" s="767" t="str">
        <f t="shared" si="300"/>
        <v>F4Q08A</v>
      </c>
      <c r="P272" s="766" t="str">
        <f t="shared" si="300"/>
        <v>F1Q09A</v>
      </c>
      <c r="Q272" s="767" t="str">
        <f t="shared" si="300"/>
        <v>F2Q09A</v>
      </c>
      <c r="R272" s="767" t="str">
        <f t="shared" si="300"/>
        <v>F3Q09A</v>
      </c>
      <c r="S272" s="767" t="str">
        <f t="shared" si="300"/>
        <v>F4Q09A</v>
      </c>
      <c r="T272" s="766" t="str">
        <f t="shared" si="300"/>
        <v>F1Q10A</v>
      </c>
      <c r="U272" s="767" t="str">
        <f t="shared" si="300"/>
        <v>F2Q10A</v>
      </c>
      <c r="V272" s="767" t="str">
        <f t="shared" si="300"/>
        <v>F3Q10A</v>
      </c>
      <c r="W272" s="767" t="str">
        <f t="shared" si="300"/>
        <v>F4Q10A</v>
      </c>
      <c r="X272" s="766" t="str">
        <f t="shared" si="300"/>
        <v>F1Q11A</v>
      </c>
      <c r="Y272" s="767" t="str">
        <f t="shared" si="300"/>
        <v>F2Q11A</v>
      </c>
      <c r="Z272" s="767" t="str">
        <f t="shared" si="300"/>
        <v>F3Q11A</v>
      </c>
      <c r="AA272" s="767" t="str">
        <f t="shared" si="300"/>
        <v>F4Q11A</v>
      </c>
      <c r="AB272" s="766" t="str">
        <f t="shared" si="300"/>
        <v>F1Q12A</v>
      </c>
      <c r="AC272" s="767" t="str">
        <f t="shared" si="300"/>
        <v>F2Q12A</v>
      </c>
      <c r="AD272" s="767" t="str">
        <f t="shared" si="300"/>
        <v>F3Q12A</v>
      </c>
      <c r="AE272" s="767" t="str">
        <f t="shared" si="300"/>
        <v>F4Q12A</v>
      </c>
      <c r="AF272" s="766" t="str">
        <f t="shared" si="300"/>
        <v>F1Q13A</v>
      </c>
      <c r="AG272" s="767" t="str">
        <f t="shared" si="300"/>
        <v>F2Q13A</v>
      </c>
      <c r="AH272" s="767" t="str">
        <f t="shared" si="300"/>
        <v>F3Q13A</v>
      </c>
      <c r="AI272" s="767" t="str">
        <f t="shared" si="300"/>
        <v>F4Q13A</v>
      </c>
      <c r="AJ272" s="766" t="str">
        <f t="shared" ref="AJ272:BG272" si="301">AJ9</f>
        <v>F1Q14A</v>
      </c>
      <c r="AK272" s="767" t="str">
        <f t="shared" si="301"/>
        <v>F2Q14</v>
      </c>
      <c r="AL272" s="767" t="str">
        <f t="shared" si="301"/>
        <v>F3Q14A</v>
      </c>
      <c r="AM272" s="767" t="str">
        <f t="shared" si="301"/>
        <v>F4Q14A</v>
      </c>
      <c r="AN272" s="766" t="str">
        <f t="shared" si="301"/>
        <v>F1Q15A</v>
      </c>
      <c r="AO272" s="767" t="str">
        <f t="shared" si="301"/>
        <v>F2Q15A</v>
      </c>
      <c r="AP272" s="767" t="str">
        <f t="shared" si="301"/>
        <v>F3Q15A</v>
      </c>
      <c r="AQ272" s="768" t="str">
        <f t="shared" si="301"/>
        <v>F4Q15A</v>
      </c>
      <c r="AR272" s="766" t="str">
        <f t="shared" si="301"/>
        <v>F1Q16A</v>
      </c>
      <c r="AS272" s="767" t="str">
        <f t="shared" si="301"/>
        <v>F2Q16A</v>
      </c>
      <c r="AT272" s="767" t="str">
        <f t="shared" si="301"/>
        <v>F3Q16A</v>
      </c>
      <c r="AU272" s="768" t="str">
        <f t="shared" si="301"/>
        <v>F4Q16A</v>
      </c>
      <c r="AV272" s="766" t="str">
        <f t="shared" si="301"/>
        <v>F1Q17A</v>
      </c>
      <c r="AW272" s="767" t="str">
        <f t="shared" si="301"/>
        <v>F2Q17A</v>
      </c>
      <c r="AX272" s="767" t="str">
        <f t="shared" si="301"/>
        <v>F3Q17A</v>
      </c>
      <c r="AY272" s="768" t="str">
        <f t="shared" si="301"/>
        <v>F4Q17A</v>
      </c>
      <c r="AZ272" s="766" t="str">
        <f t="shared" si="301"/>
        <v>F1Q18A</v>
      </c>
      <c r="BA272" s="767" t="str">
        <f t="shared" si="301"/>
        <v>F2Q18A</v>
      </c>
      <c r="BB272" s="767" t="str">
        <f t="shared" si="301"/>
        <v>F3Q18A</v>
      </c>
      <c r="BC272" s="768" t="str">
        <f t="shared" si="301"/>
        <v>F4Q18E</v>
      </c>
      <c r="BD272" s="766" t="str">
        <f t="shared" si="301"/>
        <v>F1Q19E</v>
      </c>
      <c r="BE272" s="767" t="str">
        <f t="shared" si="301"/>
        <v>F2Q19E</v>
      </c>
      <c r="BF272" s="767" t="str">
        <f t="shared" si="301"/>
        <v>F3Q19E</v>
      </c>
      <c r="BG272" s="768" t="str">
        <f t="shared" si="301"/>
        <v>F4Q19E</v>
      </c>
      <c r="BH272" s="766" t="str">
        <f>BH9</f>
        <v>F1Q20E</v>
      </c>
      <c r="BI272" s="767" t="str">
        <f>BI9</f>
        <v>F2Q20E</v>
      </c>
      <c r="BJ272" s="767" t="str">
        <f>BJ9</f>
        <v>F3Q20E</v>
      </c>
      <c r="BK272" s="768" t="str">
        <f>BK9</f>
        <v>F4Q20E</v>
      </c>
      <c r="BL272" s="20"/>
      <c r="BM272" s="766" t="str">
        <f t="shared" ref="BM272:CA272" si="302">BM9</f>
        <v>FY2006A</v>
      </c>
      <c r="BN272" s="767" t="str">
        <f t="shared" si="302"/>
        <v>FY2007A</v>
      </c>
      <c r="BO272" s="767" t="str">
        <f t="shared" si="302"/>
        <v>FY2008A</v>
      </c>
      <c r="BP272" s="767" t="str">
        <f t="shared" si="302"/>
        <v>FY2009A</v>
      </c>
      <c r="BQ272" s="767" t="str">
        <f t="shared" si="302"/>
        <v>FY2010A</v>
      </c>
      <c r="BR272" s="767" t="str">
        <f t="shared" si="302"/>
        <v>FY2011A</v>
      </c>
      <c r="BS272" s="767" t="str">
        <f t="shared" si="302"/>
        <v>FY2012A</v>
      </c>
      <c r="BT272" s="767" t="str">
        <f t="shared" si="302"/>
        <v>FY2013A</v>
      </c>
      <c r="BU272" s="768" t="str">
        <f t="shared" si="302"/>
        <v>FY2014A</v>
      </c>
      <c r="BV272" s="1242" t="str">
        <f t="shared" si="302"/>
        <v>FY2015A</v>
      </c>
      <c r="BW272" s="1038" t="str">
        <f t="shared" si="302"/>
        <v>FY2016A</v>
      </c>
      <c r="BX272" s="1241" t="str">
        <f t="shared" si="302"/>
        <v>FY2017A</v>
      </c>
      <c r="BY272" s="1241" t="str">
        <f t="shared" si="302"/>
        <v>FY2018E</v>
      </c>
      <c r="BZ272" s="1241" t="str">
        <f t="shared" si="302"/>
        <v>FY2019E</v>
      </c>
      <c r="CA272" s="617" t="str">
        <f t="shared" si="302"/>
        <v>FY2020E</v>
      </c>
      <c r="CB272" s="1037"/>
      <c r="CC272" s="1037"/>
      <c r="CD272" s="1037"/>
      <c r="CE272" s="1037"/>
      <c r="CF272" s="371"/>
      <c r="CG272" s="371"/>
      <c r="CH272" s="371"/>
      <c r="CI272" s="371"/>
    </row>
    <row r="273" spans="1:256" ht="14.25" hidden="1" customHeight="1" outlineLevel="2">
      <c r="A273" s="1"/>
      <c r="B273" s="810" t="s">
        <v>92</v>
      </c>
      <c r="C273" s="651"/>
      <c r="D273" s="811"/>
      <c r="E273" s="812"/>
      <c r="F273" s="812"/>
      <c r="G273" s="813"/>
      <c r="H273" s="814"/>
      <c r="I273" s="815"/>
      <c r="J273" s="815"/>
      <c r="K273" s="816"/>
      <c r="L273" s="814"/>
      <c r="M273" s="815"/>
      <c r="N273" s="815"/>
      <c r="O273" s="817"/>
      <c r="P273" s="814"/>
      <c r="Q273" s="815"/>
      <c r="R273" s="815"/>
      <c r="S273" s="817"/>
      <c r="T273" s="814"/>
      <c r="U273" s="815"/>
      <c r="V273" s="815"/>
      <c r="W273" s="817"/>
      <c r="X273" s="818">
        <f>AVERAGE(90%,100%)</f>
        <v>0.95</v>
      </c>
      <c r="Y273" s="818">
        <f>AVERAGE(90%,100%)</f>
        <v>0.95</v>
      </c>
      <c r="Z273" s="818">
        <f>AVERAGE(90%,100%)</f>
        <v>0.95</v>
      </c>
      <c r="AA273" s="819">
        <v>0.95</v>
      </c>
      <c r="AB273" s="820">
        <v>0.89</v>
      </c>
      <c r="AC273" s="818">
        <v>0.72</v>
      </c>
      <c r="AD273" s="818">
        <v>0.76</v>
      </c>
      <c r="AE273" s="818">
        <v>0.8</v>
      </c>
      <c r="AF273" s="820">
        <v>0.75</v>
      </c>
      <c r="AG273" s="818">
        <v>0.72</v>
      </c>
      <c r="AH273" s="818">
        <v>0.8</v>
      </c>
      <c r="AI273" s="422"/>
      <c r="AJ273" s="423"/>
      <c r="AK273" s="421"/>
      <c r="AL273" s="421"/>
      <c r="AM273" s="422"/>
      <c r="AN273" s="423"/>
      <c r="AO273" s="421"/>
      <c r="AP273" s="421"/>
      <c r="AQ273" s="422"/>
      <c r="AR273" s="423"/>
      <c r="AS273" s="421"/>
      <c r="AT273" s="421"/>
      <c r="AU273" s="422"/>
      <c r="AV273" s="423"/>
      <c r="AW273" s="421"/>
      <c r="AX273" s="421"/>
      <c r="AY273" s="422"/>
      <c r="AZ273" s="423"/>
      <c r="BA273" s="421"/>
      <c r="BB273" s="421"/>
      <c r="BC273" s="422"/>
      <c r="BD273" s="423"/>
      <c r="BE273" s="421"/>
      <c r="BF273" s="421"/>
      <c r="BG273" s="422"/>
      <c r="BH273" s="423"/>
      <c r="BI273" s="421"/>
      <c r="BJ273" s="421"/>
      <c r="BK273" s="422"/>
      <c r="BL273" s="424"/>
      <c r="BM273" s="544"/>
      <c r="BN273" s="411"/>
      <c r="BO273" s="411"/>
      <c r="BP273" s="411"/>
      <c r="BQ273" s="411"/>
      <c r="BR273" s="411"/>
      <c r="BS273" s="411"/>
      <c r="BT273" s="411"/>
      <c r="BU273" s="425"/>
      <c r="BV273" s="425"/>
      <c r="BW273" s="425"/>
      <c r="BX273" s="426"/>
      <c r="BY273" s="426"/>
      <c r="BZ273" s="426"/>
      <c r="CA273" s="418"/>
      <c r="CB273" s="448"/>
      <c r="CC273" s="448"/>
      <c r="CD273" s="448"/>
      <c r="CE273" s="448"/>
      <c r="CF273" s="371"/>
      <c r="CG273" s="371"/>
      <c r="CH273" s="371"/>
      <c r="CI273" s="371"/>
    </row>
    <row r="274" spans="1:256" ht="14.25" hidden="1" customHeight="1" outlineLevel="2">
      <c r="A274" s="1"/>
      <c r="B274" s="369" t="s">
        <v>91</v>
      </c>
      <c r="C274" s="372"/>
      <c r="D274" s="545"/>
      <c r="E274" s="546"/>
      <c r="F274" s="675"/>
      <c r="G274" s="676"/>
      <c r="H274" s="545"/>
      <c r="I274" s="546"/>
      <c r="J274" s="546"/>
      <c r="K274" s="620">
        <f>1-1%</f>
        <v>0.99</v>
      </c>
      <c r="L274" s="545"/>
      <c r="M274" s="546"/>
      <c r="N274" s="546"/>
      <c r="O274" s="620">
        <f>1-6%</f>
        <v>0.94</v>
      </c>
      <c r="P274" s="545"/>
      <c r="Q274" s="546"/>
      <c r="R274" s="546"/>
      <c r="S274" s="620">
        <f>1-9%</f>
        <v>0.91</v>
      </c>
      <c r="T274" s="545"/>
      <c r="U274" s="546"/>
      <c r="V274" s="546"/>
      <c r="W274" s="620">
        <f>1-19%</f>
        <v>0.81</v>
      </c>
      <c r="X274" s="545"/>
      <c r="Y274" s="546"/>
      <c r="Z274" s="546"/>
      <c r="AA274" s="526">
        <f>1-32%</f>
        <v>0.67999999999999994</v>
      </c>
      <c r="AB274" s="545"/>
      <c r="AC274" s="546"/>
      <c r="AD274" s="696"/>
      <c r="AE274" s="783"/>
      <c r="AF274" s="545"/>
      <c r="AG274" s="546"/>
      <c r="AH274" s="546"/>
      <c r="AI274" s="430"/>
      <c r="AJ274" s="431"/>
      <c r="AK274" s="429"/>
      <c r="AL274" s="429"/>
      <c r="AM274" s="430"/>
      <c r="AN274" s="431"/>
      <c r="AO274" s="429"/>
      <c r="AP274" s="429"/>
      <c r="AQ274" s="430"/>
      <c r="AR274" s="431"/>
      <c r="AS274" s="429"/>
      <c r="AT274" s="429"/>
      <c r="AU274" s="430"/>
      <c r="AV274" s="431"/>
      <c r="AW274" s="429"/>
      <c r="AX274" s="429"/>
      <c r="AY274" s="430"/>
      <c r="AZ274" s="431"/>
      <c r="BA274" s="429"/>
      <c r="BB274" s="429"/>
      <c r="BC274" s="430"/>
      <c r="BD274" s="431"/>
      <c r="BE274" s="429"/>
      <c r="BF274" s="429"/>
      <c r="BG274" s="430"/>
      <c r="BH274" s="431"/>
      <c r="BI274" s="429"/>
      <c r="BJ274" s="429"/>
      <c r="BK274" s="430"/>
      <c r="BL274" s="424"/>
      <c r="BM274" s="549"/>
      <c r="BN274" s="620">
        <f>1-1%</f>
        <v>0.99</v>
      </c>
      <c r="BO274" s="620">
        <f>1-6%</f>
        <v>0.94</v>
      </c>
      <c r="BP274" s="620">
        <f>1-9%</f>
        <v>0.91</v>
      </c>
      <c r="BQ274" s="620">
        <f>1-19%</f>
        <v>0.81</v>
      </c>
      <c r="BR274" s="526">
        <f>1-32%</f>
        <v>0.67999999999999994</v>
      </c>
      <c r="BS274" s="411"/>
      <c r="BT274" s="411"/>
      <c r="BU274" s="411"/>
      <c r="BV274" s="411"/>
      <c r="BW274" s="411"/>
      <c r="BX274" s="412"/>
      <c r="BY274" s="412"/>
      <c r="BZ274" s="412"/>
      <c r="CA274" s="372"/>
      <c r="CB274" s="448"/>
      <c r="CC274" s="448"/>
      <c r="CD274" s="448"/>
      <c r="CE274" s="448"/>
      <c r="CF274" s="371"/>
      <c r="CG274" s="371"/>
      <c r="CH274" s="371"/>
      <c r="CI274" s="371"/>
    </row>
    <row r="275" spans="1:256" s="650" customFormat="1" ht="14.25" hidden="1" customHeight="1" outlineLevel="2">
      <c r="A275"/>
      <c r="B275" s="369" t="s">
        <v>76</v>
      </c>
      <c r="C275" s="372"/>
      <c r="D275" s="545"/>
      <c r="E275" s="546"/>
      <c r="F275" s="675"/>
      <c r="G275" s="676"/>
      <c r="H275" s="677">
        <v>415</v>
      </c>
      <c r="I275" s="678">
        <v>404</v>
      </c>
      <c r="J275" s="678">
        <v>397</v>
      </c>
      <c r="K275" s="679">
        <v>412</v>
      </c>
      <c r="L275" s="677">
        <v>413.6</v>
      </c>
      <c r="M275" s="678">
        <v>356.3</v>
      </c>
      <c r="N275" s="678">
        <v>370</v>
      </c>
      <c r="O275" s="679">
        <v>326</v>
      </c>
      <c r="P275" s="677">
        <v>300.2</v>
      </c>
      <c r="Q275" s="678">
        <v>206.4</v>
      </c>
      <c r="R275" s="678">
        <v>270.60000000000002</v>
      </c>
      <c r="S275" s="680">
        <v>278</v>
      </c>
      <c r="T275" s="681">
        <v>288.39999999999998</v>
      </c>
      <c r="U275" s="682">
        <v>334.6</v>
      </c>
      <c r="V275" s="682">
        <v>480.2</v>
      </c>
      <c r="W275" s="680">
        <v>614</v>
      </c>
      <c r="X275" s="681">
        <v>594.5</v>
      </c>
      <c r="Y275" s="682">
        <v>512</v>
      </c>
      <c r="Z275" s="682">
        <v>462</v>
      </c>
      <c r="AA275" s="680">
        <v>460</v>
      </c>
      <c r="AB275" s="681">
        <v>403.1</v>
      </c>
      <c r="AC275" s="682">
        <v>365</v>
      </c>
      <c r="AD275" s="682">
        <v>388</v>
      </c>
      <c r="AE275" s="682">
        <v>393</v>
      </c>
      <c r="AF275" s="681">
        <v>400</v>
      </c>
      <c r="AG275" s="682">
        <v>353</v>
      </c>
      <c r="AH275" s="682">
        <v>386</v>
      </c>
      <c r="AI275" s="430"/>
      <c r="AJ275" s="431"/>
      <c r="AK275" s="429"/>
      <c r="AL275" s="429"/>
      <c r="AM275" s="430"/>
      <c r="AN275" s="431"/>
      <c r="AO275" s="429"/>
      <c r="AP275" s="429"/>
      <c r="AQ275" s="430"/>
      <c r="AR275" s="431"/>
      <c r="AS275" s="429"/>
      <c r="AT275" s="429"/>
      <c r="AU275" s="430"/>
      <c r="AV275" s="431"/>
      <c r="AW275" s="429"/>
      <c r="AX275" s="429"/>
      <c r="AY275" s="430"/>
      <c r="AZ275" s="431"/>
      <c r="BA275" s="429"/>
      <c r="BB275" s="429"/>
      <c r="BC275" s="430"/>
      <c r="BD275" s="431"/>
      <c r="BE275" s="429"/>
      <c r="BF275" s="429"/>
      <c r="BG275" s="430"/>
      <c r="BH275" s="431"/>
      <c r="BI275" s="429"/>
      <c r="BJ275" s="429"/>
      <c r="BK275" s="430"/>
      <c r="BL275" s="424"/>
      <c r="BM275" s="549"/>
      <c r="BN275" s="168">
        <f>K275</f>
        <v>412</v>
      </c>
      <c r="BO275" s="168">
        <f>O275</f>
        <v>326</v>
      </c>
      <c r="BP275" s="411">
        <f>S275</f>
        <v>278</v>
      </c>
      <c r="BQ275" s="411">
        <f>W275</f>
        <v>614</v>
      </c>
      <c r="BR275" s="411">
        <f>AA275</f>
        <v>460</v>
      </c>
      <c r="BS275" s="411"/>
      <c r="BT275" s="411"/>
      <c r="BU275" s="411"/>
      <c r="BV275" s="411"/>
      <c r="BW275" s="411"/>
      <c r="BX275" s="412"/>
      <c r="BY275" s="412"/>
      <c r="BZ275" s="412"/>
      <c r="CA275" s="372"/>
      <c r="CB275" s="448"/>
      <c r="CC275" s="448"/>
      <c r="CD275" s="448"/>
      <c r="CE275" s="448"/>
      <c r="CF275" s="371"/>
      <c r="CG275" s="371"/>
      <c r="CH275" s="371"/>
      <c r="CI275" s="371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</row>
    <row r="276" spans="1:256" ht="14.25" hidden="1" customHeight="1" outlineLevel="2">
      <c r="A276" s="650"/>
      <c r="B276" s="649" t="s">
        <v>90</v>
      </c>
      <c r="C276" s="651"/>
      <c r="D276" s="654">
        <f>D275/IS!E$10</f>
        <v>0</v>
      </c>
      <c r="E276" s="653">
        <f>E275/IS!F$10</f>
        <v>0</v>
      </c>
      <c r="F276" s="653">
        <f>F275/IS!G$10</f>
        <v>0</v>
      </c>
      <c r="G276" s="652">
        <f>G275/IS!H$10</f>
        <v>0</v>
      </c>
      <c r="H276" s="654">
        <f>H275/IS!I$10</f>
        <v>0.83424966780781307</v>
      </c>
      <c r="I276" s="653">
        <f>I275/IS!J$10</f>
        <v>0.84774926766214254</v>
      </c>
      <c r="J276" s="653">
        <f>J275/IS!K$10</f>
        <v>0.7457219602907752</v>
      </c>
      <c r="K276" s="652">
        <f>K275/IS!L$10</f>
        <v>0.78613802064947969</v>
      </c>
      <c r="L276" s="654">
        <f>L275/IS!M$10</f>
        <v>0.76589046803388738</v>
      </c>
      <c r="M276" s="653">
        <f>M275/IS!N$10</f>
        <v>0.73100674996409587</v>
      </c>
      <c r="N276" s="653">
        <f>N275/IS!O$10</f>
        <v>0.73812957964517922</v>
      </c>
      <c r="O276" s="652">
        <f>O275/IS!P$10</f>
        <v>0.65043375551671578</v>
      </c>
      <c r="P276" s="654">
        <f>P275/IS!Q$10</f>
        <v>0.73099166007183292</v>
      </c>
      <c r="Q276" s="653">
        <f>Q275/IS!R$10</f>
        <v>0.60765754493397905</v>
      </c>
      <c r="R276" s="653">
        <f>R275/IS!S$10</f>
        <v>0.68598198600150562</v>
      </c>
      <c r="S276" s="652">
        <f>S275/IS!T$10</f>
        <v>0.61881463607911924</v>
      </c>
      <c r="T276" s="654">
        <f>T275/IS!U$10</f>
        <v>0.60906201493088918</v>
      </c>
      <c r="U276" s="653">
        <f>U275/IS!V$10</f>
        <v>0.65752240213802871</v>
      </c>
      <c r="V276" s="653">
        <f>V275/IS!W$10</f>
        <v>0.84846685819896039</v>
      </c>
      <c r="W276" s="652">
        <f>W275/IS!X$10</f>
        <v>0.98061293099455549</v>
      </c>
      <c r="X276" s="653">
        <f>X275/IS!Y$10</f>
        <v>0.96992181891747253</v>
      </c>
      <c r="Y276" s="653">
        <f>Y275/IS!Z$10</f>
        <v>0.84380536442668208</v>
      </c>
      <c r="Z276" s="653">
        <f>Z275/IS!AA$10</f>
        <v>0.73744076131979597</v>
      </c>
      <c r="AA276" s="652">
        <f>AA275/IS!AB$10</f>
        <v>0.72326816582337794</v>
      </c>
      <c r="AB276" s="653">
        <f>AB275/IS!AC$10</f>
        <v>0.68165023276892711</v>
      </c>
      <c r="AC276" s="653">
        <f>AC275/IS!AD$10</f>
        <v>0.63899217803547548</v>
      </c>
      <c r="AD276" s="653">
        <f>AD275/IS!AE$10</f>
        <v>0.64136895906479152</v>
      </c>
      <c r="AE276" s="653">
        <f>AE275/IS!AF$10</f>
        <v>0.63074268747743045</v>
      </c>
      <c r="AF276" s="654">
        <f>AF275/IS!AG$10</f>
        <v>0.66082279045639725</v>
      </c>
      <c r="AG276" s="653">
        <f>AG275/IS!AH$10</f>
        <v>0.58358296797402476</v>
      </c>
      <c r="AH276" s="653"/>
      <c r="AI276" s="656"/>
      <c r="AJ276" s="657"/>
      <c r="AK276" s="655"/>
      <c r="AL276" s="655"/>
      <c r="AM276" s="656"/>
      <c r="AN276" s="657"/>
      <c r="AO276" s="655"/>
      <c r="AP276" s="655"/>
      <c r="AQ276" s="656"/>
      <c r="AR276" s="657"/>
      <c r="AS276" s="655"/>
      <c r="AT276" s="655"/>
      <c r="AU276" s="656"/>
      <c r="AV276" s="657"/>
      <c r="AW276" s="655"/>
      <c r="AX276" s="655"/>
      <c r="AY276" s="656"/>
      <c r="AZ276" s="657"/>
      <c r="BA276" s="655"/>
      <c r="BB276" s="655"/>
      <c r="BC276" s="656"/>
      <c r="BD276" s="657"/>
      <c r="BE276" s="655"/>
      <c r="BF276" s="655"/>
      <c r="BG276" s="656"/>
      <c r="BH276" s="657"/>
      <c r="BI276" s="655"/>
      <c r="BJ276" s="655"/>
      <c r="BK276" s="656"/>
      <c r="BL276" s="658"/>
      <c r="BM276" s="659"/>
      <c r="BN276" s="672"/>
      <c r="BO276" s="672"/>
      <c r="BP276" s="672"/>
      <c r="BQ276" s="672"/>
      <c r="BR276" s="672"/>
      <c r="BS276" s="660"/>
      <c r="BT276" s="660"/>
      <c r="BU276" s="660"/>
      <c r="BV276" s="660"/>
      <c r="BW276" s="660"/>
      <c r="BX276" s="661"/>
      <c r="BY276" s="661"/>
      <c r="BZ276" s="661"/>
      <c r="CA276" s="651"/>
      <c r="CB276" s="1453"/>
      <c r="CC276" s="1453"/>
      <c r="CD276" s="1453"/>
      <c r="CE276" s="1453"/>
      <c r="CF276" s="662"/>
      <c r="CG276" s="662"/>
      <c r="CH276" s="662"/>
      <c r="CI276" s="662"/>
      <c r="CJ276" s="650"/>
      <c r="CK276" s="650"/>
      <c r="CL276" s="650"/>
      <c r="CM276" s="650"/>
      <c r="CN276" s="650"/>
      <c r="CO276" s="650"/>
      <c r="CP276" s="650"/>
      <c r="CQ276" s="650"/>
      <c r="CR276" s="650"/>
      <c r="CS276" s="650"/>
      <c r="CT276" s="650"/>
      <c r="CU276" s="650"/>
      <c r="CV276" s="650"/>
      <c r="CW276" s="650"/>
      <c r="CX276" s="650"/>
      <c r="CY276" s="650"/>
      <c r="CZ276" s="650"/>
      <c r="DA276" s="650"/>
      <c r="DB276" s="650"/>
      <c r="DC276" s="650"/>
      <c r="DD276" s="650"/>
      <c r="DE276" s="650"/>
      <c r="DF276" s="650"/>
      <c r="DG276" s="650"/>
      <c r="DH276" s="650"/>
      <c r="DI276" s="650"/>
      <c r="DJ276" s="650"/>
      <c r="DK276" s="650"/>
      <c r="DL276" s="650"/>
      <c r="DM276" s="650"/>
      <c r="DN276" s="650"/>
      <c r="DO276" s="650"/>
      <c r="DP276" s="650"/>
      <c r="DQ276" s="650"/>
      <c r="DR276" s="650"/>
      <c r="DS276" s="650"/>
      <c r="DT276" s="650"/>
      <c r="DU276" s="650"/>
      <c r="DV276" s="650"/>
      <c r="DW276" s="650"/>
      <c r="DX276" s="650"/>
      <c r="DY276" s="650"/>
      <c r="DZ276" s="650"/>
      <c r="EA276" s="650"/>
      <c r="EB276" s="650"/>
      <c r="EC276" s="650"/>
      <c r="ED276" s="650"/>
      <c r="EE276" s="650"/>
      <c r="EF276" s="650"/>
      <c r="EG276" s="650"/>
      <c r="EH276" s="650"/>
      <c r="EI276" s="650"/>
      <c r="EJ276" s="650"/>
      <c r="EK276" s="650"/>
      <c r="EL276" s="650"/>
      <c r="EM276" s="650"/>
      <c r="EN276" s="650"/>
      <c r="EO276" s="650"/>
      <c r="EP276" s="650"/>
      <c r="EQ276" s="650"/>
      <c r="ER276" s="650"/>
      <c r="ES276" s="650"/>
      <c r="ET276" s="650"/>
      <c r="EU276" s="650"/>
      <c r="EV276" s="650"/>
      <c r="EW276" s="650"/>
      <c r="EX276" s="650"/>
      <c r="EY276" s="650"/>
      <c r="EZ276" s="650"/>
      <c r="FA276" s="650"/>
      <c r="FB276" s="650"/>
      <c r="FC276" s="650"/>
      <c r="FD276" s="650"/>
      <c r="FE276" s="650"/>
      <c r="FF276" s="650"/>
      <c r="FG276" s="650"/>
      <c r="FH276" s="650"/>
      <c r="FI276" s="650"/>
      <c r="FJ276" s="650"/>
      <c r="FK276" s="650"/>
      <c r="FL276" s="650"/>
      <c r="FM276" s="650"/>
      <c r="FN276" s="650"/>
      <c r="FO276" s="650"/>
      <c r="FP276" s="650"/>
      <c r="FQ276" s="650"/>
      <c r="FR276" s="650"/>
      <c r="FS276" s="650"/>
      <c r="FT276" s="650"/>
      <c r="FU276" s="650"/>
      <c r="FV276" s="650"/>
      <c r="FW276" s="650"/>
      <c r="FX276" s="650"/>
      <c r="FY276" s="650"/>
      <c r="FZ276" s="650"/>
      <c r="GA276" s="650"/>
      <c r="GB276" s="650"/>
      <c r="GC276" s="650"/>
      <c r="GD276" s="650"/>
      <c r="GE276" s="650"/>
      <c r="GF276" s="650"/>
      <c r="GG276" s="650"/>
      <c r="GH276" s="650"/>
      <c r="GI276" s="650"/>
      <c r="GJ276" s="650"/>
      <c r="GK276" s="650"/>
      <c r="GL276" s="650"/>
      <c r="GM276" s="650"/>
      <c r="GN276" s="650"/>
      <c r="GO276" s="650"/>
      <c r="GP276" s="650"/>
      <c r="GQ276" s="650"/>
      <c r="GR276" s="650"/>
      <c r="GS276" s="650"/>
      <c r="GT276" s="650"/>
      <c r="GU276" s="650"/>
      <c r="GV276" s="650"/>
      <c r="GW276" s="650"/>
      <c r="GX276" s="650"/>
      <c r="GY276" s="650"/>
      <c r="GZ276" s="650"/>
      <c r="HA276" s="650"/>
      <c r="HB276" s="650"/>
      <c r="HC276" s="650"/>
      <c r="HD276" s="650"/>
      <c r="HE276" s="650"/>
      <c r="HF276" s="650"/>
      <c r="HG276" s="650"/>
      <c r="HH276" s="650"/>
      <c r="HI276" s="650"/>
      <c r="HJ276" s="650"/>
      <c r="HK276" s="650"/>
      <c r="HL276" s="650"/>
      <c r="HM276" s="650"/>
      <c r="HN276" s="650"/>
      <c r="HO276" s="650"/>
      <c r="HP276" s="650"/>
      <c r="HQ276" s="650"/>
      <c r="HR276" s="650"/>
      <c r="HS276" s="650"/>
      <c r="HT276" s="650"/>
      <c r="HU276" s="650"/>
      <c r="HV276" s="650"/>
      <c r="HW276" s="650"/>
      <c r="HX276" s="650"/>
      <c r="HY276" s="650"/>
      <c r="HZ276" s="650"/>
      <c r="IA276" s="650"/>
      <c r="IB276" s="650"/>
      <c r="IC276" s="650"/>
      <c r="ID276" s="650"/>
      <c r="IE276" s="650"/>
      <c r="IF276" s="650"/>
      <c r="IG276" s="650"/>
      <c r="IH276" s="650"/>
      <c r="II276" s="650"/>
      <c r="IJ276" s="650"/>
      <c r="IK276" s="650"/>
      <c r="IL276" s="650"/>
      <c r="IM276" s="650"/>
      <c r="IN276" s="650"/>
      <c r="IO276" s="650"/>
      <c r="IP276" s="650"/>
      <c r="IQ276" s="650"/>
      <c r="IR276" s="650"/>
      <c r="IS276" s="650"/>
      <c r="IT276" s="650"/>
      <c r="IU276" s="650"/>
      <c r="IV276" s="650"/>
    </row>
    <row r="277" spans="1:256" ht="14.25" hidden="1" customHeight="1" outlineLevel="2">
      <c r="B277" s="587" t="s">
        <v>72</v>
      </c>
      <c r="C277" s="373"/>
      <c r="D277" s="683">
        <v>459</v>
      </c>
      <c r="E277" s="684">
        <v>506</v>
      </c>
      <c r="F277" s="684">
        <v>537</v>
      </c>
      <c r="G277" s="685">
        <v>557</v>
      </c>
      <c r="H277" s="683">
        <v>507</v>
      </c>
      <c r="I277" s="589">
        <v>477</v>
      </c>
      <c r="J277" s="589">
        <v>463</v>
      </c>
      <c r="K277" s="590">
        <v>540</v>
      </c>
      <c r="L277" s="588">
        <v>523.20000000000005</v>
      </c>
      <c r="M277" s="589">
        <v>476.4</v>
      </c>
      <c r="N277" s="589">
        <v>489.3</v>
      </c>
      <c r="O277" s="686" t="s">
        <v>93</v>
      </c>
      <c r="P277" s="687" t="s">
        <v>94</v>
      </c>
      <c r="Q277" s="687" t="s">
        <v>94</v>
      </c>
      <c r="R277" s="688" t="s">
        <v>93</v>
      </c>
      <c r="S277" s="686" t="s">
        <v>93</v>
      </c>
      <c r="T277" s="689" t="s">
        <v>93</v>
      </c>
      <c r="U277" s="688" t="s">
        <v>93</v>
      </c>
      <c r="V277" s="688" t="s">
        <v>93</v>
      </c>
      <c r="W277" s="690" t="s">
        <v>95</v>
      </c>
      <c r="X277" s="687" t="s">
        <v>94</v>
      </c>
      <c r="Y277" s="687" t="s">
        <v>94</v>
      </c>
      <c r="Z277" s="691" t="s">
        <v>93</v>
      </c>
      <c r="AA277" s="692" t="s">
        <v>93</v>
      </c>
      <c r="AB277" s="687" t="s">
        <v>94</v>
      </c>
      <c r="AC277" s="688" t="s">
        <v>93</v>
      </c>
      <c r="AD277" s="688" t="s">
        <v>93</v>
      </c>
      <c r="AE277" s="687" t="s">
        <v>94</v>
      </c>
      <c r="AF277" s="784" t="s">
        <v>94</v>
      </c>
      <c r="AG277" s="591"/>
      <c r="AH277" s="591"/>
      <c r="AI277" s="592"/>
      <c r="AJ277" s="593"/>
      <c r="AK277" s="591"/>
      <c r="AL277" s="591"/>
      <c r="AM277" s="592"/>
      <c r="AN277" s="593"/>
      <c r="AO277" s="591"/>
      <c r="AP277" s="591"/>
      <c r="AQ277" s="592"/>
      <c r="AR277" s="593"/>
      <c r="AS277" s="591"/>
      <c r="AT277" s="591"/>
      <c r="AU277" s="592"/>
      <c r="AV277" s="593"/>
      <c r="AW277" s="591"/>
      <c r="AX277" s="591"/>
      <c r="AY277" s="592"/>
      <c r="AZ277" s="593"/>
      <c r="BA277" s="591"/>
      <c r="BB277" s="591"/>
      <c r="BC277" s="592"/>
      <c r="BD277" s="593"/>
      <c r="BE277" s="591"/>
      <c r="BF277" s="591"/>
      <c r="BG277" s="592"/>
      <c r="BH277" s="593"/>
      <c r="BI277" s="591"/>
      <c r="BJ277" s="591"/>
      <c r="BK277" s="592"/>
      <c r="BL277" s="424"/>
      <c r="BM277" s="585"/>
      <c r="BN277" s="432">
        <f>K277</f>
        <v>540</v>
      </c>
      <c r="BO277" s="693"/>
      <c r="BP277" s="693"/>
      <c r="BQ277" s="693"/>
      <c r="BR277" s="693"/>
      <c r="BS277" s="432"/>
      <c r="BT277" s="432"/>
      <c r="BU277" s="432"/>
      <c r="BV277" s="432"/>
      <c r="BW277" s="432"/>
      <c r="BX277" s="433"/>
      <c r="BY277" s="433"/>
      <c r="BZ277" s="433"/>
      <c r="CA277" s="373"/>
      <c r="CB277" s="448"/>
      <c r="CC277" s="448"/>
      <c r="CD277" s="448"/>
      <c r="CE277" s="448"/>
      <c r="CF277" s="371"/>
      <c r="CG277" s="371"/>
      <c r="CH277" s="371"/>
      <c r="CI277" s="371"/>
      <c r="CJ277" s="371"/>
      <c r="CK277" s="371"/>
      <c r="CL277" s="371"/>
      <c r="CM277" s="371"/>
      <c r="CN277" s="371"/>
      <c r="CO277" s="371"/>
      <c r="CP277" s="371"/>
      <c r="CQ277" s="371"/>
      <c r="CR277" s="371"/>
      <c r="CS277" s="371"/>
      <c r="CT277" s="371"/>
      <c r="CU277" s="371"/>
      <c r="CV277" s="371"/>
      <c r="CW277" s="371"/>
      <c r="CX277" s="371"/>
      <c r="CY277" s="371"/>
      <c r="CZ277" s="371"/>
      <c r="DA277" s="371"/>
      <c r="DB277" s="371"/>
      <c r="DC277" s="371"/>
      <c r="DD277" s="371"/>
      <c r="DE277" s="371"/>
      <c r="DF277" s="371"/>
      <c r="DG277" s="371"/>
      <c r="DH277" s="371"/>
      <c r="DI277" s="371"/>
      <c r="DJ277" s="371"/>
      <c r="DK277" s="371"/>
      <c r="DL277" s="371"/>
    </row>
    <row r="278" spans="1:256" ht="14.25" hidden="1" customHeight="1" outlineLevel="2">
      <c r="BV278" s="1209"/>
      <c r="BW278" s="1209"/>
      <c r="CJ278" s="371"/>
    </row>
    <row r="279" spans="1:256" ht="14.25" hidden="1" customHeight="1" outlineLevel="2">
      <c r="A279" s="1"/>
      <c r="B279" s="162" t="s">
        <v>86</v>
      </c>
      <c r="C279" s="163"/>
      <c r="D279" s="766" t="str">
        <f>D$9</f>
        <v>F1Q06A</v>
      </c>
      <c r="E279" s="767" t="str">
        <f t="shared" ref="E279:BK279" si="303">E$9</f>
        <v>F2Q06A</v>
      </c>
      <c r="F279" s="767" t="str">
        <f t="shared" si="303"/>
        <v>F3Q06A</v>
      </c>
      <c r="G279" s="767" t="str">
        <f t="shared" si="303"/>
        <v>F4Q06A</v>
      </c>
      <c r="H279" s="766" t="str">
        <f t="shared" si="303"/>
        <v>F1Q07A</v>
      </c>
      <c r="I279" s="767" t="str">
        <f t="shared" si="303"/>
        <v>F2Q07A</v>
      </c>
      <c r="J279" s="767" t="str">
        <f t="shared" si="303"/>
        <v>F3Q07A</v>
      </c>
      <c r="K279" s="767" t="str">
        <f t="shared" si="303"/>
        <v>F4Q07A</v>
      </c>
      <c r="L279" s="766" t="str">
        <f t="shared" si="303"/>
        <v>F1Q08A</v>
      </c>
      <c r="M279" s="767" t="str">
        <f t="shared" si="303"/>
        <v>F2Q08A</v>
      </c>
      <c r="N279" s="767" t="str">
        <f t="shared" si="303"/>
        <v>F3Q08A</v>
      </c>
      <c r="O279" s="767" t="str">
        <f t="shared" si="303"/>
        <v>F4Q08A</v>
      </c>
      <c r="P279" s="766" t="str">
        <f t="shared" si="303"/>
        <v>F1Q09A</v>
      </c>
      <c r="Q279" s="767" t="str">
        <f t="shared" si="303"/>
        <v>F2Q09A</v>
      </c>
      <c r="R279" s="767" t="str">
        <f t="shared" si="303"/>
        <v>F3Q09A</v>
      </c>
      <c r="S279" s="767" t="str">
        <f t="shared" si="303"/>
        <v>F4Q09A</v>
      </c>
      <c r="T279" s="766" t="str">
        <f t="shared" si="303"/>
        <v>F1Q10A</v>
      </c>
      <c r="U279" s="767" t="str">
        <f t="shared" si="303"/>
        <v>F2Q10A</v>
      </c>
      <c r="V279" s="767" t="str">
        <f t="shared" si="303"/>
        <v>F3Q10A</v>
      </c>
      <c r="W279" s="767" t="str">
        <f t="shared" si="303"/>
        <v>F4Q10A</v>
      </c>
      <c r="X279" s="766" t="str">
        <f t="shared" si="303"/>
        <v>F1Q11A</v>
      </c>
      <c r="Y279" s="767" t="str">
        <f t="shared" si="303"/>
        <v>F2Q11A</v>
      </c>
      <c r="Z279" s="767" t="str">
        <f t="shared" si="303"/>
        <v>F3Q11A</v>
      </c>
      <c r="AA279" s="767" t="str">
        <f t="shared" si="303"/>
        <v>F4Q11A</v>
      </c>
      <c r="AB279" s="766" t="str">
        <f t="shared" si="303"/>
        <v>F1Q12A</v>
      </c>
      <c r="AC279" s="767" t="str">
        <f t="shared" si="303"/>
        <v>F2Q12A</v>
      </c>
      <c r="AD279" s="767" t="str">
        <f t="shared" si="303"/>
        <v>F3Q12A</v>
      </c>
      <c r="AE279" s="767" t="str">
        <f t="shared" si="303"/>
        <v>F4Q12A</v>
      </c>
      <c r="AF279" s="766" t="str">
        <f t="shared" si="303"/>
        <v>F1Q13A</v>
      </c>
      <c r="AG279" s="767" t="str">
        <f t="shared" si="303"/>
        <v>F2Q13A</v>
      </c>
      <c r="AH279" s="767" t="str">
        <f t="shared" si="303"/>
        <v>F3Q13A</v>
      </c>
      <c r="AI279" s="767" t="str">
        <f t="shared" si="303"/>
        <v>F4Q13A</v>
      </c>
      <c r="AJ279" s="766" t="str">
        <f t="shared" si="303"/>
        <v>F1Q14A</v>
      </c>
      <c r="AK279" s="767" t="str">
        <f t="shared" si="303"/>
        <v>F2Q14</v>
      </c>
      <c r="AL279" s="767" t="str">
        <f t="shared" si="303"/>
        <v>F3Q14A</v>
      </c>
      <c r="AM279" s="767" t="str">
        <f t="shared" si="303"/>
        <v>F4Q14A</v>
      </c>
      <c r="AN279" s="766" t="str">
        <f t="shared" si="303"/>
        <v>F1Q15A</v>
      </c>
      <c r="AO279" s="767" t="str">
        <f t="shared" si="303"/>
        <v>F2Q15A</v>
      </c>
      <c r="AP279" s="767" t="str">
        <f t="shared" si="303"/>
        <v>F3Q15A</v>
      </c>
      <c r="AQ279" s="768" t="str">
        <f t="shared" si="303"/>
        <v>F4Q15A</v>
      </c>
      <c r="AR279" s="766" t="str">
        <f t="shared" si="303"/>
        <v>F1Q16A</v>
      </c>
      <c r="AS279" s="767" t="str">
        <f t="shared" si="303"/>
        <v>F2Q16A</v>
      </c>
      <c r="AT279" s="767" t="str">
        <f t="shared" si="303"/>
        <v>F3Q16A</v>
      </c>
      <c r="AU279" s="768" t="str">
        <f t="shared" si="303"/>
        <v>F4Q16A</v>
      </c>
      <c r="AV279" s="766" t="str">
        <f t="shared" si="303"/>
        <v>F1Q17A</v>
      </c>
      <c r="AW279" s="767" t="str">
        <f t="shared" si="303"/>
        <v>F2Q17A</v>
      </c>
      <c r="AX279" s="767" t="str">
        <f t="shared" si="303"/>
        <v>F3Q17A</v>
      </c>
      <c r="AY279" s="768" t="str">
        <f t="shared" si="303"/>
        <v>F4Q17A</v>
      </c>
      <c r="AZ279" s="766" t="str">
        <f t="shared" si="303"/>
        <v>F1Q18A</v>
      </c>
      <c r="BA279" s="767" t="str">
        <f t="shared" si="303"/>
        <v>F2Q18A</v>
      </c>
      <c r="BB279" s="767" t="str">
        <f t="shared" si="303"/>
        <v>F3Q18A</v>
      </c>
      <c r="BC279" s="768" t="str">
        <f t="shared" si="303"/>
        <v>F4Q18E</v>
      </c>
      <c r="BD279" s="766" t="str">
        <f t="shared" si="303"/>
        <v>F1Q19E</v>
      </c>
      <c r="BE279" s="767" t="str">
        <f t="shared" si="303"/>
        <v>F2Q19E</v>
      </c>
      <c r="BF279" s="767" t="str">
        <f t="shared" si="303"/>
        <v>F3Q19E</v>
      </c>
      <c r="BG279" s="768" t="str">
        <f t="shared" si="303"/>
        <v>F4Q19E</v>
      </c>
      <c r="BH279" s="766" t="str">
        <f t="shared" si="303"/>
        <v>F1Q20E</v>
      </c>
      <c r="BI279" s="767" t="str">
        <f t="shared" si="303"/>
        <v>F2Q20E</v>
      </c>
      <c r="BJ279" s="767" t="str">
        <f t="shared" si="303"/>
        <v>F3Q20E</v>
      </c>
      <c r="BK279" s="768" t="str">
        <f t="shared" si="303"/>
        <v>F4Q20E</v>
      </c>
      <c r="BL279" s="20"/>
      <c r="BM279" s="766" t="str">
        <f t="shared" ref="BM279:CA279" si="304">BM$9</f>
        <v>FY2006A</v>
      </c>
      <c r="BN279" s="767" t="str">
        <f t="shared" si="304"/>
        <v>FY2007A</v>
      </c>
      <c r="BO279" s="767" t="str">
        <f t="shared" si="304"/>
        <v>FY2008A</v>
      </c>
      <c r="BP279" s="767" t="str">
        <f t="shared" si="304"/>
        <v>FY2009A</v>
      </c>
      <c r="BQ279" s="767" t="str">
        <f t="shared" si="304"/>
        <v>FY2010A</v>
      </c>
      <c r="BR279" s="767" t="str">
        <f t="shared" si="304"/>
        <v>FY2011A</v>
      </c>
      <c r="BS279" s="767" t="str">
        <f t="shared" si="304"/>
        <v>FY2012A</v>
      </c>
      <c r="BT279" s="767" t="str">
        <f t="shared" si="304"/>
        <v>FY2013A</v>
      </c>
      <c r="BU279" s="768" t="str">
        <f t="shared" si="304"/>
        <v>FY2014A</v>
      </c>
      <c r="BV279" s="1036" t="str">
        <f t="shared" si="304"/>
        <v>FY2015A</v>
      </c>
      <c r="BW279" s="1240" t="str">
        <f t="shared" si="304"/>
        <v>FY2016A</v>
      </c>
      <c r="BX279" s="386" t="str">
        <f t="shared" si="304"/>
        <v>FY2017A</v>
      </c>
      <c r="BY279" s="386" t="str">
        <f t="shared" si="304"/>
        <v>FY2018E</v>
      </c>
      <c r="BZ279" s="386" t="str">
        <f t="shared" si="304"/>
        <v>FY2019E</v>
      </c>
      <c r="CA279" s="351" t="str">
        <f t="shared" si="304"/>
        <v>FY2020E</v>
      </c>
      <c r="CB279" s="1037"/>
      <c r="CC279" s="1037"/>
      <c r="CD279" s="1037"/>
      <c r="CE279" s="1037"/>
      <c r="CF279" s="371"/>
      <c r="CG279" s="371"/>
      <c r="CH279" s="371"/>
      <c r="CI279" s="371"/>
    </row>
    <row r="280" spans="1:256" s="121" customFormat="1" ht="14.25" hidden="1" customHeight="1" outlineLevel="2">
      <c r="A280"/>
      <c r="B280" s="369" t="s">
        <v>85</v>
      </c>
      <c r="C280" s="372"/>
      <c r="D280" s="625">
        <v>8391.5220000000008</v>
      </c>
      <c r="E280" s="626">
        <v>8692.8739999999998</v>
      </c>
      <c r="F280" s="626">
        <v>8896.4470000000001</v>
      </c>
      <c r="G280" s="627">
        <v>9284.8880000000008</v>
      </c>
      <c r="H280" s="625">
        <v>9513.7839999999997</v>
      </c>
      <c r="I280" s="626">
        <v>9244.5869999999995</v>
      </c>
      <c r="J280" s="626">
        <v>8585.4750000000004</v>
      </c>
      <c r="K280" s="627">
        <v>8814.6980000000003</v>
      </c>
      <c r="L280" s="625">
        <v>9571.0840000000007</v>
      </c>
      <c r="M280" s="626">
        <v>9481.6270000000004</v>
      </c>
      <c r="N280" s="626">
        <v>8722.8700000000008</v>
      </c>
      <c r="O280" s="627">
        <v>9463.83</v>
      </c>
      <c r="P280" s="625">
        <v>10037.423000000001</v>
      </c>
      <c r="Q280" s="626">
        <v>7412.5529999999999</v>
      </c>
      <c r="R280" s="626">
        <v>6022.8059999999996</v>
      </c>
      <c r="S280" s="627">
        <v>7729.817</v>
      </c>
      <c r="T280" s="625">
        <v>8813.9500000000007</v>
      </c>
      <c r="U280" s="626">
        <v>9434.17</v>
      </c>
      <c r="V280" s="626">
        <v>9937.2459999999992</v>
      </c>
      <c r="W280" s="627">
        <v>10534.342000000001</v>
      </c>
      <c r="X280" s="625">
        <v>11035.681</v>
      </c>
      <c r="Y280" s="626">
        <v>10777.478999999999</v>
      </c>
      <c r="Z280" s="626">
        <v>10755.513000000001</v>
      </c>
      <c r="AA280" s="627">
        <v>11096.376</v>
      </c>
      <c r="AB280" s="625">
        <v>10800.637000000001</v>
      </c>
      <c r="AC280" s="626">
        <v>9685.1200000000008</v>
      </c>
      <c r="AD280" s="626">
        <v>9756.8940000000002</v>
      </c>
      <c r="AE280" s="627"/>
      <c r="AF280" s="427"/>
      <c r="AG280" s="429"/>
      <c r="AH280" s="429"/>
      <c r="AI280" s="430"/>
      <c r="AJ280" s="431"/>
      <c r="AK280" s="429"/>
      <c r="AL280" s="429"/>
      <c r="AM280" s="430"/>
      <c r="AN280" s="431"/>
      <c r="AO280" s="429"/>
      <c r="AP280" s="429"/>
      <c r="AQ280" s="430"/>
      <c r="AR280" s="431"/>
      <c r="AS280" s="429"/>
      <c r="AT280" s="429"/>
      <c r="AU280" s="430"/>
      <c r="AV280" s="431"/>
      <c r="AW280" s="429"/>
      <c r="AX280" s="429"/>
      <c r="AY280" s="430"/>
      <c r="AZ280" s="431"/>
      <c r="BA280" s="429"/>
      <c r="BB280" s="429"/>
      <c r="BC280" s="430"/>
      <c r="BD280" s="431"/>
      <c r="BE280" s="429"/>
      <c r="BF280" s="429"/>
      <c r="BG280" s="430"/>
      <c r="BH280" s="431"/>
      <c r="BI280" s="429"/>
      <c r="BJ280" s="429"/>
      <c r="BK280" s="430"/>
      <c r="BL280" s="424"/>
      <c r="BM280" s="628">
        <f>SUM(D280:G280)</f>
        <v>35265.731</v>
      </c>
      <c r="BN280" s="629">
        <f>SUM(H280:K280)</f>
        <v>36158.543999999994</v>
      </c>
      <c r="BO280" s="629">
        <f>SUM(L280:O280)</f>
        <v>37239.411000000007</v>
      </c>
      <c r="BP280" s="629">
        <f>SUM(P280:S280)</f>
        <v>31202.599000000002</v>
      </c>
      <c r="BQ280" s="629">
        <f>SUM(T280:W280)</f>
        <v>38719.707999999999</v>
      </c>
      <c r="BR280" s="629">
        <f>SUM(X280:AA280)</f>
        <v>43665.048999999999</v>
      </c>
      <c r="BS280" s="409"/>
      <c r="BT280" s="411"/>
      <c r="BU280" s="411"/>
      <c r="BV280" s="411"/>
      <c r="BW280" s="411"/>
      <c r="BX280" s="412"/>
      <c r="BY280" s="412"/>
      <c r="BZ280" s="412"/>
      <c r="CA280" s="372"/>
      <c r="CB280" s="448"/>
      <c r="CC280" s="448"/>
      <c r="CD280" s="448"/>
      <c r="CE280" s="448"/>
      <c r="CF280" s="371"/>
      <c r="CG280" s="371"/>
      <c r="CH280" s="371"/>
      <c r="CI280" s="371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</row>
    <row r="281" spans="1:256" ht="14.25" hidden="1" customHeight="1" outlineLevel="2">
      <c r="A281" s="121"/>
      <c r="B281" s="434" t="s">
        <v>576</v>
      </c>
      <c r="C281" s="435"/>
      <c r="D281" s="436">
        <f>SUM(D280)</f>
        <v>8391.5220000000008</v>
      </c>
      <c r="E281" s="437">
        <f t="shared" ref="E281:AD281" si="305">SUM(E280)</f>
        <v>8692.8739999999998</v>
      </c>
      <c r="F281" s="437">
        <f t="shared" si="305"/>
        <v>8896.4470000000001</v>
      </c>
      <c r="G281" s="438">
        <f t="shared" si="305"/>
        <v>9284.8880000000008</v>
      </c>
      <c r="H281" s="436">
        <f t="shared" si="305"/>
        <v>9513.7839999999997</v>
      </c>
      <c r="I281" s="437">
        <f t="shared" si="305"/>
        <v>9244.5869999999995</v>
      </c>
      <c r="J281" s="437">
        <f t="shared" si="305"/>
        <v>8585.4750000000004</v>
      </c>
      <c r="K281" s="438">
        <f t="shared" si="305"/>
        <v>8814.6980000000003</v>
      </c>
      <c r="L281" s="436">
        <f t="shared" si="305"/>
        <v>9571.0840000000007</v>
      </c>
      <c r="M281" s="437">
        <f t="shared" si="305"/>
        <v>9481.6270000000004</v>
      </c>
      <c r="N281" s="437">
        <f t="shared" si="305"/>
        <v>8722.8700000000008</v>
      </c>
      <c r="O281" s="438">
        <f t="shared" si="305"/>
        <v>9463.83</v>
      </c>
      <c r="P281" s="436">
        <f t="shared" si="305"/>
        <v>10037.423000000001</v>
      </c>
      <c r="Q281" s="437">
        <f t="shared" si="305"/>
        <v>7412.5529999999999</v>
      </c>
      <c r="R281" s="437">
        <f t="shared" si="305"/>
        <v>6022.8059999999996</v>
      </c>
      <c r="S281" s="438">
        <f t="shared" si="305"/>
        <v>7729.817</v>
      </c>
      <c r="T281" s="436">
        <f t="shared" si="305"/>
        <v>8813.9500000000007</v>
      </c>
      <c r="U281" s="437">
        <f t="shared" si="305"/>
        <v>9434.17</v>
      </c>
      <c r="V281" s="437">
        <f t="shared" si="305"/>
        <v>9937.2459999999992</v>
      </c>
      <c r="W281" s="438">
        <f t="shared" si="305"/>
        <v>10534.342000000001</v>
      </c>
      <c r="X281" s="436">
        <f t="shared" si="305"/>
        <v>11035.681</v>
      </c>
      <c r="Y281" s="437">
        <f t="shared" si="305"/>
        <v>10777.478999999999</v>
      </c>
      <c r="Z281" s="437">
        <f t="shared" si="305"/>
        <v>10755.513000000001</v>
      </c>
      <c r="AA281" s="438">
        <f t="shared" si="305"/>
        <v>11096.376</v>
      </c>
      <c r="AB281" s="436">
        <f t="shared" si="305"/>
        <v>10800.637000000001</v>
      </c>
      <c r="AC281" s="437">
        <f t="shared" si="305"/>
        <v>9685.1200000000008</v>
      </c>
      <c r="AD281" s="437">
        <f t="shared" si="305"/>
        <v>9756.8940000000002</v>
      </c>
      <c r="AE281" s="438"/>
      <c r="AF281" s="436"/>
      <c r="AG281" s="439"/>
      <c r="AH281" s="439"/>
      <c r="AI281" s="440"/>
      <c r="AJ281" s="441"/>
      <c r="AK281" s="439"/>
      <c r="AL281" s="439"/>
      <c r="AM281" s="440"/>
      <c r="AN281" s="441"/>
      <c r="AO281" s="439"/>
      <c r="AP281" s="439"/>
      <c r="AQ281" s="440"/>
      <c r="AR281" s="441"/>
      <c r="AS281" s="439"/>
      <c r="AT281" s="439"/>
      <c r="AU281" s="440"/>
      <c r="AV281" s="441"/>
      <c r="AW281" s="439"/>
      <c r="AX281" s="439"/>
      <c r="AY281" s="440"/>
      <c r="AZ281" s="441"/>
      <c r="BA281" s="439"/>
      <c r="BB281" s="439"/>
      <c r="BC281" s="440"/>
      <c r="BD281" s="441"/>
      <c r="BE281" s="439"/>
      <c r="BF281" s="439"/>
      <c r="BG281" s="440"/>
      <c r="BH281" s="441"/>
      <c r="BI281" s="439"/>
      <c r="BJ281" s="439"/>
      <c r="BK281" s="440"/>
      <c r="BL281" s="442"/>
      <c r="BM281" s="630">
        <f t="shared" ref="BM281:BR281" si="306">SUM(BM280)</f>
        <v>35265.731</v>
      </c>
      <c r="BN281" s="631">
        <f t="shared" si="306"/>
        <v>36158.543999999994</v>
      </c>
      <c r="BO281" s="631">
        <f t="shared" si="306"/>
        <v>37239.411000000007</v>
      </c>
      <c r="BP281" s="631">
        <f t="shared" si="306"/>
        <v>31202.599000000002</v>
      </c>
      <c r="BQ281" s="631">
        <f t="shared" si="306"/>
        <v>38719.707999999999</v>
      </c>
      <c r="BR281" s="631">
        <f t="shared" si="306"/>
        <v>43665.048999999999</v>
      </c>
      <c r="BS281" s="631"/>
      <c r="BT281" s="444"/>
      <c r="BU281" s="444"/>
      <c r="BV281" s="444"/>
      <c r="BW281" s="444"/>
      <c r="BX281" s="445"/>
      <c r="BY281" s="445"/>
      <c r="BZ281" s="445"/>
      <c r="CA281" s="435"/>
      <c r="CB281" s="835"/>
      <c r="CC281" s="835"/>
      <c r="CD281" s="835"/>
      <c r="CE281" s="835"/>
      <c r="CF281" s="804"/>
      <c r="CG281" s="804"/>
      <c r="CH281" s="804"/>
      <c r="CI281" s="804"/>
      <c r="CJ281" s="121"/>
      <c r="CK281" s="121"/>
      <c r="CL281" s="121"/>
      <c r="CM281" s="121"/>
      <c r="CN281" s="121"/>
      <c r="CO281" s="121"/>
      <c r="CP281" s="121"/>
      <c r="CQ281" s="121"/>
      <c r="CR281" s="121"/>
      <c r="CS281" s="121"/>
      <c r="CT281" s="121"/>
      <c r="CU281" s="121"/>
      <c r="CV281" s="121"/>
      <c r="CW281" s="121"/>
      <c r="CX281" s="121"/>
      <c r="CY281" s="121"/>
      <c r="CZ281" s="121"/>
      <c r="DA281" s="121"/>
      <c r="DB281" s="121"/>
      <c r="DC281" s="121"/>
      <c r="DD281" s="121"/>
      <c r="DE281" s="121"/>
      <c r="DF281" s="121"/>
      <c r="DG281" s="121"/>
      <c r="DH281" s="121"/>
      <c r="DI281" s="121"/>
      <c r="DJ281" s="121"/>
      <c r="DK281" s="121"/>
      <c r="DL281" s="121"/>
      <c r="DM281" s="121"/>
      <c r="DN281" s="121"/>
      <c r="DO281" s="121"/>
      <c r="DP281" s="121"/>
      <c r="DQ281" s="121"/>
      <c r="DR281" s="121"/>
      <c r="DS281" s="121"/>
      <c r="DT281" s="121"/>
      <c r="DU281" s="121"/>
      <c r="DV281" s="121"/>
      <c r="DW281" s="121"/>
      <c r="DX281" s="121"/>
      <c r="DY281" s="121"/>
      <c r="DZ281" s="121"/>
      <c r="EA281" s="121"/>
      <c r="EB281" s="121"/>
      <c r="EC281" s="121"/>
      <c r="ED281" s="121"/>
      <c r="EE281" s="121"/>
      <c r="EF281" s="121"/>
      <c r="EG281" s="121"/>
      <c r="EH281" s="121"/>
      <c r="EI281" s="121"/>
      <c r="EJ281" s="121"/>
      <c r="EK281" s="121"/>
      <c r="EL281" s="121"/>
      <c r="EM281" s="121"/>
      <c r="EN281" s="121"/>
      <c r="EO281" s="121"/>
      <c r="EP281" s="121"/>
      <c r="EQ281" s="121"/>
      <c r="ER281" s="121"/>
      <c r="ES281" s="121"/>
      <c r="ET281" s="121"/>
      <c r="EU281" s="121"/>
      <c r="EV281" s="121"/>
      <c r="EW281" s="121"/>
      <c r="EX281" s="121"/>
      <c r="EY281" s="121"/>
      <c r="EZ281" s="121"/>
      <c r="FA281" s="121"/>
      <c r="FB281" s="121"/>
      <c r="FC281" s="121"/>
      <c r="FD281" s="121"/>
      <c r="FE281" s="121"/>
      <c r="FF281" s="121"/>
      <c r="FG281" s="121"/>
      <c r="FH281" s="121"/>
      <c r="FI281" s="121"/>
      <c r="FJ281" s="121"/>
      <c r="FK281" s="121"/>
      <c r="FL281" s="121"/>
      <c r="FM281" s="121"/>
      <c r="FN281" s="121"/>
      <c r="FO281" s="121"/>
      <c r="FP281" s="121"/>
      <c r="FQ281" s="121"/>
      <c r="FR281" s="121"/>
      <c r="FS281" s="121"/>
      <c r="FT281" s="121"/>
      <c r="FU281" s="121"/>
      <c r="FV281" s="121"/>
      <c r="FW281" s="121"/>
      <c r="FX281" s="121"/>
      <c r="FY281" s="121"/>
      <c r="FZ281" s="121"/>
      <c r="GA281" s="121"/>
      <c r="GB281" s="121"/>
      <c r="GC281" s="121"/>
      <c r="GD281" s="121"/>
      <c r="GE281" s="121"/>
      <c r="GF281" s="121"/>
      <c r="GG281" s="121"/>
      <c r="GH281" s="121"/>
      <c r="GI281" s="121"/>
      <c r="GJ281" s="121"/>
      <c r="GK281" s="121"/>
      <c r="GL281" s="121"/>
      <c r="GM281" s="121"/>
      <c r="GN281" s="121"/>
      <c r="GO281" s="121"/>
      <c r="GP281" s="121"/>
      <c r="GQ281" s="121"/>
      <c r="GR281" s="121"/>
      <c r="GS281" s="121"/>
      <c r="GT281" s="121"/>
      <c r="GU281" s="121"/>
      <c r="GV281" s="121"/>
      <c r="GW281" s="121"/>
      <c r="GX281" s="121"/>
      <c r="GY281" s="121"/>
      <c r="GZ281" s="121"/>
      <c r="HA281" s="121"/>
      <c r="HB281" s="121"/>
      <c r="HC281" s="121"/>
      <c r="HD281" s="121"/>
      <c r="HE281" s="121"/>
      <c r="HF281" s="121"/>
      <c r="HG281" s="121"/>
      <c r="HH281" s="121"/>
      <c r="HI281" s="121"/>
      <c r="HJ281" s="121"/>
      <c r="HK281" s="121"/>
      <c r="HL281" s="121"/>
      <c r="HM281" s="121"/>
      <c r="HN281" s="121"/>
      <c r="HO281" s="121"/>
      <c r="HP281" s="121"/>
      <c r="HQ281" s="121"/>
      <c r="HR281" s="121"/>
      <c r="HS281" s="121"/>
      <c r="HT281" s="121"/>
      <c r="HU281" s="121"/>
      <c r="HV281" s="121"/>
      <c r="HW281" s="121"/>
      <c r="HX281" s="121"/>
      <c r="HY281" s="121"/>
      <c r="HZ281" s="121"/>
      <c r="IA281" s="121"/>
      <c r="IB281" s="121"/>
      <c r="IC281" s="121"/>
      <c r="ID281" s="121"/>
      <c r="IE281" s="121"/>
      <c r="IF281" s="121"/>
      <c r="IG281" s="121"/>
      <c r="IH281" s="121"/>
      <c r="II281" s="121"/>
      <c r="IJ281" s="121"/>
      <c r="IK281" s="121"/>
      <c r="IL281" s="121"/>
      <c r="IM281" s="121"/>
      <c r="IN281" s="121"/>
      <c r="IO281" s="121"/>
      <c r="IP281" s="121"/>
      <c r="IQ281" s="121"/>
      <c r="IR281" s="121"/>
      <c r="IS281" s="121"/>
      <c r="IT281" s="121"/>
      <c r="IU281" s="121"/>
      <c r="IV281" s="121"/>
    </row>
    <row r="282" spans="1:256" ht="14.25" hidden="1" customHeight="1" outlineLevel="2">
      <c r="BV282" s="1209"/>
      <c r="BW282" s="1209"/>
      <c r="CJ282" s="371"/>
    </row>
    <row r="283" spans="1:256" ht="14.25" hidden="1" customHeight="1" outlineLevel="2">
      <c r="A283" s="1"/>
      <c r="B283" s="162" t="s">
        <v>87</v>
      </c>
      <c r="C283" s="163"/>
      <c r="D283" s="766" t="str">
        <f>D$9</f>
        <v>F1Q06A</v>
      </c>
      <c r="E283" s="767" t="str">
        <f t="shared" ref="E283:BK283" si="307">E$9</f>
        <v>F2Q06A</v>
      </c>
      <c r="F283" s="767" t="str">
        <f t="shared" si="307"/>
        <v>F3Q06A</v>
      </c>
      <c r="G283" s="767" t="str">
        <f t="shared" si="307"/>
        <v>F4Q06A</v>
      </c>
      <c r="H283" s="766" t="str">
        <f t="shared" si="307"/>
        <v>F1Q07A</v>
      </c>
      <c r="I283" s="767" t="str">
        <f t="shared" si="307"/>
        <v>F2Q07A</v>
      </c>
      <c r="J283" s="767" t="str">
        <f t="shared" si="307"/>
        <v>F3Q07A</v>
      </c>
      <c r="K283" s="767" t="str">
        <f t="shared" si="307"/>
        <v>F4Q07A</v>
      </c>
      <c r="L283" s="766" t="str">
        <f t="shared" si="307"/>
        <v>F1Q08A</v>
      </c>
      <c r="M283" s="767" t="str">
        <f t="shared" si="307"/>
        <v>F2Q08A</v>
      </c>
      <c r="N283" s="767" t="str">
        <f t="shared" si="307"/>
        <v>F3Q08A</v>
      </c>
      <c r="O283" s="767" t="str">
        <f t="shared" si="307"/>
        <v>F4Q08A</v>
      </c>
      <c r="P283" s="766" t="str">
        <f t="shared" si="307"/>
        <v>F1Q09A</v>
      </c>
      <c r="Q283" s="767" t="str">
        <f t="shared" si="307"/>
        <v>F2Q09A</v>
      </c>
      <c r="R283" s="767" t="str">
        <f t="shared" si="307"/>
        <v>F3Q09A</v>
      </c>
      <c r="S283" s="767" t="str">
        <f t="shared" si="307"/>
        <v>F4Q09A</v>
      </c>
      <c r="T283" s="766" t="str">
        <f t="shared" si="307"/>
        <v>F1Q10A</v>
      </c>
      <c r="U283" s="767" t="str">
        <f t="shared" si="307"/>
        <v>F2Q10A</v>
      </c>
      <c r="V283" s="767" t="str">
        <f t="shared" si="307"/>
        <v>F3Q10A</v>
      </c>
      <c r="W283" s="767" t="str">
        <f t="shared" si="307"/>
        <v>F4Q10A</v>
      </c>
      <c r="X283" s="766" t="str">
        <f t="shared" si="307"/>
        <v>F1Q11A</v>
      </c>
      <c r="Y283" s="767" t="str">
        <f t="shared" si="307"/>
        <v>F2Q11A</v>
      </c>
      <c r="Z283" s="767" t="str">
        <f t="shared" si="307"/>
        <v>F3Q11A</v>
      </c>
      <c r="AA283" s="767" t="str">
        <f t="shared" si="307"/>
        <v>F4Q11A</v>
      </c>
      <c r="AB283" s="766" t="str">
        <f t="shared" si="307"/>
        <v>F1Q12A</v>
      </c>
      <c r="AC283" s="767" t="str">
        <f t="shared" si="307"/>
        <v>F2Q12A</v>
      </c>
      <c r="AD283" s="767" t="str">
        <f t="shared" si="307"/>
        <v>F3Q12A</v>
      </c>
      <c r="AE283" s="767" t="str">
        <f t="shared" si="307"/>
        <v>F4Q12A</v>
      </c>
      <c r="AF283" s="766" t="str">
        <f t="shared" si="307"/>
        <v>F1Q13A</v>
      </c>
      <c r="AG283" s="767" t="str">
        <f t="shared" si="307"/>
        <v>F2Q13A</v>
      </c>
      <c r="AH283" s="767" t="str">
        <f t="shared" si="307"/>
        <v>F3Q13A</v>
      </c>
      <c r="AI283" s="767" t="str">
        <f t="shared" si="307"/>
        <v>F4Q13A</v>
      </c>
      <c r="AJ283" s="766" t="str">
        <f t="shared" si="307"/>
        <v>F1Q14A</v>
      </c>
      <c r="AK283" s="767" t="str">
        <f t="shared" si="307"/>
        <v>F2Q14</v>
      </c>
      <c r="AL283" s="767" t="str">
        <f t="shared" si="307"/>
        <v>F3Q14A</v>
      </c>
      <c r="AM283" s="767" t="str">
        <f t="shared" si="307"/>
        <v>F4Q14A</v>
      </c>
      <c r="AN283" s="766" t="str">
        <f t="shared" si="307"/>
        <v>F1Q15A</v>
      </c>
      <c r="AO283" s="767" t="str">
        <f t="shared" si="307"/>
        <v>F2Q15A</v>
      </c>
      <c r="AP283" s="767" t="str">
        <f t="shared" si="307"/>
        <v>F3Q15A</v>
      </c>
      <c r="AQ283" s="768" t="str">
        <f t="shared" si="307"/>
        <v>F4Q15A</v>
      </c>
      <c r="AR283" s="766" t="str">
        <f t="shared" si="307"/>
        <v>F1Q16A</v>
      </c>
      <c r="AS283" s="767" t="str">
        <f t="shared" si="307"/>
        <v>F2Q16A</v>
      </c>
      <c r="AT283" s="767" t="str">
        <f t="shared" si="307"/>
        <v>F3Q16A</v>
      </c>
      <c r="AU283" s="768" t="str">
        <f t="shared" si="307"/>
        <v>F4Q16A</v>
      </c>
      <c r="AV283" s="766" t="str">
        <f t="shared" si="307"/>
        <v>F1Q17A</v>
      </c>
      <c r="AW283" s="767" t="str">
        <f t="shared" si="307"/>
        <v>F2Q17A</v>
      </c>
      <c r="AX283" s="767" t="str">
        <f t="shared" si="307"/>
        <v>F3Q17A</v>
      </c>
      <c r="AY283" s="768" t="str">
        <f t="shared" si="307"/>
        <v>F4Q17A</v>
      </c>
      <c r="AZ283" s="766" t="str">
        <f t="shared" si="307"/>
        <v>F1Q18A</v>
      </c>
      <c r="BA283" s="767" t="str">
        <f t="shared" si="307"/>
        <v>F2Q18A</v>
      </c>
      <c r="BB283" s="767" t="str">
        <f t="shared" si="307"/>
        <v>F3Q18A</v>
      </c>
      <c r="BC283" s="768" t="str">
        <f t="shared" si="307"/>
        <v>F4Q18E</v>
      </c>
      <c r="BD283" s="766" t="str">
        <f t="shared" si="307"/>
        <v>F1Q19E</v>
      </c>
      <c r="BE283" s="767" t="str">
        <f t="shared" si="307"/>
        <v>F2Q19E</v>
      </c>
      <c r="BF283" s="767" t="str">
        <f t="shared" si="307"/>
        <v>F3Q19E</v>
      </c>
      <c r="BG283" s="768" t="str">
        <f t="shared" si="307"/>
        <v>F4Q19E</v>
      </c>
      <c r="BH283" s="766" t="str">
        <f t="shared" si="307"/>
        <v>F1Q20E</v>
      </c>
      <c r="BI283" s="767" t="str">
        <f t="shared" si="307"/>
        <v>F2Q20E</v>
      </c>
      <c r="BJ283" s="767" t="str">
        <f t="shared" si="307"/>
        <v>F3Q20E</v>
      </c>
      <c r="BK283" s="768" t="str">
        <f t="shared" si="307"/>
        <v>F4Q20E</v>
      </c>
      <c r="BL283" s="22"/>
      <c r="BM283" s="766" t="str">
        <f t="shared" ref="BM283:CA283" si="308">BM$9</f>
        <v>FY2006A</v>
      </c>
      <c r="BN283" s="767" t="str">
        <f t="shared" si="308"/>
        <v>FY2007A</v>
      </c>
      <c r="BO283" s="767" t="str">
        <f t="shared" si="308"/>
        <v>FY2008A</v>
      </c>
      <c r="BP283" s="767" t="str">
        <f t="shared" si="308"/>
        <v>FY2009A</v>
      </c>
      <c r="BQ283" s="767" t="str">
        <f t="shared" si="308"/>
        <v>FY2010A</v>
      </c>
      <c r="BR283" s="767" t="str">
        <f t="shared" si="308"/>
        <v>FY2011A</v>
      </c>
      <c r="BS283" s="767" t="str">
        <f t="shared" si="308"/>
        <v>FY2012A</v>
      </c>
      <c r="BT283" s="767" t="str">
        <f t="shared" si="308"/>
        <v>FY2013A</v>
      </c>
      <c r="BU283" s="768" t="str">
        <f t="shared" si="308"/>
        <v>FY2014A</v>
      </c>
      <c r="BV283" s="1240" t="str">
        <f t="shared" si="308"/>
        <v>FY2015A</v>
      </c>
      <c r="BW283" s="1240" t="str">
        <f t="shared" si="308"/>
        <v>FY2016A</v>
      </c>
      <c r="BX283" s="386" t="str">
        <f t="shared" si="308"/>
        <v>FY2017A</v>
      </c>
      <c r="BY283" s="386" t="str">
        <f t="shared" si="308"/>
        <v>FY2018E</v>
      </c>
      <c r="BZ283" s="386" t="str">
        <f t="shared" si="308"/>
        <v>FY2019E</v>
      </c>
      <c r="CA283" s="351" t="str">
        <f t="shared" si="308"/>
        <v>FY2020E</v>
      </c>
      <c r="CB283" s="1037"/>
      <c r="CC283" s="1037"/>
      <c r="CD283" s="1037"/>
      <c r="CE283" s="1037"/>
      <c r="CF283" s="371"/>
      <c r="CG283" s="371"/>
      <c r="CH283" s="371"/>
      <c r="CI283" s="371"/>
    </row>
    <row r="284" spans="1:256" s="121" customFormat="1" ht="14.25" hidden="1" customHeight="1" outlineLevel="2">
      <c r="A284"/>
      <c r="B284" s="369" t="s">
        <v>85</v>
      </c>
      <c r="C284" s="372"/>
      <c r="D284" s="625">
        <v>15632.324000000001</v>
      </c>
      <c r="E284" s="626">
        <v>16421.043000000001</v>
      </c>
      <c r="F284" s="626">
        <v>16692.863000000001</v>
      </c>
      <c r="G284" s="627">
        <v>17352.883999999998</v>
      </c>
      <c r="H284" s="625">
        <v>18239.214</v>
      </c>
      <c r="I284" s="626">
        <v>17639.751</v>
      </c>
      <c r="J284" s="626">
        <v>17471.464</v>
      </c>
      <c r="K284" s="627">
        <v>17849.330999999998</v>
      </c>
      <c r="L284" s="625">
        <v>19495.518</v>
      </c>
      <c r="M284" s="626">
        <v>19732.385999999999</v>
      </c>
      <c r="N284" s="626">
        <v>17992.399000000001</v>
      </c>
      <c r="O284" s="627">
        <v>19885.226999999999</v>
      </c>
      <c r="P284" s="625">
        <v>21508.325000000001</v>
      </c>
      <c r="Q284" s="626">
        <v>16328.91</v>
      </c>
      <c r="R284" s="626">
        <v>12487.585999999999</v>
      </c>
      <c r="S284" s="627">
        <v>16850.113000000001</v>
      </c>
      <c r="T284" s="625">
        <v>19722.303</v>
      </c>
      <c r="U284" s="626">
        <v>20297.370999999999</v>
      </c>
      <c r="V284" s="626">
        <v>21153.958999999999</v>
      </c>
      <c r="W284" s="627">
        <v>23417.865000000002</v>
      </c>
      <c r="X284" s="625">
        <v>24168.293000000001</v>
      </c>
      <c r="Y284" s="626">
        <v>23109.755000000001</v>
      </c>
      <c r="Z284" s="626">
        <v>23074.396000000001</v>
      </c>
      <c r="AA284" s="627">
        <v>24216.607</v>
      </c>
      <c r="AB284" s="625">
        <v>23615.429</v>
      </c>
      <c r="AC284" s="626">
        <v>21060.920999999998</v>
      </c>
      <c r="AD284" s="626">
        <v>21096.339</v>
      </c>
      <c r="AE284" s="627"/>
      <c r="AF284" s="427"/>
      <c r="AG284" s="429"/>
      <c r="AH284" s="429"/>
      <c r="AI284" s="430"/>
      <c r="AJ284" s="431"/>
      <c r="AK284" s="429"/>
      <c r="AL284" s="429"/>
      <c r="AM284" s="430"/>
      <c r="AN284" s="431"/>
      <c r="AO284" s="429"/>
      <c r="AP284" s="429"/>
      <c r="AQ284" s="430"/>
      <c r="AR284" s="431"/>
      <c r="AS284" s="429"/>
      <c r="AT284" s="429"/>
      <c r="AU284" s="430"/>
      <c r="AV284" s="431"/>
      <c r="AW284" s="429"/>
      <c r="AX284" s="429"/>
      <c r="AY284" s="430"/>
      <c r="AZ284" s="431"/>
      <c r="BA284" s="429"/>
      <c r="BB284" s="429"/>
      <c r="BC284" s="430"/>
      <c r="BD284" s="431"/>
      <c r="BE284" s="429"/>
      <c r="BF284" s="429"/>
      <c r="BG284" s="430"/>
      <c r="BH284" s="431"/>
      <c r="BI284" s="429"/>
      <c r="BJ284" s="429"/>
      <c r="BK284" s="430"/>
      <c r="BL284" s="424"/>
      <c r="BM284" s="628">
        <f>SUM(D284:G284)</f>
        <v>66099.114000000001</v>
      </c>
      <c r="BN284" s="629">
        <f>SUM(H284:K284)</f>
        <v>71199.759999999995</v>
      </c>
      <c r="BO284" s="629">
        <f>SUM(L284:O284)</f>
        <v>77105.53</v>
      </c>
      <c r="BP284" s="629">
        <f>SUM(P284:S284)</f>
        <v>67174.933999999994</v>
      </c>
      <c r="BQ284" s="629">
        <f>SUM(T284:W284)</f>
        <v>84591.498000000007</v>
      </c>
      <c r="BR284" s="629">
        <f>SUM(X284:AA284)</f>
        <v>94569.051000000007</v>
      </c>
      <c r="BS284" s="409"/>
      <c r="BT284" s="411"/>
      <c r="BU284" s="411"/>
      <c r="BV284" s="411"/>
      <c r="BW284" s="411"/>
      <c r="BX284" s="412"/>
      <c r="BY284" s="412"/>
      <c r="BZ284" s="412"/>
      <c r="CA284" s="372"/>
      <c r="CB284" s="448"/>
      <c r="CC284" s="448"/>
      <c r="CD284" s="448"/>
      <c r="CE284" s="448"/>
      <c r="CF284" s="371"/>
      <c r="CG284" s="371"/>
      <c r="CH284" s="371"/>
      <c r="CI284" s="371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</row>
    <row r="285" spans="1:256" ht="14.25" hidden="1" customHeight="1" outlineLevel="2">
      <c r="A285" s="121"/>
      <c r="B285" s="434" t="s">
        <v>576</v>
      </c>
      <c r="C285" s="435"/>
      <c r="D285" s="436">
        <f>SUM(D284)</f>
        <v>15632.324000000001</v>
      </c>
      <c r="E285" s="437">
        <f t="shared" ref="E285:AD285" si="309">SUM(E284)</f>
        <v>16421.043000000001</v>
      </c>
      <c r="F285" s="437">
        <f t="shared" si="309"/>
        <v>16692.863000000001</v>
      </c>
      <c r="G285" s="438">
        <f t="shared" si="309"/>
        <v>17352.883999999998</v>
      </c>
      <c r="H285" s="436">
        <f t="shared" si="309"/>
        <v>18239.214</v>
      </c>
      <c r="I285" s="437">
        <f t="shared" si="309"/>
        <v>17639.751</v>
      </c>
      <c r="J285" s="437">
        <f t="shared" si="309"/>
        <v>17471.464</v>
      </c>
      <c r="K285" s="438">
        <f t="shared" si="309"/>
        <v>17849.330999999998</v>
      </c>
      <c r="L285" s="436">
        <f t="shared" si="309"/>
        <v>19495.518</v>
      </c>
      <c r="M285" s="437">
        <f t="shared" si="309"/>
        <v>19732.385999999999</v>
      </c>
      <c r="N285" s="437">
        <f t="shared" si="309"/>
        <v>17992.399000000001</v>
      </c>
      <c r="O285" s="438">
        <f t="shared" si="309"/>
        <v>19885.226999999999</v>
      </c>
      <c r="P285" s="436">
        <f t="shared" si="309"/>
        <v>21508.325000000001</v>
      </c>
      <c r="Q285" s="437">
        <f t="shared" si="309"/>
        <v>16328.91</v>
      </c>
      <c r="R285" s="437">
        <f t="shared" si="309"/>
        <v>12487.585999999999</v>
      </c>
      <c r="S285" s="438">
        <f t="shared" si="309"/>
        <v>16850.113000000001</v>
      </c>
      <c r="T285" s="436">
        <f t="shared" si="309"/>
        <v>19722.303</v>
      </c>
      <c r="U285" s="437">
        <f t="shared" si="309"/>
        <v>20297.370999999999</v>
      </c>
      <c r="V285" s="437">
        <f t="shared" si="309"/>
        <v>21153.958999999999</v>
      </c>
      <c r="W285" s="438">
        <f t="shared" si="309"/>
        <v>23417.865000000002</v>
      </c>
      <c r="X285" s="436">
        <f t="shared" si="309"/>
        <v>24168.293000000001</v>
      </c>
      <c r="Y285" s="437">
        <f t="shared" si="309"/>
        <v>23109.755000000001</v>
      </c>
      <c r="Z285" s="437">
        <f t="shared" si="309"/>
        <v>23074.396000000001</v>
      </c>
      <c r="AA285" s="438">
        <f t="shared" si="309"/>
        <v>24216.607</v>
      </c>
      <c r="AB285" s="436">
        <f t="shared" si="309"/>
        <v>23615.429</v>
      </c>
      <c r="AC285" s="437">
        <f t="shared" si="309"/>
        <v>21060.920999999998</v>
      </c>
      <c r="AD285" s="437">
        <f t="shared" si="309"/>
        <v>21096.339</v>
      </c>
      <c r="AE285" s="438"/>
      <c r="AF285" s="436"/>
      <c r="AG285" s="439"/>
      <c r="AH285" s="439"/>
      <c r="AI285" s="440"/>
      <c r="AJ285" s="441"/>
      <c r="AK285" s="439"/>
      <c r="AL285" s="439"/>
      <c r="AM285" s="440"/>
      <c r="AN285" s="441"/>
      <c r="AO285" s="439"/>
      <c r="AP285" s="439"/>
      <c r="AQ285" s="440"/>
      <c r="AR285" s="441"/>
      <c r="AS285" s="439"/>
      <c r="AT285" s="439"/>
      <c r="AU285" s="440"/>
      <c r="AV285" s="441"/>
      <c r="AW285" s="439"/>
      <c r="AX285" s="439"/>
      <c r="AY285" s="440"/>
      <c r="AZ285" s="441"/>
      <c r="BA285" s="439"/>
      <c r="BB285" s="439"/>
      <c r="BC285" s="440"/>
      <c r="BD285" s="441"/>
      <c r="BE285" s="439"/>
      <c r="BF285" s="439"/>
      <c r="BG285" s="440"/>
      <c r="BH285" s="441"/>
      <c r="BI285" s="439"/>
      <c r="BJ285" s="439"/>
      <c r="BK285" s="440"/>
      <c r="BL285" s="442"/>
      <c r="BM285" s="630">
        <f t="shared" ref="BM285:BR285" si="310">SUM(BM284)</f>
        <v>66099.114000000001</v>
      </c>
      <c r="BN285" s="631">
        <f t="shared" si="310"/>
        <v>71199.759999999995</v>
      </c>
      <c r="BO285" s="631">
        <f t="shared" si="310"/>
        <v>77105.53</v>
      </c>
      <c r="BP285" s="631">
        <f t="shared" si="310"/>
        <v>67174.933999999994</v>
      </c>
      <c r="BQ285" s="631">
        <f t="shared" si="310"/>
        <v>84591.498000000007</v>
      </c>
      <c r="BR285" s="631">
        <f t="shared" si="310"/>
        <v>94569.051000000007</v>
      </c>
      <c r="BS285" s="631"/>
      <c r="BT285" s="444"/>
      <c r="BU285" s="444"/>
      <c r="BV285" s="444"/>
      <c r="BW285" s="444"/>
      <c r="BX285" s="445"/>
      <c r="BY285" s="445"/>
      <c r="BZ285" s="445"/>
      <c r="CA285" s="435"/>
      <c r="CB285" s="835"/>
      <c r="CC285" s="835"/>
      <c r="CD285" s="835"/>
      <c r="CE285" s="835"/>
      <c r="CF285" s="804"/>
      <c r="CG285" s="804"/>
      <c r="CH285" s="804"/>
      <c r="CI285" s="804"/>
      <c r="CJ285" s="121"/>
      <c r="CK285" s="121"/>
      <c r="CL285" s="121"/>
      <c r="CM285" s="121"/>
      <c r="CN285" s="121"/>
      <c r="CO285" s="121"/>
      <c r="CP285" s="121"/>
      <c r="CQ285" s="121"/>
      <c r="CR285" s="121"/>
      <c r="CS285" s="121"/>
      <c r="CT285" s="121"/>
      <c r="CU285" s="121"/>
      <c r="CV285" s="121"/>
      <c r="CW285" s="121"/>
      <c r="CX285" s="121"/>
      <c r="CY285" s="121"/>
      <c r="CZ285" s="121"/>
      <c r="DA285" s="121"/>
      <c r="DB285" s="121"/>
      <c r="DC285" s="121"/>
      <c r="DD285" s="121"/>
      <c r="DE285" s="121"/>
      <c r="DF285" s="121"/>
      <c r="DG285" s="121"/>
      <c r="DH285" s="121"/>
      <c r="DI285" s="121"/>
      <c r="DJ285" s="121"/>
      <c r="DK285" s="121"/>
      <c r="DL285" s="121"/>
      <c r="DM285" s="121"/>
      <c r="DN285" s="121"/>
      <c r="DO285" s="121"/>
      <c r="DP285" s="121"/>
      <c r="DQ285" s="121"/>
      <c r="DR285" s="121"/>
      <c r="DS285" s="121"/>
      <c r="DT285" s="121"/>
      <c r="DU285" s="121"/>
      <c r="DV285" s="121"/>
      <c r="DW285" s="121"/>
      <c r="DX285" s="121"/>
      <c r="DY285" s="121"/>
      <c r="DZ285" s="121"/>
      <c r="EA285" s="121"/>
      <c r="EB285" s="121"/>
      <c r="EC285" s="121"/>
      <c r="ED285" s="121"/>
      <c r="EE285" s="121"/>
      <c r="EF285" s="121"/>
      <c r="EG285" s="121"/>
      <c r="EH285" s="121"/>
      <c r="EI285" s="121"/>
      <c r="EJ285" s="121"/>
      <c r="EK285" s="121"/>
      <c r="EL285" s="121"/>
      <c r="EM285" s="121"/>
      <c r="EN285" s="121"/>
      <c r="EO285" s="121"/>
      <c r="EP285" s="121"/>
      <c r="EQ285" s="121"/>
      <c r="ER285" s="121"/>
      <c r="ES285" s="121"/>
      <c r="ET285" s="121"/>
      <c r="EU285" s="121"/>
      <c r="EV285" s="121"/>
      <c r="EW285" s="121"/>
      <c r="EX285" s="121"/>
      <c r="EY285" s="121"/>
      <c r="EZ285" s="121"/>
      <c r="FA285" s="121"/>
      <c r="FB285" s="121"/>
      <c r="FC285" s="121"/>
      <c r="FD285" s="121"/>
      <c r="FE285" s="121"/>
      <c r="FF285" s="121"/>
      <c r="FG285" s="121"/>
      <c r="FH285" s="121"/>
      <c r="FI285" s="121"/>
      <c r="FJ285" s="121"/>
      <c r="FK285" s="121"/>
      <c r="FL285" s="121"/>
      <c r="FM285" s="121"/>
      <c r="FN285" s="121"/>
      <c r="FO285" s="121"/>
      <c r="FP285" s="121"/>
      <c r="FQ285" s="121"/>
      <c r="FR285" s="121"/>
      <c r="FS285" s="121"/>
      <c r="FT285" s="121"/>
      <c r="FU285" s="121"/>
      <c r="FV285" s="121"/>
      <c r="FW285" s="121"/>
      <c r="FX285" s="121"/>
      <c r="FY285" s="121"/>
      <c r="FZ285" s="121"/>
      <c r="GA285" s="121"/>
      <c r="GB285" s="121"/>
      <c r="GC285" s="121"/>
      <c r="GD285" s="121"/>
      <c r="GE285" s="121"/>
      <c r="GF285" s="121"/>
      <c r="GG285" s="121"/>
      <c r="GH285" s="121"/>
      <c r="GI285" s="121"/>
      <c r="GJ285" s="121"/>
      <c r="GK285" s="121"/>
      <c r="GL285" s="121"/>
      <c r="GM285" s="121"/>
      <c r="GN285" s="121"/>
      <c r="GO285" s="121"/>
      <c r="GP285" s="121"/>
      <c r="GQ285" s="121"/>
      <c r="GR285" s="121"/>
      <c r="GS285" s="121"/>
      <c r="GT285" s="121"/>
      <c r="GU285" s="121"/>
      <c r="GV285" s="121"/>
      <c r="GW285" s="121"/>
      <c r="GX285" s="121"/>
      <c r="GY285" s="121"/>
      <c r="GZ285" s="121"/>
      <c r="HA285" s="121"/>
      <c r="HB285" s="121"/>
      <c r="HC285" s="121"/>
      <c r="HD285" s="121"/>
      <c r="HE285" s="121"/>
      <c r="HF285" s="121"/>
      <c r="HG285" s="121"/>
      <c r="HH285" s="121"/>
      <c r="HI285" s="121"/>
      <c r="HJ285" s="121"/>
      <c r="HK285" s="121"/>
      <c r="HL285" s="121"/>
      <c r="HM285" s="121"/>
      <c r="HN285" s="121"/>
      <c r="HO285" s="121"/>
      <c r="HP285" s="121"/>
      <c r="HQ285" s="121"/>
      <c r="HR285" s="121"/>
      <c r="HS285" s="121"/>
      <c r="HT285" s="121"/>
      <c r="HU285" s="121"/>
      <c r="HV285" s="121"/>
      <c r="HW285" s="121"/>
      <c r="HX285" s="121"/>
      <c r="HY285" s="121"/>
      <c r="HZ285" s="121"/>
      <c r="IA285" s="121"/>
      <c r="IB285" s="121"/>
      <c r="IC285" s="121"/>
      <c r="ID285" s="121"/>
      <c r="IE285" s="121"/>
      <c r="IF285" s="121"/>
      <c r="IG285" s="121"/>
      <c r="IH285" s="121"/>
      <c r="II285" s="121"/>
      <c r="IJ285" s="121"/>
      <c r="IK285" s="121"/>
      <c r="IL285" s="121"/>
      <c r="IM285" s="121"/>
      <c r="IN285" s="121"/>
      <c r="IO285" s="121"/>
      <c r="IP285" s="121"/>
      <c r="IQ285" s="121"/>
      <c r="IR285" s="121"/>
      <c r="IS285" s="121"/>
      <c r="IT285" s="121"/>
      <c r="IU285" s="121"/>
      <c r="IV285" s="121"/>
    </row>
    <row r="286" spans="1:256" ht="14.25" hidden="1" customHeight="1" outlineLevel="2">
      <c r="BV286" s="1209"/>
      <c r="BW286" s="1209"/>
      <c r="CJ286" s="371"/>
    </row>
    <row r="287" spans="1:256" ht="14.25" hidden="1" customHeight="1" outlineLevel="2">
      <c r="A287" s="1"/>
      <c r="B287" s="162" t="s">
        <v>88</v>
      </c>
      <c r="C287" s="163"/>
      <c r="D287" s="766" t="str">
        <f>D$9</f>
        <v>F1Q06A</v>
      </c>
      <c r="E287" s="767" t="str">
        <f t="shared" ref="E287:BK287" si="311">E$9</f>
        <v>F2Q06A</v>
      </c>
      <c r="F287" s="767" t="str">
        <f t="shared" si="311"/>
        <v>F3Q06A</v>
      </c>
      <c r="G287" s="767" t="str">
        <f t="shared" si="311"/>
        <v>F4Q06A</v>
      </c>
      <c r="H287" s="766" t="str">
        <f t="shared" si="311"/>
        <v>F1Q07A</v>
      </c>
      <c r="I287" s="767" t="str">
        <f t="shared" si="311"/>
        <v>F2Q07A</v>
      </c>
      <c r="J287" s="767" t="str">
        <f t="shared" si="311"/>
        <v>F3Q07A</v>
      </c>
      <c r="K287" s="767" t="str">
        <f t="shared" si="311"/>
        <v>F4Q07A</v>
      </c>
      <c r="L287" s="766" t="str">
        <f t="shared" si="311"/>
        <v>F1Q08A</v>
      </c>
      <c r="M287" s="767" t="str">
        <f t="shared" si="311"/>
        <v>F2Q08A</v>
      </c>
      <c r="N287" s="767" t="str">
        <f t="shared" si="311"/>
        <v>F3Q08A</v>
      </c>
      <c r="O287" s="767" t="str">
        <f t="shared" si="311"/>
        <v>F4Q08A</v>
      </c>
      <c r="P287" s="766" t="str">
        <f t="shared" si="311"/>
        <v>F1Q09A</v>
      </c>
      <c r="Q287" s="767" t="str">
        <f t="shared" si="311"/>
        <v>F2Q09A</v>
      </c>
      <c r="R287" s="767" t="str">
        <f t="shared" si="311"/>
        <v>F3Q09A</v>
      </c>
      <c r="S287" s="767" t="str">
        <f t="shared" si="311"/>
        <v>F4Q09A</v>
      </c>
      <c r="T287" s="766" t="str">
        <f t="shared" si="311"/>
        <v>F1Q10A</v>
      </c>
      <c r="U287" s="767" t="str">
        <f t="shared" si="311"/>
        <v>F2Q10A</v>
      </c>
      <c r="V287" s="767" t="str">
        <f t="shared" si="311"/>
        <v>F3Q10A</v>
      </c>
      <c r="W287" s="767" t="str">
        <f t="shared" si="311"/>
        <v>F4Q10A</v>
      </c>
      <c r="X287" s="766" t="str">
        <f t="shared" si="311"/>
        <v>F1Q11A</v>
      </c>
      <c r="Y287" s="767" t="str">
        <f t="shared" si="311"/>
        <v>F2Q11A</v>
      </c>
      <c r="Z287" s="767" t="str">
        <f t="shared" si="311"/>
        <v>F3Q11A</v>
      </c>
      <c r="AA287" s="767" t="str">
        <f t="shared" si="311"/>
        <v>F4Q11A</v>
      </c>
      <c r="AB287" s="766" t="str">
        <f t="shared" si="311"/>
        <v>F1Q12A</v>
      </c>
      <c r="AC287" s="767" t="str">
        <f t="shared" si="311"/>
        <v>F2Q12A</v>
      </c>
      <c r="AD287" s="767" t="str">
        <f t="shared" si="311"/>
        <v>F3Q12A</v>
      </c>
      <c r="AE287" s="767" t="str">
        <f t="shared" si="311"/>
        <v>F4Q12A</v>
      </c>
      <c r="AF287" s="766" t="str">
        <f t="shared" si="311"/>
        <v>F1Q13A</v>
      </c>
      <c r="AG287" s="767" t="str">
        <f t="shared" si="311"/>
        <v>F2Q13A</v>
      </c>
      <c r="AH287" s="767" t="str">
        <f t="shared" si="311"/>
        <v>F3Q13A</v>
      </c>
      <c r="AI287" s="767" t="str">
        <f t="shared" si="311"/>
        <v>F4Q13A</v>
      </c>
      <c r="AJ287" s="766" t="str">
        <f t="shared" si="311"/>
        <v>F1Q14A</v>
      </c>
      <c r="AK287" s="767" t="str">
        <f t="shared" si="311"/>
        <v>F2Q14</v>
      </c>
      <c r="AL287" s="767" t="str">
        <f t="shared" si="311"/>
        <v>F3Q14A</v>
      </c>
      <c r="AM287" s="767" t="str">
        <f t="shared" si="311"/>
        <v>F4Q14A</v>
      </c>
      <c r="AN287" s="766" t="str">
        <f t="shared" si="311"/>
        <v>F1Q15A</v>
      </c>
      <c r="AO287" s="767" t="str">
        <f t="shared" si="311"/>
        <v>F2Q15A</v>
      </c>
      <c r="AP287" s="767" t="str">
        <f t="shared" si="311"/>
        <v>F3Q15A</v>
      </c>
      <c r="AQ287" s="768" t="str">
        <f t="shared" si="311"/>
        <v>F4Q15A</v>
      </c>
      <c r="AR287" s="766" t="str">
        <f t="shared" si="311"/>
        <v>F1Q16A</v>
      </c>
      <c r="AS287" s="767" t="str">
        <f t="shared" si="311"/>
        <v>F2Q16A</v>
      </c>
      <c r="AT287" s="767" t="str">
        <f t="shared" si="311"/>
        <v>F3Q16A</v>
      </c>
      <c r="AU287" s="768" t="str">
        <f t="shared" si="311"/>
        <v>F4Q16A</v>
      </c>
      <c r="AV287" s="766" t="str">
        <f t="shared" si="311"/>
        <v>F1Q17A</v>
      </c>
      <c r="AW287" s="767" t="str">
        <f t="shared" si="311"/>
        <v>F2Q17A</v>
      </c>
      <c r="AX287" s="767" t="str">
        <f t="shared" si="311"/>
        <v>F3Q17A</v>
      </c>
      <c r="AY287" s="768" t="str">
        <f t="shared" si="311"/>
        <v>F4Q17A</v>
      </c>
      <c r="AZ287" s="766" t="str">
        <f t="shared" si="311"/>
        <v>F1Q18A</v>
      </c>
      <c r="BA287" s="767" t="str">
        <f t="shared" si="311"/>
        <v>F2Q18A</v>
      </c>
      <c r="BB287" s="767" t="str">
        <f t="shared" si="311"/>
        <v>F3Q18A</v>
      </c>
      <c r="BC287" s="768" t="str">
        <f t="shared" si="311"/>
        <v>F4Q18E</v>
      </c>
      <c r="BD287" s="766" t="str">
        <f t="shared" si="311"/>
        <v>F1Q19E</v>
      </c>
      <c r="BE287" s="767" t="str">
        <f t="shared" si="311"/>
        <v>F2Q19E</v>
      </c>
      <c r="BF287" s="767" t="str">
        <f t="shared" si="311"/>
        <v>F3Q19E</v>
      </c>
      <c r="BG287" s="768" t="str">
        <f t="shared" si="311"/>
        <v>F4Q19E</v>
      </c>
      <c r="BH287" s="766" t="str">
        <f t="shared" si="311"/>
        <v>F1Q20E</v>
      </c>
      <c r="BI287" s="767" t="str">
        <f t="shared" si="311"/>
        <v>F2Q20E</v>
      </c>
      <c r="BJ287" s="767" t="str">
        <f t="shared" si="311"/>
        <v>F3Q20E</v>
      </c>
      <c r="BK287" s="768" t="str">
        <f t="shared" si="311"/>
        <v>F4Q20E</v>
      </c>
      <c r="BL287" s="22"/>
      <c r="BM287" s="766" t="str">
        <f t="shared" ref="BM287:CA287" si="312">BM$9</f>
        <v>FY2006A</v>
      </c>
      <c r="BN287" s="767" t="str">
        <f t="shared" si="312"/>
        <v>FY2007A</v>
      </c>
      <c r="BO287" s="767" t="str">
        <f t="shared" si="312"/>
        <v>FY2008A</v>
      </c>
      <c r="BP287" s="767" t="str">
        <f t="shared" si="312"/>
        <v>FY2009A</v>
      </c>
      <c r="BQ287" s="767" t="str">
        <f t="shared" si="312"/>
        <v>FY2010A</v>
      </c>
      <c r="BR287" s="767" t="str">
        <f t="shared" si="312"/>
        <v>FY2011A</v>
      </c>
      <c r="BS287" s="767" t="str">
        <f t="shared" si="312"/>
        <v>FY2012A</v>
      </c>
      <c r="BT287" s="766" t="str">
        <f t="shared" si="312"/>
        <v>FY2013A</v>
      </c>
      <c r="BU287" s="768" t="str">
        <f t="shared" si="312"/>
        <v>FY2014A</v>
      </c>
      <c r="BV287" s="1240" t="str">
        <f t="shared" si="312"/>
        <v>FY2015A</v>
      </c>
      <c r="BW287" s="1240" t="str">
        <f t="shared" si="312"/>
        <v>FY2016A</v>
      </c>
      <c r="BX287" s="386" t="str">
        <f t="shared" si="312"/>
        <v>FY2017A</v>
      </c>
      <c r="BY287" s="386" t="str">
        <f t="shared" si="312"/>
        <v>FY2018E</v>
      </c>
      <c r="BZ287" s="386" t="str">
        <f t="shared" si="312"/>
        <v>FY2019E</v>
      </c>
      <c r="CA287" s="351" t="str">
        <f t="shared" si="312"/>
        <v>FY2020E</v>
      </c>
      <c r="CB287" s="1037"/>
      <c r="CC287" s="1037"/>
      <c r="CD287" s="1037"/>
      <c r="CE287" s="1037"/>
      <c r="CF287" s="371"/>
      <c r="CG287" s="371"/>
      <c r="CH287" s="371"/>
      <c r="CI287" s="371"/>
    </row>
    <row r="288" spans="1:256" s="121" customFormat="1" ht="14.25" hidden="1" customHeight="1" outlineLevel="2">
      <c r="A288"/>
      <c r="B288" s="369" t="s">
        <v>85</v>
      </c>
      <c r="C288" s="372"/>
      <c r="D288" s="632">
        <f t="shared" ref="D288:AC289" si="313">D280/D284</f>
        <v>0.53680578780224875</v>
      </c>
      <c r="E288" s="633">
        <f t="shared" si="313"/>
        <v>0.52937404767772667</v>
      </c>
      <c r="F288" s="633">
        <f t="shared" si="313"/>
        <v>0.5329491411988464</v>
      </c>
      <c r="G288" s="634">
        <f t="shared" si="313"/>
        <v>0.5350631053604693</v>
      </c>
      <c r="H288" s="635">
        <f t="shared" si="313"/>
        <v>0.52161151242591919</v>
      </c>
      <c r="I288" s="636">
        <f t="shared" si="313"/>
        <v>0.52407695550804545</v>
      </c>
      <c r="J288" s="636">
        <f t="shared" si="313"/>
        <v>0.49139986208368114</v>
      </c>
      <c r="K288" s="637">
        <f t="shared" si="313"/>
        <v>0.49383912483890857</v>
      </c>
      <c r="L288" s="635">
        <f t="shared" si="313"/>
        <v>0.49093766064589822</v>
      </c>
      <c r="M288" s="636">
        <f t="shared" si="313"/>
        <v>0.48051092250070526</v>
      </c>
      <c r="N288" s="636">
        <f t="shared" si="313"/>
        <v>0.48480861279254645</v>
      </c>
      <c r="O288" s="637">
        <f t="shared" si="313"/>
        <v>0.47592265353571273</v>
      </c>
      <c r="P288" s="636">
        <f t="shared" si="313"/>
        <v>0.46667618236194591</v>
      </c>
      <c r="Q288" s="636">
        <f t="shared" si="313"/>
        <v>0.45395271331644305</v>
      </c>
      <c r="R288" s="636">
        <f t="shared" si="313"/>
        <v>0.48230346521737666</v>
      </c>
      <c r="S288" s="637">
        <f t="shared" si="313"/>
        <v>0.45873977224959855</v>
      </c>
      <c r="T288" s="636">
        <f t="shared" si="313"/>
        <v>0.44690267662960054</v>
      </c>
      <c r="U288" s="636">
        <f t="shared" si="313"/>
        <v>0.46479763315160372</v>
      </c>
      <c r="V288" s="636">
        <f t="shared" si="313"/>
        <v>0.46975821405345447</v>
      </c>
      <c r="W288" s="637">
        <f t="shared" si="313"/>
        <v>0.44984211839977728</v>
      </c>
      <c r="X288" s="636">
        <f t="shared" si="313"/>
        <v>0.45661814013923119</v>
      </c>
      <c r="Y288" s="636">
        <f t="shared" si="313"/>
        <v>0.46636059101448712</v>
      </c>
      <c r="Z288" s="636">
        <f t="shared" si="313"/>
        <v>0.46612327360594835</v>
      </c>
      <c r="AA288" s="637">
        <f t="shared" si="313"/>
        <v>0.45821348961066266</v>
      </c>
      <c r="AB288" s="635">
        <f t="shared" si="313"/>
        <v>0.4573551045801455</v>
      </c>
      <c r="AC288" s="636">
        <f t="shared" si="313"/>
        <v>0.45986213043579632</v>
      </c>
      <c r="AD288" s="636">
        <f>AD280/AD284</f>
        <v>0.46249228361375877</v>
      </c>
      <c r="AE288" s="637"/>
      <c r="AF288" s="638"/>
      <c r="AG288" s="639"/>
      <c r="AH288" s="639"/>
      <c r="AI288" s="640"/>
      <c r="AJ288" s="431"/>
      <c r="AK288" s="429"/>
      <c r="AL288" s="429"/>
      <c r="AM288" s="430"/>
      <c r="AN288" s="431"/>
      <c r="AO288" s="429"/>
      <c r="AP288" s="429"/>
      <c r="AQ288" s="430"/>
      <c r="AR288" s="431"/>
      <c r="AS288" s="429"/>
      <c r="AT288" s="429"/>
      <c r="AU288" s="430"/>
      <c r="AV288" s="431"/>
      <c r="AW288" s="429"/>
      <c r="AX288" s="429"/>
      <c r="AY288" s="430"/>
      <c r="AZ288" s="431"/>
      <c r="BA288" s="429"/>
      <c r="BB288" s="429"/>
      <c r="BC288" s="430"/>
      <c r="BD288" s="431"/>
      <c r="BE288" s="429"/>
      <c r="BF288" s="429"/>
      <c r="BG288" s="430"/>
      <c r="BH288" s="431"/>
      <c r="BI288" s="429"/>
      <c r="BJ288" s="429"/>
      <c r="BK288" s="430"/>
      <c r="BL288" s="424"/>
      <c r="BM288" s="641">
        <f t="shared" ref="BM288:BR289" si="314">BM280/BM284</f>
        <v>0.53352804396137588</v>
      </c>
      <c r="BN288" s="642">
        <f t="shared" si="314"/>
        <v>0.50784643094302562</v>
      </c>
      <c r="BO288" s="642">
        <f t="shared" si="314"/>
        <v>0.48296679887940602</v>
      </c>
      <c r="BP288" s="642">
        <f t="shared" si="314"/>
        <v>0.4644976502693699</v>
      </c>
      <c r="BQ288" s="642">
        <f t="shared" si="314"/>
        <v>0.45772576340946219</v>
      </c>
      <c r="BR288" s="642">
        <f t="shared" si="314"/>
        <v>0.46172662766807288</v>
      </c>
      <c r="BS288" s="643"/>
      <c r="BT288" s="411"/>
      <c r="BU288" s="411"/>
      <c r="BV288" s="411"/>
      <c r="BW288" s="411"/>
      <c r="BX288" s="412"/>
      <c r="BY288" s="412"/>
      <c r="BZ288" s="412"/>
      <c r="CA288" s="372"/>
      <c r="CB288" s="448"/>
      <c r="CC288" s="448"/>
      <c r="CD288" s="448"/>
      <c r="CE288" s="448"/>
      <c r="CF288" s="371"/>
      <c r="CG288" s="371"/>
      <c r="CH288" s="371"/>
      <c r="CI288" s="371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</row>
    <row r="289" spans="1:256" ht="14.25" hidden="1" customHeight="1" outlineLevel="2">
      <c r="A289" s="121"/>
      <c r="B289" s="434" t="s">
        <v>89</v>
      </c>
      <c r="C289" s="435"/>
      <c r="D289" s="644">
        <f t="shared" si="313"/>
        <v>0.53680578780224875</v>
      </c>
      <c r="E289" s="645">
        <f t="shared" si="313"/>
        <v>0.52937404767772667</v>
      </c>
      <c r="F289" s="645">
        <f t="shared" si="313"/>
        <v>0.5329491411988464</v>
      </c>
      <c r="G289" s="646">
        <f t="shared" si="313"/>
        <v>0.5350631053604693</v>
      </c>
      <c r="H289" s="644">
        <f t="shared" si="313"/>
        <v>0.52161151242591919</v>
      </c>
      <c r="I289" s="645">
        <f t="shared" si="313"/>
        <v>0.52407695550804545</v>
      </c>
      <c r="J289" s="645">
        <f t="shared" si="313"/>
        <v>0.49139986208368114</v>
      </c>
      <c r="K289" s="646">
        <f t="shared" si="313"/>
        <v>0.49383912483890857</v>
      </c>
      <c r="L289" s="644">
        <f t="shared" si="313"/>
        <v>0.49093766064589822</v>
      </c>
      <c r="M289" s="645">
        <f t="shared" si="313"/>
        <v>0.48051092250070526</v>
      </c>
      <c r="N289" s="645">
        <f t="shared" si="313"/>
        <v>0.48480861279254645</v>
      </c>
      <c r="O289" s="646">
        <f t="shared" si="313"/>
        <v>0.47592265353571273</v>
      </c>
      <c r="P289" s="644">
        <f t="shared" si="313"/>
        <v>0.46667618236194591</v>
      </c>
      <c r="Q289" s="645">
        <f t="shared" si="313"/>
        <v>0.45395271331644305</v>
      </c>
      <c r="R289" s="645">
        <f t="shared" si="313"/>
        <v>0.48230346521737666</v>
      </c>
      <c r="S289" s="646">
        <f t="shared" si="313"/>
        <v>0.45873977224959855</v>
      </c>
      <c r="T289" s="644">
        <f t="shared" si="313"/>
        <v>0.44690267662960054</v>
      </c>
      <c r="U289" s="645">
        <f t="shared" si="313"/>
        <v>0.46479763315160372</v>
      </c>
      <c r="V289" s="645">
        <f t="shared" si="313"/>
        <v>0.46975821405345447</v>
      </c>
      <c r="W289" s="646">
        <f t="shared" si="313"/>
        <v>0.44984211839977728</v>
      </c>
      <c r="X289" s="644">
        <f t="shared" si="313"/>
        <v>0.45661814013923119</v>
      </c>
      <c r="Y289" s="645">
        <f t="shared" si="313"/>
        <v>0.46636059101448712</v>
      </c>
      <c r="Z289" s="645">
        <f t="shared" si="313"/>
        <v>0.46612327360594835</v>
      </c>
      <c r="AA289" s="646">
        <f t="shared" si="313"/>
        <v>0.45821348961066266</v>
      </c>
      <c r="AB289" s="644">
        <f t="shared" si="313"/>
        <v>0.4573551045801455</v>
      </c>
      <c r="AC289" s="645">
        <f t="shared" si="313"/>
        <v>0.45986213043579632</v>
      </c>
      <c r="AD289" s="645">
        <f>AD281/AD285</f>
        <v>0.46249228361375877</v>
      </c>
      <c r="AE289" s="646"/>
      <c r="AF289" s="644"/>
      <c r="AG289" s="439"/>
      <c r="AH289" s="439"/>
      <c r="AI289" s="440"/>
      <c r="AJ289" s="441"/>
      <c r="AK289" s="439"/>
      <c r="AL289" s="439"/>
      <c r="AM289" s="440"/>
      <c r="AN289" s="441"/>
      <c r="AO289" s="439"/>
      <c r="AP289" s="439"/>
      <c r="AQ289" s="440"/>
      <c r="AR289" s="441"/>
      <c r="AS289" s="439"/>
      <c r="AT289" s="439"/>
      <c r="AU289" s="440"/>
      <c r="AV289" s="441"/>
      <c r="AW289" s="439"/>
      <c r="AX289" s="439"/>
      <c r="AY289" s="440"/>
      <c r="AZ289" s="441"/>
      <c r="BA289" s="439"/>
      <c r="BB289" s="439"/>
      <c r="BC289" s="440"/>
      <c r="BD289" s="441"/>
      <c r="BE289" s="439"/>
      <c r="BF289" s="439"/>
      <c r="BG289" s="440"/>
      <c r="BH289" s="441"/>
      <c r="BI289" s="439"/>
      <c r="BJ289" s="439"/>
      <c r="BK289" s="440"/>
      <c r="BL289" s="442"/>
      <c r="BM289" s="647">
        <f t="shared" si="314"/>
        <v>0.53352804396137588</v>
      </c>
      <c r="BN289" s="648">
        <f t="shared" si="314"/>
        <v>0.50784643094302562</v>
      </c>
      <c r="BO289" s="648">
        <f t="shared" si="314"/>
        <v>0.48296679887940602</v>
      </c>
      <c r="BP289" s="648">
        <f t="shared" si="314"/>
        <v>0.4644976502693699</v>
      </c>
      <c r="BQ289" s="648">
        <f t="shared" si="314"/>
        <v>0.45772576340946219</v>
      </c>
      <c r="BR289" s="648">
        <f t="shared" si="314"/>
        <v>0.46172662766807288</v>
      </c>
      <c r="BS289" s="648"/>
      <c r="BT289" s="1267"/>
      <c r="BU289" s="1267"/>
      <c r="BV289" s="1267"/>
      <c r="BW289" s="1267"/>
      <c r="BX289" s="1267"/>
      <c r="BY289" s="1267"/>
      <c r="BZ289" s="1267"/>
      <c r="CA289" s="1245"/>
      <c r="CB289" s="835"/>
      <c r="CC289" s="835"/>
      <c r="CD289" s="835"/>
      <c r="CE289" s="835"/>
      <c r="CF289" s="804"/>
      <c r="CG289" s="804"/>
      <c r="CH289" s="804"/>
      <c r="CI289" s="804"/>
      <c r="CJ289" s="121"/>
      <c r="CK289" s="121"/>
      <c r="CL289" s="121"/>
      <c r="CM289" s="121"/>
      <c r="CN289" s="121"/>
      <c r="CO289" s="121"/>
      <c r="CP289" s="121"/>
      <c r="CQ289" s="121"/>
      <c r="CR289" s="121"/>
      <c r="CS289" s="121"/>
      <c r="CT289" s="121"/>
      <c r="CU289" s="121"/>
      <c r="CV289" s="121"/>
      <c r="CW289" s="121"/>
      <c r="CX289" s="121"/>
      <c r="CY289" s="121"/>
      <c r="CZ289" s="121"/>
      <c r="DA289" s="121"/>
      <c r="DB289" s="121"/>
      <c r="DC289" s="121"/>
      <c r="DD289" s="121"/>
      <c r="DE289" s="121"/>
      <c r="DF289" s="121"/>
      <c r="DG289" s="121"/>
      <c r="DH289" s="121"/>
      <c r="DI289" s="121"/>
      <c r="DJ289" s="121"/>
      <c r="DK289" s="121"/>
      <c r="DL289" s="121"/>
      <c r="DM289" s="121"/>
      <c r="DN289" s="121"/>
      <c r="DO289" s="121"/>
      <c r="DP289" s="121"/>
      <c r="DQ289" s="121"/>
      <c r="DR289" s="121"/>
      <c r="DS289" s="121"/>
      <c r="DT289" s="121"/>
      <c r="DU289" s="121"/>
      <c r="DV289" s="121"/>
      <c r="DW289" s="121"/>
      <c r="DX289" s="121"/>
      <c r="DY289" s="121"/>
      <c r="DZ289" s="121"/>
      <c r="EA289" s="121"/>
      <c r="EB289" s="121"/>
      <c r="EC289" s="121"/>
      <c r="ED289" s="121"/>
      <c r="EE289" s="121"/>
      <c r="EF289" s="121"/>
      <c r="EG289" s="121"/>
      <c r="EH289" s="121"/>
      <c r="EI289" s="121"/>
      <c r="EJ289" s="121"/>
      <c r="EK289" s="121"/>
      <c r="EL289" s="121"/>
      <c r="EM289" s="121"/>
      <c r="EN289" s="121"/>
      <c r="EO289" s="121"/>
      <c r="EP289" s="121"/>
      <c r="EQ289" s="121"/>
      <c r="ER289" s="121"/>
      <c r="ES289" s="121"/>
      <c r="ET289" s="121"/>
      <c r="EU289" s="121"/>
      <c r="EV289" s="121"/>
      <c r="EW289" s="121"/>
      <c r="EX289" s="121"/>
      <c r="EY289" s="121"/>
      <c r="EZ289" s="121"/>
      <c r="FA289" s="121"/>
      <c r="FB289" s="121"/>
      <c r="FC289" s="121"/>
      <c r="FD289" s="121"/>
      <c r="FE289" s="121"/>
      <c r="FF289" s="121"/>
      <c r="FG289" s="121"/>
      <c r="FH289" s="121"/>
      <c r="FI289" s="121"/>
      <c r="FJ289" s="121"/>
      <c r="FK289" s="121"/>
      <c r="FL289" s="121"/>
      <c r="FM289" s="121"/>
      <c r="FN289" s="121"/>
      <c r="FO289" s="121"/>
      <c r="FP289" s="121"/>
      <c r="FQ289" s="121"/>
      <c r="FR289" s="121"/>
      <c r="FS289" s="121"/>
      <c r="FT289" s="121"/>
      <c r="FU289" s="121"/>
      <c r="FV289" s="121"/>
      <c r="FW289" s="121"/>
      <c r="FX289" s="121"/>
      <c r="FY289" s="121"/>
      <c r="FZ289" s="121"/>
      <c r="GA289" s="121"/>
      <c r="GB289" s="121"/>
      <c r="GC289" s="121"/>
      <c r="GD289" s="121"/>
      <c r="GE289" s="121"/>
      <c r="GF289" s="121"/>
      <c r="GG289" s="121"/>
      <c r="GH289" s="121"/>
      <c r="GI289" s="121"/>
      <c r="GJ289" s="121"/>
      <c r="GK289" s="121"/>
      <c r="GL289" s="121"/>
      <c r="GM289" s="121"/>
      <c r="GN289" s="121"/>
      <c r="GO289" s="121"/>
      <c r="GP289" s="121"/>
      <c r="GQ289" s="121"/>
      <c r="GR289" s="121"/>
      <c r="GS289" s="121"/>
      <c r="GT289" s="121"/>
      <c r="GU289" s="121"/>
      <c r="GV289" s="121"/>
      <c r="GW289" s="121"/>
      <c r="GX289" s="121"/>
      <c r="GY289" s="121"/>
      <c r="GZ289" s="121"/>
      <c r="HA289" s="121"/>
      <c r="HB289" s="121"/>
      <c r="HC289" s="121"/>
      <c r="HD289" s="121"/>
      <c r="HE289" s="121"/>
      <c r="HF289" s="121"/>
      <c r="HG289" s="121"/>
      <c r="HH289" s="121"/>
      <c r="HI289" s="121"/>
      <c r="HJ289" s="121"/>
      <c r="HK289" s="121"/>
      <c r="HL289" s="121"/>
      <c r="HM289" s="121"/>
      <c r="HN289" s="121"/>
      <c r="HO289" s="121"/>
      <c r="HP289" s="121"/>
      <c r="HQ289" s="121"/>
      <c r="HR289" s="121"/>
      <c r="HS289" s="121"/>
      <c r="HT289" s="121"/>
      <c r="HU289" s="121"/>
      <c r="HV289" s="121"/>
      <c r="HW289" s="121"/>
      <c r="HX289" s="121"/>
      <c r="HY289" s="121"/>
      <c r="HZ289" s="121"/>
      <c r="IA289" s="121"/>
      <c r="IB289" s="121"/>
      <c r="IC289" s="121"/>
      <c r="ID289" s="121"/>
      <c r="IE289" s="121"/>
      <c r="IF289" s="121"/>
      <c r="IG289" s="121"/>
      <c r="IH289" s="121"/>
      <c r="II289" s="121"/>
      <c r="IJ289" s="121"/>
      <c r="IK289" s="121"/>
      <c r="IL289" s="121"/>
      <c r="IM289" s="121"/>
      <c r="IN289" s="121"/>
      <c r="IO289" s="121"/>
      <c r="IP289" s="121"/>
      <c r="IQ289" s="121"/>
      <c r="IR289" s="121"/>
      <c r="IS289" s="121"/>
      <c r="IT289" s="121"/>
      <c r="IU289" s="121"/>
      <c r="IV289" s="121"/>
    </row>
    <row r="290" spans="1:256" ht="14.25" hidden="1" customHeight="1" outlineLevel="1">
      <c r="BT290" s="1209"/>
      <c r="BU290" s="1209"/>
      <c r="BV290" s="1209"/>
      <c r="BW290" s="1209"/>
      <c r="BX290" s="1209"/>
      <c r="BY290" s="1209"/>
      <c r="BZ290" s="1209"/>
      <c r="CA290" s="1209"/>
      <c r="CF290" s="1209"/>
      <c r="CG290" s="1209"/>
      <c r="CH290" s="1209"/>
      <c r="CI290" s="1209"/>
      <c r="CJ290" s="371"/>
      <c r="CK290" s="1209"/>
      <c r="CL290" s="1209"/>
      <c r="CM290" s="1209"/>
      <c r="CN290" s="1209"/>
      <c r="CO290" s="1209"/>
      <c r="CP290" s="1209"/>
      <c r="CQ290" s="1209"/>
      <c r="CR290" s="1209"/>
    </row>
    <row r="291" spans="1:256" ht="14.25" hidden="1" customHeight="1" outlineLevel="1">
      <c r="B291" s="162" t="s">
        <v>647</v>
      </c>
      <c r="C291" s="163"/>
      <c r="D291" s="766" t="str">
        <f>D$9</f>
        <v>F1Q06A</v>
      </c>
      <c r="E291" s="767" t="str">
        <f t="shared" ref="E291:BK291" si="315">E$9</f>
        <v>F2Q06A</v>
      </c>
      <c r="F291" s="767" t="str">
        <f t="shared" si="315"/>
        <v>F3Q06A</v>
      </c>
      <c r="G291" s="767" t="str">
        <f t="shared" si="315"/>
        <v>F4Q06A</v>
      </c>
      <c r="H291" s="766" t="str">
        <f t="shared" si="315"/>
        <v>F1Q07A</v>
      </c>
      <c r="I291" s="767" t="str">
        <f t="shared" si="315"/>
        <v>F2Q07A</v>
      </c>
      <c r="J291" s="767" t="str">
        <f t="shared" si="315"/>
        <v>F3Q07A</v>
      </c>
      <c r="K291" s="767" t="str">
        <f t="shared" si="315"/>
        <v>F4Q07A</v>
      </c>
      <c r="L291" s="766" t="str">
        <f t="shared" si="315"/>
        <v>F1Q08A</v>
      </c>
      <c r="M291" s="767" t="str">
        <f t="shared" si="315"/>
        <v>F2Q08A</v>
      </c>
      <c r="N291" s="767" t="str">
        <f t="shared" si="315"/>
        <v>F3Q08A</v>
      </c>
      <c r="O291" s="767" t="str">
        <f t="shared" si="315"/>
        <v>F4Q08A</v>
      </c>
      <c r="P291" s="766" t="str">
        <f t="shared" si="315"/>
        <v>F1Q09A</v>
      </c>
      <c r="Q291" s="767" t="str">
        <f t="shared" si="315"/>
        <v>F2Q09A</v>
      </c>
      <c r="R291" s="767" t="str">
        <f t="shared" si="315"/>
        <v>F3Q09A</v>
      </c>
      <c r="S291" s="767" t="str">
        <f t="shared" si="315"/>
        <v>F4Q09A</v>
      </c>
      <c r="T291" s="766" t="str">
        <f t="shared" si="315"/>
        <v>F1Q10A</v>
      </c>
      <c r="U291" s="767" t="str">
        <f t="shared" si="315"/>
        <v>F2Q10A</v>
      </c>
      <c r="V291" s="767" t="str">
        <f t="shared" si="315"/>
        <v>F3Q10A</v>
      </c>
      <c r="W291" s="767" t="str">
        <f t="shared" si="315"/>
        <v>F4Q10A</v>
      </c>
      <c r="X291" s="766" t="str">
        <f t="shared" si="315"/>
        <v>F1Q11A</v>
      </c>
      <c r="Y291" s="767" t="str">
        <f t="shared" si="315"/>
        <v>F2Q11A</v>
      </c>
      <c r="Z291" s="767" t="str">
        <f t="shared" si="315"/>
        <v>F3Q11A</v>
      </c>
      <c r="AA291" s="767" t="str">
        <f t="shared" si="315"/>
        <v>F4Q11A</v>
      </c>
      <c r="AB291" s="766" t="str">
        <f t="shared" si="315"/>
        <v>F1Q12A</v>
      </c>
      <c r="AC291" s="767" t="str">
        <f t="shared" si="315"/>
        <v>F2Q12A</v>
      </c>
      <c r="AD291" s="767" t="str">
        <f t="shared" si="315"/>
        <v>F3Q12A</v>
      </c>
      <c r="AE291" s="767" t="str">
        <f t="shared" si="315"/>
        <v>F4Q12A</v>
      </c>
      <c r="AF291" s="766" t="str">
        <f t="shared" si="315"/>
        <v>F1Q13A</v>
      </c>
      <c r="AG291" s="767" t="str">
        <f t="shared" si="315"/>
        <v>F2Q13A</v>
      </c>
      <c r="AH291" s="767" t="str">
        <f t="shared" si="315"/>
        <v>F3Q13A</v>
      </c>
      <c r="AI291" s="767" t="str">
        <f t="shared" si="315"/>
        <v>F4Q13A</v>
      </c>
      <c r="AJ291" s="766" t="str">
        <f t="shared" si="315"/>
        <v>F1Q14A</v>
      </c>
      <c r="AK291" s="767" t="str">
        <f t="shared" si="315"/>
        <v>F2Q14</v>
      </c>
      <c r="AL291" s="767" t="str">
        <f t="shared" si="315"/>
        <v>F3Q14A</v>
      </c>
      <c r="AM291" s="767" t="str">
        <f t="shared" si="315"/>
        <v>F4Q14A</v>
      </c>
      <c r="AN291" s="766" t="str">
        <f t="shared" si="315"/>
        <v>F1Q15A</v>
      </c>
      <c r="AO291" s="767" t="str">
        <f t="shared" si="315"/>
        <v>F2Q15A</v>
      </c>
      <c r="AP291" s="767" t="str">
        <f t="shared" si="315"/>
        <v>F3Q15A</v>
      </c>
      <c r="AQ291" s="768" t="str">
        <f t="shared" si="315"/>
        <v>F4Q15A</v>
      </c>
      <c r="AR291" s="766" t="str">
        <f t="shared" si="315"/>
        <v>F1Q16A</v>
      </c>
      <c r="AS291" s="767" t="str">
        <f t="shared" si="315"/>
        <v>F2Q16A</v>
      </c>
      <c r="AT291" s="767" t="str">
        <f t="shared" si="315"/>
        <v>F3Q16A</v>
      </c>
      <c r="AU291" s="768" t="str">
        <f t="shared" si="315"/>
        <v>F4Q16A</v>
      </c>
      <c r="AV291" s="766" t="str">
        <f t="shared" si="315"/>
        <v>F1Q17A</v>
      </c>
      <c r="AW291" s="767" t="str">
        <f t="shared" si="315"/>
        <v>F2Q17A</v>
      </c>
      <c r="AX291" s="767" t="str">
        <f t="shared" si="315"/>
        <v>F3Q17A</v>
      </c>
      <c r="AY291" s="768" t="str">
        <f t="shared" si="315"/>
        <v>F4Q17A</v>
      </c>
      <c r="AZ291" s="766" t="str">
        <f t="shared" si="315"/>
        <v>F1Q18A</v>
      </c>
      <c r="BA291" s="767" t="str">
        <f t="shared" si="315"/>
        <v>F2Q18A</v>
      </c>
      <c r="BB291" s="767" t="str">
        <f t="shared" si="315"/>
        <v>F3Q18A</v>
      </c>
      <c r="BC291" s="768" t="str">
        <f t="shared" si="315"/>
        <v>F4Q18E</v>
      </c>
      <c r="BD291" s="766" t="str">
        <f t="shared" si="315"/>
        <v>F1Q19E</v>
      </c>
      <c r="BE291" s="767" t="str">
        <f t="shared" si="315"/>
        <v>F2Q19E</v>
      </c>
      <c r="BF291" s="767" t="str">
        <f t="shared" si="315"/>
        <v>F3Q19E</v>
      </c>
      <c r="BG291" s="768" t="str">
        <f t="shared" si="315"/>
        <v>F4Q19E</v>
      </c>
      <c r="BH291" s="766" t="str">
        <f t="shared" si="315"/>
        <v>F1Q20E</v>
      </c>
      <c r="BI291" s="767" t="str">
        <f t="shared" si="315"/>
        <v>F2Q20E</v>
      </c>
      <c r="BJ291" s="767" t="str">
        <f t="shared" si="315"/>
        <v>F3Q20E</v>
      </c>
      <c r="BK291" s="768" t="str">
        <f t="shared" si="315"/>
        <v>F4Q20E</v>
      </c>
      <c r="BM291" s="1425"/>
      <c r="BN291" s="1425"/>
      <c r="BO291" s="1425"/>
      <c r="BP291" s="1425"/>
      <c r="BQ291" s="1425"/>
      <c r="BR291" s="1425"/>
      <c r="BS291" s="1425"/>
      <c r="BT291" s="1425"/>
      <c r="BU291" s="1425"/>
      <c r="BV291" s="1209"/>
      <c r="BW291" s="1209"/>
      <c r="BX291" s="1209"/>
      <c r="BY291" s="1209"/>
      <c r="BZ291" s="1209"/>
      <c r="CA291" s="1209"/>
      <c r="CF291" s="1209"/>
      <c r="CG291" s="1209"/>
      <c r="CH291" s="1209"/>
      <c r="CI291" s="1209"/>
      <c r="CJ291" s="371"/>
      <c r="CK291" s="1209"/>
      <c r="CL291" s="1209"/>
      <c r="CM291" s="1209"/>
      <c r="CN291" s="1209"/>
      <c r="CO291" s="1209"/>
      <c r="CP291" s="1209"/>
      <c r="CQ291" s="1209"/>
      <c r="CR291" s="1209"/>
    </row>
    <row r="292" spans="1:256" ht="14.25" hidden="1" customHeight="1" outlineLevel="2">
      <c r="B292" s="449" t="s">
        <v>52</v>
      </c>
      <c r="C292" s="418"/>
      <c r="D292" s="598"/>
      <c r="E292" s="599"/>
      <c r="F292" s="599"/>
      <c r="G292" s="600"/>
      <c r="H292" s="598"/>
      <c r="I292" s="599"/>
      <c r="J292" s="599"/>
      <c r="K292" s="600"/>
      <c r="L292" s="598"/>
      <c r="M292" s="580"/>
      <c r="N292" s="580"/>
      <c r="O292" s="581">
        <v>0.19</v>
      </c>
      <c r="P292" s="579"/>
      <c r="Q292" s="580"/>
      <c r="R292" s="580"/>
      <c r="S292" s="581"/>
      <c r="T292" s="579"/>
      <c r="U292" s="580"/>
      <c r="V292" s="580"/>
      <c r="W292" s="581">
        <v>0.28000000000000003</v>
      </c>
      <c r="X292" s="579"/>
      <c r="Y292" s="580">
        <v>0.3</v>
      </c>
      <c r="Z292" s="580">
        <v>0.31</v>
      </c>
      <c r="AA292" s="581">
        <v>0.33</v>
      </c>
      <c r="AB292" s="579">
        <v>0.34</v>
      </c>
      <c r="AC292" s="580">
        <v>0.37</v>
      </c>
      <c r="AD292" s="580">
        <v>0.35</v>
      </c>
      <c r="AE292" s="580">
        <v>0.4</v>
      </c>
      <c r="AF292" s="579">
        <v>0.41</v>
      </c>
      <c r="AG292" s="580">
        <v>0.45</v>
      </c>
      <c r="AH292" s="580" t="e">
        <f>AH276/AH280</f>
        <v>#DIV/0!</v>
      </c>
      <c r="AI292" s="580" t="e">
        <f>AI276/AI280</f>
        <v>#DIV/0!</v>
      </c>
      <c r="AJ292" s="455"/>
      <c r="AK292" s="453"/>
      <c r="AL292" s="453"/>
      <c r="AM292" s="454"/>
      <c r="AN292" s="455"/>
      <c r="AO292" s="453"/>
      <c r="AP292" s="453"/>
      <c r="AQ292" s="454"/>
      <c r="AR292" s="455"/>
      <c r="AS292" s="453"/>
      <c r="AT292" s="453"/>
      <c r="AU292" s="454"/>
      <c r="AV292" s="455"/>
      <c r="AW292" s="453"/>
      <c r="AX292" s="453"/>
      <c r="AY292" s="1390"/>
      <c r="AZ292" s="1393"/>
      <c r="BA292" s="1396">
        <v>0.26</v>
      </c>
      <c r="BB292" s="1396"/>
      <c r="BC292" s="1390"/>
      <c r="BD292" s="1393"/>
      <c r="BE292" s="1396"/>
      <c r="BF292" s="453"/>
      <c r="BG292" s="454"/>
      <c r="BH292" s="1393"/>
      <c r="BI292" s="1396"/>
      <c r="BJ292" s="453"/>
      <c r="BK292" s="454"/>
      <c r="BL292" s="315"/>
      <c r="BM292" s="1429"/>
      <c r="BN292" s="480"/>
      <c r="BO292" s="104"/>
      <c r="BP292" s="104"/>
      <c r="BQ292" s="104"/>
      <c r="BR292" s="104"/>
      <c r="BS292" s="61"/>
      <c r="BT292" s="61"/>
      <c r="BU292" s="480"/>
      <c r="BV292" s="415"/>
      <c r="BW292" s="415"/>
      <c r="BX292" s="415"/>
      <c r="BY292" s="415"/>
      <c r="BZ292" s="415"/>
      <c r="CA292" s="448"/>
      <c r="CB292" s="448"/>
      <c r="CC292" s="448"/>
      <c r="CD292" s="448"/>
      <c r="CE292" s="448"/>
      <c r="CF292" s="448"/>
      <c r="CG292" s="448"/>
      <c r="CH292" s="448"/>
      <c r="CI292" s="448"/>
      <c r="CJ292" s="1209"/>
      <c r="CK292" s="1209"/>
      <c r="CL292" s="1209"/>
      <c r="CM292" s="1209"/>
      <c r="CN292" s="1209"/>
      <c r="CO292" s="1209"/>
      <c r="CP292" s="1209"/>
      <c r="CQ292" s="1209"/>
      <c r="CR292" s="1209"/>
    </row>
    <row r="293" spans="1:256" ht="14.25" hidden="1" customHeight="1" outlineLevel="2">
      <c r="B293" s="460" t="s">
        <v>50</v>
      </c>
      <c r="C293" s="372"/>
      <c r="D293" s="601"/>
      <c r="E293" s="602"/>
      <c r="F293" s="602"/>
      <c r="G293" s="603"/>
      <c r="H293" s="601"/>
      <c r="I293" s="602"/>
      <c r="J293" s="602"/>
      <c r="K293" s="603"/>
      <c r="L293" s="601"/>
      <c r="M293" s="1385"/>
      <c r="N293" s="1385"/>
      <c r="O293" s="1386"/>
      <c r="P293" s="1387"/>
      <c r="Q293" s="1385"/>
      <c r="R293" s="1385"/>
      <c r="S293" s="1386"/>
      <c r="T293" s="1387"/>
      <c r="U293" s="1385"/>
      <c r="V293" s="1385"/>
      <c r="W293" s="1386"/>
      <c r="X293" s="1387"/>
      <c r="Y293" s="1385"/>
      <c r="Z293" s="1385"/>
      <c r="AA293" s="1386"/>
      <c r="AB293" s="1387"/>
      <c r="AC293" s="1385"/>
      <c r="AD293" s="1385"/>
      <c r="AE293" s="1385"/>
      <c r="AF293" s="1387"/>
      <c r="AG293" s="1385"/>
      <c r="AH293" s="1385"/>
      <c r="AI293" s="1385"/>
      <c r="AJ293" s="466"/>
      <c r="AK293" s="464"/>
      <c r="AL293" s="464"/>
      <c r="AM293" s="465"/>
      <c r="AN293" s="466"/>
      <c r="AO293" s="464"/>
      <c r="AP293" s="464"/>
      <c r="AQ293" s="465"/>
      <c r="AR293" s="466"/>
      <c r="AS293" s="464"/>
      <c r="AT293" s="464"/>
      <c r="AU293" s="465"/>
      <c r="AV293" s="466"/>
      <c r="AW293" s="464"/>
      <c r="AX293" s="464"/>
      <c r="AY293" s="1391"/>
      <c r="AZ293" s="1394"/>
      <c r="BA293" s="1397">
        <v>0.28000000000000003</v>
      </c>
      <c r="BB293" s="1397"/>
      <c r="BC293" s="1391"/>
      <c r="BD293" s="1394"/>
      <c r="BE293" s="1397"/>
      <c r="BF293" s="464"/>
      <c r="BG293" s="465"/>
      <c r="BH293" s="1394"/>
      <c r="BI293" s="1397"/>
      <c r="BJ293" s="464"/>
      <c r="BK293" s="465"/>
      <c r="BL293" s="315"/>
      <c r="BM293" s="1429"/>
      <c r="BN293" s="480"/>
      <c r="BO293" s="104"/>
      <c r="BP293" s="104"/>
      <c r="BQ293" s="104"/>
      <c r="BR293" s="104"/>
      <c r="BS293" s="61"/>
      <c r="BT293" s="61"/>
      <c r="BU293" s="480"/>
      <c r="BV293" s="415"/>
      <c r="BW293" s="415"/>
      <c r="BX293" s="415"/>
      <c r="BY293" s="415"/>
      <c r="BZ293" s="415"/>
      <c r="CA293" s="448"/>
      <c r="CB293" s="448"/>
      <c r="CC293" s="448"/>
      <c r="CD293" s="448"/>
      <c r="CE293" s="448"/>
      <c r="CF293" s="448"/>
      <c r="CG293" s="448"/>
      <c r="CH293" s="448"/>
      <c r="CI293" s="448"/>
      <c r="CJ293" s="1209"/>
      <c r="CK293" s="1209"/>
      <c r="CL293" s="1209"/>
      <c r="CM293" s="1209"/>
      <c r="CN293" s="1209"/>
      <c r="CO293" s="1209"/>
      <c r="CP293" s="1209"/>
      <c r="CQ293" s="1209"/>
      <c r="CR293" s="1209"/>
    </row>
    <row r="294" spans="1:256" ht="14.25" hidden="1" customHeight="1" outlineLevel="2">
      <c r="B294" s="460" t="s">
        <v>630</v>
      </c>
      <c r="C294" s="372"/>
      <c r="D294" s="601"/>
      <c r="E294" s="602"/>
      <c r="F294" s="602"/>
      <c r="G294" s="603"/>
      <c r="H294" s="601"/>
      <c r="I294" s="602"/>
      <c r="J294" s="602"/>
      <c r="K294" s="603"/>
      <c r="L294" s="601"/>
      <c r="M294" s="1385"/>
      <c r="N294" s="1385"/>
      <c r="O294" s="1386"/>
      <c r="P294" s="1387"/>
      <c r="Q294" s="1385"/>
      <c r="R294" s="1385"/>
      <c r="S294" s="1386"/>
      <c r="T294" s="1387"/>
      <c r="U294" s="1385"/>
      <c r="V294" s="1385"/>
      <c r="W294" s="1386"/>
      <c r="X294" s="1387"/>
      <c r="Y294" s="1385"/>
      <c r="Z294" s="1385"/>
      <c r="AA294" s="1386"/>
      <c r="AB294" s="1387"/>
      <c r="AC294" s="1385"/>
      <c r="AD294" s="1385"/>
      <c r="AE294" s="1385"/>
      <c r="AF294" s="1387"/>
      <c r="AG294" s="1385"/>
      <c r="AH294" s="1385"/>
      <c r="AI294" s="1385"/>
      <c r="AJ294" s="466"/>
      <c r="AK294" s="464"/>
      <c r="AL294" s="464"/>
      <c r="AM294" s="465"/>
      <c r="AN294" s="466"/>
      <c r="AO294" s="464"/>
      <c r="AP294" s="464"/>
      <c r="AQ294" s="465"/>
      <c r="AR294" s="466"/>
      <c r="AS294" s="464"/>
      <c r="AT294" s="464"/>
      <c r="AU294" s="465"/>
      <c r="AV294" s="466"/>
      <c r="AW294" s="464"/>
      <c r="AX294" s="464"/>
      <c r="AY294" s="1391"/>
      <c r="AZ294" s="1394"/>
      <c r="BA294" s="1397">
        <v>0.21</v>
      </c>
      <c r="BB294" s="1397"/>
      <c r="BC294" s="1391"/>
      <c r="BD294" s="1394"/>
      <c r="BE294" s="1397"/>
      <c r="BF294" s="464"/>
      <c r="BG294" s="465"/>
      <c r="BH294" s="1394"/>
      <c r="BI294" s="1397"/>
      <c r="BJ294" s="464"/>
      <c r="BK294" s="465"/>
      <c r="BL294" s="315"/>
      <c r="BM294" s="1429"/>
      <c r="BN294" s="480"/>
      <c r="BO294" s="104"/>
      <c r="BP294" s="104"/>
      <c r="BQ294" s="104"/>
      <c r="BR294" s="104"/>
      <c r="BS294" s="61"/>
      <c r="BT294" s="61"/>
      <c r="BU294" s="480"/>
      <c r="BV294" s="415"/>
      <c r="BW294" s="415"/>
      <c r="BX294" s="415"/>
      <c r="BY294" s="415"/>
      <c r="BZ294" s="415"/>
      <c r="CA294" s="448"/>
      <c r="CB294" s="448"/>
      <c r="CC294" s="448"/>
      <c r="CD294" s="448"/>
      <c r="CE294" s="448"/>
      <c r="CF294" s="448"/>
      <c r="CG294" s="448"/>
      <c r="CH294" s="448"/>
      <c r="CI294" s="448"/>
      <c r="CJ294" s="1209"/>
      <c r="CK294" s="1209"/>
      <c r="CL294" s="1209"/>
      <c r="CM294" s="1209"/>
      <c r="CN294" s="1209"/>
      <c r="CO294" s="1209"/>
      <c r="CP294" s="1209"/>
      <c r="CQ294" s="1209"/>
      <c r="CR294" s="1209"/>
    </row>
    <row r="295" spans="1:256" ht="14.25" hidden="1" customHeight="1" outlineLevel="2">
      <c r="B295" s="460" t="s">
        <v>563</v>
      </c>
      <c r="C295" s="372"/>
      <c r="D295" s="601"/>
      <c r="E295" s="602"/>
      <c r="F295" s="602"/>
      <c r="G295" s="603"/>
      <c r="H295" s="601"/>
      <c r="I295" s="602"/>
      <c r="J295" s="602"/>
      <c r="K295" s="603"/>
      <c r="L295" s="601"/>
      <c r="M295" s="1385"/>
      <c r="N295" s="1385"/>
      <c r="O295" s="1386"/>
      <c r="P295" s="1387"/>
      <c r="Q295" s="1385"/>
      <c r="R295" s="1385"/>
      <c r="S295" s="1386"/>
      <c r="T295" s="1387"/>
      <c r="U295" s="1385"/>
      <c r="V295" s="1385"/>
      <c r="W295" s="1386"/>
      <c r="X295" s="1387"/>
      <c r="Y295" s="1385"/>
      <c r="Z295" s="1385"/>
      <c r="AA295" s="1386"/>
      <c r="AB295" s="1387"/>
      <c r="AC295" s="1385"/>
      <c r="AD295" s="1385"/>
      <c r="AE295" s="1385"/>
      <c r="AF295" s="1387"/>
      <c r="AG295" s="1385"/>
      <c r="AH295" s="1385"/>
      <c r="AI295" s="1385"/>
      <c r="AJ295" s="466"/>
      <c r="AK295" s="464"/>
      <c r="AL295" s="464"/>
      <c r="AM295" s="465"/>
      <c r="AN295" s="466"/>
      <c r="AO295" s="464"/>
      <c r="AP295" s="464"/>
      <c r="AQ295" s="465"/>
      <c r="AR295" s="466"/>
      <c r="AS295" s="464"/>
      <c r="AT295" s="464"/>
      <c r="AU295" s="465"/>
      <c r="AV295" s="466"/>
      <c r="AW295" s="464"/>
      <c r="AX295" s="464"/>
      <c r="AY295" s="1391"/>
      <c r="AZ295" s="1394"/>
      <c r="BA295" s="1397">
        <v>0.2</v>
      </c>
      <c r="BB295" s="1397"/>
      <c r="BC295" s="1391"/>
      <c r="BD295" s="1394"/>
      <c r="BE295" s="1397"/>
      <c r="BF295" s="464"/>
      <c r="BG295" s="465"/>
      <c r="BH295" s="1394"/>
      <c r="BI295" s="1397"/>
      <c r="BJ295" s="464"/>
      <c r="BK295" s="465"/>
      <c r="BL295" s="315"/>
      <c r="BM295" s="1429"/>
      <c r="BN295" s="480"/>
      <c r="BO295" s="104"/>
      <c r="BP295" s="104"/>
      <c r="BQ295" s="104"/>
      <c r="BR295" s="104"/>
      <c r="BS295" s="61"/>
      <c r="BT295" s="61"/>
      <c r="BU295" s="480"/>
      <c r="BV295" s="415"/>
      <c r="BW295" s="415"/>
      <c r="BX295" s="415"/>
      <c r="BY295" s="415"/>
      <c r="BZ295" s="415"/>
      <c r="CA295" s="448"/>
      <c r="CB295" s="448"/>
      <c r="CC295" s="448"/>
      <c r="CD295" s="448"/>
      <c r="CE295" s="448"/>
      <c r="CF295" s="448"/>
      <c r="CG295" s="448"/>
      <c r="CH295" s="448"/>
      <c r="CI295" s="448"/>
      <c r="CJ295" s="1209"/>
      <c r="CK295" s="1209"/>
      <c r="CL295" s="1209"/>
      <c r="CM295" s="1209"/>
      <c r="CN295" s="1209"/>
      <c r="CO295" s="1209"/>
      <c r="CP295" s="1209"/>
      <c r="CQ295" s="1209"/>
      <c r="CR295" s="1209"/>
    </row>
    <row r="296" spans="1:256" ht="14.25" hidden="1" customHeight="1" outlineLevel="2">
      <c r="B296" s="460" t="s">
        <v>564</v>
      </c>
      <c r="C296" s="372"/>
      <c r="D296" s="601"/>
      <c r="E296" s="602"/>
      <c r="F296" s="602"/>
      <c r="G296" s="603"/>
      <c r="H296" s="601"/>
      <c r="I296" s="602"/>
      <c r="J296" s="602"/>
      <c r="K296" s="603"/>
      <c r="L296" s="601"/>
      <c r="M296" s="583"/>
      <c r="N296" s="583"/>
      <c r="O296" s="584">
        <v>0.81</v>
      </c>
      <c r="P296" s="582"/>
      <c r="Q296" s="583"/>
      <c r="R296" s="583"/>
      <c r="S296" s="584"/>
      <c r="T296" s="582"/>
      <c r="U296" s="583"/>
      <c r="V296" s="583"/>
      <c r="W296" s="584">
        <v>0.72</v>
      </c>
      <c r="X296" s="582"/>
      <c r="Y296" s="583">
        <v>0.7</v>
      </c>
      <c r="Z296" s="583">
        <v>0.69</v>
      </c>
      <c r="AA296" s="584">
        <v>0.67</v>
      </c>
      <c r="AB296" s="582">
        <f>1-AB292</f>
        <v>0.65999999999999992</v>
      </c>
      <c r="AC296" s="583">
        <v>0.63</v>
      </c>
      <c r="AD296" s="583">
        <v>0.65</v>
      </c>
      <c r="AE296" s="583">
        <v>0.6</v>
      </c>
      <c r="AF296" s="582">
        <v>0.59</v>
      </c>
      <c r="AG296" s="583">
        <v>0.55000000000000004</v>
      </c>
      <c r="AH296" s="583" t="e">
        <f>AH278/AH280</f>
        <v>#DIV/0!</v>
      </c>
      <c r="AI296" s="583" t="e">
        <f>AI278/AI280</f>
        <v>#DIV/0!</v>
      </c>
      <c r="AJ296" s="466"/>
      <c r="AK296" s="464"/>
      <c r="AL296" s="464"/>
      <c r="AM296" s="465"/>
      <c r="AN296" s="466"/>
      <c r="AO296" s="464"/>
      <c r="AP296" s="464"/>
      <c r="AQ296" s="465"/>
      <c r="AR296" s="466"/>
      <c r="AS296" s="464"/>
      <c r="AT296" s="464"/>
      <c r="AU296" s="465"/>
      <c r="AV296" s="466"/>
      <c r="AW296" s="464"/>
      <c r="AX296" s="464"/>
      <c r="AY296" s="1391"/>
      <c r="AZ296" s="1394"/>
      <c r="BA296" s="1397">
        <v>0.04</v>
      </c>
      <c r="BB296" s="1397"/>
      <c r="BC296" s="1391"/>
      <c r="BD296" s="1394"/>
      <c r="BE296" s="1397"/>
      <c r="BF296" s="464"/>
      <c r="BG296" s="465"/>
      <c r="BH296" s="1394"/>
      <c r="BI296" s="1397"/>
      <c r="BJ296" s="464"/>
      <c r="BK296" s="465"/>
      <c r="BL296" s="315"/>
      <c r="BM296" s="1429"/>
      <c r="BN296" s="480"/>
      <c r="BO296" s="104"/>
      <c r="BP296" s="104"/>
      <c r="BQ296" s="104"/>
      <c r="BR296" s="104"/>
      <c r="BS296" s="61"/>
      <c r="BT296" s="61"/>
      <c r="BU296" s="480"/>
      <c r="BV296" s="415"/>
      <c r="BW296" s="415"/>
      <c r="BX296" s="415"/>
      <c r="BY296" s="415"/>
      <c r="BZ296" s="415"/>
      <c r="CA296" s="448"/>
      <c r="CB296" s="448"/>
      <c r="CC296" s="448"/>
      <c r="CD296" s="448"/>
      <c r="CE296" s="448"/>
      <c r="CF296" s="448"/>
      <c r="CG296" s="448"/>
      <c r="CH296" s="448"/>
      <c r="CI296" s="448"/>
      <c r="CJ296" s="1209"/>
      <c r="CK296" s="1209"/>
      <c r="CL296" s="1209"/>
      <c r="CM296" s="1209"/>
      <c r="CN296" s="1209"/>
      <c r="CO296" s="1209"/>
      <c r="CP296" s="1209"/>
      <c r="CQ296" s="1209"/>
      <c r="CR296" s="1209"/>
    </row>
    <row r="297" spans="1:256" ht="14.25" hidden="1" customHeight="1" outlineLevel="1">
      <c r="A297" s="1"/>
      <c r="B297" s="1388" t="s">
        <v>221</v>
      </c>
      <c r="C297" s="435"/>
      <c r="D297" s="644">
        <f t="shared" ref="D297:AC297" si="316">D277/D281</f>
        <v>5.4698063116559781E-2</v>
      </c>
      <c r="E297" s="645">
        <f t="shared" si="316"/>
        <v>5.8208597064676196E-2</v>
      </c>
      <c r="F297" s="645">
        <f t="shared" si="316"/>
        <v>6.0361175646862171E-2</v>
      </c>
      <c r="G297" s="646">
        <f t="shared" si="316"/>
        <v>5.9989953567560532E-2</v>
      </c>
      <c r="H297" s="644">
        <f t="shared" si="316"/>
        <v>5.3291098473541132E-2</v>
      </c>
      <c r="I297" s="645">
        <f t="shared" si="316"/>
        <v>5.1597762020088082E-2</v>
      </c>
      <c r="J297" s="645">
        <f t="shared" si="316"/>
        <v>5.3928291678678228E-2</v>
      </c>
      <c r="K297" s="646">
        <f t="shared" si="316"/>
        <v>6.1261316042818481E-2</v>
      </c>
      <c r="L297" s="644">
        <f t="shared" si="316"/>
        <v>5.4664654494725989E-2</v>
      </c>
      <c r="M297" s="645">
        <f t="shared" si="316"/>
        <v>5.0244541364050703E-2</v>
      </c>
      <c r="N297" s="645">
        <f t="shared" si="316"/>
        <v>5.6093923215638886E-2</v>
      </c>
      <c r="O297" s="646" t="e">
        <f t="shared" si="316"/>
        <v>#VALUE!</v>
      </c>
      <c r="P297" s="644" t="e">
        <f t="shared" si="316"/>
        <v>#VALUE!</v>
      </c>
      <c r="Q297" s="645" t="e">
        <f t="shared" si="316"/>
        <v>#VALUE!</v>
      </c>
      <c r="R297" s="645" t="e">
        <f t="shared" si="316"/>
        <v>#VALUE!</v>
      </c>
      <c r="S297" s="646" t="e">
        <f t="shared" si="316"/>
        <v>#VALUE!</v>
      </c>
      <c r="T297" s="644" t="e">
        <f t="shared" si="316"/>
        <v>#VALUE!</v>
      </c>
      <c r="U297" s="645" t="e">
        <f t="shared" si="316"/>
        <v>#VALUE!</v>
      </c>
      <c r="V297" s="645" t="e">
        <f t="shared" si="316"/>
        <v>#VALUE!</v>
      </c>
      <c r="W297" s="646" t="e">
        <f t="shared" si="316"/>
        <v>#VALUE!</v>
      </c>
      <c r="X297" s="644" t="e">
        <f t="shared" si="316"/>
        <v>#VALUE!</v>
      </c>
      <c r="Y297" s="645" t="e">
        <f t="shared" si="316"/>
        <v>#VALUE!</v>
      </c>
      <c r="Z297" s="645" t="e">
        <f t="shared" si="316"/>
        <v>#VALUE!</v>
      </c>
      <c r="AA297" s="646" t="e">
        <f t="shared" si="316"/>
        <v>#VALUE!</v>
      </c>
      <c r="AB297" s="644" t="e">
        <f t="shared" si="316"/>
        <v>#VALUE!</v>
      </c>
      <c r="AC297" s="645" t="e">
        <f t="shared" si="316"/>
        <v>#VALUE!</v>
      </c>
      <c r="AD297" s="645" t="e">
        <f>AD277/AD281</f>
        <v>#VALUE!</v>
      </c>
      <c r="AE297" s="646"/>
      <c r="AF297" s="644"/>
      <c r="AG297" s="439"/>
      <c r="AH297" s="439"/>
      <c r="AI297" s="440"/>
      <c r="AJ297" s="441"/>
      <c r="AK297" s="439"/>
      <c r="AL297" s="439"/>
      <c r="AM297" s="440"/>
      <c r="AN297" s="441"/>
      <c r="AO297" s="439"/>
      <c r="AP297" s="439"/>
      <c r="AQ297" s="440"/>
      <c r="AR297" s="441"/>
      <c r="AS297" s="439"/>
      <c r="AT297" s="439"/>
      <c r="AU297" s="440"/>
      <c r="AV297" s="441"/>
      <c r="AW297" s="439"/>
      <c r="AX297" s="439"/>
      <c r="AY297" s="1392"/>
      <c r="AZ297" s="1395">
        <v>0</v>
      </c>
      <c r="BA297" s="1398">
        <v>30</v>
      </c>
      <c r="BB297" s="1398">
        <v>0</v>
      </c>
      <c r="BC297" s="1392"/>
      <c r="BD297" s="1395">
        <v>0</v>
      </c>
      <c r="BE297" s="1398">
        <v>0</v>
      </c>
      <c r="BF297" s="1417">
        <v>0</v>
      </c>
      <c r="BG297" s="1389">
        <v>0</v>
      </c>
      <c r="BH297" s="1395">
        <v>0</v>
      </c>
      <c r="BI297" s="1398">
        <v>0</v>
      </c>
      <c r="BJ297" s="1417">
        <v>0</v>
      </c>
      <c r="BK297" s="1389">
        <v>0</v>
      </c>
      <c r="BL297" s="1"/>
      <c r="BM297" s="311"/>
      <c r="BN297" s="311"/>
      <c r="BO297" s="311"/>
      <c r="BP297" s="311"/>
      <c r="BQ297" s="311"/>
      <c r="BR297" s="311"/>
      <c r="BS297" s="311"/>
      <c r="BT297" s="311"/>
      <c r="BU297" s="311"/>
      <c r="BV297" s="206"/>
      <c r="BW297" s="206"/>
      <c r="BX297" s="206"/>
      <c r="BY297" s="206"/>
      <c r="BZ297" s="206"/>
      <c r="CA297" s="206"/>
      <c r="CB297" s="311"/>
      <c r="CC297" s="311"/>
      <c r="CD297" s="311"/>
      <c r="CE297" s="311"/>
      <c r="CF297" s="1209"/>
      <c r="CG297" s="1209"/>
      <c r="CH297" s="1209"/>
      <c r="CI297" s="1209"/>
      <c r="CJ297" s="1209"/>
      <c r="CK297" s="1209"/>
      <c r="CL297" s="1209"/>
      <c r="CM297" s="1209"/>
      <c r="CN297" s="1209"/>
      <c r="CO297" s="1209"/>
      <c r="CP297" s="1209"/>
      <c r="CQ297" s="1209"/>
      <c r="CR297" s="1209"/>
    </row>
    <row r="298" spans="1:256" ht="14.25" hidden="1" customHeight="1" outlineLevel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8"/>
      <c r="AZ298" s="8"/>
      <c r="BA298" s="8"/>
      <c r="BB298" s="8"/>
      <c r="BC298" s="8"/>
      <c r="BD298" s="1"/>
      <c r="BE298" s="1"/>
      <c r="BF298" s="1"/>
      <c r="BG298" s="1"/>
      <c r="BH298" s="1"/>
      <c r="BI298" s="1"/>
      <c r="BJ298" s="1"/>
      <c r="BK298" s="1"/>
      <c r="BL298" s="1"/>
      <c r="BM298" s="311"/>
      <c r="BN298" s="311"/>
      <c r="BO298" s="311"/>
      <c r="BP298" s="311"/>
      <c r="BQ298" s="311"/>
      <c r="BR298" s="311"/>
      <c r="BS298" s="311"/>
      <c r="BT298" s="311"/>
      <c r="BU298" s="311"/>
      <c r="BV298" s="206"/>
      <c r="BW298" s="206"/>
      <c r="BX298" s="206"/>
      <c r="BY298" s="206"/>
      <c r="BZ298" s="206"/>
      <c r="CA298" s="206"/>
      <c r="CB298" s="311"/>
      <c r="CC298" s="311"/>
      <c r="CD298" s="311"/>
      <c r="CE298" s="311"/>
      <c r="CF298" s="1209"/>
      <c r="CG298" s="1209"/>
      <c r="CH298" s="1209"/>
      <c r="CI298" s="1209"/>
      <c r="CJ298" s="1209"/>
      <c r="CK298" s="1209"/>
      <c r="CL298" s="1209"/>
      <c r="CM298" s="1209"/>
      <c r="CN298" s="1209"/>
      <c r="CO298" s="1209"/>
      <c r="CP298" s="1209"/>
      <c r="CQ298" s="1209"/>
      <c r="CR298" s="1209"/>
    </row>
    <row r="299" spans="1:256" ht="14.25" hidden="1" customHeight="1" outlineLevel="1">
      <c r="B299" s="162" t="s">
        <v>629</v>
      </c>
      <c r="C299" s="163"/>
      <c r="D299" s="766" t="str">
        <f>D$9</f>
        <v>F1Q06A</v>
      </c>
      <c r="E299" s="767" t="str">
        <f t="shared" ref="E299:BK299" si="317">E$9</f>
        <v>F2Q06A</v>
      </c>
      <c r="F299" s="767" t="str">
        <f t="shared" si="317"/>
        <v>F3Q06A</v>
      </c>
      <c r="G299" s="767" t="str">
        <f t="shared" si="317"/>
        <v>F4Q06A</v>
      </c>
      <c r="H299" s="766" t="str">
        <f t="shared" si="317"/>
        <v>F1Q07A</v>
      </c>
      <c r="I299" s="767" t="str">
        <f t="shared" si="317"/>
        <v>F2Q07A</v>
      </c>
      <c r="J299" s="767" t="str">
        <f t="shared" si="317"/>
        <v>F3Q07A</v>
      </c>
      <c r="K299" s="767" t="str">
        <f t="shared" si="317"/>
        <v>F4Q07A</v>
      </c>
      <c r="L299" s="766" t="str">
        <f t="shared" si="317"/>
        <v>F1Q08A</v>
      </c>
      <c r="M299" s="767" t="str">
        <f t="shared" si="317"/>
        <v>F2Q08A</v>
      </c>
      <c r="N299" s="767" t="str">
        <f t="shared" si="317"/>
        <v>F3Q08A</v>
      </c>
      <c r="O299" s="767" t="str">
        <f t="shared" si="317"/>
        <v>F4Q08A</v>
      </c>
      <c r="P299" s="766" t="str">
        <f t="shared" si="317"/>
        <v>F1Q09A</v>
      </c>
      <c r="Q299" s="767" t="str">
        <f t="shared" si="317"/>
        <v>F2Q09A</v>
      </c>
      <c r="R299" s="767" t="str">
        <f t="shared" si="317"/>
        <v>F3Q09A</v>
      </c>
      <c r="S299" s="767" t="str">
        <f t="shared" si="317"/>
        <v>F4Q09A</v>
      </c>
      <c r="T299" s="766" t="str">
        <f t="shared" si="317"/>
        <v>F1Q10A</v>
      </c>
      <c r="U299" s="767" t="str">
        <f t="shared" si="317"/>
        <v>F2Q10A</v>
      </c>
      <c r="V299" s="767" t="str">
        <f t="shared" si="317"/>
        <v>F3Q10A</v>
      </c>
      <c r="W299" s="767" t="str">
        <f t="shared" si="317"/>
        <v>F4Q10A</v>
      </c>
      <c r="X299" s="766" t="str">
        <f t="shared" si="317"/>
        <v>F1Q11A</v>
      </c>
      <c r="Y299" s="767" t="str">
        <f t="shared" si="317"/>
        <v>F2Q11A</v>
      </c>
      <c r="Z299" s="767" t="str">
        <f t="shared" si="317"/>
        <v>F3Q11A</v>
      </c>
      <c r="AA299" s="767" t="str">
        <f t="shared" si="317"/>
        <v>F4Q11A</v>
      </c>
      <c r="AB299" s="766" t="str">
        <f t="shared" si="317"/>
        <v>F1Q12A</v>
      </c>
      <c r="AC299" s="767" t="str">
        <f t="shared" si="317"/>
        <v>F2Q12A</v>
      </c>
      <c r="AD299" s="767" t="str">
        <f t="shared" si="317"/>
        <v>F3Q12A</v>
      </c>
      <c r="AE299" s="767" t="str">
        <f t="shared" si="317"/>
        <v>F4Q12A</v>
      </c>
      <c r="AF299" s="766" t="str">
        <f t="shared" si="317"/>
        <v>F1Q13A</v>
      </c>
      <c r="AG299" s="767" t="str">
        <f t="shared" si="317"/>
        <v>F2Q13A</v>
      </c>
      <c r="AH299" s="767" t="str">
        <f t="shared" si="317"/>
        <v>F3Q13A</v>
      </c>
      <c r="AI299" s="767" t="str">
        <f t="shared" si="317"/>
        <v>F4Q13A</v>
      </c>
      <c r="AJ299" s="766" t="str">
        <f t="shared" si="317"/>
        <v>F1Q14A</v>
      </c>
      <c r="AK299" s="767" t="str">
        <f t="shared" si="317"/>
        <v>F2Q14</v>
      </c>
      <c r="AL299" s="767" t="str">
        <f t="shared" si="317"/>
        <v>F3Q14A</v>
      </c>
      <c r="AM299" s="767" t="str">
        <f t="shared" si="317"/>
        <v>F4Q14A</v>
      </c>
      <c r="AN299" s="766" t="str">
        <f t="shared" si="317"/>
        <v>F1Q15A</v>
      </c>
      <c r="AO299" s="767" t="str">
        <f t="shared" si="317"/>
        <v>F2Q15A</v>
      </c>
      <c r="AP299" s="767" t="str">
        <f t="shared" si="317"/>
        <v>F3Q15A</v>
      </c>
      <c r="AQ299" s="768" t="str">
        <f t="shared" si="317"/>
        <v>F4Q15A</v>
      </c>
      <c r="AR299" s="766" t="str">
        <f t="shared" si="317"/>
        <v>F1Q16A</v>
      </c>
      <c r="AS299" s="767" t="str">
        <f t="shared" si="317"/>
        <v>F2Q16A</v>
      </c>
      <c r="AT299" s="767" t="str">
        <f t="shared" si="317"/>
        <v>F3Q16A</v>
      </c>
      <c r="AU299" s="768" t="str">
        <f t="shared" si="317"/>
        <v>F4Q16A</v>
      </c>
      <c r="AV299" s="766" t="str">
        <f t="shared" si="317"/>
        <v>F1Q17A</v>
      </c>
      <c r="AW299" s="767" t="str">
        <f t="shared" si="317"/>
        <v>F2Q17A</v>
      </c>
      <c r="AX299" s="767" t="str">
        <f t="shared" si="317"/>
        <v>F3Q17A</v>
      </c>
      <c r="AY299" s="768" t="str">
        <f t="shared" si="317"/>
        <v>F4Q17A</v>
      </c>
      <c r="AZ299" s="766" t="str">
        <f t="shared" si="317"/>
        <v>F1Q18A</v>
      </c>
      <c r="BA299" s="767" t="str">
        <f t="shared" si="317"/>
        <v>F2Q18A</v>
      </c>
      <c r="BB299" s="767" t="str">
        <f t="shared" si="317"/>
        <v>F3Q18A</v>
      </c>
      <c r="BC299" s="768" t="str">
        <f t="shared" si="317"/>
        <v>F4Q18E</v>
      </c>
      <c r="BD299" s="766" t="str">
        <f t="shared" si="317"/>
        <v>F1Q19E</v>
      </c>
      <c r="BE299" s="767" t="str">
        <f t="shared" si="317"/>
        <v>F2Q19E</v>
      </c>
      <c r="BF299" s="767" t="str">
        <f t="shared" si="317"/>
        <v>F3Q19E</v>
      </c>
      <c r="BG299" s="768" t="str">
        <f t="shared" si="317"/>
        <v>F4Q19E</v>
      </c>
      <c r="BH299" s="766" t="str">
        <f t="shared" si="317"/>
        <v>F1Q20E</v>
      </c>
      <c r="BI299" s="767" t="str">
        <f t="shared" si="317"/>
        <v>F2Q20E</v>
      </c>
      <c r="BJ299" s="767" t="str">
        <f t="shared" si="317"/>
        <v>F3Q20E</v>
      </c>
      <c r="BK299" s="768" t="str">
        <f t="shared" si="317"/>
        <v>F4Q20E</v>
      </c>
      <c r="BM299" s="1425"/>
      <c r="BN299" s="1425"/>
      <c r="BO299" s="1425"/>
      <c r="BP299" s="1425"/>
      <c r="BQ299" s="1425"/>
      <c r="BR299" s="1425"/>
      <c r="BS299" s="1425"/>
      <c r="BT299" s="1425"/>
      <c r="BU299" s="1425"/>
      <c r="BV299" s="1209"/>
      <c r="BW299" s="1209"/>
      <c r="BX299" s="1209"/>
      <c r="BY299" s="1209"/>
      <c r="BZ299" s="1209"/>
      <c r="CA299" s="1209"/>
      <c r="CF299" s="1209"/>
      <c r="CG299" s="1209"/>
      <c r="CH299" s="1209"/>
      <c r="CI299" s="1209"/>
      <c r="CJ299" s="371"/>
      <c r="CK299" s="1209"/>
      <c r="CL299" s="1209"/>
      <c r="CM299" s="1209"/>
      <c r="CN299" s="1209"/>
      <c r="CO299" s="1209"/>
      <c r="CP299" s="1209"/>
      <c r="CQ299" s="1209"/>
      <c r="CR299" s="1209"/>
    </row>
    <row r="300" spans="1:256" ht="14.25" hidden="1" customHeight="1" outlineLevel="2">
      <c r="B300" s="449" t="s">
        <v>52</v>
      </c>
      <c r="C300" s="418"/>
      <c r="D300" s="598"/>
      <c r="E300" s="599"/>
      <c r="F300" s="599"/>
      <c r="G300" s="600"/>
      <c r="H300" s="598"/>
      <c r="I300" s="599"/>
      <c r="J300" s="599"/>
      <c r="K300" s="600"/>
      <c r="L300" s="598"/>
      <c r="M300" s="580"/>
      <c r="N300" s="580"/>
      <c r="O300" s="581">
        <v>0.19</v>
      </c>
      <c r="P300" s="579"/>
      <c r="Q300" s="580"/>
      <c r="R300" s="580"/>
      <c r="S300" s="581"/>
      <c r="T300" s="579"/>
      <c r="U300" s="580"/>
      <c r="V300" s="580"/>
      <c r="W300" s="581">
        <v>0.28000000000000003</v>
      </c>
      <c r="X300" s="579"/>
      <c r="Y300" s="580">
        <v>0.3</v>
      </c>
      <c r="Z300" s="580">
        <v>0.31</v>
      </c>
      <c r="AA300" s="581">
        <v>0.33</v>
      </c>
      <c r="AB300" s="579">
        <v>0.34</v>
      </c>
      <c r="AC300" s="580">
        <v>0.37</v>
      </c>
      <c r="AD300" s="580">
        <v>0.35</v>
      </c>
      <c r="AE300" s="580">
        <v>0.4</v>
      </c>
      <c r="AF300" s="579">
        <v>0.41</v>
      </c>
      <c r="AG300" s="580">
        <v>0.45</v>
      </c>
      <c r="AH300" s="580" t="e">
        <f>AH284/AH288</f>
        <v>#DIV/0!</v>
      </c>
      <c r="AI300" s="580" t="e">
        <f>AI284/AI288</f>
        <v>#DIV/0!</v>
      </c>
      <c r="AJ300" s="455"/>
      <c r="AK300" s="453"/>
      <c r="AL300" s="453"/>
      <c r="AM300" s="454"/>
      <c r="AN300" s="455"/>
      <c r="AO300" s="453"/>
      <c r="AP300" s="453"/>
      <c r="AQ300" s="454"/>
      <c r="AR300" s="455"/>
      <c r="AS300" s="453"/>
      <c r="AT300" s="453"/>
      <c r="AU300" s="454"/>
      <c r="AV300" s="455"/>
      <c r="AW300" s="453"/>
      <c r="AX300" s="453"/>
      <c r="AY300" s="1390">
        <v>0.1</v>
      </c>
      <c r="AZ300" s="1393"/>
      <c r="BA300" s="1396">
        <v>0.1</v>
      </c>
      <c r="BB300" s="1396"/>
      <c r="BC300" s="1390"/>
      <c r="BD300" s="1393"/>
      <c r="BE300" s="1396"/>
      <c r="BF300" s="453"/>
      <c r="BG300" s="454"/>
      <c r="BH300" s="1393"/>
      <c r="BI300" s="1396"/>
      <c r="BJ300" s="453"/>
      <c r="BK300" s="454"/>
      <c r="BL300" s="315"/>
      <c r="BM300" s="1429"/>
      <c r="BN300" s="480"/>
      <c r="BO300" s="104"/>
      <c r="BP300" s="104"/>
      <c r="BQ300" s="104"/>
      <c r="BR300" s="104"/>
      <c r="BS300" s="61"/>
      <c r="BT300" s="61"/>
      <c r="BU300" s="480"/>
      <c r="BV300" s="415"/>
      <c r="BW300" s="415"/>
      <c r="BX300" s="415"/>
      <c r="BY300" s="415"/>
      <c r="BZ300" s="415"/>
      <c r="CA300" s="448"/>
      <c r="CB300" s="448"/>
      <c r="CC300" s="448"/>
      <c r="CD300" s="448"/>
      <c r="CE300" s="448"/>
      <c r="CF300" s="448"/>
      <c r="CG300" s="448"/>
      <c r="CH300" s="448"/>
      <c r="CI300" s="448"/>
      <c r="CJ300" s="1209"/>
      <c r="CK300" s="1209"/>
      <c r="CL300" s="1209"/>
      <c r="CM300" s="1209"/>
      <c r="CN300" s="1209"/>
      <c r="CO300" s="1209"/>
      <c r="CP300" s="1209"/>
      <c r="CQ300" s="1209"/>
      <c r="CR300" s="1209"/>
    </row>
    <row r="301" spans="1:256" ht="14.25" hidden="1" customHeight="1" outlineLevel="2">
      <c r="B301" s="460" t="s">
        <v>50</v>
      </c>
      <c r="C301" s="372"/>
      <c r="D301" s="601"/>
      <c r="E301" s="602"/>
      <c r="F301" s="602"/>
      <c r="G301" s="603"/>
      <c r="H301" s="601"/>
      <c r="I301" s="602"/>
      <c r="J301" s="602"/>
      <c r="K301" s="603"/>
      <c r="L301" s="601"/>
      <c r="M301" s="1385"/>
      <c r="N301" s="1385"/>
      <c r="O301" s="1386"/>
      <c r="P301" s="1387"/>
      <c r="Q301" s="1385"/>
      <c r="R301" s="1385"/>
      <c r="S301" s="1386"/>
      <c r="T301" s="1387"/>
      <c r="U301" s="1385"/>
      <c r="V301" s="1385"/>
      <c r="W301" s="1386"/>
      <c r="X301" s="1387"/>
      <c r="Y301" s="1385"/>
      <c r="Z301" s="1385"/>
      <c r="AA301" s="1386"/>
      <c r="AB301" s="1387"/>
      <c r="AC301" s="1385"/>
      <c r="AD301" s="1385"/>
      <c r="AE301" s="1385"/>
      <c r="AF301" s="1387"/>
      <c r="AG301" s="1385"/>
      <c r="AH301" s="1385"/>
      <c r="AI301" s="1385"/>
      <c r="AJ301" s="466"/>
      <c r="AK301" s="464"/>
      <c r="AL301" s="464"/>
      <c r="AM301" s="465"/>
      <c r="AN301" s="466"/>
      <c r="AO301" s="464"/>
      <c r="AP301" s="464"/>
      <c r="AQ301" s="465"/>
      <c r="AR301" s="466"/>
      <c r="AS301" s="464"/>
      <c r="AT301" s="464"/>
      <c r="AU301" s="465"/>
      <c r="AV301" s="466"/>
      <c r="AW301" s="464"/>
      <c r="AX301" s="464"/>
      <c r="AY301" s="1391">
        <v>0.5</v>
      </c>
      <c r="AZ301" s="1394"/>
      <c r="BA301" s="1397">
        <v>0.5</v>
      </c>
      <c r="BB301" s="1397"/>
      <c r="BC301" s="1391"/>
      <c r="BD301" s="1394"/>
      <c r="BE301" s="1397"/>
      <c r="BF301" s="464"/>
      <c r="BG301" s="465"/>
      <c r="BH301" s="1394"/>
      <c r="BI301" s="1397"/>
      <c r="BJ301" s="464"/>
      <c r="BK301" s="465"/>
      <c r="BL301" s="315"/>
      <c r="BM301" s="1429"/>
      <c r="BN301" s="480"/>
      <c r="BO301" s="104"/>
      <c r="BP301" s="104"/>
      <c r="BQ301" s="104"/>
      <c r="BR301" s="104"/>
      <c r="BS301" s="61"/>
      <c r="BT301" s="61"/>
      <c r="BU301" s="480"/>
      <c r="BV301" s="415"/>
      <c r="BW301" s="415"/>
      <c r="BX301" s="415"/>
      <c r="BY301" s="415"/>
      <c r="BZ301" s="415"/>
      <c r="CA301" s="448"/>
      <c r="CB301" s="448"/>
      <c r="CC301" s="448"/>
      <c r="CD301" s="448"/>
      <c r="CE301" s="448"/>
      <c r="CF301" s="448"/>
      <c r="CG301" s="448"/>
      <c r="CH301" s="448"/>
      <c r="CI301" s="448"/>
      <c r="CJ301" s="1209"/>
      <c r="CK301" s="1209"/>
      <c r="CL301" s="1209"/>
      <c r="CM301" s="1209"/>
      <c r="CN301" s="1209"/>
      <c r="CO301" s="1209"/>
      <c r="CP301" s="1209"/>
      <c r="CQ301" s="1209"/>
      <c r="CR301" s="1209"/>
    </row>
    <row r="302" spans="1:256" ht="14.25" hidden="1" customHeight="1" outlineLevel="2">
      <c r="B302" s="460" t="s">
        <v>630</v>
      </c>
      <c r="C302" s="372"/>
      <c r="D302" s="601"/>
      <c r="E302" s="602"/>
      <c r="F302" s="602"/>
      <c r="G302" s="603"/>
      <c r="H302" s="601"/>
      <c r="I302" s="602"/>
      <c r="J302" s="602"/>
      <c r="K302" s="603"/>
      <c r="L302" s="601"/>
      <c r="M302" s="1385"/>
      <c r="N302" s="1385"/>
      <c r="O302" s="1386"/>
      <c r="P302" s="1387"/>
      <c r="Q302" s="1385"/>
      <c r="R302" s="1385"/>
      <c r="S302" s="1386"/>
      <c r="T302" s="1387"/>
      <c r="U302" s="1385"/>
      <c r="V302" s="1385"/>
      <c r="W302" s="1386"/>
      <c r="X302" s="1387"/>
      <c r="Y302" s="1385"/>
      <c r="Z302" s="1385"/>
      <c r="AA302" s="1386"/>
      <c r="AB302" s="1387"/>
      <c r="AC302" s="1385"/>
      <c r="AD302" s="1385"/>
      <c r="AE302" s="1385"/>
      <c r="AF302" s="1387"/>
      <c r="AG302" s="1385"/>
      <c r="AH302" s="1385"/>
      <c r="AI302" s="1385"/>
      <c r="AJ302" s="466"/>
      <c r="AK302" s="464"/>
      <c r="AL302" s="464"/>
      <c r="AM302" s="465"/>
      <c r="AN302" s="466"/>
      <c r="AO302" s="464"/>
      <c r="AP302" s="464"/>
      <c r="AQ302" s="465"/>
      <c r="AR302" s="466"/>
      <c r="AS302" s="464"/>
      <c r="AT302" s="464"/>
      <c r="AU302" s="465"/>
      <c r="AV302" s="466"/>
      <c r="AW302" s="464"/>
      <c r="AX302" s="464"/>
      <c r="AY302" s="1391">
        <v>0.3</v>
      </c>
      <c r="AZ302" s="1394"/>
      <c r="BA302" s="1397">
        <v>0.3</v>
      </c>
      <c r="BB302" s="1397"/>
      <c r="BC302" s="1391"/>
      <c r="BD302" s="1394"/>
      <c r="BE302" s="1397"/>
      <c r="BF302" s="464"/>
      <c r="BG302" s="465"/>
      <c r="BH302" s="1394"/>
      <c r="BI302" s="1397"/>
      <c r="BJ302" s="464"/>
      <c r="BK302" s="465"/>
      <c r="BL302" s="315"/>
      <c r="BM302" s="1429"/>
      <c r="BN302" s="480"/>
      <c r="BO302" s="104"/>
      <c r="BP302" s="104"/>
      <c r="BQ302" s="104"/>
      <c r="BR302" s="104"/>
      <c r="BS302" s="61"/>
      <c r="BT302" s="61"/>
      <c r="BU302" s="480"/>
      <c r="BV302" s="415"/>
      <c r="BW302" s="415"/>
      <c r="BX302" s="415"/>
      <c r="BY302" s="415"/>
      <c r="BZ302" s="415"/>
      <c r="CA302" s="448"/>
      <c r="CB302" s="448"/>
      <c r="CC302" s="448"/>
      <c r="CD302" s="448"/>
      <c r="CE302" s="448"/>
      <c r="CF302" s="448"/>
      <c r="CG302" s="448"/>
      <c r="CH302" s="448"/>
      <c r="CI302" s="448"/>
      <c r="CJ302" s="1209"/>
      <c r="CK302" s="1209"/>
      <c r="CL302" s="1209"/>
      <c r="CM302" s="1209"/>
      <c r="CN302" s="1209"/>
      <c r="CO302" s="1209"/>
      <c r="CP302" s="1209"/>
      <c r="CQ302" s="1209"/>
      <c r="CR302" s="1209"/>
    </row>
    <row r="303" spans="1:256" ht="14.25" hidden="1" customHeight="1" outlineLevel="2">
      <c r="B303" s="460" t="s">
        <v>563</v>
      </c>
      <c r="C303" s="372"/>
      <c r="D303" s="601"/>
      <c r="E303" s="602"/>
      <c r="F303" s="602"/>
      <c r="G303" s="603"/>
      <c r="H303" s="601"/>
      <c r="I303" s="602"/>
      <c r="J303" s="602"/>
      <c r="K303" s="603"/>
      <c r="L303" s="601"/>
      <c r="M303" s="1385"/>
      <c r="N303" s="1385"/>
      <c r="O303" s="1386"/>
      <c r="P303" s="1387"/>
      <c r="Q303" s="1385"/>
      <c r="R303" s="1385"/>
      <c r="S303" s="1386"/>
      <c r="T303" s="1387"/>
      <c r="U303" s="1385"/>
      <c r="V303" s="1385"/>
      <c r="W303" s="1386"/>
      <c r="X303" s="1387"/>
      <c r="Y303" s="1385"/>
      <c r="Z303" s="1385"/>
      <c r="AA303" s="1386"/>
      <c r="AB303" s="1387"/>
      <c r="AC303" s="1385"/>
      <c r="AD303" s="1385"/>
      <c r="AE303" s="1385"/>
      <c r="AF303" s="1387"/>
      <c r="AG303" s="1385"/>
      <c r="AH303" s="1385"/>
      <c r="AI303" s="1385"/>
      <c r="AJ303" s="466"/>
      <c r="AK303" s="464"/>
      <c r="AL303" s="464"/>
      <c r="AM303" s="465"/>
      <c r="AN303" s="466"/>
      <c r="AO303" s="464"/>
      <c r="AP303" s="464"/>
      <c r="AQ303" s="465"/>
      <c r="AR303" s="466"/>
      <c r="AS303" s="464"/>
      <c r="AT303" s="464"/>
      <c r="AU303" s="465"/>
      <c r="AV303" s="466"/>
      <c r="AW303" s="464"/>
      <c r="AX303" s="464"/>
      <c r="AY303" s="1391">
        <v>0.05</v>
      </c>
      <c r="AZ303" s="1394"/>
      <c r="BA303" s="1397">
        <v>0.05</v>
      </c>
      <c r="BB303" s="1397"/>
      <c r="BC303" s="1391"/>
      <c r="BD303" s="1394"/>
      <c r="BE303" s="1397"/>
      <c r="BF303" s="464"/>
      <c r="BG303" s="465"/>
      <c r="BH303" s="1394"/>
      <c r="BI303" s="1397"/>
      <c r="BJ303" s="464"/>
      <c r="BK303" s="465"/>
      <c r="BL303" s="315"/>
      <c r="BM303" s="1429"/>
      <c r="BN303" s="480"/>
      <c r="BO303" s="104"/>
      <c r="BP303" s="104"/>
      <c r="BQ303" s="104"/>
      <c r="BR303" s="104"/>
      <c r="BS303" s="61"/>
      <c r="BT303" s="61"/>
      <c r="BU303" s="480"/>
      <c r="BV303" s="415"/>
      <c r="BW303" s="415"/>
      <c r="BX303" s="415"/>
      <c r="BY303" s="415"/>
      <c r="BZ303" s="415"/>
      <c r="CA303" s="448"/>
      <c r="CB303" s="448"/>
      <c r="CC303" s="448"/>
      <c r="CD303" s="448"/>
      <c r="CE303" s="448"/>
      <c r="CF303" s="448"/>
      <c r="CG303" s="448"/>
      <c r="CH303" s="448"/>
      <c r="CI303" s="448"/>
      <c r="CJ303" s="1209"/>
      <c r="CK303" s="1209"/>
      <c r="CL303" s="1209"/>
      <c r="CM303" s="1209"/>
      <c r="CN303" s="1209"/>
      <c r="CO303" s="1209"/>
      <c r="CP303" s="1209"/>
      <c r="CQ303" s="1209"/>
      <c r="CR303" s="1209"/>
    </row>
    <row r="304" spans="1:256" ht="14.25" hidden="1" customHeight="1" outlineLevel="2">
      <c r="B304" s="460" t="s">
        <v>564</v>
      </c>
      <c r="C304" s="372"/>
      <c r="D304" s="601"/>
      <c r="E304" s="602"/>
      <c r="F304" s="602"/>
      <c r="G304" s="603"/>
      <c r="H304" s="601"/>
      <c r="I304" s="602"/>
      <c r="J304" s="602"/>
      <c r="K304" s="603"/>
      <c r="L304" s="601"/>
      <c r="M304" s="583"/>
      <c r="N304" s="583"/>
      <c r="O304" s="584">
        <v>0.81</v>
      </c>
      <c r="P304" s="582"/>
      <c r="Q304" s="583"/>
      <c r="R304" s="583"/>
      <c r="S304" s="584"/>
      <c r="T304" s="582"/>
      <c r="U304" s="583"/>
      <c r="V304" s="583"/>
      <c r="W304" s="584">
        <v>0.72</v>
      </c>
      <c r="X304" s="582"/>
      <c r="Y304" s="583">
        <v>0.7</v>
      </c>
      <c r="Z304" s="583">
        <v>0.69</v>
      </c>
      <c r="AA304" s="584">
        <v>0.67</v>
      </c>
      <c r="AB304" s="582">
        <f>1-AB300</f>
        <v>0.65999999999999992</v>
      </c>
      <c r="AC304" s="583">
        <v>0.63</v>
      </c>
      <c r="AD304" s="583">
        <v>0.65</v>
      </c>
      <c r="AE304" s="583">
        <v>0.6</v>
      </c>
      <c r="AF304" s="582">
        <v>0.59</v>
      </c>
      <c r="AG304" s="583">
        <v>0.55000000000000004</v>
      </c>
      <c r="AH304" s="583" t="e">
        <f>AH286/AH288</f>
        <v>#DIV/0!</v>
      </c>
      <c r="AI304" s="583" t="e">
        <f>AI286/AI288</f>
        <v>#DIV/0!</v>
      </c>
      <c r="AJ304" s="466"/>
      <c r="AK304" s="464"/>
      <c r="AL304" s="464"/>
      <c r="AM304" s="465"/>
      <c r="AN304" s="466"/>
      <c r="AO304" s="464"/>
      <c r="AP304" s="464"/>
      <c r="AQ304" s="465"/>
      <c r="AR304" s="466"/>
      <c r="AS304" s="464"/>
      <c r="AT304" s="464"/>
      <c r="AU304" s="465"/>
      <c r="AV304" s="466"/>
      <c r="AW304" s="464"/>
      <c r="AX304" s="464"/>
      <c r="AY304" s="1391">
        <v>0.05</v>
      </c>
      <c r="AZ304" s="1394"/>
      <c r="BA304" s="1397">
        <v>0.05</v>
      </c>
      <c r="BB304" s="1397"/>
      <c r="BC304" s="1391"/>
      <c r="BD304" s="1394"/>
      <c r="BE304" s="1397"/>
      <c r="BF304" s="464"/>
      <c r="BG304" s="465"/>
      <c r="BH304" s="1394"/>
      <c r="BI304" s="1397"/>
      <c r="BJ304" s="464"/>
      <c r="BK304" s="465"/>
      <c r="BL304" s="315"/>
      <c r="BM304" s="1429"/>
      <c r="BN304" s="480"/>
      <c r="BO304" s="104"/>
      <c r="BP304" s="104"/>
      <c r="BQ304" s="104"/>
      <c r="BR304" s="104"/>
      <c r="BS304" s="61"/>
      <c r="BT304" s="61"/>
      <c r="BU304" s="480"/>
      <c r="BV304" s="415"/>
      <c r="BW304" s="415"/>
      <c r="BX304" s="415"/>
      <c r="BY304" s="415"/>
      <c r="BZ304" s="415"/>
      <c r="CA304" s="448"/>
      <c r="CB304" s="448"/>
      <c r="CC304" s="448"/>
      <c r="CD304" s="448"/>
      <c r="CE304" s="448"/>
      <c r="CF304" s="448"/>
      <c r="CG304" s="448"/>
      <c r="CH304" s="448"/>
      <c r="CI304" s="448"/>
      <c r="CJ304" s="1209"/>
      <c r="CK304" s="1209"/>
      <c r="CL304" s="1209"/>
      <c r="CM304" s="1209"/>
      <c r="CN304" s="1209"/>
      <c r="CO304" s="1209"/>
      <c r="CP304" s="1209"/>
      <c r="CQ304" s="1209"/>
      <c r="CR304" s="1209"/>
    </row>
    <row r="305" spans="1:96" ht="14.25" hidden="1" customHeight="1" outlineLevel="1">
      <c r="A305" s="1"/>
      <c r="B305" s="1388" t="s">
        <v>221</v>
      </c>
      <c r="C305" s="435"/>
      <c r="D305" s="644">
        <f t="shared" ref="D305:AC305" si="318">D285/D289</f>
        <v>29121.004942962194</v>
      </c>
      <c r="E305" s="645">
        <f t="shared" si="318"/>
        <v>31019.735614234029</v>
      </c>
      <c r="F305" s="645">
        <f t="shared" si="318"/>
        <v>31321.681019037045</v>
      </c>
      <c r="G305" s="646">
        <f t="shared" si="318"/>
        <v>32431.471776229922</v>
      </c>
      <c r="H305" s="644">
        <f t="shared" si="318"/>
        <v>34967.046480958161</v>
      </c>
      <c r="I305" s="645">
        <f t="shared" si="318"/>
        <v>33658.703773570523</v>
      </c>
      <c r="J305" s="645">
        <f t="shared" si="318"/>
        <v>35554.474773183312</v>
      </c>
      <c r="K305" s="646">
        <f t="shared" si="318"/>
        <v>36144.019584966038</v>
      </c>
      <c r="L305" s="644">
        <f t="shared" si="318"/>
        <v>39710.781149588067</v>
      </c>
      <c r="M305" s="645">
        <f t="shared" si="318"/>
        <v>41065.426561601285</v>
      </c>
      <c r="N305" s="645">
        <f t="shared" si="318"/>
        <v>37112.374915045279</v>
      </c>
      <c r="O305" s="646">
        <f t="shared" si="318"/>
        <v>41782.476316832508</v>
      </c>
      <c r="P305" s="644">
        <f t="shared" si="318"/>
        <v>46088.328080387269</v>
      </c>
      <c r="Q305" s="645">
        <f t="shared" si="318"/>
        <v>35970.508647708826</v>
      </c>
      <c r="R305" s="645">
        <f t="shared" si="318"/>
        <v>25891.55355616568</v>
      </c>
      <c r="S305" s="646">
        <f t="shared" si="318"/>
        <v>36731.310471227072</v>
      </c>
      <c r="T305" s="644">
        <f t="shared" si="318"/>
        <v>44131.091692579263</v>
      </c>
      <c r="U305" s="645">
        <f t="shared" si="318"/>
        <v>43669.264971019285</v>
      </c>
      <c r="V305" s="645">
        <f t="shared" si="318"/>
        <v>45031.58937332144</v>
      </c>
      <c r="W305" s="646">
        <f t="shared" si="318"/>
        <v>52057.964432731067</v>
      </c>
      <c r="X305" s="644">
        <f t="shared" si="318"/>
        <v>52928.893697982843</v>
      </c>
      <c r="Y305" s="645">
        <f t="shared" si="318"/>
        <v>49553.404479844045</v>
      </c>
      <c r="Z305" s="645">
        <f t="shared" si="318"/>
        <v>49502.775996348661</v>
      </c>
      <c r="AA305" s="646">
        <f t="shared" si="318"/>
        <v>52850.052538995522</v>
      </c>
      <c r="AB305" s="644">
        <f t="shared" si="318"/>
        <v>51634.777361190914</v>
      </c>
      <c r="AC305" s="645">
        <f t="shared" si="318"/>
        <v>45798.337384383558</v>
      </c>
      <c r="AD305" s="645">
        <f>AD285/AD289</f>
        <v>45614.466981287384</v>
      </c>
      <c r="AE305" s="646"/>
      <c r="AF305" s="644"/>
      <c r="AG305" s="439"/>
      <c r="AH305" s="439"/>
      <c r="AI305" s="440"/>
      <c r="AJ305" s="441"/>
      <c r="AK305" s="439"/>
      <c r="AL305" s="439"/>
      <c r="AM305" s="440"/>
      <c r="AN305" s="441"/>
      <c r="AO305" s="439"/>
      <c r="AP305" s="439"/>
      <c r="AQ305" s="440"/>
      <c r="AR305" s="441"/>
      <c r="AS305" s="439"/>
      <c r="AT305" s="439"/>
      <c r="AU305" s="440"/>
      <c r="AV305" s="441"/>
      <c r="AW305" s="439"/>
      <c r="AX305" s="439"/>
      <c r="AY305" s="1392">
        <v>19</v>
      </c>
      <c r="AZ305" s="1395">
        <v>0</v>
      </c>
      <c r="BA305" s="1398">
        <v>20</v>
      </c>
      <c r="BB305" s="1398">
        <v>0</v>
      </c>
      <c r="BC305" s="1392">
        <v>0</v>
      </c>
      <c r="BD305" s="1395">
        <v>0</v>
      </c>
      <c r="BE305" s="1398">
        <v>0</v>
      </c>
      <c r="BF305" s="1417">
        <v>0</v>
      </c>
      <c r="BG305" s="1389">
        <v>0</v>
      </c>
      <c r="BH305" s="1395">
        <v>0</v>
      </c>
      <c r="BI305" s="1398">
        <v>0</v>
      </c>
      <c r="BJ305" s="1417">
        <v>0</v>
      </c>
      <c r="BK305" s="1389">
        <v>0</v>
      </c>
      <c r="BL305" s="1"/>
      <c r="BM305" s="311"/>
      <c r="BN305" s="311"/>
      <c r="BO305" s="311"/>
      <c r="BP305" s="311"/>
      <c r="BQ305" s="311"/>
      <c r="BR305" s="311"/>
      <c r="BS305" s="311"/>
      <c r="BT305" s="311"/>
      <c r="BU305" s="311"/>
      <c r="BV305" s="206"/>
      <c r="BW305" s="206"/>
      <c r="BX305" s="206"/>
      <c r="BY305" s="206"/>
      <c r="BZ305" s="206"/>
      <c r="CA305" s="206"/>
      <c r="CB305" s="311"/>
      <c r="CC305" s="311"/>
      <c r="CD305" s="311"/>
      <c r="CE305" s="311"/>
      <c r="CF305" s="1209"/>
      <c r="CG305" s="1209"/>
      <c r="CH305" s="1209"/>
      <c r="CI305" s="1209"/>
      <c r="CJ305" s="1209"/>
      <c r="CK305" s="1209"/>
      <c r="CL305" s="1209"/>
      <c r="CM305" s="1209"/>
      <c r="CN305" s="1209"/>
      <c r="CO305" s="1209"/>
      <c r="CP305" s="1209"/>
      <c r="CQ305" s="1209"/>
      <c r="CR305" s="1209"/>
    </row>
    <row r="306" spans="1:96" ht="14.25" hidden="1" customHeight="1" outlineLevel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8"/>
      <c r="AZ306" s="8"/>
      <c r="BA306" s="8"/>
      <c r="BB306" s="8"/>
      <c r="BC306" s="8"/>
      <c r="BD306" s="1"/>
      <c r="BE306" s="1"/>
      <c r="BF306" s="1"/>
      <c r="BG306" s="1"/>
      <c r="BH306" s="1"/>
      <c r="BI306" s="1"/>
      <c r="BJ306" s="1"/>
      <c r="BK306" s="1"/>
      <c r="BL306" s="1"/>
      <c r="BM306" s="311"/>
      <c r="BN306" s="311"/>
      <c r="BO306" s="311"/>
      <c r="BP306" s="311"/>
      <c r="BQ306" s="311"/>
      <c r="BR306" s="311"/>
      <c r="BS306" s="311"/>
      <c r="BT306" s="311"/>
      <c r="BU306" s="311"/>
      <c r="BV306" s="206"/>
      <c r="BW306" s="206"/>
      <c r="BX306" s="206"/>
      <c r="BY306" s="206"/>
      <c r="BZ306" s="206"/>
      <c r="CA306" s="206"/>
      <c r="CB306" s="311"/>
      <c r="CC306" s="311"/>
      <c r="CD306" s="311"/>
      <c r="CE306" s="311"/>
      <c r="CF306" s="1209"/>
      <c r="CG306" s="1209"/>
      <c r="CH306" s="1209"/>
      <c r="CI306" s="1209"/>
      <c r="CJ306" s="1209"/>
      <c r="CK306" s="1209"/>
      <c r="CL306" s="1209"/>
      <c r="CM306" s="1209"/>
      <c r="CN306" s="1209"/>
      <c r="CO306" s="1209"/>
      <c r="CP306" s="1209"/>
      <c r="CQ306" s="1209"/>
      <c r="CR306" s="1209"/>
    </row>
    <row r="307" spans="1:96" ht="14.25" hidden="1" customHeight="1" outlineLevel="1">
      <c r="B307" s="162" t="s">
        <v>648</v>
      </c>
      <c r="C307" s="163"/>
      <c r="D307" s="766" t="str">
        <f>D$9</f>
        <v>F1Q06A</v>
      </c>
      <c r="E307" s="767" t="str">
        <f t="shared" ref="E307:BK307" si="319">E$9</f>
        <v>F2Q06A</v>
      </c>
      <c r="F307" s="767" t="str">
        <f t="shared" si="319"/>
        <v>F3Q06A</v>
      </c>
      <c r="G307" s="767" t="str">
        <f t="shared" si="319"/>
        <v>F4Q06A</v>
      </c>
      <c r="H307" s="766" t="str">
        <f t="shared" si="319"/>
        <v>F1Q07A</v>
      </c>
      <c r="I307" s="767" t="str">
        <f t="shared" si="319"/>
        <v>F2Q07A</v>
      </c>
      <c r="J307" s="767" t="str">
        <f t="shared" si="319"/>
        <v>F3Q07A</v>
      </c>
      <c r="K307" s="767" t="str">
        <f t="shared" si="319"/>
        <v>F4Q07A</v>
      </c>
      <c r="L307" s="766" t="str">
        <f t="shared" si="319"/>
        <v>F1Q08A</v>
      </c>
      <c r="M307" s="767" t="str">
        <f t="shared" si="319"/>
        <v>F2Q08A</v>
      </c>
      <c r="N307" s="767" t="str">
        <f t="shared" si="319"/>
        <v>F3Q08A</v>
      </c>
      <c r="O307" s="767" t="str">
        <f t="shared" si="319"/>
        <v>F4Q08A</v>
      </c>
      <c r="P307" s="766" t="str">
        <f t="shared" si="319"/>
        <v>F1Q09A</v>
      </c>
      <c r="Q307" s="767" t="str">
        <f t="shared" si="319"/>
        <v>F2Q09A</v>
      </c>
      <c r="R307" s="767" t="str">
        <f t="shared" si="319"/>
        <v>F3Q09A</v>
      </c>
      <c r="S307" s="767" t="str">
        <f t="shared" si="319"/>
        <v>F4Q09A</v>
      </c>
      <c r="T307" s="766" t="str">
        <f t="shared" si="319"/>
        <v>F1Q10A</v>
      </c>
      <c r="U307" s="767" t="str">
        <f t="shared" si="319"/>
        <v>F2Q10A</v>
      </c>
      <c r="V307" s="767" t="str">
        <f t="shared" si="319"/>
        <v>F3Q10A</v>
      </c>
      <c r="W307" s="767" t="str">
        <f t="shared" si="319"/>
        <v>F4Q10A</v>
      </c>
      <c r="X307" s="766" t="str">
        <f t="shared" si="319"/>
        <v>F1Q11A</v>
      </c>
      <c r="Y307" s="767" t="str">
        <f t="shared" si="319"/>
        <v>F2Q11A</v>
      </c>
      <c r="Z307" s="767" t="str">
        <f t="shared" si="319"/>
        <v>F3Q11A</v>
      </c>
      <c r="AA307" s="767" t="str">
        <f t="shared" si="319"/>
        <v>F4Q11A</v>
      </c>
      <c r="AB307" s="766" t="str">
        <f t="shared" si="319"/>
        <v>F1Q12A</v>
      </c>
      <c r="AC307" s="767" t="str">
        <f t="shared" si="319"/>
        <v>F2Q12A</v>
      </c>
      <c r="AD307" s="767" t="str">
        <f t="shared" si="319"/>
        <v>F3Q12A</v>
      </c>
      <c r="AE307" s="767" t="str">
        <f t="shared" si="319"/>
        <v>F4Q12A</v>
      </c>
      <c r="AF307" s="766" t="str">
        <f t="shared" si="319"/>
        <v>F1Q13A</v>
      </c>
      <c r="AG307" s="767" t="str">
        <f t="shared" si="319"/>
        <v>F2Q13A</v>
      </c>
      <c r="AH307" s="767" t="str">
        <f t="shared" si="319"/>
        <v>F3Q13A</v>
      </c>
      <c r="AI307" s="767" t="str">
        <f t="shared" si="319"/>
        <v>F4Q13A</v>
      </c>
      <c r="AJ307" s="766" t="str">
        <f t="shared" si="319"/>
        <v>F1Q14A</v>
      </c>
      <c r="AK307" s="767" t="str">
        <f t="shared" si="319"/>
        <v>F2Q14</v>
      </c>
      <c r="AL307" s="767" t="str">
        <f t="shared" si="319"/>
        <v>F3Q14A</v>
      </c>
      <c r="AM307" s="767" t="str">
        <f t="shared" si="319"/>
        <v>F4Q14A</v>
      </c>
      <c r="AN307" s="766" t="str">
        <f t="shared" si="319"/>
        <v>F1Q15A</v>
      </c>
      <c r="AO307" s="767" t="str">
        <f t="shared" si="319"/>
        <v>F2Q15A</v>
      </c>
      <c r="AP307" s="767" t="str">
        <f t="shared" si="319"/>
        <v>F3Q15A</v>
      </c>
      <c r="AQ307" s="768" t="str">
        <f t="shared" si="319"/>
        <v>F4Q15A</v>
      </c>
      <c r="AR307" s="766" t="str">
        <f t="shared" si="319"/>
        <v>F1Q16A</v>
      </c>
      <c r="AS307" s="767" t="str">
        <f t="shared" si="319"/>
        <v>F2Q16A</v>
      </c>
      <c r="AT307" s="767" t="str">
        <f t="shared" si="319"/>
        <v>F3Q16A</v>
      </c>
      <c r="AU307" s="768" t="str">
        <f t="shared" si="319"/>
        <v>F4Q16A</v>
      </c>
      <c r="AV307" s="766" t="str">
        <f t="shared" si="319"/>
        <v>F1Q17A</v>
      </c>
      <c r="AW307" s="767" t="str">
        <f t="shared" si="319"/>
        <v>F2Q17A</v>
      </c>
      <c r="AX307" s="767" t="str">
        <f t="shared" si="319"/>
        <v>F3Q17A</v>
      </c>
      <c r="AY307" s="768" t="str">
        <f t="shared" si="319"/>
        <v>F4Q17A</v>
      </c>
      <c r="AZ307" s="766" t="str">
        <f t="shared" si="319"/>
        <v>F1Q18A</v>
      </c>
      <c r="BA307" s="767" t="str">
        <f t="shared" si="319"/>
        <v>F2Q18A</v>
      </c>
      <c r="BB307" s="767" t="str">
        <f t="shared" si="319"/>
        <v>F3Q18A</v>
      </c>
      <c r="BC307" s="768" t="str">
        <f t="shared" si="319"/>
        <v>F4Q18E</v>
      </c>
      <c r="BD307" s="766" t="str">
        <f t="shared" si="319"/>
        <v>F1Q19E</v>
      </c>
      <c r="BE307" s="767" t="str">
        <f t="shared" si="319"/>
        <v>F2Q19E</v>
      </c>
      <c r="BF307" s="767" t="str">
        <f t="shared" si="319"/>
        <v>F3Q19E</v>
      </c>
      <c r="BG307" s="768" t="str">
        <f t="shared" si="319"/>
        <v>F4Q19E</v>
      </c>
      <c r="BH307" s="766" t="str">
        <f t="shared" si="319"/>
        <v>F1Q20E</v>
      </c>
      <c r="BI307" s="767" t="str">
        <f t="shared" si="319"/>
        <v>F2Q20E</v>
      </c>
      <c r="BJ307" s="767" t="str">
        <f t="shared" si="319"/>
        <v>F3Q20E</v>
      </c>
      <c r="BK307" s="768" t="str">
        <f t="shared" si="319"/>
        <v>F4Q20E</v>
      </c>
      <c r="BM307" s="1425"/>
      <c r="BN307" s="1425"/>
      <c r="BO307" s="1425"/>
      <c r="BP307" s="1425"/>
      <c r="BQ307" s="1425"/>
      <c r="BR307" s="1425"/>
      <c r="BS307" s="1425"/>
      <c r="BT307" s="1425"/>
      <c r="BU307" s="1425"/>
      <c r="BV307" s="1209"/>
      <c r="BW307" s="1209"/>
      <c r="BX307" s="1209"/>
      <c r="BY307" s="1209"/>
      <c r="BZ307" s="1209"/>
      <c r="CA307" s="1209"/>
      <c r="CF307" s="1209"/>
      <c r="CG307" s="1209"/>
      <c r="CH307" s="1209"/>
      <c r="CI307" s="1209"/>
      <c r="CJ307" s="371"/>
      <c r="CK307" s="1209"/>
      <c r="CL307" s="1209"/>
      <c r="CM307" s="1209"/>
      <c r="CN307" s="1209"/>
      <c r="CO307" s="1209"/>
      <c r="CP307" s="1209"/>
      <c r="CQ307" s="1209"/>
      <c r="CR307" s="1209"/>
    </row>
    <row r="308" spans="1:96" ht="14.25" hidden="1" customHeight="1" outlineLevel="2">
      <c r="B308" s="449" t="s">
        <v>52</v>
      </c>
      <c r="C308" s="418"/>
      <c r="D308" s="598"/>
      <c r="E308" s="599"/>
      <c r="F308" s="599"/>
      <c r="G308" s="600"/>
      <c r="H308" s="598"/>
      <c r="I308" s="599"/>
      <c r="J308" s="599"/>
      <c r="K308" s="600"/>
      <c r="L308" s="598"/>
      <c r="M308" s="580"/>
      <c r="N308" s="580"/>
      <c r="O308" s="581">
        <v>0.19</v>
      </c>
      <c r="P308" s="579"/>
      <c r="Q308" s="580"/>
      <c r="R308" s="580"/>
      <c r="S308" s="581"/>
      <c r="T308" s="579"/>
      <c r="U308" s="580"/>
      <c r="V308" s="580"/>
      <c r="W308" s="581">
        <v>0.28000000000000003</v>
      </c>
      <c r="X308" s="579"/>
      <c r="Y308" s="580">
        <v>0.3</v>
      </c>
      <c r="Z308" s="580">
        <v>0.31</v>
      </c>
      <c r="AA308" s="581">
        <v>0.33</v>
      </c>
      <c r="AB308" s="579">
        <v>0.34</v>
      </c>
      <c r="AC308" s="580">
        <v>0.37</v>
      </c>
      <c r="AD308" s="580">
        <v>0.35</v>
      </c>
      <c r="AE308" s="580">
        <v>0.4</v>
      </c>
      <c r="AF308" s="579">
        <v>0.41</v>
      </c>
      <c r="AG308" s="580">
        <v>0.45</v>
      </c>
      <c r="AH308" s="580" t="e">
        <f>AH292/AH296</f>
        <v>#DIV/0!</v>
      </c>
      <c r="AI308" s="580" t="e">
        <f>AI292/AI296</f>
        <v>#DIV/0!</v>
      </c>
      <c r="AJ308" s="455"/>
      <c r="AK308" s="453"/>
      <c r="AL308" s="453"/>
      <c r="AM308" s="454"/>
      <c r="AN308" s="455"/>
      <c r="AO308" s="453"/>
      <c r="AP308" s="453"/>
      <c r="AQ308" s="454"/>
      <c r="AR308" s="455"/>
      <c r="AS308" s="453"/>
      <c r="AT308" s="453"/>
      <c r="AU308" s="454"/>
      <c r="AV308" s="455"/>
      <c r="AW308" s="453"/>
      <c r="AX308" s="453"/>
      <c r="AY308" s="1463">
        <f>AY300*AY$305+AY292*AY$297</f>
        <v>1.9000000000000001</v>
      </c>
      <c r="AZ308" s="1467"/>
      <c r="BA308" s="1465">
        <f>BA300*BA$305+BA292*BA$297</f>
        <v>9.8000000000000007</v>
      </c>
      <c r="BB308" s="1465"/>
      <c r="BC308" s="1463"/>
      <c r="BD308" s="1467"/>
      <c r="BE308" s="1465"/>
      <c r="BF308" s="1465"/>
      <c r="BG308" s="1463"/>
      <c r="BH308" s="1467"/>
      <c r="BI308" s="1465"/>
      <c r="BJ308" s="1465"/>
      <c r="BK308" s="1463"/>
      <c r="BL308" s="315"/>
      <c r="BM308" s="1429"/>
      <c r="BN308" s="480"/>
      <c r="BO308" s="104"/>
      <c r="BP308" s="104"/>
      <c r="BQ308" s="104"/>
      <c r="BR308" s="104"/>
      <c r="BS308" s="61"/>
      <c r="BT308" s="61"/>
      <c r="BU308" s="480"/>
      <c r="BV308" s="415"/>
      <c r="BW308" s="415"/>
      <c r="BX308" s="415"/>
      <c r="BY308" s="415"/>
      <c r="BZ308" s="415"/>
      <c r="CA308" s="448"/>
      <c r="CB308" s="448"/>
      <c r="CC308" s="448"/>
      <c r="CD308" s="448"/>
      <c r="CE308" s="448"/>
      <c r="CF308" s="448"/>
      <c r="CG308" s="448"/>
      <c r="CH308" s="448"/>
      <c r="CI308" s="448"/>
      <c r="CJ308" s="1209"/>
      <c r="CK308" s="1209"/>
      <c r="CL308" s="1209"/>
      <c r="CM308" s="1209"/>
      <c r="CN308" s="1209"/>
      <c r="CO308" s="1209"/>
      <c r="CP308" s="1209"/>
      <c r="CQ308" s="1209"/>
      <c r="CR308" s="1209"/>
    </row>
    <row r="309" spans="1:96" ht="14.25" hidden="1" customHeight="1" outlineLevel="2">
      <c r="B309" s="460" t="s">
        <v>50</v>
      </c>
      <c r="C309" s="372"/>
      <c r="D309" s="601"/>
      <c r="E309" s="602"/>
      <c r="F309" s="602"/>
      <c r="G309" s="603"/>
      <c r="H309" s="601"/>
      <c r="I309" s="602"/>
      <c r="J309" s="602"/>
      <c r="K309" s="603"/>
      <c r="L309" s="601"/>
      <c r="M309" s="1385"/>
      <c r="N309" s="1385"/>
      <c r="O309" s="1386"/>
      <c r="P309" s="1387"/>
      <c r="Q309" s="1385"/>
      <c r="R309" s="1385"/>
      <c r="S309" s="1386"/>
      <c r="T309" s="1387"/>
      <c r="U309" s="1385"/>
      <c r="V309" s="1385"/>
      <c r="W309" s="1386"/>
      <c r="X309" s="1387"/>
      <c r="Y309" s="1385"/>
      <c r="Z309" s="1385"/>
      <c r="AA309" s="1386"/>
      <c r="AB309" s="1387"/>
      <c r="AC309" s="1385"/>
      <c r="AD309" s="1385"/>
      <c r="AE309" s="1385"/>
      <c r="AF309" s="1387"/>
      <c r="AG309" s="1385"/>
      <c r="AH309" s="1385"/>
      <c r="AI309" s="1385"/>
      <c r="AJ309" s="466"/>
      <c r="AK309" s="464"/>
      <c r="AL309" s="464"/>
      <c r="AM309" s="465"/>
      <c r="AN309" s="466"/>
      <c r="AO309" s="464"/>
      <c r="AP309" s="464"/>
      <c r="AQ309" s="465"/>
      <c r="AR309" s="466"/>
      <c r="AS309" s="464"/>
      <c r="AT309" s="464"/>
      <c r="AU309" s="465"/>
      <c r="AV309" s="466"/>
      <c r="AW309" s="464"/>
      <c r="AX309" s="464"/>
      <c r="AY309" s="1464">
        <f t="shared" ref="AY309:BA312" si="320">AY301*AY$305+AY293*AY$297</f>
        <v>9.5</v>
      </c>
      <c r="AZ309" s="1468"/>
      <c r="BA309" s="1466">
        <f t="shared" si="320"/>
        <v>18.399999999999999</v>
      </c>
      <c r="BB309" s="1466"/>
      <c r="BC309" s="1464"/>
      <c r="BD309" s="1468"/>
      <c r="BE309" s="1466"/>
      <c r="BF309" s="1466"/>
      <c r="BG309" s="1464"/>
      <c r="BH309" s="1468"/>
      <c r="BI309" s="1466"/>
      <c r="BJ309" s="1466"/>
      <c r="BK309" s="1464"/>
      <c r="BL309" s="315"/>
      <c r="BM309" s="1429"/>
      <c r="BN309" s="480"/>
      <c r="BO309" s="104"/>
      <c r="BP309" s="104"/>
      <c r="BQ309" s="104"/>
      <c r="BR309" s="104"/>
      <c r="BS309" s="61"/>
      <c r="BT309" s="61"/>
      <c r="BU309" s="480"/>
      <c r="BV309" s="415"/>
      <c r="BW309" s="415"/>
      <c r="BX309" s="415"/>
      <c r="BY309" s="415"/>
      <c r="BZ309" s="415"/>
      <c r="CA309" s="448"/>
      <c r="CB309" s="448"/>
      <c r="CC309" s="448"/>
      <c r="CD309" s="448"/>
      <c r="CE309" s="448"/>
      <c r="CF309" s="448"/>
      <c r="CG309" s="448"/>
      <c r="CH309" s="448"/>
      <c r="CI309" s="448"/>
      <c r="CJ309" s="1209"/>
      <c r="CK309" s="1209"/>
      <c r="CL309" s="1209"/>
      <c r="CM309" s="1209"/>
      <c r="CN309" s="1209"/>
      <c r="CO309" s="1209"/>
      <c r="CP309" s="1209"/>
      <c r="CQ309" s="1209"/>
      <c r="CR309" s="1209"/>
    </row>
    <row r="310" spans="1:96" ht="14.25" hidden="1" customHeight="1" outlineLevel="2">
      <c r="B310" s="460" t="s">
        <v>630</v>
      </c>
      <c r="C310" s="372"/>
      <c r="D310" s="601"/>
      <c r="E310" s="602"/>
      <c r="F310" s="602"/>
      <c r="G310" s="603"/>
      <c r="H310" s="601"/>
      <c r="I310" s="602"/>
      <c r="J310" s="602"/>
      <c r="K310" s="603"/>
      <c r="L310" s="601"/>
      <c r="M310" s="1385"/>
      <c r="N310" s="1385"/>
      <c r="O310" s="1386"/>
      <c r="P310" s="1387"/>
      <c r="Q310" s="1385"/>
      <c r="R310" s="1385"/>
      <c r="S310" s="1386"/>
      <c r="T310" s="1387"/>
      <c r="U310" s="1385"/>
      <c r="V310" s="1385"/>
      <c r="W310" s="1386"/>
      <c r="X310" s="1387"/>
      <c r="Y310" s="1385"/>
      <c r="Z310" s="1385"/>
      <c r="AA310" s="1386"/>
      <c r="AB310" s="1387"/>
      <c r="AC310" s="1385"/>
      <c r="AD310" s="1385"/>
      <c r="AE310" s="1385"/>
      <c r="AF310" s="1387"/>
      <c r="AG310" s="1385"/>
      <c r="AH310" s="1385"/>
      <c r="AI310" s="1385"/>
      <c r="AJ310" s="466"/>
      <c r="AK310" s="464"/>
      <c r="AL310" s="464"/>
      <c r="AM310" s="465"/>
      <c r="AN310" s="466"/>
      <c r="AO310" s="464"/>
      <c r="AP310" s="464"/>
      <c r="AQ310" s="465"/>
      <c r="AR310" s="466"/>
      <c r="AS310" s="464"/>
      <c r="AT310" s="464"/>
      <c r="AU310" s="465"/>
      <c r="AV310" s="466"/>
      <c r="AW310" s="464"/>
      <c r="AX310" s="464"/>
      <c r="AY310" s="1464">
        <f t="shared" si="320"/>
        <v>5.7</v>
      </c>
      <c r="AZ310" s="1468"/>
      <c r="BA310" s="1466">
        <f t="shared" si="320"/>
        <v>12.3</v>
      </c>
      <c r="BB310" s="1466"/>
      <c r="BC310" s="1464"/>
      <c r="BD310" s="1468"/>
      <c r="BE310" s="1466"/>
      <c r="BF310" s="1466"/>
      <c r="BG310" s="1464"/>
      <c r="BH310" s="1468"/>
      <c r="BI310" s="1466"/>
      <c r="BJ310" s="1466"/>
      <c r="BK310" s="1464"/>
      <c r="BL310" s="315"/>
      <c r="BM310" s="1429"/>
      <c r="BN310" s="480"/>
      <c r="BO310" s="104"/>
      <c r="BP310" s="104"/>
      <c r="BQ310" s="104"/>
      <c r="BR310" s="104"/>
      <c r="BS310" s="61"/>
      <c r="BT310" s="61"/>
      <c r="BU310" s="480"/>
      <c r="BV310" s="415"/>
      <c r="BW310" s="415"/>
      <c r="BX310" s="415"/>
      <c r="BY310" s="415"/>
      <c r="BZ310" s="415"/>
      <c r="CA310" s="448"/>
      <c r="CB310" s="448"/>
      <c r="CC310" s="448"/>
      <c r="CD310" s="448"/>
      <c r="CE310" s="448"/>
      <c r="CF310" s="448"/>
      <c r="CG310" s="448"/>
      <c r="CH310" s="448"/>
      <c r="CI310" s="448"/>
      <c r="CJ310" s="1209"/>
      <c r="CK310" s="1209"/>
      <c r="CL310" s="1209"/>
      <c r="CM310" s="1209"/>
      <c r="CN310" s="1209"/>
      <c r="CO310" s="1209"/>
      <c r="CP310" s="1209"/>
      <c r="CQ310" s="1209"/>
      <c r="CR310" s="1209"/>
    </row>
    <row r="311" spans="1:96" ht="14.25" hidden="1" customHeight="1" outlineLevel="2">
      <c r="B311" s="460" t="s">
        <v>563</v>
      </c>
      <c r="C311" s="372"/>
      <c r="D311" s="601"/>
      <c r="E311" s="602"/>
      <c r="F311" s="602"/>
      <c r="G311" s="603"/>
      <c r="H311" s="601"/>
      <c r="I311" s="602"/>
      <c r="J311" s="602"/>
      <c r="K311" s="603"/>
      <c r="L311" s="601"/>
      <c r="M311" s="1385"/>
      <c r="N311" s="1385"/>
      <c r="O311" s="1386"/>
      <c r="P311" s="1387"/>
      <c r="Q311" s="1385"/>
      <c r="R311" s="1385"/>
      <c r="S311" s="1386"/>
      <c r="T311" s="1387"/>
      <c r="U311" s="1385"/>
      <c r="V311" s="1385"/>
      <c r="W311" s="1386"/>
      <c r="X311" s="1387"/>
      <c r="Y311" s="1385"/>
      <c r="Z311" s="1385"/>
      <c r="AA311" s="1386"/>
      <c r="AB311" s="1387"/>
      <c r="AC311" s="1385"/>
      <c r="AD311" s="1385"/>
      <c r="AE311" s="1385"/>
      <c r="AF311" s="1387"/>
      <c r="AG311" s="1385"/>
      <c r="AH311" s="1385"/>
      <c r="AI311" s="1385"/>
      <c r="AJ311" s="466"/>
      <c r="AK311" s="464"/>
      <c r="AL311" s="464"/>
      <c r="AM311" s="465"/>
      <c r="AN311" s="466"/>
      <c r="AO311" s="464"/>
      <c r="AP311" s="464"/>
      <c r="AQ311" s="465"/>
      <c r="AR311" s="466"/>
      <c r="AS311" s="464"/>
      <c r="AT311" s="464"/>
      <c r="AU311" s="465"/>
      <c r="AV311" s="466"/>
      <c r="AW311" s="464"/>
      <c r="AX311" s="464"/>
      <c r="AY311" s="1464">
        <f t="shared" si="320"/>
        <v>0.95000000000000007</v>
      </c>
      <c r="AZ311" s="1468"/>
      <c r="BA311" s="1466">
        <f t="shared" si="320"/>
        <v>7</v>
      </c>
      <c r="BB311" s="1466"/>
      <c r="BC311" s="1464"/>
      <c r="BD311" s="1468"/>
      <c r="BE311" s="1466"/>
      <c r="BF311" s="1466"/>
      <c r="BG311" s="1464"/>
      <c r="BH311" s="1468"/>
      <c r="BI311" s="1466"/>
      <c r="BJ311" s="1466"/>
      <c r="BK311" s="1464"/>
      <c r="BL311" s="315"/>
      <c r="BM311" s="1429"/>
      <c r="BN311" s="480"/>
      <c r="BO311" s="104"/>
      <c r="BP311" s="104"/>
      <c r="BQ311" s="104"/>
      <c r="BR311" s="104"/>
      <c r="BS311" s="61"/>
      <c r="BT311" s="61"/>
      <c r="BU311" s="480"/>
      <c r="BV311" s="415"/>
      <c r="BW311" s="415"/>
      <c r="BX311" s="415"/>
      <c r="BY311" s="415"/>
      <c r="BZ311" s="415"/>
      <c r="CA311" s="448"/>
      <c r="CB311" s="448"/>
      <c r="CC311" s="448"/>
      <c r="CD311" s="448"/>
      <c r="CE311" s="448"/>
      <c r="CF311" s="448"/>
      <c r="CG311" s="448"/>
      <c r="CH311" s="448"/>
      <c r="CI311" s="448"/>
      <c r="CJ311" s="1209"/>
      <c r="CK311" s="1209"/>
      <c r="CL311" s="1209"/>
      <c r="CM311" s="1209"/>
      <c r="CN311" s="1209"/>
      <c r="CO311" s="1209"/>
      <c r="CP311" s="1209"/>
      <c r="CQ311" s="1209"/>
      <c r="CR311" s="1209"/>
    </row>
    <row r="312" spans="1:96" ht="14.25" hidden="1" customHeight="1" outlineLevel="2">
      <c r="B312" s="460" t="s">
        <v>564</v>
      </c>
      <c r="C312" s="372"/>
      <c r="D312" s="601"/>
      <c r="E312" s="602"/>
      <c r="F312" s="602"/>
      <c r="G312" s="603"/>
      <c r="H312" s="601"/>
      <c r="I312" s="602"/>
      <c r="J312" s="602"/>
      <c r="K312" s="603"/>
      <c r="L312" s="601"/>
      <c r="M312" s="583"/>
      <c r="N312" s="583"/>
      <c r="O312" s="584">
        <v>0.81</v>
      </c>
      <c r="P312" s="582"/>
      <c r="Q312" s="583"/>
      <c r="R312" s="583"/>
      <c r="S312" s="584"/>
      <c r="T312" s="582"/>
      <c r="U312" s="583"/>
      <c r="V312" s="583"/>
      <c r="W312" s="584">
        <v>0.72</v>
      </c>
      <c r="X312" s="582"/>
      <c r="Y312" s="583">
        <v>0.7</v>
      </c>
      <c r="Z312" s="583">
        <v>0.69</v>
      </c>
      <c r="AA312" s="584">
        <v>0.67</v>
      </c>
      <c r="AB312" s="582">
        <f>1-AB308</f>
        <v>0.65999999999999992</v>
      </c>
      <c r="AC312" s="583">
        <v>0.63</v>
      </c>
      <c r="AD312" s="583">
        <v>0.65</v>
      </c>
      <c r="AE312" s="583">
        <v>0.6</v>
      </c>
      <c r="AF312" s="582">
        <v>0.59</v>
      </c>
      <c r="AG312" s="583">
        <v>0.55000000000000004</v>
      </c>
      <c r="AH312" s="583" t="e">
        <f>AH294/AH296</f>
        <v>#DIV/0!</v>
      </c>
      <c r="AI312" s="583" t="e">
        <f>AI294/AI296</f>
        <v>#DIV/0!</v>
      </c>
      <c r="AJ312" s="466"/>
      <c r="AK312" s="464"/>
      <c r="AL312" s="464"/>
      <c r="AM312" s="465"/>
      <c r="AN312" s="466"/>
      <c r="AO312" s="464"/>
      <c r="AP312" s="464"/>
      <c r="AQ312" s="465"/>
      <c r="AR312" s="466"/>
      <c r="AS312" s="464"/>
      <c r="AT312" s="464"/>
      <c r="AU312" s="465"/>
      <c r="AV312" s="466"/>
      <c r="AW312" s="464"/>
      <c r="AX312" s="464"/>
      <c r="AY312" s="1464">
        <f t="shared" si="320"/>
        <v>0.95000000000000007</v>
      </c>
      <c r="AZ312" s="1468"/>
      <c r="BA312" s="1466">
        <f t="shared" si="320"/>
        <v>2.2000000000000002</v>
      </c>
      <c r="BB312" s="1466"/>
      <c r="BC312" s="1464"/>
      <c r="BD312" s="1468"/>
      <c r="BE312" s="1466"/>
      <c r="BF312" s="1466"/>
      <c r="BG312" s="1464"/>
      <c r="BH312" s="1468"/>
      <c r="BI312" s="1466"/>
      <c r="BJ312" s="1466"/>
      <c r="BK312" s="1464"/>
      <c r="BL312" s="315"/>
      <c r="BM312" s="1429"/>
      <c r="BN312" s="480"/>
      <c r="BO312" s="104"/>
      <c r="BP312" s="104"/>
      <c r="BQ312" s="104"/>
      <c r="BR312" s="104"/>
      <c r="BS312" s="61"/>
      <c r="BT312" s="61"/>
      <c r="BU312" s="480"/>
      <c r="BV312" s="415"/>
      <c r="BW312" s="415"/>
      <c r="BX312" s="415"/>
      <c r="BY312" s="415"/>
      <c r="BZ312" s="415"/>
      <c r="CA312" s="448"/>
      <c r="CB312" s="448"/>
      <c r="CC312" s="448"/>
      <c r="CD312" s="448"/>
      <c r="CE312" s="448"/>
      <c r="CF312" s="448"/>
      <c r="CG312" s="448"/>
      <c r="CH312" s="448"/>
      <c r="CI312" s="448"/>
      <c r="CJ312" s="1209"/>
      <c r="CK312" s="1209"/>
      <c r="CL312" s="1209"/>
      <c r="CM312" s="1209"/>
      <c r="CN312" s="1209"/>
      <c r="CO312" s="1209"/>
      <c r="CP312" s="1209"/>
      <c r="CQ312" s="1209"/>
      <c r="CR312" s="1209"/>
    </row>
    <row r="313" spans="1:96" ht="14.25" hidden="1" customHeight="1" outlineLevel="1">
      <c r="A313" s="1"/>
      <c r="B313" s="1388" t="s">
        <v>221</v>
      </c>
      <c r="C313" s="435"/>
      <c r="D313" s="644">
        <f t="shared" ref="D313:AC313" si="321">D293/D297</f>
        <v>0</v>
      </c>
      <c r="E313" s="645">
        <f t="shared" si="321"/>
        <v>0</v>
      </c>
      <c r="F313" s="645">
        <f t="shared" si="321"/>
        <v>0</v>
      </c>
      <c r="G313" s="646">
        <f t="shared" si="321"/>
        <v>0</v>
      </c>
      <c r="H313" s="644">
        <f t="shared" si="321"/>
        <v>0</v>
      </c>
      <c r="I313" s="645">
        <f t="shared" si="321"/>
        <v>0</v>
      </c>
      <c r="J313" s="645">
        <f t="shared" si="321"/>
        <v>0</v>
      </c>
      <c r="K313" s="646">
        <f t="shared" si="321"/>
        <v>0</v>
      </c>
      <c r="L313" s="644">
        <f t="shared" si="321"/>
        <v>0</v>
      </c>
      <c r="M313" s="645">
        <f t="shared" si="321"/>
        <v>0</v>
      </c>
      <c r="N313" s="645">
        <f t="shared" si="321"/>
        <v>0</v>
      </c>
      <c r="O313" s="646" t="e">
        <f t="shared" si="321"/>
        <v>#VALUE!</v>
      </c>
      <c r="P313" s="644" t="e">
        <f t="shared" si="321"/>
        <v>#VALUE!</v>
      </c>
      <c r="Q313" s="645" t="e">
        <f t="shared" si="321"/>
        <v>#VALUE!</v>
      </c>
      <c r="R313" s="645" t="e">
        <f t="shared" si="321"/>
        <v>#VALUE!</v>
      </c>
      <c r="S313" s="646" t="e">
        <f t="shared" si="321"/>
        <v>#VALUE!</v>
      </c>
      <c r="T313" s="644" t="e">
        <f t="shared" si="321"/>
        <v>#VALUE!</v>
      </c>
      <c r="U313" s="645" t="e">
        <f t="shared" si="321"/>
        <v>#VALUE!</v>
      </c>
      <c r="V313" s="645" t="e">
        <f t="shared" si="321"/>
        <v>#VALUE!</v>
      </c>
      <c r="W313" s="646" t="e">
        <f t="shared" si="321"/>
        <v>#VALUE!</v>
      </c>
      <c r="X313" s="644" t="e">
        <f t="shared" si="321"/>
        <v>#VALUE!</v>
      </c>
      <c r="Y313" s="645" t="e">
        <f t="shared" si="321"/>
        <v>#VALUE!</v>
      </c>
      <c r="Z313" s="645" t="e">
        <f t="shared" si="321"/>
        <v>#VALUE!</v>
      </c>
      <c r="AA313" s="646" t="e">
        <f t="shared" si="321"/>
        <v>#VALUE!</v>
      </c>
      <c r="AB313" s="644" t="e">
        <f t="shared" si="321"/>
        <v>#VALUE!</v>
      </c>
      <c r="AC313" s="645" t="e">
        <f t="shared" si="321"/>
        <v>#VALUE!</v>
      </c>
      <c r="AD313" s="645" t="e">
        <f>AD293/AD297</f>
        <v>#VALUE!</v>
      </c>
      <c r="AE313" s="646"/>
      <c r="AF313" s="644"/>
      <c r="AG313" s="439"/>
      <c r="AH313" s="439"/>
      <c r="AI313" s="440"/>
      <c r="AJ313" s="441"/>
      <c r="AK313" s="439"/>
      <c r="AL313" s="439"/>
      <c r="AM313" s="440"/>
      <c r="AN313" s="441"/>
      <c r="AO313" s="439"/>
      <c r="AP313" s="439"/>
      <c r="AQ313" s="440"/>
      <c r="AR313" s="441"/>
      <c r="AS313" s="439"/>
      <c r="AT313" s="439"/>
      <c r="AU313" s="440"/>
      <c r="AV313" s="441"/>
      <c r="AW313" s="439"/>
      <c r="AX313" s="439"/>
      <c r="AY313" s="1392">
        <f>SUM(AY308:AY312)</f>
        <v>19</v>
      </c>
      <c r="AZ313" s="1395">
        <f t="shared" ref="AZ313:BK313" si="322">AZ305+AZ297</f>
        <v>0</v>
      </c>
      <c r="BA313" s="1398">
        <f>SUM(BA308:BA312)</f>
        <v>49.7</v>
      </c>
      <c r="BB313" s="1398">
        <f t="shared" si="322"/>
        <v>0</v>
      </c>
      <c r="BC313" s="1392">
        <f>SUM(BC308:BC312)</f>
        <v>0</v>
      </c>
      <c r="BD313" s="1395">
        <f t="shared" si="322"/>
        <v>0</v>
      </c>
      <c r="BE313" s="1398">
        <f t="shared" si="322"/>
        <v>0</v>
      </c>
      <c r="BF313" s="1417">
        <f t="shared" si="322"/>
        <v>0</v>
      </c>
      <c r="BG313" s="1389">
        <f t="shared" si="322"/>
        <v>0</v>
      </c>
      <c r="BH313" s="1395">
        <f t="shared" si="322"/>
        <v>0</v>
      </c>
      <c r="BI313" s="1398">
        <f t="shared" si="322"/>
        <v>0</v>
      </c>
      <c r="BJ313" s="1417">
        <f t="shared" si="322"/>
        <v>0</v>
      </c>
      <c r="BK313" s="1389">
        <f t="shared" si="322"/>
        <v>0</v>
      </c>
      <c r="BL313" s="1"/>
      <c r="BM313" s="311"/>
      <c r="BN313" s="311"/>
      <c r="BO313" s="311"/>
      <c r="BP313" s="311"/>
      <c r="BQ313" s="311"/>
      <c r="BR313" s="311"/>
      <c r="BS313" s="311"/>
      <c r="BT313" s="311"/>
      <c r="BU313" s="311"/>
      <c r="BV313" s="206"/>
      <c r="BW313" s="206"/>
      <c r="BX313" s="206"/>
      <c r="BY313" s="206"/>
      <c r="BZ313" s="206"/>
      <c r="CA313" s="206"/>
      <c r="CB313" s="311"/>
      <c r="CC313" s="311"/>
      <c r="CD313" s="311"/>
      <c r="CE313" s="311"/>
      <c r="CF313" s="1209"/>
      <c r="CG313" s="1209"/>
      <c r="CH313" s="1209"/>
      <c r="CI313" s="1209"/>
      <c r="CJ313" s="1209"/>
      <c r="CK313" s="1209"/>
      <c r="CL313" s="1209"/>
      <c r="CM313" s="1209"/>
      <c r="CN313" s="1209"/>
      <c r="CO313" s="1209"/>
      <c r="CP313" s="1209"/>
      <c r="CQ313" s="1209"/>
      <c r="CR313" s="1209"/>
    </row>
    <row r="314" spans="1:96" ht="14.25" hidden="1" customHeight="1" outlineLevel="1">
      <c r="BV314" s="1209"/>
    </row>
    <row r="315" spans="1:96" ht="14.25" hidden="1" customHeight="1" outlineLevel="1">
      <c r="A315" s="3"/>
      <c r="B315" s="306"/>
      <c r="C315" s="306"/>
      <c r="D315" s="306" t="s">
        <v>546</v>
      </c>
      <c r="E315" s="306" t="s">
        <v>547</v>
      </c>
      <c r="F315" s="306" t="s">
        <v>548</v>
      </c>
      <c r="G315" s="306" t="s">
        <v>549</v>
      </c>
      <c r="H315" s="306" t="s">
        <v>551</v>
      </c>
      <c r="I315" s="306" t="s">
        <v>552</v>
      </c>
      <c r="J315" s="306" t="s">
        <v>553</v>
      </c>
      <c r="K315" s="306" t="s">
        <v>554</v>
      </c>
      <c r="L315" s="306" t="s">
        <v>375</v>
      </c>
      <c r="M315" s="306" t="s">
        <v>376</v>
      </c>
      <c r="N315" s="306" t="s">
        <v>377</v>
      </c>
      <c r="O315" s="306" t="s">
        <v>378</v>
      </c>
      <c r="P315" s="306" t="s">
        <v>379</v>
      </c>
      <c r="Q315" s="306" t="s">
        <v>380</v>
      </c>
      <c r="R315" s="306" t="s">
        <v>381</v>
      </c>
      <c r="S315" s="306" t="s">
        <v>382</v>
      </c>
      <c r="T315" s="306" t="s">
        <v>383</v>
      </c>
      <c r="U315" s="306" t="s">
        <v>384</v>
      </c>
      <c r="V315" s="306" t="s">
        <v>385</v>
      </c>
      <c r="W315" s="306" t="s">
        <v>386</v>
      </c>
      <c r="X315" s="306" t="s">
        <v>387</v>
      </c>
      <c r="Y315" s="306" t="s">
        <v>388</v>
      </c>
      <c r="Z315" s="306" t="s">
        <v>389</v>
      </c>
      <c r="AA315" s="306" t="s">
        <v>390</v>
      </c>
      <c r="AB315" s="306" t="s">
        <v>391</v>
      </c>
      <c r="AC315" s="306" t="s">
        <v>392</v>
      </c>
      <c r="AD315" s="306" t="s">
        <v>393</v>
      </c>
      <c r="AE315" s="306" t="s">
        <v>394</v>
      </c>
      <c r="AF315" s="306" t="s">
        <v>395</v>
      </c>
      <c r="AG315" s="306" t="s">
        <v>396</v>
      </c>
      <c r="AH315" s="306" t="s">
        <v>397</v>
      </c>
      <c r="AI315" s="306" t="s">
        <v>398</v>
      </c>
      <c r="AJ315" s="306" t="s">
        <v>399</v>
      </c>
      <c r="AK315" s="306" t="s">
        <v>400</v>
      </c>
      <c r="AL315" s="306" t="s">
        <v>401</v>
      </c>
      <c r="AM315" s="306" t="s">
        <v>402</v>
      </c>
      <c r="AN315" s="306" t="s">
        <v>423</v>
      </c>
      <c r="AO315" s="306" t="s">
        <v>424</v>
      </c>
      <c r="AP315" s="306" t="s">
        <v>425</v>
      </c>
      <c r="AQ315" s="306" t="s">
        <v>426</v>
      </c>
      <c r="AR315" s="306" t="s">
        <v>427</v>
      </c>
      <c r="AS315" s="306" t="s">
        <v>428</v>
      </c>
      <c r="AT315" s="306" t="s">
        <v>429</v>
      </c>
      <c r="AU315" s="306" t="s">
        <v>430</v>
      </c>
      <c r="AV315" s="306" t="s">
        <v>431</v>
      </c>
      <c r="AW315" s="1379" t="s">
        <v>432</v>
      </c>
      <c r="AX315" s="306" t="s">
        <v>433</v>
      </c>
      <c r="AY315" s="306" t="s">
        <v>434</v>
      </c>
      <c r="AZ315" s="306" t="s">
        <v>435</v>
      </c>
      <c r="BA315" s="306" t="s">
        <v>436</v>
      </c>
      <c r="BB315" s="306" t="s">
        <v>437</v>
      </c>
      <c r="BC315" s="306" t="s">
        <v>438</v>
      </c>
      <c r="BD315" s="1379" t="s">
        <v>439</v>
      </c>
      <c r="BE315" s="306" t="s">
        <v>440</v>
      </c>
      <c r="BF315" s="306" t="s">
        <v>441</v>
      </c>
      <c r="BG315" s="306" t="s">
        <v>442</v>
      </c>
      <c r="BH315" s="1379" t="s">
        <v>439</v>
      </c>
      <c r="BI315" s="306" t="s">
        <v>440</v>
      </c>
      <c r="BJ315" s="306" t="s">
        <v>441</v>
      </c>
      <c r="BK315" s="306" t="s">
        <v>442</v>
      </c>
      <c r="BL315" s="3"/>
      <c r="BM315" s="3" t="s">
        <v>550</v>
      </c>
      <c r="BN315" s="3" t="s">
        <v>403</v>
      </c>
      <c r="BO315" s="3" t="s">
        <v>404</v>
      </c>
      <c r="BP315" s="3" t="s">
        <v>405</v>
      </c>
      <c r="BQ315" s="3" t="s">
        <v>406</v>
      </c>
      <c r="BR315" s="3" t="s">
        <v>407</v>
      </c>
      <c r="BS315" s="3" t="s">
        <v>408</v>
      </c>
      <c r="BT315" s="3" t="s">
        <v>409</v>
      </c>
      <c r="BU315" s="3" t="s">
        <v>410</v>
      </c>
      <c r="BV315" s="306" t="s">
        <v>411</v>
      </c>
      <c r="BW315" s="3" t="s">
        <v>412</v>
      </c>
      <c r="BX315" s="123" t="s">
        <v>413</v>
      </c>
      <c r="BY315" s="123" t="s">
        <v>414</v>
      </c>
      <c r="BZ315" s="123" t="s">
        <v>415</v>
      </c>
      <c r="CA315" s="3" t="s">
        <v>536</v>
      </c>
      <c r="CB315" s="311"/>
      <c r="CC315" s="311"/>
      <c r="CD315" s="311"/>
      <c r="CE315" s="311"/>
    </row>
    <row r="316" spans="1:96" ht="14.25" hidden="1" customHeight="1" outlineLevel="1">
      <c r="A316" s="5"/>
      <c r="B316" s="205" t="s">
        <v>416</v>
      </c>
      <c r="C316" s="205"/>
      <c r="D316" s="307" t="e">
        <f>IS!D$182</f>
        <v>#NAME?</v>
      </c>
      <c r="E316" s="307" t="e">
        <f>IS!E$182</f>
        <v>#NAME?</v>
      </c>
      <c r="F316" s="307" t="e">
        <f>IS!F$182</f>
        <v>#NAME?</v>
      </c>
      <c r="G316" s="307" t="e">
        <f>IS!G$182</f>
        <v>#NAME?</v>
      </c>
      <c r="H316" s="307" t="e">
        <f>IS!H$182</f>
        <v>#NAME?</v>
      </c>
      <c r="I316" s="307" t="e">
        <f>IS!I$182</f>
        <v>#NAME?</v>
      </c>
      <c r="J316" s="307" t="e">
        <f>IS!J$182</f>
        <v>#NAME?</v>
      </c>
      <c r="K316" s="307" t="e">
        <f>IS!K$182</f>
        <v>#NAME?</v>
      </c>
      <c r="L316" s="307" t="e">
        <f>IS!L$182</f>
        <v>#NAME?</v>
      </c>
      <c r="M316" s="307" t="e">
        <f>IS!M$182</f>
        <v>#NAME?</v>
      </c>
      <c r="N316" s="307" t="e">
        <f>IS!N$182</f>
        <v>#NAME?</v>
      </c>
      <c r="O316" s="307" t="e">
        <f>IS!O$182</f>
        <v>#NAME?</v>
      </c>
      <c r="P316" s="307" t="e">
        <f>IS!P$182</f>
        <v>#NAME?</v>
      </c>
      <c r="Q316" s="307" t="e">
        <f>IS!Q$182</f>
        <v>#NAME?</v>
      </c>
      <c r="R316" s="307" t="e">
        <f>IS!R$182</f>
        <v>#NAME?</v>
      </c>
      <c r="S316" s="307" t="e">
        <f>IS!S$182</f>
        <v>#NAME?</v>
      </c>
      <c r="T316" s="307" t="e">
        <f>IS!T$182</f>
        <v>#NAME?</v>
      </c>
      <c r="U316" s="307" t="e">
        <f>IS!U$182</f>
        <v>#NAME?</v>
      </c>
      <c r="V316" s="307" t="e">
        <f>IS!V$182</f>
        <v>#NAME?</v>
      </c>
      <c r="W316" s="307" t="e">
        <f>IS!W$182</f>
        <v>#NAME?</v>
      </c>
      <c r="X316" s="307" t="e">
        <f>IS!X$182</f>
        <v>#NAME?</v>
      </c>
      <c r="Y316" s="307" t="e">
        <f>IS!Y$182</f>
        <v>#NAME?</v>
      </c>
      <c r="Z316" s="307" t="e">
        <f>IS!Z$182</f>
        <v>#NAME?</v>
      </c>
      <c r="AA316" s="307" t="e">
        <f>IS!AA$182</f>
        <v>#NAME?</v>
      </c>
      <c r="AB316" s="307" t="e">
        <f>IS!AB$182</f>
        <v>#NAME?</v>
      </c>
      <c r="AC316" s="307" t="e">
        <f>IS!AC$182</f>
        <v>#NAME?</v>
      </c>
      <c r="AD316" s="307" t="e">
        <f>IS!AD$182</f>
        <v>#NAME?</v>
      </c>
      <c r="AE316" s="307" t="e">
        <f>IS!AE$182</f>
        <v>#NAME?</v>
      </c>
      <c r="AF316" s="307" t="e">
        <f>IS!AF$182</f>
        <v>#NAME?</v>
      </c>
      <c r="AG316" s="307" t="e">
        <f>IS!AG$182</f>
        <v>#NAME?</v>
      </c>
      <c r="AH316" s="307" t="e">
        <f>IS!AH$182</f>
        <v>#NAME?</v>
      </c>
      <c r="AI316" s="307" t="e">
        <f>IS!AI$182</f>
        <v>#NAME?</v>
      </c>
      <c r="AJ316" s="307" t="e">
        <f>IS!AJ$182</f>
        <v>#NAME?</v>
      </c>
      <c r="AK316" s="307" t="e">
        <f>IS!AK$182</f>
        <v>#NAME?</v>
      </c>
      <c r="AL316" s="307" t="e">
        <f>IS!AL$182</f>
        <v>#NAME?</v>
      </c>
      <c r="AM316" s="307" t="e">
        <f>IS!AM$182</f>
        <v>#NAME?</v>
      </c>
      <c r="AN316" s="307" t="e">
        <f>IS!AN$182</f>
        <v>#NAME?</v>
      </c>
      <c r="AO316" s="307" t="e">
        <f>IS!AO$182</f>
        <v>#NAME?</v>
      </c>
      <c r="AP316" s="307" t="e">
        <f>IS!AP$182</f>
        <v>#NAME?</v>
      </c>
      <c r="AQ316" s="307" t="e">
        <f>IS!AQ$182</f>
        <v>#NAME?</v>
      </c>
      <c r="AR316" s="307" t="e">
        <f>IS!AR$182</f>
        <v>#NAME?</v>
      </c>
      <c r="AS316" s="307" t="e">
        <f>IS!AS$182</f>
        <v>#NAME?</v>
      </c>
      <c r="AT316" s="307" t="e">
        <f>IS!AT$182</f>
        <v>#NAME?</v>
      </c>
      <c r="AU316" s="307" t="e">
        <f>IS!AU$182</f>
        <v>#NAME?</v>
      </c>
      <c r="AV316" s="307" t="e">
        <f>IS!AV$182</f>
        <v>#NAME?</v>
      </c>
      <c r="AW316" s="307" t="e">
        <f>IS!AW$182</f>
        <v>#NAME?</v>
      </c>
      <c r="AX316" s="307" t="e">
        <f>IS!AX$182</f>
        <v>#NAME?</v>
      </c>
      <c r="AY316" s="307" t="e">
        <f>IS!AY$182</f>
        <v>#NAME?</v>
      </c>
      <c r="AZ316" s="307" t="e">
        <f>IS!AZ$182</f>
        <v>#NAME?</v>
      </c>
      <c r="BA316" s="307" t="e">
        <f>IS!BA$182</f>
        <v>#NAME?</v>
      </c>
      <c r="BB316" s="307" t="e">
        <f>IS!BB$182</f>
        <v>#NAME?</v>
      </c>
      <c r="BC316" s="307" t="e">
        <f>IS!BC$182</f>
        <v>#NAME?</v>
      </c>
      <c r="BD316" s="307" t="e">
        <f>IS!BD$182</f>
        <v>#NAME?</v>
      </c>
      <c r="BE316" s="307" t="e">
        <f>IS!BE$182</f>
        <v>#NAME?</v>
      </c>
      <c r="BF316" s="307" t="e">
        <f>IS!BF$182</f>
        <v>#NAME?</v>
      </c>
      <c r="BG316" s="307" t="e">
        <f>IS!BG$182</f>
        <v>#NAME?</v>
      </c>
      <c r="BH316" s="307" t="e">
        <f>IS!BH$182</f>
        <v>#NAME?</v>
      </c>
      <c r="BI316" s="307" t="e">
        <f>IS!BI$182</f>
        <v>#NAME?</v>
      </c>
      <c r="BJ316" s="307" t="e">
        <f>IS!BJ$182</f>
        <v>#NAME?</v>
      </c>
      <c r="BK316" s="307" t="e">
        <f>IS!BK$182</f>
        <v>#NAME?</v>
      </c>
      <c r="BL316" s="327"/>
      <c r="BM316" s="307" t="e">
        <f>IS!BM$182</f>
        <v>#NAME?</v>
      </c>
      <c r="BN316" s="307" t="e">
        <f>IS!BN$182</f>
        <v>#NAME?</v>
      </c>
      <c r="BO316" s="307" t="e">
        <f>IS!BO$182</f>
        <v>#NAME?</v>
      </c>
      <c r="BP316" s="307" t="e">
        <f>IS!BP$182</f>
        <v>#NAME?</v>
      </c>
      <c r="BQ316" s="307" t="e">
        <f>IS!BQ$182</f>
        <v>#NAME?</v>
      </c>
      <c r="BR316" s="307" t="e">
        <f>IS!BR$182</f>
        <v>#NAME?</v>
      </c>
      <c r="BS316" s="307" t="e">
        <f>IS!BS$182</f>
        <v>#NAME?</v>
      </c>
      <c r="BT316" s="307" t="e">
        <f>IS!BT$182</f>
        <v>#NAME?</v>
      </c>
      <c r="BU316" s="307" t="e">
        <f>IS!BU$182</f>
        <v>#NAME?</v>
      </c>
      <c r="BV316" s="1243" t="e">
        <f>IS!BV$182</f>
        <v>#NAME?</v>
      </c>
      <c r="BW316" s="307" t="e">
        <f>IS!BW$182</f>
        <v>#NAME?</v>
      </c>
      <c r="BX316" s="307" t="e">
        <f>IS!BX$182</f>
        <v>#NAME?</v>
      </c>
      <c r="BY316" s="307" t="e">
        <f>IS!BY$182</f>
        <v>#NAME?</v>
      </c>
      <c r="BZ316" s="307" t="e">
        <f>IS!BZ$182</f>
        <v>#NAME?</v>
      </c>
      <c r="CA316" s="307" t="e">
        <f>IS!CA$182</f>
        <v>#NAME?</v>
      </c>
      <c r="CB316" s="1243"/>
      <c r="CC316" s="1243"/>
      <c r="CD316" s="1243"/>
      <c r="CE316" s="1243"/>
    </row>
    <row r="317" spans="1:96" ht="14.25" hidden="1" customHeight="1" outlineLevel="1">
      <c r="BV317" s="1209"/>
    </row>
    <row r="318" spans="1:96" ht="14.25" customHeight="1" collapsed="1">
      <c r="BV318" s="1209"/>
    </row>
    <row r="319" spans="1:96" ht="14.25" customHeight="1">
      <c r="BV319" s="1209"/>
    </row>
    <row r="320" spans="1:96" ht="14.25" customHeight="1">
      <c r="BV320" s="1209"/>
    </row>
    <row r="321" spans="42:74" ht="14.25" customHeight="1">
      <c r="BV321" s="1209"/>
    </row>
    <row r="326" spans="42:74" ht="14.25" customHeight="1">
      <c r="AP326" s="594"/>
      <c r="AT326" s="594"/>
      <c r="AX326" s="594"/>
      <c r="BB326" s="594"/>
      <c r="BF326" s="594"/>
      <c r="BJ326" s="594"/>
    </row>
  </sheetData>
  <phoneticPr fontId="24" type="noConversion"/>
  <conditionalFormatting sqref="O263 W263 Y263:AQ263 M230:AQ230 H242:AI242 D151:AQ151 D159:AQ159 H167:AQ167 H254:AI254 H270:AQ270 AL242 AL254 AN242:AQ242 AN254:AQ254">
    <cfRule type="cellIs" dxfId="15" priority="15" stopIfTrue="1" operator="between">
      <formula>-0.005</formula>
      <formula>0.005</formula>
    </cfRule>
  </conditionalFormatting>
  <conditionalFormatting sqref="B6">
    <cfRule type="cellIs" dxfId="14" priority="16" stopIfTrue="1" operator="equal">
      <formula>"Bear Case"</formula>
    </cfRule>
    <cfRule type="cellIs" dxfId="13" priority="17" stopIfTrue="1" operator="equal">
      <formula>"Bull Case"</formula>
    </cfRule>
    <cfRule type="cellIs" dxfId="12" priority="18" stopIfTrue="1" operator="equal">
      <formula>"Base Case"</formula>
    </cfRule>
  </conditionalFormatting>
  <conditionalFormatting sqref="AK242">
    <cfRule type="cellIs" dxfId="11" priority="14" stopIfTrue="1" operator="between">
      <formula>-0.005</formula>
      <formula>0.005</formula>
    </cfRule>
  </conditionalFormatting>
  <conditionalFormatting sqref="AK254">
    <cfRule type="cellIs" dxfId="10" priority="13" stopIfTrue="1" operator="between">
      <formula>-0.005</formula>
      <formula>0.005</formula>
    </cfRule>
  </conditionalFormatting>
  <conditionalFormatting sqref="AJ242">
    <cfRule type="cellIs" dxfId="9" priority="11" stopIfTrue="1" operator="between">
      <formula>-0.005</formula>
      <formula>0.005</formula>
    </cfRule>
  </conditionalFormatting>
  <conditionalFormatting sqref="AJ254">
    <cfRule type="cellIs" dxfId="8" priority="10" stopIfTrue="1" operator="between">
      <formula>-0.005</formula>
      <formula>0.005</formula>
    </cfRule>
  </conditionalFormatting>
  <conditionalFormatting sqref="AR263:AU263 AR230:AU230 AR151:AU151 AR159:AU159 AR167:AU167 AR270:AU270 AR242:AU242 AR254:AU254">
    <cfRule type="cellIs" dxfId="7" priority="7" stopIfTrue="1" operator="between">
      <formula>-0.005</formula>
      <formula>0.005</formula>
    </cfRule>
  </conditionalFormatting>
  <conditionalFormatting sqref="AV263 AV230 AV151 AV159 AV167 AV270 AV242 AV254 AX254:AY254 AX242:AY242 AX270:AY270 AX167:AY167 AX159:AY159 AX151:AY151 AX230:AY230 AX263:AY263">
    <cfRule type="cellIs" dxfId="6" priority="8" stopIfTrue="1" operator="between">
      <formula>-0.005</formula>
      <formula>0.005</formula>
    </cfRule>
  </conditionalFormatting>
  <conditionalFormatting sqref="AM242">
    <cfRule type="cellIs" dxfId="5" priority="6" stopIfTrue="1" operator="between">
      <formula>-0.005</formula>
      <formula>0.005</formula>
    </cfRule>
  </conditionalFormatting>
  <conditionalFormatting sqref="AM254">
    <cfRule type="cellIs" dxfId="4" priority="5" stopIfTrue="1" operator="between">
      <formula>-0.005</formula>
      <formula>0.005</formula>
    </cfRule>
  </conditionalFormatting>
  <conditionalFormatting sqref="AZ263:BC263 AZ230:BC230 AZ151:BC151 AZ159:BC159 AZ167:BC167 AZ270:BC270 AZ242:BC242 AZ254:BC254">
    <cfRule type="cellIs" dxfId="3" priority="4" stopIfTrue="1" operator="between">
      <formula>-0.005</formula>
      <formula>0.005</formula>
    </cfRule>
  </conditionalFormatting>
  <conditionalFormatting sqref="AW263 AW230 AW151 AW159 AW167 AW270 AW242 AW254">
    <cfRule type="cellIs" dxfId="2" priority="3" stopIfTrue="1" operator="between">
      <formula>-0.005</formula>
      <formula>0.005</formula>
    </cfRule>
  </conditionalFormatting>
  <conditionalFormatting sqref="BD263:BG263 BD230:BG230 BD151:BG151 BD159:BG159 BD167:BG167 BD270:BG270 BD242:BG242 BD254:BG254">
    <cfRule type="cellIs" dxfId="1" priority="2" stopIfTrue="1" operator="between">
      <formula>-0.005</formula>
      <formula>0.005</formula>
    </cfRule>
  </conditionalFormatting>
  <conditionalFormatting sqref="BH263:BK263 BH230:BK230 BH151:BK151 BH159:BK159 BH167:BK167 BH270:BK270 BH242:BK242 BH254:BK254">
    <cfRule type="cellIs" dxfId="0" priority="1" stopIfTrue="1" operator="between">
      <formula>-0.005</formula>
      <formula>0.005</formula>
    </cfRule>
  </conditionalFormatting>
  <pageMargins left="0.5" right="0.5" top="0.5" bottom="0.5" header="0.5" footer="0.5"/>
  <pageSetup scale="41" orientation="landscape" verticalDpi="300" r:id="rId1"/>
  <headerFooter alignWithMargins="0"/>
  <rowBreaks count="1" manualBreakCount="1">
    <brk id="115" max="16383" man="1"/>
  </rowBreaks>
  <colBreaks count="1" manualBreakCount="1">
    <brk id="83" min="5" max="176" man="1"/>
  </colBreaks>
  <ignoredErrors>
    <ignoredError sqref="H262 B266:B272 C259:G259 BL439:BV454 B278:H278 H256 B290:H290 H264:H265 B117 D117:H117 C261:G272 H269:H272 B261:B264 B10:H10 C256:G257 C117 B222:H231 B136:H138 B139:H141 B306:H306 B314:H395" formulaRange="1"/>
    <ignoredError sqref="BS271:BS272 Y268:AC272 BS223 BL305:BV306 BT261:BV272 BS231 P262:V262 Y261:AC262 BL278:BV278 X262 I262:N262 BR262 BL10:BV11 BT256:BV257 BR256:BS256 BT259:BV259 BL259:BQ259 BL261:BQ262 BL256:BQ257 AD269:AI272 AD231:AF231 BO229:BR231 BN269:BR272 BO223:BQ223 BL264:BM272 BN264:BS265 BR222:BR223 AE229:AF229 BL117:BV117 BL222:BQ222 I136:L141 BT229:BT231 BL136:BQ141 BL223:BN231 BU222:BV231 BT222:BT223 BU136:BV141 BR136:BT136 AQ396:AQ407 I10:AQ10 AQ11 AE222:AM223 AG229:AM231 I290:AQ290 I278:AQ278 AJ259:AQ259 AJ261:AQ262 AJ256:AQ257 AJ264:AQ272 AN222:AQ231 AN136:AQ141 M141:AC141 M136:AM136 I264:AI265 I256:AI256 I222:AC231 I269:X272 I117:AQ117 I306:AQ306 BL299:BV299 BL290:BV290 BL314:BV438 I314:AQ395" evalError="1" formulaRange="1"/>
    <ignoredError sqref="AQ408:AQ438 CJ261:CL272 CJ259:CL259 CJ305:CL306 CJ278:CL278 CJ10:CL11 CJ256:CL257 CJ117:CL117 CJ222:CL231 I11:AE11 AG11:AP11 CF10:CF11 CF117 CF222:CF231 CF278 CF305:CF306 CF259 CF261:CF272 CF136:CF141 CJ136:CL141 CF256:CF257 I396:AP438 CF299 CJ299:CL299 BY299:CA299 BY256:CA257 BY136:CA141 BY261:CA272 BY259:CA259 BY305:CA306 BY278:CA278 BY222:CA231 BY117:CA117 BY10:CA11 BY290:CA290 CJ290:CL290 CF290 CJ314:CL438 CF314:CF438 BY314:CA438" evalError="1"/>
    <ignoredError sqref="AQ9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1510" bestFit="1" customWidth="1"/>
    <col min="2" max="2" width="19.85546875" style="1532" customWidth="1"/>
    <col min="3" max="3" width="12" style="1510" bestFit="1" customWidth="1"/>
    <col min="4" max="256" width="9.140625" style="1510"/>
    <col min="257" max="257" width="29.5703125" style="1510" bestFit="1" customWidth="1"/>
    <col min="258" max="258" width="19.85546875" style="1510" customWidth="1"/>
    <col min="259" max="259" width="12" style="1510" bestFit="1" customWidth="1"/>
    <col min="260" max="512" width="9.140625" style="1510"/>
    <col min="513" max="513" width="29.5703125" style="1510" bestFit="1" customWidth="1"/>
    <col min="514" max="514" width="19.85546875" style="1510" customWidth="1"/>
    <col min="515" max="515" width="12" style="1510" bestFit="1" customWidth="1"/>
    <col min="516" max="768" width="9.140625" style="1510"/>
    <col min="769" max="769" width="29.5703125" style="1510" bestFit="1" customWidth="1"/>
    <col min="770" max="770" width="19.85546875" style="1510" customWidth="1"/>
    <col min="771" max="771" width="12" style="1510" bestFit="1" customWidth="1"/>
    <col min="772" max="1024" width="9.140625" style="1510"/>
    <col min="1025" max="1025" width="29.5703125" style="1510" bestFit="1" customWidth="1"/>
    <col min="1026" max="1026" width="19.85546875" style="1510" customWidth="1"/>
    <col min="1027" max="1027" width="12" style="1510" bestFit="1" customWidth="1"/>
    <col min="1028" max="1280" width="9.140625" style="1510"/>
    <col min="1281" max="1281" width="29.5703125" style="1510" bestFit="1" customWidth="1"/>
    <col min="1282" max="1282" width="19.85546875" style="1510" customWidth="1"/>
    <col min="1283" max="1283" width="12" style="1510" bestFit="1" customWidth="1"/>
    <col min="1284" max="1536" width="9.140625" style="1510"/>
    <col min="1537" max="1537" width="29.5703125" style="1510" bestFit="1" customWidth="1"/>
    <col min="1538" max="1538" width="19.85546875" style="1510" customWidth="1"/>
    <col min="1539" max="1539" width="12" style="1510" bestFit="1" customWidth="1"/>
    <col min="1540" max="1792" width="9.140625" style="1510"/>
    <col min="1793" max="1793" width="29.5703125" style="1510" bestFit="1" customWidth="1"/>
    <col min="1794" max="1794" width="19.85546875" style="1510" customWidth="1"/>
    <col min="1795" max="1795" width="12" style="1510" bestFit="1" customWidth="1"/>
    <col min="1796" max="2048" width="9.140625" style="1510"/>
    <col min="2049" max="2049" width="29.5703125" style="1510" bestFit="1" customWidth="1"/>
    <col min="2050" max="2050" width="19.85546875" style="1510" customWidth="1"/>
    <col min="2051" max="2051" width="12" style="1510" bestFit="1" customWidth="1"/>
    <col min="2052" max="2304" width="9.140625" style="1510"/>
    <col min="2305" max="2305" width="29.5703125" style="1510" bestFit="1" customWidth="1"/>
    <col min="2306" max="2306" width="19.85546875" style="1510" customWidth="1"/>
    <col min="2307" max="2307" width="12" style="1510" bestFit="1" customWidth="1"/>
    <col min="2308" max="2560" width="9.140625" style="1510"/>
    <col min="2561" max="2561" width="29.5703125" style="1510" bestFit="1" customWidth="1"/>
    <col min="2562" max="2562" width="19.85546875" style="1510" customWidth="1"/>
    <col min="2563" max="2563" width="12" style="1510" bestFit="1" customWidth="1"/>
    <col min="2564" max="2816" width="9.140625" style="1510"/>
    <col min="2817" max="2817" width="29.5703125" style="1510" bestFit="1" customWidth="1"/>
    <col min="2818" max="2818" width="19.85546875" style="1510" customWidth="1"/>
    <col min="2819" max="2819" width="12" style="1510" bestFit="1" customWidth="1"/>
    <col min="2820" max="3072" width="9.140625" style="1510"/>
    <col min="3073" max="3073" width="29.5703125" style="1510" bestFit="1" customWidth="1"/>
    <col min="3074" max="3074" width="19.85546875" style="1510" customWidth="1"/>
    <col min="3075" max="3075" width="12" style="1510" bestFit="1" customWidth="1"/>
    <col min="3076" max="3328" width="9.140625" style="1510"/>
    <col min="3329" max="3329" width="29.5703125" style="1510" bestFit="1" customWidth="1"/>
    <col min="3330" max="3330" width="19.85546875" style="1510" customWidth="1"/>
    <col min="3331" max="3331" width="12" style="1510" bestFit="1" customWidth="1"/>
    <col min="3332" max="3584" width="9.140625" style="1510"/>
    <col min="3585" max="3585" width="29.5703125" style="1510" bestFit="1" customWidth="1"/>
    <col min="3586" max="3586" width="19.85546875" style="1510" customWidth="1"/>
    <col min="3587" max="3587" width="12" style="1510" bestFit="1" customWidth="1"/>
    <col min="3588" max="3840" width="9.140625" style="1510"/>
    <col min="3841" max="3841" width="29.5703125" style="1510" bestFit="1" customWidth="1"/>
    <col min="3842" max="3842" width="19.85546875" style="1510" customWidth="1"/>
    <col min="3843" max="3843" width="12" style="1510" bestFit="1" customWidth="1"/>
    <col min="3844" max="4096" width="9.140625" style="1510"/>
    <col min="4097" max="4097" width="29.5703125" style="1510" bestFit="1" customWidth="1"/>
    <col min="4098" max="4098" width="19.85546875" style="1510" customWidth="1"/>
    <col min="4099" max="4099" width="12" style="1510" bestFit="1" customWidth="1"/>
    <col min="4100" max="4352" width="9.140625" style="1510"/>
    <col min="4353" max="4353" width="29.5703125" style="1510" bestFit="1" customWidth="1"/>
    <col min="4354" max="4354" width="19.85546875" style="1510" customWidth="1"/>
    <col min="4355" max="4355" width="12" style="1510" bestFit="1" customWidth="1"/>
    <col min="4356" max="4608" width="9.140625" style="1510"/>
    <col min="4609" max="4609" width="29.5703125" style="1510" bestFit="1" customWidth="1"/>
    <col min="4610" max="4610" width="19.85546875" style="1510" customWidth="1"/>
    <col min="4611" max="4611" width="12" style="1510" bestFit="1" customWidth="1"/>
    <col min="4612" max="4864" width="9.140625" style="1510"/>
    <col min="4865" max="4865" width="29.5703125" style="1510" bestFit="1" customWidth="1"/>
    <col min="4866" max="4866" width="19.85546875" style="1510" customWidth="1"/>
    <col min="4867" max="4867" width="12" style="1510" bestFit="1" customWidth="1"/>
    <col min="4868" max="5120" width="9.140625" style="1510"/>
    <col min="5121" max="5121" width="29.5703125" style="1510" bestFit="1" customWidth="1"/>
    <col min="5122" max="5122" width="19.85546875" style="1510" customWidth="1"/>
    <col min="5123" max="5123" width="12" style="1510" bestFit="1" customWidth="1"/>
    <col min="5124" max="5376" width="9.140625" style="1510"/>
    <col min="5377" max="5377" width="29.5703125" style="1510" bestFit="1" customWidth="1"/>
    <col min="5378" max="5378" width="19.85546875" style="1510" customWidth="1"/>
    <col min="5379" max="5379" width="12" style="1510" bestFit="1" customWidth="1"/>
    <col min="5380" max="5632" width="9.140625" style="1510"/>
    <col min="5633" max="5633" width="29.5703125" style="1510" bestFit="1" customWidth="1"/>
    <col min="5634" max="5634" width="19.85546875" style="1510" customWidth="1"/>
    <col min="5635" max="5635" width="12" style="1510" bestFit="1" customWidth="1"/>
    <col min="5636" max="5888" width="9.140625" style="1510"/>
    <col min="5889" max="5889" width="29.5703125" style="1510" bestFit="1" customWidth="1"/>
    <col min="5890" max="5890" width="19.85546875" style="1510" customWidth="1"/>
    <col min="5891" max="5891" width="12" style="1510" bestFit="1" customWidth="1"/>
    <col min="5892" max="6144" width="9.140625" style="1510"/>
    <col min="6145" max="6145" width="29.5703125" style="1510" bestFit="1" customWidth="1"/>
    <col min="6146" max="6146" width="19.85546875" style="1510" customWidth="1"/>
    <col min="6147" max="6147" width="12" style="1510" bestFit="1" customWidth="1"/>
    <col min="6148" max="6400" width="9.140625" style="1510"/>
    <col min="6401" max="6401" width="29.5703125" style="1510" bestFit="1" customWidth="1"/>
    <col min="6402" max="6402" width="19.85546875" style="1510" customWidth="1"/>
    <col min="6403" max="6403" width="12" style="1510" bestFit="1" customWidth="1"/>
    <col min="6404" max="6656" width="9.140625" style="1510"/>
    <col min="6657" max="6657" width="29.5703125" style="1510" bestFit="1" customWidth="1"/>
    <col min="6658" max="6658" width="19.85546875" style="1510" customWidth="1"/>
    <col min="6659" max="6659" width="12" style="1510" bestFit="1" customWidth="1"/>
    <col min="6660" max="6912" width="9.140625" style="1510"/>
    <col min="6913" max="6913" width="29.5703125" style="1510" bestFit="1" customWidth="1"/>
    <col min="6914" max="6914" width="19.85546875" style="1510" customWidth="1"/>
    <col min="6915" max="6915" width="12" style="1510" bestFit="1" customWidth="1"/>
    <col min="6916" max="7168" width="9.140625" style="1510"/>
    <col min="7169" max="7169" width="29.5703125" style="1510" bestFit="1" customWidth="1"/>
    <col min="7170" max="7170" width="19.85546875" style="1510" customWidth="1"/>
    <col min="7171" max="7171" width="12" style="1510" bestFit="1" customWidth="1"/>
    <col min="7172" max="7424" width="9.140625" style="1510"/>
    <col min="7425" max="7425" width="29.5703125" style="1510" bestFit="1" customWidth="1"/>
    <col min="7426" max="7426" width="19.85546875" style="1510" customWidth="1"/>
    <col min="7427" max="7427" width="12" style="1510" bestFit="1" customWidth="1"/>
    <col min="7428" max="7680" width="9.140625" style="1510"/>
    <col min="7681" max="7681" width="29.5703125" style="1510" bestFit="1" customWidth="1"/>
    <col min="7682" max="7682" width="19.85546875" style="1510" customWidth="1"/>
    <col min="7683" max="7683" width="12" style="1510" bestFit="1" customWidth="1"/>
    <col min="7684" max="7936" width="9.140625" style="1510"/>
    <col min="7937" max="7937" width="29.5703125" style="1510" bestFit="1" customWidth="1"/>
    <col min="7938" max="7938" width="19.85546875" style="1510" customWidth="1"/>
    <col min="7939" max="7939" width="12" style="1510" bestFit="1" customWidth="1"/>
    <col min="7940" max="8192" width="9.140625" style="1510"/>
    <col min="8193" max="8193" width="29.5703125" style="1510" bestFit="1" customWidth="1"/>
    <col min="8194" max="8194" width="19.85546875" style="1510" customWidth="1"/>
    <col min="8195" max="8195" width="12" style="1510" bestFit="1" customWidth="1"/>
    <col min="8196" max="8448" width="9.140625" style="1510"/>
    <col min="8449" max="8449" width="29.5703125" style="1510" bestFit="1" customWidth="1"/>
    <col min="8450" max="8450" width="19.85546875" style="1510" customWidth="1"/>
    <col min="8451" max="8451" width="12" style="1510" bestFit="1" customWidth="1"/>
    <col min="8452" max="8704" width="9.140625" style="1510"/>
    <col min="8705" max="8705" width="29.5703125" style="1510" bestFit="1" customWidth="1"/>
    <col min="8706" max="8706" width="19.85546875" style="1510" customWidth="1"/>
    <col min="8707" max="8707" width="12" style="1510" bestFit="1" customWidth="1"/>
    <col min="8708" max="8960" width="9.140625" style="1510"/>
    <col min="8961" max="8961" width="29.5703125" style="1510" bestFit="1" customWidth="1"/>
    <col min="8962" max="8962" width="19.85546875" style="1510" customWidth="1"/>
    <col min="8963" max="8963" width="12" style="1510" bestFit="1" customWidth="1"/>
    <col min="8964" max="9216" width="9.140625" style="1510"/>
    <col min="9217" max="9217" width="29.5703125" style="1510" bestFit="1" customWidth="1"/>
    <col min="9218" max="9218" width="19.85546875" style="1510" customWidth="1"/>
    <col min="9219" max="9219" width="12" style="1510" bestFit="1" customWidth="1"/>
    <col min="9220" max="9472" width="9.140625" style="1510"/>
    <col min="9473" max="9473" width="29.5703125" style="1510" bestFit="1" customWidth="1"/>
    <col min="9474" max="9474" width="19.85546875" style="1510" customWidth="1"/>
    <col min="9475" max="9475" width="12" style="1510" bestFit="1" customWidth="1"/>
    <col min="9476" max="9728" width="9.140625" style="1510"/>
    <col min="9729" max="9729" width="29.5703125" style="1510" bestFit="1" customWidth="1"/>
    <col min="9730" max="9730" width="19.85546875" style="1510" customWidth="1"/>
    <col min="9731" max="9731" width="12" style="1510" bestFit="1" customWidth="1"/>
    <col min="9732" max="9984" width="9.140625" style="1510"/>
    <col min="9985" max="9985" width="29.5703125" style="1510" bestFit="1" customWidth="1"/>
    <col min="9986" max="9986" width="19.85546875" style="1510" customWidth="1"/>
    <col min="9987" max="9987" width="12" style="1510" bestFit="1" customWidth="1"/>
    <col min="9988" max="10240" width="9.140625" style="1510"/>
    <col min="10241" max="10241" width="29.5703125" style="1510" bestFit="1" customWidth="1"/>
    <col min="10242" max="10242" width="19.85546875" style="1510" customWidth="1"/>
    <col min="10243" max="10243" width="12" style="1510" bestFit="1" customWidth="1"/>
    <col min="10244" max="10496" width="9.140625" style="1510"/>
    <col min="10497" max="10497" width="29.5703125" style="1510" bestFit="1" customWidth="1"/>
    <col min="10498" max="10498" width="19.85546875" style="1510" customWidth="1"/>
    <col min="10499" max="10499" width="12" style="1510" bestFit="1" customWidth="1"/>
    <col min="10500" max="10752" width="9.140625" style="1510"/>
    <col min="10753" max="10753" width="29.5703125" style="1510" bestFit="1" customWidth="1"/>
    <col min="10754" max="10754" width="19.85546875" style="1510" customWidth="1"/>
    <col min="10755" max="10755" width="12" style="1510" bestFit="1" customWidth="1"/>
    <col min="10756" max="11008" width="9.140625" style="1510"/>
    <col min="11009" max="11009" width="29.5703125" style="1510" bestFit="1" customWidth="1"/>
    <col min="11010" max="11010" width="19.85546875" style="1510" customWidth="1"/>
    <col min="11011" max="11011" width="12" style="1510" bestFit="1" customWidth="1"/>
    <col min="11012" max="11264" width="9.140625" style="1510"/>
    <col min="11265" max="11265" width="29.5703125" style="1510" bestFit="1" customWidth="1"/>
    <col min="11266" max="11266" width="19.85546875" style="1510" customWidth="1"/>
    <col min="11267" max="11267" width="12" style="1510" bestFit="1" customWidth="1"/>
    <col min="11268" max="11520" width="9.140625" style="1510"/>
    <col min="11521" max="11521" width="29.5703125" style="1510" bestFit="1" customWidth="1"/>
    <col min="11522" max="11522" width="19.85546875" style="1510" customWidth="1"/>
    <col min="11523" max="11523" width="12" style="1510" bestFit="1" customWidth="1"/>
    <col min="11524" max="11776" width="9.140625" style="1510"/>
    <col min="11777" max="11777" width="29.5703125" style="1510" bestFit="1" customWidth="1"/>
    <col min="11778" max="11778" width="19.85546875" style="1510" customWidth="1"/>
    <col min="11779" max="11779" width="12" style="1510" bestFit="1" customWidth="1"/>
    <col min="11780" max="12032" width="9.140625" style="1510"/>
    <col min="12033" max="12033" width="29.5703125" style="1510" bestFit="1" customWidth="1"/>
    <col min="12034" max="12034" width="19.85546875" style="1510" customWidth="1"/>
    <col min="12035" max="12035" width="12" style="1510" bestFit="1" customWidth="1"/>
    <col min="12036" max="12288" width="9.140625" style="1510"/>
    <col min="12289" max="12289" width="29.5703125" style="1510" bestFit="1" customWidth="1"/>
    <col min="12290" max="12290" width="19.85546875" style="1510" customWidth="1"/>
    <col min="12291" max="12291" width="12" style="1510" bestFit="1" customWidth="1"/>
    <col min="12292" max="12544" width="9.140625" style="1510"/>
    <col min="12545" max="12545" width="29.5703125" style="1510" bestFit="1" customWidth="1"/>
    <col min="12546" max="12546" width="19.85546875" style="1510" customWidth="1"/>
    <col min="12547" max="12547" width="12" style="1510" bestFit="1" customWidth="1"/>
    <col min="12548" max="12800" width="9.140625" style="1510"/>
    <col min="12801" max="12801" width="29.5703125" style="1510" bestFit="1" customWidth="1"/>
    <col min="12802" max="12802" width="19.85546875" style="1510" customWidth="1"/>
    <col min="12803" max="12803" width="12" style="1510" bestFit="1" customWidth="1"/>
    <col min="12804" max="13056" width="9.140625" style="1510"/>
    <col min="13057" max="13057" width="29.5703125" style="1510" bestFit="1" customWidth="1"/>
    <col min="13058" max="13058" width="19.85546875" style="1510" customWidth="1"/>
    <col min="13059" max="13059" width="12" style="1510" bestFit="1" customWidth="1"/>
    <col min="13060" max="13312" width="9.140625" style="1510"/>
    <col min="13313" max="13313" width="29.5703125" style="1510" bestFit="1" customWidth="1"/>
    <col min="13314" max="13314" width="19.85546875" style="1510" customWidth="1"/>
    <col min="13315" max="13315" width="12" style="1510" bestFit="1" customWidth="1"/>
    <col min="13316" max="13568" width="9.140625" style="1510"/>
    <col min="13569" max="13569" width="29.5703125" style="1510" bestFit="1" customWidth="1"/>
    <col min="13570" max="13570" width="19.85546875" style="1510" customWidth="1"/>
    <col min="13571" max="13571" width="12" style="1510" bestFit="1" customWidth="1"/>
    <col min="13572" max="13824" width="9.140625" style="1510"/>
    <col min="13825" max="13825" width="29.5703125" style="1510" bestFit="1" customWidth="1"/>
    <col min="13826" max="13826" width="19.85546875" style="1510" customWidth="1"/>
    <col min="13827" max="13827" width="12" style="1510" bestFit="1" customWidth="1"/>
    <col min="13828" max="14080" width="9.140625" style="1510"/>
    <col min="14081" max="14081" width="29.5703125" style="1510" bestFit="1" customWidth="1"/>
    <col min="14082" max="14082" width="19.85546875" style="1510" customWidth="1"/>
    <col min="14083" max="14083" width="12" style="1510" bestFit="1" customWidth="1"/>
    <col min="14084" max="14336" width="9.140625" style="1510"/>
    <col min="14337" max="14337" width="29.5703125" style="1510" bestFit="1" customWidth="1"/>
    <col min="14338" max="14338" width="19.85546875" style="1510" customWidth="1"/>
    <col min="14339" max="14339" width="12" style="1510" bestFit="1" customWidth="1"/>
    <col min="14340" max="14592" width="9.140625" style="1510"/>
    <col min="14593" max="14593" width="29.5703125" style="1510" bestFit="1" customWidth="1"/>
    <col min="14594" max="14594" width="19.85546875" style="1510" customWidth="1"/>
    <col min="14595" max="14595" width="12" style="1510" bestFit="1" customWidth="1"/>
    <col min="14596" max="14848" width="9.140625" style="1510"/>
    <col min="14849" max="14849" width="29.5703125" style="1510" bestFit="1" customWidth="1"/>
    <col min="14850" max="14850" width="19.85546875" style="1510" customWidth="1"/>
    <col min="14851" max="14851" width="12" style="1510" bestFit="1" customWidth="1"/>
    <col min="14852" max="15104" width="9.140625" style="1510"/>
    <col min="15105" max="15105" width="29.5703125" style="1510" bestFit="1" customWidth="1"/>
    <col min="15106" max="15106" width="19.85546875" style="1510" customWidth="1"/>
    <col min="15107" max="15107" width="12" style="1510" bestFit="1" customWidth="1"/>
    <col min="15108" max="15360" width="9.140625" style="1510"/>
    <col min="15361" max="15361" width="29.5703125" style="1510" bestFit="1" customWidth="1"/>
    <col min="15362" max="15362" width="19.85546875" style="1510" customWidth="1"/>
    <col min="15363" max="15363" width="12" style="1510" bestFit="1" customWidth="1"/>
    <col min="15364" max="15616" width="9.140625" style="1510"/>
    <col min="15617" max="15617" width="29.5703125" style="1510" bestFit="1" customWidth="1"/>
    <col min="15618" max="15618" width="19.85546875" style="1510" customWidth="1"/>
    <col min="15619" max="15619" width="12" style="1510" bestFit="1" customWidth="1"/>
    <col min="15620" max="15872" width="9.140625" style="1510"/>
    <col min="15873" max="15873" width="29.5703125" style="1510" bestFit="1" customWidth="1"/>
    <col min="15874" max="15874" width="19.85546875" style="1510" customWidth="1"/>
    <col min="15875" max="15875" width="12" style="1510" bestFit="1" customWidth="1"/>
    <col min="15876" max="16128" width="9.140625" style="1510"/>
    <col min="16129" max="16129" width="29.5703125" style="1510" bestFit="1" customWidth="1"/>
    <col min="16130" max="16130" width="19.85546875" style="1510" customWidth="1"/>
    <col min="16131" max="16131" width="12" style="1510" bestFit="1" customWidth="1"/>
    <col min="16132" max="16384" width="9.140625" style="1510"/>
  </cols>
  <sheetData>
    <row r="1" spans="1:2">
      <c r="A1" s="1510" t="s">
        <v>958</v>
      </c>
      <c r="B1" s="1531">
        <v>6.1</v>
      </c>
    </row>
    <row r="2" spans="1:2">
      <c r="A2" s="1510" t="s">
        <v>959</v>
      </c>
      <c r="B2" s="1535">
        <v>43216.945694444446</v>
      </c>
    </row>
    <row r="3" spans="1:2">
      <c r="A3" s="1510" t="s">
        <v>960</v>
      </c>
      <c r="B3" s="1532" t="s">
        <v>655</v>
      </c>
    </row>
    <row r="4" spans="1:2">
      <c r="A4" s="1510" t="s">
        <v>961</v>
      </c>
      <c r="B4" s="1532" t="s">
        <v>204</v>
      </c>
    </row>
    <row r="5" spans="1:2">
      <c r="A5" s="1510" t="s">
        <v>962</v>
      </c>
      <c r="B5" s="1532" t="s">
        <v>963</v>
      </c>
    </row>
    <row r="6" spans="1:2">
      <c r="A6" s="1510" t="s">
        <v>964</v>
      </c>
    </row>
    <row r="7" spans="1:2">
      <c r="A7" s="1510" t="s">
        <v>965</v>
      </c>
      <c r="B7" s="1532" t="s">
        <v>16</v>
      </c>
    </row>
    <row r="8" spans="1:2">
      <c r="A8" s="1510" t="s">
        <v>966</v>
      </c>
      <c r="B8" s="1532" t="s">
        <v>967</v>
      </c>
    </row>
    <row r="9" spans="1:2">
      <c r="A9" s="1510" t="s">
        <v>968</v>
      </c>
      <c r="B9" s="1532" t="s">
        <v>1005</v>
      </c>
    </row>
    <row r="10" spans="1:2">
      <c r="A10" s="1510" t="s">
        <v>969</v>
      </c>
    </row>
    <row r="11" spans="1:2">
      <c r="A11" s="1510" t="s">
        <v>970</v>
      </c>
    </row>
    <row r="12" spans="1:2">
      <c r="A12" s="1510" t="s">
        <v>971</v>
      </c>
    </row>
    <row r="13" spans="1:2">
      <c r="A13" s="1510" t="s">
        <v>972</v>
      </c>
    </row>
    <row r="14" spans="1:2">
      <c r="A14" s="1510" t="s">
        <v>973</v>
      </c>
    </row>
    <row r="15" spans="1:2">
      <c r="A15" s="1510" t="s">
        <v>974</v>
      </c>
    </row>
    <row r="16" spans="1:2">
      <c r="A16" s="1510" t="s">
        <v>975</v>
      </c>
    </row>
    <row r="17" spans="1:4">
      <c r="A17" s="1510" t="s">
        <v>976</v>
      </c>
      <c r="B17" s="1532" t="s">
        <v>1006</v>
      </c>
    </row>
    <row r="18" spans="1:4">
      <c r="A18" s="1510" t="s">
        <v>977</v>
      </c>
      <c r="B18" s="1532" t="s">
        <v>1009</v>
      </c>
    </row>
    <row r="19" spans="1:4">
      <c r="A19" s="1510" t="s">
        <v>978</v>
      </c>
      <c r="B19" s="1532" t="s">
        <v>15</v>
      </c>
    </row>
    <row r="20" spans="1:4">
      <c r="A20" s="1510" t="s">
        <v>979</v>
      </c>
      <c r="B20" s="1533" t="s">
        <v>1010</v>
      </c>
    </row>
    <row r="21" spans="1:4">
      <c r="A21" s="1510" t="s">
        <v>980</v>
      </c>
      <c r="B21" s="1532" t="s">
        <v>15</v>
      </c>
    </row>
    <row r="22" spans="1:4">
      <c r="A22" s="1510" t="s">
        <v>981</v>
      </c>
      <c r="B22" s="1533">
        <v>2573760</v>
      </c>
    </row>
    <row r="23" spans="1:4">
      <c r="A23" s="1510" t="s">
        <v>531</v>
      </c>
      <c r="B23" s="1531">
        <v>55</v>
      </c>
    </row>
    <row r="24" spans="1:4">
      <c r="A24" s="1510" t="s">
        <v>530</v>
      </c>
      <c r="B24" s="1532" t="s">
        <v>421</v>
      </c>
      <c r="D24" s="1510" t="s">
        <v>97</v>
      </c>
    </row>
    <row r="25" spans="1:4">
      <c r="A25" s="1510" t="s">
        <v>982</v>
      </c>
      <c r="B25" s="1532" t="s">
        <v>1011</v>
      </c>
    </row>
    <row r="26" spans="1:4">
      <c r="A26" s="1510" t="s">
        <v>983</v>
      </c>
      <c r="B26" s="1532">
        <v>0</v>
      </c>
    </row>
    <row r="27" spans="1:4">
      <c r="A27" s="1510" t="s">
        <v>984</v>
      </c>
      <c r="B27" s="1532" t="s">
        <v>985</v>
      </c>
    </row>
    <row r="28" spans="1:4">
      <c r="A28" s="1510" t="s">
        <v>986</v>
      </c>
      <c r="B28" s="1532" t="s">
        <v>987</v>
      </c>
    </row>
    <row r="29" spans="1:4">
      <c r="A29" s="1510" t="s">
        <v>988</v>
      </c>
    </row>
    <row r="30" spans="1:4">
      <c r="A30" s="1510" t="s">
        <v>989</v>
      </c>
    </row>
    <row r="31" spans="1:4">
      <c r="A31" s="1510" t="s">
        <v>990</v>
      </c>
    </row>
    <row r="32" spans="1:4">
      <c r="A32" s="1510" t="s">
        <v>991</v>
      </c>
      <c r="B32" s="1531"/>
    </row>
    <row r="33" spans="1:2">
      <c r="A33" s="1510" t="s">
        <v>992</v>
      </c>
      <c r="B33" s="1531"/>
    </row>
    <row r="34" spans="1:2">
      <c r="A34" s="1510" t="s">
        <v>993</v>
      </c>
      <c r="B34" s="1531"/>
    </row>
    <row r="35" spans="1:2">
      <c r="A35" s="1510" t="s">
        <v>994</v>
      </c>
      <c r="B35" s="1532">
        <v>1000000</v>
      </c>
    </row>
    <row r="36" spans="1:2">
      <c r="A36" s="1510" t="s">
        <v>995</v>
      </c>
      <c r="B36" s="1532" t="s">
        <v>1007</v>
      </c>
    </row>
    <row r="37" spans="1:2">
      <c r="A37" s="1510" t="s">
        <v>996</v>
      </c>
      <c r="B37" s="1532" t="s">
        <v>997</v>
      </c>
    </row>
    <row r="38" spans="1:2">
      <c r="A38" s="1510" t="s">
        <v>998</v>
      </c>
      <c r="B38" s="1532" t="s">
        <v>999</v>
      </c>
    </row>
    <row r="39" spans="1:2">
      <c r="A39" s="1510" t="s">
        <v>1000</v>
      </c>
      <c r="B39" s="1532" t="s">
        <v>1008</v>
      </c>
    </row>
    <row r="40" spans="1:2">
      <c r="A40" s="1510" t="s">
        <v>1001</v>
      </c>
      <c r="B40" s="1532">
        <v>1500000092</v>
      </c>
    </row>
    <row r="41" spans="1:2">
      <c r="A41" s="1510" t="s">
        <v>1002</v>
      </c>
      <c r="B41" s="1532">
        <v>1</v>
      </c>
    </row>
    <row r="42" spans="1:2">
      <c r="A42" s="1534" t="s">
        <v>1003</v>
      </c>
      <c r="B42" s="1532" t="s">
        <v>1012</v>
      </c>
    </row>
    <row r="43" spans="1:2">
      <c r="A43" s="1510" t="s">
        <v>1004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1510" bestFit="1" customWidth="1"/>
    <col min="2" max="256" width="9.140625" style="1510"/>
    <col min="257" max="257" width="28.5703125" style="1510" bestFit="1" customWidth="1"/>
    <col min="258" max="512" width="9.140625" style="1510"/>
    <col min="513" max="513" width="28.5703125" style="1510" bestFit="1" customWidth="1"/>
    <col min="514" max="768" width="9.140625" style="1510"/>
    <col min="769" max="769" width="28.5703125" style="1510" bestFit="1" customWidth="1"/>
    <col min="770" max="1024" width="9.140625" style="1510"/>
    <col min="1025" max="1025" width="28.5703125" style="1510" bestFit="1" customWidth="1"/>
    <col min="1026" max="1280" width="9.140625" style="1510"/>
    <col min="1281" max="1281" width="28.5703125" style="1510" bestFit="1" customWidth="1"/>
    <col min="1282" max="1536" width="9.140625" style="1510"/>
    <col min="1537" max="1537" width="28.5703125" style="1510" bestFit="1" customWidth="1"/>
    <col min="1538" max="1792" width="9.140625" style="1510"/>
    <col min="1793" max="1793" width="28.5703125" style="1510" bestFit="1" customWidth="1"/>
    <col min="1794" max="2048" width="9.140625" style="1510"/>
    <col min="2049" max="2049" width="28.5703125" style="1510" bestFit="1" customWidth="1"/>
    <col min="2050" max="2304" width="9.140625" style="1510"/>
    <col min="2305" max="2305" width="28.5703125" style="1510" bestFit="1" customWidth="1"/>
    <col min="2306" max="2560" width="9.140625" style="1510"/>
    <col min="2561" max="2561" width="28.5703125" style="1510" bestFit="1" customWidth="1"/>
    <col min="2562" max="2816" width="9.140625" style="1510"/>
    <col min="2817" max="2817" width="28.5703125" style="1510" bestFit="1" customWidth="1"/>
    <col min="2818" max="3072" width="9.140625" style="1510"/>
    <col min="3073" max="3073" width="28.5703125" style="1510" bestFit="1" customWidth="1"/>
    <col min="3074" max="3328" width="9.140625" style="1510"/>
    <col min="3329" max="3329" width="28.5703125" style="1510" bestFit="1" customWidth="1"/>
    <col min="3330" max="3584" width="9.140625" style="1510"/>
    <col min="3585" max="3585" width="28.5703125" style="1510" bestFit="1" customWidth="1"/>
    <col min="3586" max="3840" width="9.140625" style="1510"/>
    <col min="3841" max="3841" width="28.5703125" style="1510" bestFit="1" customWidth="1"/>
    <col min="3842" max="4096" width="9.140625" style="1510"/>
    <col min="4097" max="4097" width="28.5703125" style="1510" bestFit="1" customWidth="1"/>
    <col min="4098" max="4352" width="9.140625" style="1510"/>
    <col min="4353" max="4353" width="28.5703125" style="1510" bestFit="1" customWidth="1"/>
    <col min="4354" max="4608" width="9.140625" style="1510"/>
    <col min="4609" max="4609" width="28.5703125" style="1510" bestFit="1" customWidth="1"/>
    <col min="4610" max="4864" width="9.140625" style="1510"/>
    <col min="4865" max="4865" width="28.5703125" style="1510" bestFit="1" customWidth="1"/>
    <col min="4866" max="5120" width="9.140625" style="1510"/>
    <col min="5121" max="5121" width="28.5703125" style="1510" bestFit="1" customWidth="1"/>
    <col min="5122" max="5376" width="9.140625" style="1510"/>
    <col min="5377" max="5377" width="28.5703125" style="1510" bestFit="1" customWidth="1"/>
    <col min="5378" max="5632" width="9.140625" style="1510"/>
    <col min="5633" max="5633" width="28.5703125" style="1510" bestFit="1" customWidth="1"/>
    <col min="5634" max="5888" width="9.140625" style="1510"/>
    <col min="5889" max="5889" width="28.5703125" style="1510" bestFit="1" customWidth="1"/>
    <col min="5890" max="6144" width="9.140625" style="1510"/>
    <col min="6145" max="6145" width="28.5703125" style="1510" bestFit="1" customWidth="1"/>
    <col min="6146" max="6400" width="9.140625" style="1510"/>
    <col min="6401" max="6401" width="28.5703125" style="1510" bestFit="1" customWidth="1"/>
    <col min="6402" max="6656" width="9.140625" style="1510"/>
    <col min="6657" max="6657" width="28.5703125" style="1510" bestFit="1" customWidth="1"/>
    <col min="6658" max="6912" width="9.140625" style="1510"/>
    <col min="6913" max="6913" width="28.5703125" style="1510" bestFit="1" customWidth="1"/>
    <col min="6914" max="7168" width="9.140625" style="1510"/>
    <col min="7169" max="7169" width="28.5703125" style="1510" bestFit="1" customWidth="1"/>
    <col min="7170" max="7424" width="9.140625" style="1510"/>
    <col min="7425" max="7425" width="28.5703125" style="1510" bestFit="1" customWidth="1"/>
    <col min="7426" max="7680" width="9.140625" style="1510"/>
    <col min="7681" max="7681" width="28.5703125" style="1510" bestFit="1" customWidth="1"/>
    <col min="7682" max="7936" width="9.140625" style="1510"/>
    <col min="7937" max="7937" width="28.5703125" style="1510" bestFit="1" customWidth="1"/>
    <col min="7938" max="8192" width="9.140625" style="1510"/>
    <col min="8193" max="8193" width="28.5703125" style="1510" bestFit="1" customWidth="1"/>
    <col min="8194" max="8448" width="9.140625" style="1510"/>
    <col min="8449" max="8449" width="28.5703125" style="1510" bestFit="1" customWidth="1"/>
    <col min="8450" max="8704" width="9.140625" style="1510"/>
    <col min="8705" max="8705" width="28.5703125" style="1510" bestFit="1" customWidth="1"/>
    <col min="8706" max="8960" width="9.140625" style="1510"/>
    <col min="8961" max="8961" width="28.5703125" style="1510" bestFit="1" customWidth="1"/>
    <col min="8962" max="9216" width="9.140625" style="1510"/>
    <col min="9217" max="9217" width="28.5703125" style="1510" bestFit="1" customWidth="1"/>
    <col min="9218" max="9472" width="9.140625" style="1510"/>
    <col min="9473" max="9473" width="28.5703125" style="1510" bestFit="1" customWidth="1"/>
    <col min="9474" max="9728" width="9.140625" style="1510"/>
    <col min="9729" max="9729" width="28.5703125" style="1510" bestFit="1" customWidth="1"/>
    <col min="9730" max="9984" width="9.140625" style="1510"/>
    <col min="9985" max="9985" width="28.5703125" style="1510" bestFit="1" customWidth="1"/>
    <col min="9986" max="10240" width="9.140625" style="1510"/>
    <col min="10241" max="10241" width="28.5703125" style="1510" bestFit="1" customWidth="1"/>
    <col min="10242" max="10496" width="9.140625" style="1510"/>
    <col min="10497" max="10497" width="28.5703125" style="1510" bestFit="1" customWidth="1"/>
    <col min="10498" max="10752" width="9.140625" style="1510"/>
    <col min="10753" max="10753" width="28.5703125" style="1510" bestFit="1" customWidth="1"/>
    <col min="10754" max="11008" width="9.140625" style="1510"/>
    <col min="11009" max="11009" width="28.5703125" style="1510" bestFit="1" customWidth="1"/>
    <col min="11010" max="11264" width="9.140625" style="1510"/>
    <col min="11265" max="11265" width="28.5703125" style="1510" bestFit="1" customWidth="1"/>
    <col min="11266" max="11520" width="9.140625" style="1510"/>
    <col min="11521" max="11521" width="28.5703125" style="1510" bestFit="1" customWidth="1"/>
    <col min="11522" max="11776" width="9.140625" style="1510"/>
    <col min="11777" max="11777" width="28.5703125" style="1510" bestFit="1" customWidth="1"/>
    <col min="11778" max="12032" width="9.140625" style="1510"/>
    <col min="12033" max="12033" width="28.5703125" style="1510" bestFit="1" customWidth="1"/>
    <col min="12034" max="12288" width="9.140625" style="1510"/>
    <col min="12289" max="12289" width="28.5703125" style="1510" bestFit="1" customWidth="1"/>
    <col min="12290" max="12544" width="9.140625" style="1510"/>
    <col min="12545" max="12545" width="28.5703125" style="1510" bestFit="1" customWidth="1"/>
    <col min="12546" max="12800" width="9.140625" style="1510"/>
    <col min="12801" max="12801" width="28.5703125" style="1510" bestFit="1" customWidth="1"/>
    <col min="12802" max="13056" width="9.140625" style="1510"/>
    <col min="13057" max="13057" width="28.5703125" style="1510" bestFit="1" customWidth="1"/>
    <col min="13058" max="13312" width="9.140625" style="1510"/>
    <col min="13313" max="13313" width="28.5703125" style="1510" bestFit="1" customWidth="1"/>
    <col min="13314" max="13568" width="9.140625" style="1510"/>
    <col min="13569" max="13569" width="28.5703125" style="1510" bestFit="1" customWidth="1"/>
    <col min="13570" max="13824" width="9.140625" style="1510"/>
    <col min="13825" max="13825" width="28.5703125" style="1510" bestFit="1" customWidth="1"/>
    <col min="13826" max="14080" width="9.140625" style="1510"/>
    <col min="14081" max="14081" width="28.5703125" style="1510" bestFit="1" customWidth="1"/>
    <col min="14082" max="14336" width="9.140625" style="1510"/>
    <col min="14337" max="14337" width="28.5703125" style="1510" bestFit="1" customWidth="1"/>
    <col min="14338" max="14592" width="9.140625" style="1510"/>
    <col min="14593" max="14593" width="28.5703125" style="1510" bestFit="1" customWidth="1"/>
    <col min="14594" max="14848" width="9.140625" style="1510"/>
    <col min="14849" max="14849" width="28.5703125" style="1510" bestFit="1" customWidth="1"/>
    <col min="14850" max="15104" width="9.140625" style="1510"/>
    <col min="15105" max="15105" width="28.5703125" style="1510" bestFit="1" customWidth="1"/>
    <col min="15106" max="15360" width="9.140625" style="1510"/>
    <col min="15361" max="15361" width="28.5703125" style="1510" bestFit="1" customWidth="1"/>
    <col min="15362" max="15616" width="9.140625" style="1510"/>
    <col min="15617" max="15617" width="28.5703125" style="1510" bestFit="1" customWidth="1"/>
    <col min="15618" max="15872" width="9.140625" style="1510"/>
    <col min="15873" max="15873" width="28.5703125" style="1510" bestFit="1" customWidth="1"/>
    <col min="15874" max="16128" width="9.140625" style="1510"/>
    <col min="16129" max="16129" width="28.5703125" style="1510" bestFit="1" customWidth="1"/>
    <col min="16130" max="16384" width="9.140625" style="1510"/>
  </cols>
  <sheetData>
    <row r="1" spans="1:1">
      <c r="A1" s="1536" t="s">
        <v>1013</v>
      </c>
    </row>
    <row r="2" spans="1:1">
      <c r="A2" s="1536" t="s">
        <v>1018</v>
      </c>
    </row>
    <row r="3" spans="1:1">
      <c r="A3" s="1536" t="s">
        <v>1019</v>
      </c>
    </row>
    <row r="4" spans="1:1">
      <c r="A4" s="1536" t="s">
        <v>1020</v>
      </c>
    </row>
    <row r="5" spans="1:1">
      <c r="A5" s="1536" t="s">
        <v>1021</v>
      </c>
    </row>
    <row r="6" spans="1:1">
      <c r="A6" s="1536" t="s">
        <v>1014</v>
      </c>
    </row>
    <row r="7" spans="1:1">
      <c r="A7" s="1536" t="s">
        <v>1022</v>
      </c>
    </row>
    <row r="8" spans="1:1">
      <c r="A8" s="1536" t="s">
        <v>1023</v>
      </c>
    </row>
    <row r="9" spans="1:1">
      <c r="A9" s="1536" t="s">
        <v>1024</v>
      </c>
    </row>
    <row r="10" spans="1:1">
      <c r="A10" s="1536" t="s">
        <v>1015</v>
      </c>
    </row>
    <row r="11" spans="1:1">
      <c r="A11" s="1536" t="s">
        <v>1025</v>
      </c>
    </row>
    <row r="12" spans="1:1">
      <c r="A12" s="1536" t="s">
        <v>1016</v>
      </c>
    </row>
    <row r="13" spans="1:1">
      <c r="A13" s="1536" t="s">
        <v>1017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f0ed8a89-5cbd-408d-8806-ee54c7feb09c</GUID>
    <SOURCE_ALTADDRESS>$C$9:$L$28</SOURCE_ALTADDRESS>
    <SOURCETYPE>Table</SOURCETYPE>
    <SOURCE_OBJECTNAME>Linking_Range_47</SOURCE_OBJECTNAME>
    <OBJECTTYPE>Native</OBJECTTYPE>
    <SOURCE_SHEETCODE>Sheet13</SOURCE_SHEETCODE>
    <SOURCE_SHEETNAME>Snapshot</SOURCE_SHEETNAME>
    <SOURCEAPPLICATION>EXCEL_SOURCE</SOURCEAPPLICATION>
    <UPDATEDAT>10/23/2014 11:39:25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/MSResearch/Content/ExternalAssets/2014-10/Images/qLWdPd8MhkO1M7HOriv5fw--.png</TARGET_BINARYFULLNAME>
    <TARGET_STORYFULLNAME>/MSResearch/Content/ExternalAssets/2014-10/Sections/20141023_113921_Linking_Range_47.xml</TARGET_STORYFULLNAME>
    <TARGET_UUID>5727a142-5b2f-11e4-a5f5-00b8a37746a7</TARGET_UUID>
  </Link>
  <Link>
    <GUID>86551e44-b825-4eab-8011-ee3ecccdc294</GUID>
    <SOURCE_ALTADDRESS>$B$5:$M$35</SOURCE_ALTADDRESS>
    <SOURCETYPE>Table</SOURCETYPE>
    <SOURCE_OBJECTNAME>Linking_Range_48</SOURCE_OBJECTNAME>
    <OBJECTTYPE>Native</OBJECTTYPE>
    <SOURCE_SHEETCODE>Sheet15</SOURCE_SHEETCODE>
    <SOURCE_SHEETNAME>QoQ Comp</SOURCE_SHEETNAME>
    <SOURCEAPPLICATION>EXCEL_SOURCE</SOURCEAPPLICATION>
    <UPDATEDAT>1/22/2015 8:55:30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/MSResearch/Content/ExternalAssets/2014-10/Images/HOpZTmXHwEaG_DA-Eu4kw--.png</TARGET_BINARYFULLNAME>
    <TARGET_STORYFULLNAME>/MSResearch/Content/ExternalAssets/2014-10/Sections/20141023_114025_Linking_Range_48.xml</TARGET_STORYFULLNAME>
    <TARGET_UUID>7d3eee08-5b2f-11e4-a5f5-00b8a37746a7</TARGET_UUID>
    <TRANSPARENTBACKGROUND>False</TRANSPARENTBACKGROUND>
    <TRANSPARENTPLOTAREA>False</TRANSPARENTPLOTAREA>
    <LINKSTATUS>Unknown</LINKSTATUS>
  </Link>
  <Link>
    <GUID>9cafea83-8d84-433d-b5fb-192c874469eb</GUID>
    <SOURCE_ALTADDRESS>$D$7:$R$15</SOURCE_ALTADDRESS>
    <SOURCETYPE>Table</SOURCETYPE>
    <SOURCE_OBJECTNAME>Linking_Range_26</SOURCE_OBJECTNAME>
    <OBJECTTYPE>Native</OBJECTTYPE>
    <SOURCE_SHEETCODE>Sheet34</SOURCE_SHEETCODE>
    <SOURCE_SHEETNAME>MS vs. Cons.</SOURCE_SHEETNAME>
    <SOURCEAPPLICATION>EXCEL_SOURCE</SOURCEAPPLICATION>
    <UPDATEDAT>4/14/2015 8:03:04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/MSResearch/Content/ExternalAssets/2014-10/Images/jHodSnFxP66-OaPb3EKQ--.png</TARGET_BINARYFULLNAME>
    <TARGET_STORYFULLNAME>/MSResearch/Content/ExternalAssets/2014-10/Sections/Linking_Range_26-047.xml</TARGET_STORYFULLNAME>
    <TARGET_UUID>53e82ada-55fb-11e4-b03b-7e57cd39a3c9</TARGET_UUID>
    <TRANSPARENTBACKGROUND>False</TRANSPARENTBACKGROUND>
    <TRANSPARENTPLOTAREA>False</TRANSPARENTPLOTAREA>
    <EXTRACTSOURCEMODE>CopyToClipboard</EXTRACTSOURCEMODE>
  </Link>
  <Link>
    <GUID>81581d85-6314-42c3-9002-2deb744ad94d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4/23/2015 10:06:05 PM</UPDATEDAT>
    <SOURCE_ISOUTOFDATE>False</SOURCE_ISOUTOFDATE>
    <SOURCE_WORKBOOKNAME>MXIM WIP.xls</SOURCE_WORKBOOKNAME>
    <SOURCE_WORKBOOKPATH>\\MSAD\ROOT\NA\NY\LIB\ER\SEMI CAP\Joe Files\Companies\MXIM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/MSResearch/Content/ExternalAssets/2014-10/Images/nlbjETpfbehIrW16HyG2A--.png</TARGET_BINARYFULLNAME>
    <TARGET_STORYFULLNAME>/MSResearch/Content/ExternalAssets/2014-10/Sections/20141023_113421_MWA_Risk_Reward.xml</TARGET_STORYFULLNAME>
    <TARGET_UUID>a4672352-5b2e-11e4-a5f5-00b8a37746a7</TARGET_UUID>
    <LINKSTATUS>Unknown</LINKSTATUS>
    <HIDEGRIDLINES>False</HIDEGRIDLINES>
    <EXTRACTSOURCEMODE>CopyToClipboard</EXTRACTSOURCEMODE>
  </Link>
  <Link>
    <GUID>7dcacacb-b4c1-4193-bded-268e87b87e25</GUID>
    <SOURCE_ALTADDRESS>$B$5:$M$33</SOURCE_ALTADDRESS>
    <SOURCETYPE>Table</SOURCETYPE>
    <SOURCE_OBJECTNAME>Linking_Range_50</SOURCE_OBJECTNAME>
    <OBJECTTYPE>Native</OBJECTTYPE>
    <SOURCE_SHEETCODE>Sheet15</SOURCE_SHEETCODE>
    <SOURCE_SHEETNAME>QoQ Comp</SOURCE_SHEETNAME>
    <SOURCEAPPLICATION>EXCEL_SOURCE</SOURCEAPPLICATION>
    <UPDATEDAT>4/23/2015 10:14:14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/MSResearch/Content/ExternalAssets/2015-04/Images/K5cSykVi9UeygQUGrZs3Ww--.png</TARGET_BINARYFULLNAME>
    <TARGET_STORYFULLNAME>/MSResearch/Content/ExternalAssets/2015-04/Sections/20150423_101411_Linking_Range_50.xml</TARGET_STORYFULLNAME>
    <TARGET_UUID>9905f5b4-ea27-11e4-b44c-544b7b2f2e67</TARGET_UUID>
  </Link>
  <Link>
    <GUID>e5dbfd55-3d0b-410e-96bc-25456a851c8f</GUID>
    <SOURCE_ALTADDRESS>$B$5:$L$33</SOURCE_ALTADDRESS>
    <SOURCETYPE>Table</SOURCETYPE>
    <SOURCE_OBJECTNAME>Linking_Range_51</SOURCE_OBJECTNAME>
    <OBJECTTYPE>Native</OBJECTTYPE>
    <SOURCE_SHEETCODE>Sheet15</SOURCE_SHEETCODE>
    <SOURCE_SHEETNAME>QoQ Comp</SOURCE_SHEETNAME>
    <SOURCEAPPLICATION>EXCEL_SOURCE</SOURCEAPPLICATION>
    <UPDATEDAT>4/23/2015 10:14:46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/MSResearch/Content/ExternalAssets/2015-04/Images/8CeD7WxB30_iVPY549N6zA--.png</TARGET_BINARYFULLNAME>
    <TARGET_STORYFULLNAME>/MSResearch/Content/ExternalAssets/2015-04/Sections/20150423_101443_Linking_Range_51.xml</TARGET_STORYFULLNAME>
    <TARGET_UUID>abc6f0c2-ea27-11e4-b44c-544b7b2f2e67</TARGET_UUID>
  </Link>
  <Link>
    <GUID>6fee91ae-0f9b-44c8-8fd5-86d362da008c</GUID>
    <SOURCE_ALTADDRESS>$B$7:$BL$138</SOURCE_ALTADDRESS>
    <SOURCETYPE>Table</SOURCETYPE>
    <SOURCE_OBJECTNAME>Linking_Range_41</SOURCE_OBJECTNAME>
    <OBJECTTYPE>Native</OBJECTTYPE>
    <SOURCE_SHEETCODE>Sheet2</SOURCE_SHEETCODE>
    <SOURCE_SHEETNAME>IS</SOURCE_SHEETNAME>
    <SOURCEAPPLICATION>EXCEL_SOURCE</SOURCEAPPLICATION>
    <UPDATEDAT>4/23/2015 10:15:49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/MSResearch/Content/ExternalAssets/2014-10/Images/sfJQOECtWky_bOyfGL2T4w--.png</TARGET_BINARYFULLNAME>
    <TARGET_STORYFULLNAME>/MSResearch/Content/ExternalAssets/2014-10/Sections/20141023_114207_Linking_Range_41.xml</TARGET_STORYFULLNAME>
    <TARGET_UUID>ba5552dc-5b2f-11e4-a5f5-00b8a37746a7</TARGET_UUID>
    <TRANSPARENTBACKGROUND>False</TRANSPARENTBACKGROUND>
    <TRANSPARENTPLOTAREA>False</TRANSPARENTPLOTAREA>
    <EXTRACTSOURCEMODE>CopyToClipboard</EXTRACTSOURCEMODE>
  </Link>
  <Link>
    <GUID>e0f8b93b-544b-458a-8e2f-12a1cfea1d04</GUID>
    <SOURCE_ALTADDRESS>$B$7:$AU$47</SOURCE_ALTADDRESS>
    <SOURCETYPE>Table</SOURCETYPE>
    <SOURCE_OBJECTNAME>Linking_Range_38</SOURCE_OBJECTNAME>
    <OBJECTTYPE>Native</OBJECTTYPE>
    <SOURCE_SHEETCODE>Sheet3</SOURCE_SHEETCODE>
    <SOURCE_SHEETNAME>BS</SOURCE_SHEETNAME>
    <SOURCEAPPLICATION>EXCEL_SOURCE</SOURCEAPPLICATION>
    <UPDATEDAT>4/23/2015 10:16:26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/MSResearch/Content/ExternalAssets/2014-10/Images/ZqtnfyMrIuiSNCTeHf3qg--.png</TARGET_BINARYFULLNAME>
    <TARGET_STORYFULLNAME>/MSResearch/Content/ExternalAssets/2014-10/Sections/20141023_114306_Linking_Range_38.xml</TARGET_STORYFULLNAME>
    <TARGET_UUID>dd971a0a-5b2f-11e4-a5f5-00b8a37746a7</TARGET_UUID>
    <TRANSPARENTBACKGROUND>False</TRANSPARENTBACKGROUND>
    <TRANSPARENTPLOTAREA>False</TRANSPARENTPLOTAREA>
    <EXTRACTSOURCEMODE>CopyToClipboard</EXTRACTSOURCEMODE>
  </Link>
  <Link>
    <GUID>46ba6d8c-3eb3-4b5d-a44b-9f926dce9407</GUID>
    <SOURCE_ALTADDRESS>$B$7:$BL$59</SOURCE_ALTADDRESS>
    <SOURCETYPE>Table</SOURCETYPE>
    <SOURCE_OBJECTNAME>Linking_Range_49</SOURCE_OBJECTNAME>
    <OBJECTTYPE>Native</OBJECTTYPE>
    <SOURCE_SHEETCODE>Sheet4</SOURCE_SHEETCODE>
    <SOURCE_SHEETNAME>CFS</SOURCE_SHEETNAME>
    <SOURCEAPPLICATION>EXCEL_SOURCE</SOURCEAPPLICATION>
    <UPDATEDAT>4/23/2015 10:17:08 PM</UPDATEDAT>
    <SOURCE_ISOUTOFDATE>False</SOURCE_ISOUTOFDATE>
    <SOURCE_WORKBOOKNAME>MXIM WIP.xls</SOURCE_WORKBOOKNAME>
    <SOURCE_WORKBOOKPATH>\\MSAD\ROOT\NA\NY\LIB\ER\SEMI CAP\Joe Files\Companies\MXIM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/MSResearch/Content/ExternalAssets/2014-10/Images/AHHTtOc75UahZ-lm1yYCtg--.png</TARGET_BINARYFULLNAME>
    <TARGET_STORYFULLNAME>/MSResearch/Content/ExternalAssets/2014-10/Sections/20141023_114415_Linking_Range_49.xml</TARGET_STORYFULLNAME>
    <TARGET_UUID>079bb798-5b30-11e4-a5f5-00b8a37746a7</TARGET_UUID>
    <TRANSPARENTBACKGROUND>False</TRANSPARENTBACKGROUND>
    <TRANSPARENTPLOTAREA>False</TRANSPARENTPLOTAREA>
    <EXTRACTSOURCEMODE>CopyToClipboard</EXTRACTSOURCEMODE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BFB1C8E4-F3EB-47FC-9F3E-BAE3639F08BB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F6C58470-C4B6-460E-819C-7A618AFA2D9C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109</vt:i4>
      </vt:variant>
    </vt:vector>
  </HeadingPairs>
  <TitlesOfParts>
    <vt:vector size="116" baseType="lpstr">
      <vt:lpstr>ImportantDisclosures</vt:lpstr>
      <vt:lpstr>IS</vt:lpstr>
      <vt:lpstr>BS</vt:lpstr>
      <vt:lpstr>CFS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'BU-Segment'!BS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Linking_11</vt:lpstr>
      <vt:lpstr>Linking_12</vt:lpstr>
      <vt:lpstr>Linking_13</vt:lpstr>
      <vt:lpstr>Linking_2</vt:lpstr>
      <vt:lpstr>Linking_21</vt:lpstr>
      <vt:lpstr>Linking_22</vt:lpstr>
      <vt:lpstr>Linking_23</vt:lpstr>
      <vt:lpstr>Linking_25</vt:lpstr>
      <vt:lpstr>Linking_3</vt:lpstr>
      <vt:lpstr>Linking_5</vt:lpstr>
      <vt:lpstr>Linking_6</vt:lpstr>
      <vt:lpstr>Linking_7</vt:lpstr>
      <vt:lpstr>Linking_Range_1</vt:lpstr>
      <vt:lpstr>Linking_Range_2</vt:lpstr>
      <vt:lpstr>Linking_Range_27</vt:lpstr>
      <vt:lpstr>Linking_Range_3</vt:lpstr>
      <vt:lpstr>Linking_Range_30</vt:lpstr>
      <vt:lpstr>Linking_Range_31</vt:lpstr>
      <vt:lpstr>Linking_Range_32</vt:lpstr>
      <vt:lpstr>Linking_Range_35</vt:lpstr>
      <vt:lpstr>Linking_Range_36</vt:lpstr>
      <vt:lpstr>Linking_Range_38</vt:lpstr>
      <vt:lpstr>Linking_Range_39</vt:lpstr>
      <vt:lpstr>Linking_Range_4</vt:lpstr>
      <vt:lpstr>Linking_Range_41</vt:lpstr>
      <vt:lpstr>Linking_Range_42</vt:lpstr>
      <vt:lpstr>Linking_Range_45</vt:lpstr>
      <vt:lpstr>Linking_Range_46</vt:lpstr>
      <vt:lpstr>Linking_Range_49</vt:lpstr>
      <vt:lpstr>Linking_Range_5</vt:lpstr>
      <vt:lpstr>Linking_Range_6</vt:lpstr>
      <vt:lpstr>Linking_Range_7</vt:lpstr>
      <vt:lpstr>Linking_Range_8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'BU-Segment'!Print_Area</vt:lpstr>
      <vt:lpstr>CFS!Print_Area</vt:lpstr>
      <vt:lpstr>IS!Print_Area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Linden, Sarah (Research)</cp:lastModifiedBy>
  <cp:lastPrinted>2018-04-27T02:19:25Z</cp:lastPrinted>
  <dcterms:modified xsi:type="dcterms:W3CDTF">2018-04-27T02:41:50Z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51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764539</vt:lpwstr>
  </property>
  <property fmtid="{D5CDD505-2E9C-101B-9397-08002B2CF9AE}" name="ERModPubCompanyName" pid="6">
    <vt:lpwstr>Maxim Integrated Products Inc.</vt:lpwstr>
  </property>
  <property fmtid="{D5CDD505-2E9C-101B-9397-08002B2CF9AE}" name="MSDH34TAG" pid="7">
    <vt:lpwstr>.TEZUF76X5TAHATHESADREYAK-00-INB160+*94600-06=8c59e8ca/-49c4/-11e8/-adef/-6a0a1ce82510,MD=20180426225023/-0400,ZZ=000Z-6b6d.</vt:lpwstr>
  </property>
</Properties>
</file>